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codeName="ThisWorkbook"/>
  <mc:AlternateContent xmlns:mc="http://schemas.openxmlformats.org/markup-compatibility/2006">
    <mc:Choice Requires="x15">
      <x15ac:absPath xmlns:x15ac="http://schemas.microsoft.com/office/spreadsheetml/2010/11/ac" url="https://amspecllc-my.sharepoint.com/personal/katie_archambault_amspecgroup_com/Documents/CAR_tracking-KWA/"/>
    </mc:Choice>
  </mc:AlternateContent>
  <xr:revisionPtr revIDLastSave="0" documentId="8_{89F48F33-CE0D-4420-8D7C-3822403870A2}" xr6:coauthVersionLast="47" xr6:coauthVersionMax="47" xr10:uidLastSave="{00000000-0000-0000-0000-000000000000}"/>
  <bookViews>
    <workbookView xWindow="-120" yWindow="-120" windowWidth="20730" windowHeight="11040" firstSheet="1" activeTab="1" xr2:uid="{B05BED3E-1D68-4481-86DB-0AFD7EBEEF77}"/>
  </bookViews>
  <sheets>
    <sheet name="Data - CARs" sheetId="1" r:id="rId1"/>
    <sheet name="Pivot tables - CARs" sheetId="8" r:id="rId2"/>
    <sheet name="CAR_PTO by location" sheetId="4" r:id="rId3"/>
    <sheet name="Open data - PTOs" sheetId="3" r:id="rId4"/>
    <sheet name="Pivot tables - PTOs" sheetId="9" r:id="rId5"/>
    <sheet name="Open report" sheetId="2" r:id="rId6"/>
    <sheet name="List source" sheetId="5" r:id="rId7"/>
  </sheets>
  <externalReferences>
    <externalReference r:id="rId8"/>
    <externalReference r:id="rId9"/>
    <externalReference r:id="rId10"/>
  </externalReferences>
  <calcPr calcId="191028"/>
  <pivotCaches>
    <pivotCache cacheId="2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9" i="4" l="1"/>
  <c r="AV19" i="4"/>
  <c r="AU19" i="4"/>
  <c r="BC19" i="4"/>
  <c r="BB19" i="4"/>
  <c r="BA19" i="4"/>
  <c r="AZ19" i="4"/>
  <c r="AY19" i="4"/>
  <c r="AX19" i="4"/>
  <c r="N4" i="1"/>
  <c r="N32" i="1"/>
  <c r="N26" i="1"/>
  <c r="N6" i="1"/>
  <c r="N5" i="1"/>
  <c r="N33" i="1"/>
  <c r="N30" i="1"/>
  <c r="N202" i="1"/>
  <c r="N10" i="1"/>
  <c r="N283" i="1"/>
  <c r="N312" i="1"/>
  <c r="N402" i="1"/>
  <c r="N401" i="1"/>
  <c r="N400" i="1"/>
  <c r="N417" i="1"/>
  <c r="N45" i="1"/>
  <c r="N514" i="1"/>
  <c r="N513" i="1"/>
  <c r="N512" i="1"/>
  <c r="N2" i="1"/>
  <c r="B2" i="1"/>
  <c r="B512" i="1"/>
  <c r="D512" i="1" s="1"/>
  <c r="B513" i="1"/>
  <c r="D513" i="1" s="1"/>
  <c r="B514" i="1"/>
  <c r="D514" i="1" s="1"/>
  <c r="B45" i="1"/>
  <c r="D45" i="1" s="1"/>
  <c r="B417" i="1"/>
  <c r="D417" i="1" s="1"/>
  <c r="B400" i="1"/>
  <c r="B401" i="1"/>
  <c r="D401" i="1" s="1"/>
  <c r="B402" i="1"/>
  <c r="D402" i="1" s="1"/>
  <c r="B312" i="1"/>
  <c r="D312" i="1" s="1"/>
  <c r="B283" i="1"/>
  <c r="D283" i="1" s="1"/>
  <c r="B10" i="1"/>
  <c r="B202" i="1"/>
  <c r="D202" i="1" s="1"/>
  <c r="B30" i="1"/>
  <c r="B33" i="1"/>
  <c r="D33" i="1" s="1"/>
  <c r="B5" i="1"/>
  <c r="D5" i="1" s="1"/>
  <c r="B6" i="1"/>
  <c r="D6" i="1" s="1"/>
  <c r="B26" i="1"/>
  <c r="D26" i="1" s="1"/>
  <c r="B32" i="1"/>
  <c r="D32" i="1" s="1"/>
  <c r="B4" i="1"/>
  <c r="B3" i="1"/>
  <c r="B159" i="1"/>
  <c r="B166" i="1"/>
  <c r="B7" i="1"/>
  <c r="B183" i="1"/>
  <c r="B8" i="1"/>
  <c r="B9" i="1"/>
  <c r="B11" i="1"/>
  <c r="B14" i="1"/>
  <c r="B15" i="1"/>
  <c r="B12" i="1"/>
  <c r="B13" i="1"/>
  <c r="B16" i="1"/>
  <c r="B294" i="1"/>
  <c r="B17" i="1"/>
  <c r="B19" i="1"/>
  <c r="B20" i="1"/>
  <c r="B21" i="1"/>
  <c r="B18" i="1"/>
  <c r="B22" i="1"/>
  <c r="B23" i="1"/>
  <c r="B24" i="1"/>
  <c r="B25" i="1"/>
  <c r="B27" i="1"/>
  <c r="B394" i="1"/>
  <c r="B28" i="1"/>
  <c r="B29" i="1"/>
  <c r="B31" i="1"/>
  <c r="B184" i="1"/>
  <c r="B46" i="1"/>
  <c r="B39" i="1"/>
  <c r="B35" i="1"/>
  <c r="B36" i="1"/>
  <c r="B37" i="1"/>
  <c r="B38" i="1"/>
  <c r="B34" i="1"/>
  <c r="B41" i="1"/>
  <c r="B43" i="1"/>
  <c r="B44" i="1"/>
  <c r="B42" i="1"/>
  <c r="B40" i="1"/>
  <c r="B48" i="1"/>
  <c r="B49" i="1"/>
  <c r="B47" i="1"/>
  <c r="B185" i="1"/>
  <c r="B422" i="1"/>
  <c r="B50" i="1"/>
  <c r="B51" i="1"/>
  <c r="B52" i="1"/>
  <c r="B59" i="1"/>
  <c r="B54" i="1"/>
  <c r="B55" i="1"/>
  <c r="B57" i="1"/>
  <c r="B56" i="1"/>
  <c r="B58" i="1"/>
  <c r="B420" i="1"/>
  <c r="B63" i="1"/>
  <c r="B64" i="1"/>
  <c r="B60" i="1"/>
  <c r="B61" i="1"/>
  <c r="B62" i="1"/>
  <c r="B65" i="1"/>
  <c r="B66" i="1"/>
  <c r="B53" i="1"/>
  <c r="B67" i="1"/>
  <c r="B70" i="1"/>
  <c r="B71" i="1"/>
  <c r="B68" i="1"/>
  <c r="B75" i="1"/>
  <c r="B76" i="1"/>
  <c r="B77" i="1"/>
  <c r="B78" i="1"/>
  <c r="B79" i="1"/>
  <c r="B80" i="1"/>
  <c r="B82" i="1"/>
  <c r="B81" i="1"/>
  <c r="B83" i="1"/>
  <c r="B84" i="1"/>
  <c r="B85" i="1"/>
  <c r="B86" i="1"/>
  <c r="B87" i="1"/>
  <c r="B88" i="1"/>
  <c r="B89" i="1"/>
  <c r="B90" i="1"/>
  <c r="B93" i="1"/>
  <c r="B91" i="1"/>
  <c r="B92" i="1"/>
  <c r="B97" i="1"/>
  <c r="B94" i="1"/>
  <c r="B95" i="1"/>
  <c r="B96" i="1"/>
  <c r="B98" i="1"/>
  <c r="B99" i="1"/>
  <c r="B101" i="1"/>
  <c r="B100" i="1"/>
  <c r="B102" i="1"/>
  <c r="B103" i="1"/>
  <c r="B104" i="1"/>
  <c r="B105" i="1"/>
  <c r="B106" i="1"/>
  <c r="B107" i="1"/>
  <c r="B108" i="1"/>
  <c r="B109" i="1"/>
  <c r="B110" i="1"/>
  <c r="B111" i="1"/>
  <c r="B112" i="1"/>
  <c r="B113" i="1"/>
  <c r="B119" i="1"/>
  <c r="B120" i="1"/>
  <c r="B114" i="1"/>
  <c r="B115" i="1"/>
  <c r="B116" i="1"/>
  <c r="B117" i="1"/>
  <c r="B118" i="1"/>
  <c r="B121" i="1"/>
  <c r="B122" i="1"/>
  <c r="B123" i="1"/>
  <c r="B124" i="1"/>
  <c r="B125" i="1"/>
  <c r="B126" i="1"/>
  <c r="B127" i="1"/>
  <c r="B128" i="1"/>
  <c r="B130" i="1"/>
  <c r="B129" i="1"/>
  <c r="B131" i="1"/>
  <c r="B169" i="1"/>
  <c r="B134" i="1"/>
  <c r="B133" i="1"/>
  <c r="B135" i="1"/>
  <c r="B136" i="1"/>
  <c r="B69" i="1"/>
  <c r="B142" i="1"/>
  <c r="B138" i="1"/>
  <c r="B139" i="1"/>
  <c r="B140" i="1"/>
  <c r="B141" i="1"/>
  <c r="B143" i="1"/>
  <c r="B144" i="1"/>
  <c r="B147" i="1"/>
  <c r="B145" i="1"/>
  <c r="B146" i="1"/>
  <c r="B148" i="1"/>
  <c r="B188" i="1"/>
  <c r="B150" i="1"/>
  <c r="B151" i="1"/>
  <c r="B158" i="1"/>
  <c r="B152" i="1"/>
  <c r="B153" i="1"/>
  <c r="B154" i="1"/>
  <c r="B155" i="1"/>
  <c r="B156" i="1"/>
  <c r="B157" i="1"/>
  <c r="B162" i="1"/>
  <c r="B72" i="1"/>
  <c r="B160" i="1"/>
  <c r="B161" i="1"/>
  <c r="B163" i="1"/>
  <c r="B164" i="1"/>
  <c r="B165" i="1"/>
  <c r="B73" i="1"/>
  <c r="B167" i="1"/>
  <c r="B168" i="1"/>
  <c r="B173" i="1"/>
  <c r="B174" i="1"/>
  <c r="B175" i="1"/>
  <c r="B176" i="1"/>
  <c r="B172" i="1"/>
  <c r="B170" i="1"/>
  <c r="B171" i="1"/>
  <c r="B177" i="1"/>
  <c r="B178" i="1"/>
  <c r="B179" i="1"/>
  <c r="B182" i="1"/>
  <c r="B180" i="1"/>
  <c r="B181" i="1"/>
  <c r="B74" i="1"/>
  <c r="B132" i="1"/>
  <c r="B191" i="1"/>
  <c r="B186" i="1"/>
  <c r="B187" i="1"/>
  <c r="B190" i="1"/>
  <c r="B189" i="1"/>
  <c r="B192" i="1"/>
  <c r="B193" i="1"/>
  <c r="B194" i="1"/>
  <c r="B195" i="1"/>
  <c r="B199" i="1"/>
  <c r="B196" i="1"/>
  <c r="B198" i="1"/>
  <c r="B197" i="1"/>
  <c r="B200" i="1"/>
  <c r="B201" i="1"/>
  <c r="B203" i="1"/>
  <c r="B204" i="1"/>
  <c r="B205" i="1"/>
  <c r="B206" i="1"/>
  <c r="B207" i="1"/>
  <c r="B208" i="1"/>
  <c r="B211" i="1"/>
  <c r="B210" i="1"/>
  <c r="B209" i="1"/>
  <c r="B214" i="1"/>
  <c r="B212" i="1"/>
  <c r="B213" i="1"/>
  <c r="B218" i="1"/>
  <c r="B215" i="1"/>
  <c r="B216" i="1"/>
  <c r="B217" i="1"/>
  <c r="B219" i="1"/>
  <c r="B220" i="1"/>
  <c r="B221" i="1"/>
  <c r="B227" i="1"/>
  <c r="B226" i="1"/>
  <c r="B222" i="1"/>
  <c r="B223" i="1"/>
  <c r="B224" i="1"/>
  <c r="B228" i="1"/>
  <c r="B229" i="1"/>
  <c r="B225" i="1"/>
  <c r="B231" i="1"/>
  <c r="B230" i="1"/>
  <c r="B233" i="1"/>
  <c r="B232" i="1"/>
  <c r="B234" i="1"/>
  <c r="B239" i="1"/>
  <c r="B236" i="1"/>
  <c r="B240" i="1"/>
  <c r="B237" i="1"/>
  <c r="B238" i="1"/>
  <c r="B241" i="1"/>
  <c r="B242" i="1"/>
  <c r="B250" i="1"/>
  <c r="B243" i="1"/>
  <c r="B244" i="1"/>
  <c r="B245" i="1"/>
  <c r="B246" i="1"/>
  <c r="B247" i="1"/>
  <c r="B248" i="1"/>
  <c r="B249" i="1"/>
  <c r="B251" i="1"/>
  <c r="B253" i="1"/>
  <c r="B252" i="1"/>
  <c r="B254" i="1"/>
  <c r="B256" i="1"/>
  <c r="B255" i="1"/>
  <c r="B257" i="1"/>
  <c r="B258" i="1"/>
  <c r="B259" i="1"/>
  <c r="B260" i="1"/>
  <c r="B261" i="1"/>
  <c r="B262" i="1"/>
  <c r="B263" i="1"/>
  <c r="B265" i="1"/>
  <c r="B264" i="1"/>
  <c r="B266" i="1"/>
  <c r="B267" i="1"/>
  <c r="B268" i="1"/>
  <c r="B269" i="1"/>
  <c r="B274" i="1"/>
  <c r="B275" i="1"/>
  <c r="B273" i="1"/>
  <c r="B271" i="1"/>
  <c r="B272" i="1"/>
  <c r="B277" i="1"/>
  <c r="B270" i="1"/>
  <c r="B276" i="1"/>
  <c r="B278" i="1"/>
  <c r="B279" i="1"/>
  <c r="B280" i="1"/>
  <c r="B281" i="1"/>
  <c r="B282" i="1"/>
  <c r="B284" i="1"/>
  <c r="B285" i="1"/>
  <c r="B286" i="1"/>
  <c r="B287" i="1"/>
  <c r="B288" i="1"/>
  <c r="B289" i="1"/>
  <c r="B290" i="1"/>
  <c r="B291" i="1"/>
  <c r="B292" i="1"/>
  <c r="B235" i="1"/>
  <c r="B137" i="1"/>
  <c r="B295" i="1"/>
  <c r="B296" i="1"/>
  <c r="B298" i="1"/>
  <c r="B299" i="1"/>
  <c r="B297" i="1"/>
  <c r="B300" i="1"/>
  <c r="B304" i="1"/>
  <c r="B305" i="1"/>
  <c r="B301" i="1"/>
  <c r="B302" i="1"/>
  <c r="B303" i="1"/>
  <c r="B306" i="1"/>
  <c r="B307" i="1"/>
  <c r="B311" i="1"/>
  <c r="B309" i="1"/>
  <c r="B310" i="1"/>
  <c r="B308" i="1"/>
  <c r="B316" i="1"/>
  <c r="B317" i="1"/>
  <c r="B315" i="1"/>
  <c r="B313" i="1"/>
  <c r="B314" i="1"/>
  <c r="B324" i="1"/>
  <c r="B321" i="1"/>
  <c r="B323" i="1"/>
  <c r="B318" i="1"/>
  <c r="B322" i="1"/>
  <c r="B319" i="1"/>
  <c r="B320" i="1"/>
  <c r="B325" i="1"/>
  <c r="B326" i="1"/>
  <c r="B329" i="1"/>
  <c r="B327" i="1"/>
  <c r="B328" i="1"/>
  <c r="B331" i="1"/>
  <c r="B330" i="1"/>
  <c r="B332" i="1"/>
  <c r="B333" i="1"/>
  <c r="B334" i="1"/>
  <c r="B335" i="1"/>
  <c r="B336" i="1"/>
  <c r="B337" i="1"/>
  <c r="B338" i="1"/>
  <c r="B339" i="1"/>
  <c r="B340" i="1"/>
  <c r="B341" i="1"/>
  <c r="B342" i="1"/>
  <c r="B343" i="1"/>
  <c r="B344" i="1"/>
  <c r="B345" i="1"/>
  <c r="B346" i="1"/>
  <c r="B348" i="1"/>
  <c r="B347" i="1"/>
  <c r="B349" i="1"/>
  <c r="B350" i="1"/>
  <c r="B351" i="1"/>
  <c r="B352" i="1"/>
  <c r="B353" i="1"/>
  <c r="B354" i="1"/>
  <c r="B357" i="1"/>
  <c r="B355" i="1"/>
  <c r="B356" i="1"/>
  <c r="B358" i="1"/>
  <c r="B359" i="1"/>
  <c r="B360" i="1"/>
  <c r="B361" i="1"/>
  <c r="B362" i="1"/>
  <c r="B363" i="1"/>
  <c r="B367" i="1"/>
  <c r="B368" i="1"/>
  <c r="B369" i="1"/>
  <c r="B370" i="1"/>
  <c r="B371" i="1"/>
  <c r="B372" i="1"/>
  <c r="B373" i="1"/>
  <c r="B374" i="1"/>
  <c r="B364" i="1"/>
  <c r="B365" i="1"/>
  <c r="B366" i="1"/>
  <c r="B375" i="1"/>
  <c r="B376" i="1"/>
  <c r="B377" i="1"/>
  <c r="B378" i="1"/>
  <c r="B379" i="1"/>
  <c r="B380" i="1"/>
  <c r="B381" i="1"/>
  <c r="B383" i="1"/>
  <c r="B382" i="1"/>
  <c r="B384" i="1"/>
  <c r="B389" i="1"/>
  <c r="B386" i="1"/>
  <c r="B387" i="1"/>
  <c r="B388" i="1"/>
  <c r="B385" i="1"/>
  <c r="B390" i="1"/>
  <c r="B391" i="1"/>
  <c r="B392" i="1"/>
  <c r="B393" i="1"/>
  <c r="B149" i="1"/>
  <c r="B397" i="1"/>
  <c r="B396" i="1"/>
  <c r="B395" i="1"/>
  <c r="B399" i="1"/>
  <c r="B398" i="1"/>
  <c r="B403" i="1"/>
  <c r="B404" i="1"/>
  <c r="B411" i="1"/>
  <c r="B410" i="1"/>
  <c r="B405" i="1"/>
  <c r="B406" i="1"/>
  <c r="B409" i="1"/>
  <c r="B407" i="1"/>
  <c r="B408" i="1"/>
  <c r="B413" i="1"/>
  <c r="B412" i="1"/>
  <c r="B416" i="1"/>
  <c r="B415" i="1"/>
  <c r="B414" i="1"/>
  <c r="B418" i="1"/>
  <c r="B419" i="1"/>
  <c r="B293" i="1"/>
  <c r="B421" i="1"/>
  <c r="B424" i="1"/>
  <c r="B423" i="1"/>
  <c r="B425" i="1"/>
  <c r="B426" i="1"/>
  <c r="B427" i="1"/>
  <c r="B428" i="1"/>
  <c r="B429" i="1"/>
  <c r="B431" i="1"/>
  <c r="B430" i="1"/>
  <c r="B435" i="1"/>
  <c r="B432" i="1"/>
  <c r="B433" i="1"/>
  <c r="B434" i="1"/>
  <c r="B439" i="1"/>
  <c r="B436" i="1"/>
  <c r="B437" i="1"/>
  <c r="B438" i="1"/>
  <c r="B443" i="1"/>
  <c r="B442" i="1"/>
  <c r="B440" i="1"/>
  <c r="B441" i="1"/>
  <c r="B445" i="1"/>
  <c r="B444" i="1"/>
  <c r="B446" i="1"/>
  <c r="B447" i="1"/>
  <c r="B448" i="1"/>
  <c r="B451" i="1"/>
  <c r="B452" i="1"/>
  <c r="B453" i="1"/>
  <c r="B454" i="1"/>
  <c r="B449" i="1"/>
  <c r="B450" i="1"/>
  <c r="B455" i="1"/>
  <c r="B456" i="1"/>
  <c r="B457" i="1"/>
  <c r="B458" i="1"/>
  <c r="B459" i="1"/>
  <c r="B460" i="1"/>
  <c r="B461" i="1"/>
  <c r="B464" i="1"/>
  <c r="B462" i="1"/>
  <c r="B463" i="1"/>
  <c r="B467" i="1"/>
  <c r="B466" i="1"/>
  <c r="B465" i="1"/>
  <c r="B468" i="1"/>
  <c r="B471" i="1"/>
  <c r="B469" i="1"/>
  <c r="B472" i="1"/>
  <c r="B473" i="1"/>
  <c r="B470" i="1"/>
  <c r="B474" i="1"/>
  <c r="B475" i="1"/>
  <c r="B476" i="1"/>
  <c r="B477" i="1"/>
  <c r="B478" i="1"/>
  <c r="B479" i="1"/>
  <c r="B480" i="1"/>
  <c r="B481" i="1"/>
  <c r="B482" i="1"/>
  <c r="B608" i="1"/>
  <c r="B489" i="1"/>
  <c r="B490" i="1"/>
  <c r="B491" i="1"/>
  <c r="B484" i="1"/>
  <c r="B485" i="1"/>
  <c r="B486" i="1"/>
  <c r="B609" i="1"/>
  <c r="B610" i="1"/>
  <c r="B492" i="1"/>
  <c r="B493" i="1"/>
  <c r="B494" i="1"/>
  <c r="B495" i="1"/>
  <c r="B496" i="1"/>
  <c r="B506" i="1"/>
  <c r="B507" i="1"/>
  <c r="B508" i="1"/>
  <c r="B505" i="1"/>
  <c r="B497" i="1"/>
  <c r="B498" i="1"/>
  <c r="B499" i="1"/>
  <c r="B500" i="1"/>
  <c r="B501" i="1"/>
  <c r="B502" i="1"/>
  <c r="B503" i="1"/>
  <c r="B504" i="1"/>
  <c r="B509" i="1"/>
  <c r="B530" i="1"/>
  <c r="B541" i="1"/>
  <c r="B515" i="1"/>
  <c r="B516" i="1"/>
  <c r="B510" i="1"/>
  <c r="B727" i="1"/>
  <c r="B511" i="1"/>
  <c r="B517" i="1"/>
  <c r="B518" i="1"/>
  <c r="B519" i="1"/>
  <c r="B520" i="1"/>
  <c r="B522" i="1"/>
  <c r="B521" i="1"/>
  <c r="B523" i="1"/>
  <c r="B524" i="1"/>
  <c r="B525" i="1"/>
  <c r="B528" i="1"/>
  <c r="B529" i="1"/>
  <c r="B526" i="1"/>
  <c r="B527" i="1"/>
  <c r="B542" i="1"/>
  <c r="B532" i="1"/>
  <c r="B611" i="1"/>
  <c r="B533" i="1"/>
  <c r="B534" i="1"/>
  <c r="B543" i="1"/>
  <c r="B536" i="1"/>
  <c r="B538" i="1"/>
  <c r="B539" i="1"/>
  <c r="B540" i="1"/>
  <c r="B537" i="1"/>
  <c r="B535" i="1"/>
  <c r="B544" i="1"/>
  <c r="B546" i="1"/>
  <c r="B549" i="1"/>
  <c r="B550" i="1"/>
  <c r="B548" i="1"/>
  <c r="B554" i="1"/>
  <c r="B551" i="1"/>
  <c r="B552" i="1"/>
  <c r="B553" i="1"/>
  <c r="B547" i="1"/>
  <c r="B555" i="1"/>
  <c r="B556" i="1"/>
  <c r="B557" i="1"/>
  <c r="B558" i="1"/>
  <c r="B559" i="1"/>
  <c r="B560" i="1"/>
  <c r="B561" i="1"/>
  <c r="B562" i="1"/>
  <c r="B563" i="1"/>
  <c r="B564" i="1"/>
  <c r="B565" i="1"/>
  <c r="B569" i="1"/>
  <c r="B568" i="1"/>
  <c r="B566" i="1"/>
  <c r="B567" i="1"/>
  <c r="B545" i="1"/>
  <c r="B570" i="1"/>
  <c r="B572" i="1"/>
  <c r="B573" i="1"/>
  <c r="B574" i="1"/>
  <c r="B575" i="1"/>
  <c r="B577" i="1"/>
  <c r="B578" i="1"/>
  <c r="B579" i="1"/>
  <c r="B612" i="1"/>
  <c r="B581" i="1"/>
  <c r="B580"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483" i="1"/>
  <c r="B487" i="1"/>
  <c r="B488" i="1"/>
  <c r="B531" i="1"/>
  <c r="B576"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571" i="1"/>
  <c r="B728" i="1"/>
  <c r="B729" i="1"/>
  <c r="B730" i="1"/>
  <c r="B731" i="1"/>
  <c r="B732" i="1"/>
  <c r="B733" i="1"/>
  <c r="B734" i="1"/>
  <c r="B735" i="1"/>
  <c r="B736" i="1"/>
  <c r="B737" i="1"/>
  <c r="B738" i="1"/>
  <c r="B739" i="1"/>
  <c r="B740" i="1"/>
  <c r="B741" i="1"/>
  <c r="B742" i="1"/>
  <c r="B743" i="1"/>
  <c r="D30" i="1"/>
  <c r="D4" i="1"/>
  <c r="D10" i="1"/>
  <c r="D400" i="1"/>
  <c r="B2" i="3"/>
  <c r="B3" i="3"/>
  <c r="B4" i="3"/>
  <c r="B5" i="3"/>
  <c r="B6" i="3"/>
  <c r="B7" i="3"/>
  <c r="D7" i="3" s="1"/>
  <c r="B8" i="3"/>
  <c r="B9" i="3"/>
  <c r="B10" i="3"/>
  <c r="B11" i="3"/>
  <c r="B12" i="3"/>
  <c r="B13" i="3"/>
  <c r="B14" i="3"/>
  <c r="B15" i="3"/>
  <c r="D15" i="3" s="1"/>
  <c r="B16" i="3"/>
  <c r="B17" i="3"/>
  <c r="B18" i="3"/>
  <c r="B19" i="3"/>
  <c r="B20" i="3"/>
  <c r="B21" i="3"/>
  <c r="B22" i="3"/>
  <c r="B23" i="3"/>
  <c r="D23" i="3" s="1"/>
  <c r="B24" i="3"/>
  <c r="B25" i="3"/>
  <c r="B26" i="3"/>
  <c r="B27" i="3"/>
  <c r="B28" i="3"/>
  <c r="B29" i="3"/>
  <c r="B30" i="3"/>
  <c r="B31" i="3"/>
  <c r="D31" i="3" s="1"/>
  <c r="B32" i="3"/>
  <c r="B33" i="3"/>
  <c r="B34" i="3"/>
  <c r="B35" i="3"/>
  <c r="B36" i="3"/>
  <c r="B37" i="3"/>
  <c r="B38" i="3"/>
  <c r="B39" i="3"/>
  <c r="D39" i="3" s="1"/>
  <c r="B40" i="3"/>
  <c r="B41" i="3"/>
  <c r="B42" i="3"/>
  <c r="B43" i="3"/>
  <c r="B44" i="3"/>
  <c r="B45" i="3"/>
  <c r="B46" i="3"/>
  <c r="B47" i="3"/>
  <c r="D47" i="3" s="1"/>
  <c r="B48" i="3"/>
  <c r="B49" i="3"/>
  <c r="B50" i="3"/>
  <c r="B51" i="3"/>
  <c r="B52" i="3"/>
  <c r="B53" i="3"/>
  <c r="B54" i="3"/>
  <c r="B55" i="3"/>
  <c r="D55" i="3" s="1"/>
  <c r="B56" i="3"/>
  <c r="B57" i="3"/>
  <c r="B58" i="3"/>
  <c r="B59" i="3"/>
  <c r="B60" i="3"/>
  <c r="B61" i="3"/>
  <c r="B62" i="3"/>
  <c r="B63" i="3"/>
  <c r="D63" i="3" s="1"/>
  <c r="B64" i="3"/>
  <c r="B65" i="3"/>
  <c r="B66" i="3"/>
  <c r="B67" i="3"/>
  <c r="B68" i="3"/>
  <c r="B69" i="3"/>
  <c r="B70" i="3"/>
  <c r="B71" i="3"/>
  <c r="D71" i="3" s="1"/>
  <c r="B72" i="3"/>
  <c r="B73" i="3"/>
  <c r="B74" i="3"/>
  <c r="B75" i="3"/>
  <c r="B76" i="3"/>
  <c r="B77" i="3"/>
  <c r="B78" i="3"/>
  <c r="B79" i="3"/>
  <c r="D79" i="3" s="1"/>
  <c r="B80" i="3"/>
  <c r="B81" i="3"/>
  <c r="B82" i="3"/>
  <c r="B83" i="3"/>
  <c r="B84" i="3"/>
  <c r="B85" i="3"/>
  <c r="B86" i="3"/>
  <c r="B87" i="3"/>
  <c r="D87" i="3" s="1"/>
  <c r="B88" i="3"/>
  <c r="B89" i="3"/>
  <c r="B90" i="3"/>
  <c r="B91" i="3"/>
  <c r="B92" i="3"/>
  <c r="B93" i="3"/>
  <c r="B94" i="3"/>
  <c r="B95" i="3"/>
  <c r="D95" i="3" s="1"/>
  <c r="B96" i="3"/>
  <c r="B97" i="3"/>
  <c r="B98" i="3"/>
  <c r="B99" i="3"/>
  <c r="B100" i="3"/>
  <c r="B101" i="3"/>
  <c r="B102" i="3"/>
  <c r="B103" i="3"/>
  <c r="D103" i="3" s="1"/>
  <c r="B104" i="3"/>
  <c r="B105" i="3"/>
  <c r="B106" i="3"/>
  <c r="B107" i="3"/>
  <c r="B108" i="3"/>
  <c r="B109" i="3"/>
  <c r="B110" i="3"/>
  <c r="B111" i="3"/>
  <c r="D111" i="3" s="1"/>
  <c r="B112" i="3"/>
  <c r="B113" i="3"/>
  <c r="B114" i="3"/>
  <c r="B115" i="3"/>
  <c r="B116" i="3"/>
  <c r="B117" i="3"/>
  <c r="B118" i="3"/>
  <c r="B119" i="3"/>
  <c r="D119" i="3" s="1"/>
  <c r="B120" i="3"/>
  <c r="B121" i="3"/>
  <c r="B122" i="3"/>
  <c r="B123" i="3"/>
  <c r="B124" i="3"/>
  <c r="B125" i="3"/>
  <c r="B126" i="3"/>
  <c r="B127" i="3"/>
  <c r="D127" i="3" s="1"/>
  <c r="B128" i="3"/>
  <c r="B129" i="3"/>
  <c r="B130" i="3"/>
  <c r="B131" i="3"/>
  <c r="B132" i="3"/>
  <c r="B133" i="3"/>
  <c r="B134" i="3"/>
  <c r="B135" i="3"/>
  <c r="D135" i="3" s="1"/>
  <c r="B136" i="3"/>
  <c r="B137" i="3"/>
  <c r="B138" i="3"/>
  <c r="B139" i="3"/>
  <c r="B140" i="3"/>
  <c r="B141" i="3"/>
  <c r="B142" i="3"/>
  <c r="B143" i="3"/>
  <c r="D143" i="3" s="1"/>
  <c r="B144" i="3"/>
  <c r="B145" i="3"/>
  <c r="B146" i="3"/>
  <c r="B147" i="3"/>
  <c r="B148" i="3"/>
  <c r="B149" i="3"/>
  <c r="B150" i="3"/>
  <c r="B151" i="3"/>
  <c r="D151" i="3" s="1"/>
  <c r="B152" i="3"/>
  <c r="B153" i="3"/>
  <c r="B154" i="3"/>
  <c r="B155" i="3"/>
  <c r="B156" i="3"/>
  <c r="B157" i="3"/>
  <c r="B158" i="3"/>
  <c r="B159" i="3"/>
  <c r="D159" i="3" s="1"/>
  <c r="B160" i="3"/>
  <c r="B161" i="3"/>
  <c r="B162" i="3"/>
  <c r="B163" i="3"/>
  <c r="B164" i="3"/>
  <c r="B165" i="3"/>
  <c r="B166" i="3"/>
  <c r="B167" i="3"/>
  <c r="D167" i="3" s="1"/>
  <c r="B168" i="3"/>
  <c r="B169" i="3"/>
  <c r="B170" i="3"/>
  <c r="B171" i="3"/>
  <c r="B172" i="3"/>
  <c r="B173" i="3"/>
  <c r="B174" i="3"/>
  <c r="B175" i="3"/>
  <c r="D175" i="3" s="1"/>
  <c r="B176" i="3"/>
  <c r="B177" i="3"/>
  <c r="B178" i="3"/>
  <c r="B179" i="3"/>
  <c r="B180" i="3"/>
  <c r="B181" i="3"/>
  <c r="B182" i="3"/>
  <c r="B183" i="3"/>
  <c r="D183" i="3" s="1"/>
  <c r="B184" i="3"/>
  <c r="B185" i="3"/>
  <c r="B186" i="3"/>
  <c r="B187" i="3"/>
  <c r="B188" i="3"/>
  <c r="B189" i="3"/>
  <c r="B190" i="3"/>
  <c r="B191" i="3"/>
  <c r="D191" i="3" s="1"/>
  <c r="B192" i="3"/>
  <c r="B193" i="3"/>
  <c r="B194" i="3"/>
  <c r="B195" i="3"/>
  <c r="B196" i="3"/>
  <c r="B197" i="3"/>
  <c r="B198" i="3"/>
  <c r="B199" i="3"/>
  <c r="D199" i="3" s="1"/>
  <c r="B200" i="3"/>
  <c r="B201" i="3"/>
  <c r="B202" i="3"/>
  <c r="B203" i="3"/>
  <c r="B204" i="3"/>
  <c r="B205" i="3"/>
  <c r="B206" i="3"/>
  <c r="B207" i="3"/>
  <c r="D207" i="3" s="1"/>
  <c r="B208" i="3"/>
  <c r="B209" i="3"/>
  <c r="B210" i="3"/>
  <c r="B211" i="3"/>
  <c r="B212" i="3"/>
  <c r="B213" i="3"/>
  <c r="B214" i="3"/>
  <c r="B215" i="3"/>
  <c r="D215" i="3" s="1"/>
  <c r="B216" i="3"/>
  <c r="B217" i="3"/>
  <c r="B218" i="3"/>
  <c r="B219" i="3"/>
  <c r="B220" i="3"/>
  <c r="B221" i="3"/>
  <c r="B222" i="3"/>
  <c r="B223" i="3"/>
  <c r="D223" i="3" s="1"/>
  <c r="B224" i="3"/>
  <c r="B225" i="3"/>
  <c r="B226" i="3"/>
  <c r="B227" i="3"/>
  <c r="B228" i="3"/>
  <c r="B229" i="3"/>
  <c r="B230" i="3"/>
  <c r="B231" i="3"/>
  <c r="D231" i="3" s="1"/>
  <c r="B232" i="3"/>
  <c r="B233" i="3"/>
  <c r="B234" i="3"/>
  <c r="B235" i="3"/>
  <c r="B236" i="3"/>
  <c r="B237" i="3"/>
  <c r="B238" i="3"/>
  <c r="B239" i="3"/>
  <c r="D239" i="3" s="1"/>
  <c r="B240" i="3"/>
  <c r="B241" i="3"/>
  <c r="B242" i="3"/>
  <c r="B243" i="3"/>
  <c r="B244" i="3"/>
  <c r="B245" i="3"/>
  <c r="B246" i="3"/>
  <c r="B247" i="3"/>
  <c r="D247" i="3" s="1"/>
  <c r="B248" i="3"/>
  <c r="B249" i="3"/>
  <c r="B250" i="3"/>
  <c r="B251" i="3"/>
  <c r="B252" i="3"/>
  <c r="B253" i="3"/>
  <c r="B254" i="3"/>
  <c r="B255" i="3"/>
  <c r="D255" i="3" s="1"/>
  <c r="B256" i="3"/>
  <c r="B257" i="3"/>
  <c r="B258" i="3"/>
  <c r="B259" i="3"/>
  <c r="B260" i="3"/>
  <c r="B261" i="3"/>
  <c r="B262" i="3"/>
  <c r="B263" i="3"/>
  <c r="D263" i="3" s="1"/>
  <c r="B264" i="3"/>
  <c r="B265" i="3"/>
  <c r="B266" i="3"/>
  <c r="B267" i="3"/>
  <c r="B268" i="3"/>
  <c r="B269" i="3"/>
  <c r="B270" i="3"/>
  <c r="B271" i="3"/>
  <c r="D271" i="3" s="1"/>
  <c r="B272" i="3"/>
  <c r="B273" i="3"/>
  <c r="B274" i="3"/>
  <c r="B275" i="3"/>
  <c r="B276" i="3"/>
  <c r="B277" i="3"/>
  <c r="B278" i="3"/>
  <c r="B279" i="3"/>
  <c r="D279" i="3" s="1"/>
  <c r="B280" i="3"/>
  <c r="B281" i="3"/>
  <c r="B282" i="3"/>
  <c r="B283" i="3"/>
  <c r="B284" i="3"/>
  <c r="B285" i="3"/>
  <c r="B286" i="3"/>
  <c r="B287" i="3"/>
  <c r="D287" i="3" s="1"/>
  <c r="B288" i="3"/>
  <c r="B289" i="3"/>
  <c r="B290" i="3"/>
  <c r="B291" i="3"/>
  <c r="B292" i="3"/>
  <c r="B293" i="3"/>
  <c r="B294" i="3"/>
  <c r="B295" i="3"/>
  <c r="D295" i="3" s="1"/>
  <c r="B296" i="3"/>
  <c r="B297" i="3"/>
  <c r="B298" i="3"/>
  <c r="B299" i="3"/>
  <c r="B300" i="3"/>
  <c r="B301" i="3"/>
  <c r="B302" i="3"/>
  <c r="B303" i="3"/>
  <c r="D303" i="3" s="1"/>
  <c r="B304" i="3"/>
  <c r="B305" i="3"/>
  <c r="B306" i="3"/>
  <c r="B307" i="3"/>
  <c r="B308" i="3"/>
  <c r="B309" i="3"/>
  <c r="B310" i="3"/>
  <c r="B311" i="3"/>
  <c r="D311" i="3" s="1"/>
  <c r="B312" i="3"/>
  <c r="B313" i="3"/>
  <c r="B314" i="3"/>
  <c r="B315" i="3"/>
  <c r="B316" i="3"/>
  <c r="B317" i="3"/>
  <c r="B318" i="3"/>
  <c r="B319" i="3"/>
  <c r="D319" i="3" s="1"/>
  <c r="B320" i="3"/>
  <c r="B321" i="3"/>
  <c r="B322" i="3"/>
  <c r="B323" i="3"/>
  <c r="B324" i="3"/>
  <c r="B325" i="3"/>
  <c r="B326" i="3"/>
  <c r="B327" i="3"/>
  <c r="D327" i="3" s="1"/>
  <c r="B328" i="3"/>
  <c r="B329" i="3"/>
  <c r="B330" i="3"/>
  <c r="B331" i="3"/>
  <c r="B332" i="3"/>
  <c r="B333" i="3"/>
  <c r="B334" i="3"/>
  <c r="B335" i="3"/>
  <c r="D335" i="3" s="1"/>
  <c r="B336" i="3"/>
  <c r="B337" i="3"/>
  <c r="B338" i="3"/>
  <c r="B339" i="3"/>
  <c r="B340" i="3"/>
  <c r="B341" i="3"/>
  <c r="B342" i="3"/>
  <c r="B343" i="3"/>
  <c r="D343" i="3" s="1"/>
  <c r="B344" i="3"/>
  <c r="B345" i="3"/>
  <c r="B346" i="3"/>
  <c r="B347" i="3"/>
  <c r="B348" i="3"/>
  <c r="B349" i="3"/>
  <c r="B350" i="3"/>
  <c r="B351" i="3"/>
  <c r="D351" i="3" s="1"/>
  <c r="B352" i="3"/>
  <c r="B353" i="3"/>
  <c r="B354" i="3"/>
  <c r="B355" i="3"/>
  <c r="B356" i="3"/>
  <c r="B357" i="3"/>
  <c r="B358" i="3"/>
  <c r="B359" i="3"/>
  <c r="D359" i="3" s="1"/>
  <c r="B360" i="3"/>
  <c r="B361" i="3"/>
  <c r="B362" i="3"/>
  <c r="B363" i="3"/>
  <c r="B364" i="3"/>
  <c r="B365" i="3"/>
  <c r="B366" i="3"/>
  <c r="B367" i="3"/>
  <c r="D367" i="3" s="1"/>
  <c r="B368" i="3"/>
  <c r="B369" i="3"/>
  <c r="B370" i="3"/>
  <c r="B371" i="3"/>
  <c r="B372" i="3"/>
  <c r="B373" i="3"/>
  <c r="B374" i="3"/>
  <c r="B375" i="3"/>
  <c r="D375" i="3" s="1"/>
  <c r="B376" i="3"/>
  <c r="B377" i="3"/>
  <c r="B378" i="3"/>
  <c r="B379" i="3"/>
  <c r="B380" i="3"/>
  <c r="B381" i="3"/>
  <c r="B382" i="3"/>
  <c r="B383" i="3"/>
  <c r="D383" i="3" s="1"/>
  <c r="B384" i="3"/>
  <c r="B385" i="3"/>
  <c r="B386" i="3"/>
  <c r="B387" i="3"/>
  <c r="B388" i="3"/>
  <c r="B389" i="3"/>
  <c r="B390" i="3"/>
  <c r="B391" i="3"/>
  <c r="D391" i="3" s="1"/>
  <c r="B392" i="3"/>
  <c r="B393" i="3"/>
  <c r="B394" i="3"/>
  <c r="B395" i="3"/>
  <c r="B396" i="3"/>
  <c r="B397" i="3"/>
  <c r="B398" i="3"/>
  <c r="B399" i="3"/>
  <c r="D399" i="3" s="1"/>
  <c r="B400" i="3"/>
  <c r="B401" i="3"/>
  <c r="B402" i="3"/>
  <c r="B403" i="3"/>
  <c r="B404" i="3"/>
  <c r="B405" i="3"/>
  <c r="B406" i="3"/>
  <c r="B407" i="3"/>
  <c r="D407" i="3" s="1"/>
  <c r="B408" i="3"/>
  <c r="B409" i="3"/>
  <c r="B410" i="3"/>
  <c r="B411" i="3"/>
  <c r="B412" i="3"/>
  <c r="B413" i="3"/>
  <c r="B414" i="3"/>
  <c r="B415" i="3"/>
  <c r="D415" i="3" s="1"/>
  <c r="B416" i="3"/>
  <c r="B417" i="3"/>
  <c r="B418" i="3"/>
  <c r="B419" i="3"/>
  <c r="B420" i="3"/>
  <c r="B421" i="3"/>
  <c r="B422" i="3"/>
  <c r="B423" i="3"/>
  <c r="D423" i="3" s="1"/>
  <c r="B424" i="3"/>
  <c r="B425" i="3"/>
  <c r="B426" i="3"/>
  <c r="B427" i="3"/>
  <c r="B428" i="3"/>
  <c r="B429" i="3"/>
  <c r="B430" i="3"/>
  <c r="B431" i="3"/>
  <c r="D431" i="3" s="1"/>
  <c r="B432" i="3"/>
  <c r="B433" i="3"/>
  <c r="B434" i="3"/>
  <c r="B435" i="3"/>
  <c r="B436" i="3"/>
  <c r="B437" i="3"/>
  <c r="B438" i="3"/>
  <c r="B439" i="3"/>
  <c r="D439" i="3" s="1"/>
  <c r="B440" i="3"/>
  <c r="B441" i="3"/>
  <c r="B442" i="3"/>
  <c r="B443" i="3"/>
  <c r="B444" i="3"/>
  <c r="B445" i="3"/>
  <c r="B446" i="3"/>
  <c r="B447" i="3"/>
  <c r="D447" i="3" s="1"/>
  <c r="B448" i="3"/>
  <c r="B449" i="3"/>
  <c r="B450" i="3"/>
  <c r="B451" i="3"/>
  <c r="B452" i="3"/>
  <c r="B453" i="3"/>
  <c r="B454" i="3"/>
  <c r="B455" i="3"/>
  <c r="D455" i="3" s="1"/>
  <c r="B456" i="3"/>
  <c r="B457" i="3"/>
  <c r="B458" i="3"/>
  <c r="B459" i="3"/>
  <c r="B460" i="3"/>
  <c r="B461" i="3"/>
  <c r="B462" i="3"/>
  <c r="B463" i="3"/>
  <c r="D463" i="3" s="1"/>
  <c r="B464" i="3"/>
  <c r="B465" i="3"/>
  <c r="B466" i="3"/>
  <c r="B467" i="3"/>
  <c r="B468" i="3"/>
  <c r="B469" i="3"/>
  <c r="B470" i="3"/>
  <c r="B471" i="3"/>
  <c r="D471" i="3" s="1"/>
  <c r="B472" i="3"/>
  <c r="B473" i="3"/>
  <c r="B474" i="3"/>
  <c r="B475" i="3"/>
  <c r="B476" i="3"/>
  <c r="B477" i="3"/>
  <c r="B478" i="3"/>
  <c r="B479" i="3"/>
  <c r="D479" i="3" s="1"/>
  <c r="B480" i="3"/>
  <c r="B481" i="3"/>
  <c r="B482" i="3"/>
  <c r="B483" i="3"/>
  <c r="B484" i="3"/>
  <c r="B485" i="3"/>
  <c r="B486" i="3"/>
  <c r="B487" i="3"/>
  <c r="D487" i="3" s="1"/>
  <c r="B488" i="3"/>
  <c r="B489" i="3"/>
  <c r="B490" i="3"/>
  <c r="B491" i="3"/>
  <c r="B492" i="3"/>
  <c r="B493" i="3"/>
  <c r="B494" i="3"/>
  <c r="B495" i="3"/>
  <c r="D495" i="3" s="1"/>
  <c r="B496" i="3"/>
  <c r="B497" i="3"/>
  <c r="B498" i="3"/>
  <c r="B499" i="3"/>
  <c r="B500" i="3"/>
  <c r="B501" i="3"/>
  <c r="B502" i="3"/>
  <c r="B503" i="3"/>
  <c r="D503" i="3" s="1"/>
  <c r="B504" i="3"/>
  <c r="B505" i="3"/>
  <c r="B506" i="3"/>
  <c r="B507" i="3"/>
  <c r="B508" i="3"/>
  <c r="B509" i="3"/>
  <c r="B510" i="3"/>
  <c r="B511" i="3"/>
  <c r="D511" i="3" s="1"/>
  <c r="B512" i="3"/>
  <c r="B513" i="3"/>
  <c r="B514" i="3"/>
  <c r="B515" i="3"/>
  <c r="B516" i="3"/>
  <c r="B517" i="3"/>
  <c r="B518" i="3"/>
  <c r="B519" i="3"/>
  <c r="D519" i="3" s="1"/>
  <c r="B520" i="3"/>
  <c r="B521" i="3"/>
  <c r="B522" i="3"/>
  <c r="B523" i="3"/>
  <c r="B524" i="3"/>
  <c r="B525" i="3"/>
  <c r="B526" i="3"/>
  <c r="B527" i="3"/>
  <c r="D527" i="3" s="1"/>
  <c r="B528" i="3"/>
  <c r="B529" i="3"/>
  <c r="B530" i="3"/>
  <c r="B531" i="3"/>
  <c r="B532" i="3"/>
  <c r="B533" i="3"/>
  <c r="B534" i="3"/>
  <c r="B535" i="3"/>
  <c r="D535" i="3" s="1"/>
  <c r="B536" i="3"/>
  <c r="B537" i="3"/>
  <c r="B538" i="3"/>
  <c r="B539" i="3"/>
  <c r="B540" i="3"/>
  <c r="B541" i="3"/>
  <c r="B542" i="3"/>
  <c r="B543" i="3"/>
  <c r="D543" i="3" s="1"/>
  <c r="B544" i="3"/>
  <c r="B545" i="3"/>
  <c r="B546" i="3"/>
  <c r="B547" i="3"/>
  <c r="B548" i="3"/>
  <c r="B549" i="3"/>
  <c r="B550" i="3"/>
  <c r="B551" i="3"/>
  <c r="D551" i="3" s="1"/>
  <c r="B552" i="3"/>
  <c r="B553" i="3"/>
  <c r="B554" i="3"/>
  <c r="B555" i="3"/>
  <c r="B556" i="3"/>
  <c r="B557" i="3"/>
  <c r="B558" i="3"/>
  <c r="B559" i="3"/>
  <c r="D559" i="3" s="1"/>
  <c r="B560" i="3"/>
  <c r="B561" i="3"/>
  <c r="B562" i="3"/>
  <c r="B563" i="3"/>
  <c r="B564" i="3"/>
  <c r="B565" i="3"/>
  <c r="B566" i="3"/>
  <c r="B567" i="3"/>
  <c r="D567" i="3" s="1"/>
  <c r="B568" i="3"/>
  <c r="B569" i="3"/>
  <c r="B570" i="3"/>
  <c r="B571" i="3"/>
  <c r="B572" i="3"/>
  <c r="B573" i="3"/>
  <c r="B574" i="3"/>
  <c r="B575" i="3"/>
  <c r="D575" i="3" s="1"/>
  <c r="B576" i="3"/>
  <c r="B577" i="3"/>
  <c r="B578" i="3"/>
  <c r="B579" i="3"/>
  <c r="B580" i="3"/>
  <c r="B581" i="3"/>
  <c r="B582" i="3"/>
  <c r="B583" i="3"/>
  <c r="D583" i="3" s="1"/>
  <c r="B584" i="3"/>
  <c r="B585" i="3"/>
  <c r="B586" i="3"/>
  <c r="B587" i="3"/>
  <c r="B588" i="3"/>
  <c r="B589" i="3"/>
  <c r="B590" i="3"/>
  <c r="B591" i="3"/>
  <c r="D591" i="3" s="1"/>
  <c r="B592" i="3"/>
  <c r="B593" i="3"/>
  <c r="B594" i="3"/>
  <c r="B595" i="3"/>
  <c r="B596" i="3"/>
  <c r="B597" i="3"/>
  <c r="B598" i="3"/>
  <c r="B599" i="3"/>
  <c r="D599" i="3" s="1"/>
  <c r="B600" i="3"/>
  <c r="B601" i="3"/>
  <c r="B602" i="3"/>
  <c r="B603" i="3"/>
  <c r="B604" i="3"/>
  <c r="B605" i="3"/>
  <c r="B606" i="3"/>
  <c r="B607" i="3"/>
  <c r="D607" i="3" s="1"/>
  <c r="B608" i="3"/>
  <c r="B609" i="3"/>
  <c r="B610" i="3"/>
  <c r="B611" i="3"/>
  <c r="B612" i="3"/>
  <c r="B613" i="3"/>
  <c r="B614" i="3"/>
  <c r="B615" i="3"/>
  <c r="D615" i="3" s="1"/>
  <c r="B616" i="3"/>
  <c r="B617" i="3"/>
  <c r="B618" i="3"/>
  <c r="B619" i="3"/>
  <c r="B620" i="3"/>
  <c r="B621" i="3"/>
  <c r="B622" i="3"/>
  <c r="B623" i="3"/>
  <c r="D623" i="3" s="1"/>
  <c r="B624" i="3"/>
  <c r="B625" i="3"/>
  <c r="B626" i="3"/>
  <c r="B627" i="3"/>
  <c r="B628" i="3"/>
  <c r="B629" i="3"/>
  <c r="B630" i="3"/>
  <c r="B631" i="3"/>
  <c r="D631" i="3" s="1"/>
  <c r="B632" i="3"/>
  <c r="B633" i="3"/>
  <c r="B634" i="3"/>
  <c r="B635" i="3"/>
  <c r="B636" i="3"/>
  <c r="B637" i="3"/>
  <c r="B638" i="3"/>
  <c r="B639" i="3"/>
  <c r="D639" i="3" s="1"/>
  <c r="B640" i="3"/>
  <c r="B641" i="3"/>
  <c r="B642" i="3"/>
  <c r="B643" i="3"/>
  <c r="B644" i="3"/>
  <c r="B645" i="3"/>
  <c r="B646" i="3"/>
  <c r="B647" i="3"/>
  <c r="D647" i="3" s="1"/>
  <c r="B648" i="3"/>
  <c r="B649" i="3"/>
  <c r="B650" i="3"/>
  <c r="B651" i="3"/>
  <c r="B652" i="3"/>
  <c r="B653" i="3"/>
  <c r="B654" i="3"/>
  <c r="B655" i="3"/>
  <c r="D655" i="3" s="1"/>
  <c r="B656" i="3"/>
  <c r="B657" i="3"/>
  <c r="B658" i="3"/>
  <c r="B659" i="3"/>
  <c r="B660" i="3"/>
  <c r="B661" i="3"/>
  <c r="B662" i="3"/>
  <c r="B663" i="3"/>
  <c r="D663" i="3" s="1"/>
  <c r="B664" i="3"/>
  <c r="B665" i="3"/>
  <c r="B666" i="3"/>
  <c r="B667" i="3"/>
  <c r="B668" i="3"/>
  <c r="B669" i="3"/>
  <c r="B670" i="3"/>
  <c r="B671" i="3"/>
  <c r="D671" i="3" s="1"/>
  <c r="B672" i="3"/>
  <c r="B673" i="3"/>
  <c r="B674" i="3"/>
  <c r="B675" i="3"/>
  <c r="B676" i="3"/>
  <c r="B677" i="3"/>
  <c r="B678" i="3"/>
  <c r="B679" i="3"/>
  <c r="D679" i="3" s="1"/>
  <c r="B680" i="3"/>
  <c r="B681" i="3"/>
  <c r="B682" i="3"/>
  <c r="B683" i="3"/>
  <c r="B684" i="3"/>
  <c r="B685" i="3"/>
  <c r="B686" i="3"/>
  <c r="B687" i="3"/>
  <c r="D687" i="3" s="1"/>
  <c r="B688" i="3"/>
  <c r="B689" i="3"/>
  <c r="B690" i="3"/>
  <c r="B691" i="3"/>
  <c r="B692" i="3"/>
  <c r="B693" i="3"/>
  <c r="B694" i="3"/>
  <c r="B695" i="3"/>
  <c r="D695" i="3" s="1"/>
  <c r="B696" i="3"/>
  <c r="B697" i="3"/>
  <c r="B698" i="3"/>
  <c r="B699" i="3"/>
  <c r="B700" i="3"/>
  <c r="B701" i="3"/>
  <c r="B702" i="3"/>
  <c r="B703" i="3"/>
  <c r="D703" i="3" s="1"/>
  <c r="B704" i="3"/>
  <c r="B705" i="3"/>
  <c r="B706" i="3"/>
  <c r="B707" i="3"/>
  <c r="B708" i="3"/>
  <c r="B709" i="3"/>
  <c r="B710" i="3"/>
  <c r="B711" i="3"/>
  <c r="D711" i="3" s="1"/>
  <c r="B712" i="3"/>
  <c r="B713" i="3"/>
  <c r="B714" i="3"/>
  <c r="B715" i="3"/>
  <c r="B716" i="3"/>
  <c r="B717" i="3"/>
  <c r="B718" i="3"/>
  <c r="B719" i="3"/>
  <c r="D719" i="3" s="1"/>
  <c r="B720" i="3"/>
  <c r="B721" i="3"/>
  <c r="B722" i="3"/>
  <c r="B723" i="3"/>
  <c r="B724" i="3"/>
  <c r="B725" i="3"/>
  <c r="B726" i="3"/>
  <c r="B727" i="3"/>
  <c r="D727" i="3" s="1"/>
  <c r="B728" i="3"/>
  <c r="B729" i="3"/>
  <c r="B730" i="3"/>
  <c r="B731" i="3"/>
  <c r="B732" i="3"/>
  <c r="B733" i="3"/>
  <c r="B734" i="3"/>
  <c r="B735" i="3"/>
  <c r="D735" i="3" s="1"/>
  <c r="B736" i="3"/>
  <c r="B737" i="3"/>
  <c r="B738" i="3"/>
  <c r="B739" i="3"/>
  <c r="B740" i="3"/>
  <c r="B741" i="3"/>
  <c r="B742" i="3"/>
  <c r="B743" i="3"/>
  <c r="D743" i="3" s="1"/>
  <c r="B744" i="3"/>
  <c r="B745" i="3"/>
  <c r="B746" i="3"/>
  <c r="B747" i="3"/>
  <c r="B748" i="3"/>
  <c r="B749" i="3"/>
  <c r="B750" i="3"/>
  <c r="B751" i="3"/>
  <c r="D751" i="3" s="1"/>
  <c r="B752" i="3"/>
  <c r="B753" i="3"/>
  <c r="B754" i="3"/>
  <c r="B755" i="3"/>
  <c r="B756" i="3"/>
  <c r="B757" i="3"/>
  <c r="B758" i="3"/>
  <c r="B759" i="3"/>
  <c r="D759" i="3" s="1"/>
  <c r="B760" i="3"/>
  <c r="B761" i="3"/>
  <c r="B762" i="3"/>
  <c r="B763" i="3"/>
  <c r="B764" i="3"/>
  <c r="B765" i="3"/>
  <c r="B766" i="3"/>
  <c r="B767" i="3"/>
  <c r="D767" i="3" s="1"/>
  <c r="B768" i="3"/>
  <c r="B769" i="3"/>
  <c r="B770" i="3"/>
  <c r="B771" i="3"/>
  <c r="B772" i="3"/>
  <c r="B773" i="3"/>
  <c r="B774" i="3"/>
  <c r="B775" i="3"/>
  <c r="D775" i="3" s="1"/>
  <c r="B776" i="3"/>
  <c r="B777" i="3"/>
  <c r="B778" i="3"/>
  <c r="B779" i="3"/>
  <c r="B780" i="3"/>
  <c r="B781" i="3"/>
  <c r="B782" i="3"/>
  <c r="B783" i="3"/>
  <c r="D783" i="3" s="1"/>
  <c r="B784" i="3"/>
  <c r="B785" i="3"/>
  <c r="B786" i="3"/>
  <c r="B787" i="3"/>
  <c r="B788" i="3"/>
  <c r="B789" i="3"/>
  <c r="B790" i="3"/>
  <c r="B791" i="3"/>
  <c r="D791" i="3" s="1"/>
  <c r="B792" i="3"/>
  <c r="B793" i="3"/>
  <c r="B794" i="3"/>
  <c r="B795" i="3"/>
  <c r="B796" i="3"/>
  <c r="B797" i="3"/>
  <c r="B798" i="3"/>
  <c r="B799" i="3"/>
  <c r="D799" i="3" s="1"/>
  <c r="B800" i="3"/>
  <c r="B801" i="3"/>
  <c r="B802" i="3"/>
  <c r="B803" i="3"/>
  <c r="B804" i="3"/>
  <c r="B805" i="3"/>
  <c r="B806" i="3"/>
  <c r="B807" i="3"/>
  <c r="D807" i="3" s="1"/>
  <c r="B808" i="3"/>
  <c r="B809" i="3"/>
  <c r="B810" i="3"/>
  <c r="B811" i="3"/>
  <c r="B812" i="3"/>
  <c r="B813" i="3"/>
  <c r="B814" i="3"/>
  <c r="B815" i="3"/>
  <c r="D815" i="3" s="1"/>
  <c r="B816" i="3"/>
  <c r="B817" i="3"/>
  <c r="B818" i="3"/>
  <c r="B819" i="3"/>
  <c r="B820" i="3"/>
  <c r="B821" i="3"/>
  <c r="B822" i="3"/>
  <c r="B823" i="3"/>
  <c r="D823" i="3" s="1"/>
  <c r="B824" i="3"/>
  <c r="B825" i="3"/>
  <c r="B826" i="3"/>
  <c r="B827" i="3"/>
  <c r="B828" i="3"/>
  <c r="B829" i="3"/>
  <c r="B830" i="3"/>
  <c r="B831" i="3"/>
  <c r="D831" i="3" s="1"/>
  <c r="B832" i="3"/>
  <c r="B833" i="3"/>
  <c r="B834" i="3"/>
  <c r="B835" i="3"/>
  <c r="B836" i="3"/>
  <c r="B837" i="3"/>
  <c r="B838" i="3"/>
  <c r="B839" i="3"/>
  <c r="D839" i="3" s="1"/>
  <c r="B840" i="3"/>
  <c r="B841" i="3"/>
  <c r="B842" i="3"/>
  <c r="B843" i="3"/>
  <c r="B844" i="3"/>
  <c r="B845" i="3"/>
  <c r="B846" i="3"/>
  <c r="B847" i="3"/>
  <c r="D847" i="3" s="1"/>
  <c r="B848" i="3"/>
  <c r="B849" i="3"/>
  <c r="B850" i="3"/>
  <c r="B851" i="3"/>
  <c r="B852" i="3"/>
  <c r="B853" i="3"/>
  <c r="B854" i="3"/>
  <c r="B855" i="3"/>
  <c r="D855" i="3" s="1"/>
  <c r="B856" i="3"/>
  <c r="B857" i="3"/>
  <c r="B858" i="3"/>
  <c r="B859" i="3"/>
  <c r="B860" i="3"/>
  <c r="B861" i="3"/>
  <c r="B862" i="3"/>
  <c r="B863" i="3"/>
  <c r="D863" i="3" s="1"/>
  <c r="B864" i="3"/>
  <c r="B865" i="3"/>
  <c r="B866" i="3"/>
  <c r="B867" i="3"/>
  <c r="B868" i="3"/>
  <c r="B869" i="3"/>
  <c r="B870" i="3"/>
  <c r="B871" i="3"/>
  <c r="D871" i="3" s="1"/>
  <c r="B872" i="3"/>
  <c r="B873" i="3"/>
  <c r="B874" i="3"/>
  <c r="B875" i="3"/>
  <c r="B876" i="3"/>
  <c r="B877" i="3"/>
  <c r="B878" i="3"/>
  <c r="B879" i="3"/>
  <c r="D879" i="3" s="1"/>
  <c r="B880" i="3"/>
  <c r="B881" i="3"/>
  <c r="B882" i="3"/>
  <c r="B883" i="3"/>
  <c r="B884" i="3"/>
  <c r="B885" i="3"/>
  <c r="B886" i="3"/>
  <c r="B887" i="3"/>
  <c r="D887" i="3" s="1"/>
  <c r="B888" i="3"/>
  <c r="B889" i="3"/>
  <c r="B890" i="3"/>
  <c r="B891" i="3"/>
  <c r="B892" i="3"/>
  <c r="B893" i="3"/>
  <c r="B894" i="3"/>
  <c r="B895" i="3"/>
  <c r="D895" i="3" s="1"/>
  <c r="B896" i="3"/>
  <c r="B897" i="3"/>
  <c r="B898" i="3"/>
  <c r="B899" i="3"/>
  <c r="B900" i="3"/>
  <c r="B901" i="3"/>
  <c r="B902" i="3"/>
  <c r="B903" i="3"/>
  <c r="D903" i="3" s="1"/>
  <c r="B904" i="3"/>
  <c r="B905" i="3"/>
  <c r="B906" i="3"/>
  <c r="B907" i="3"/>
  <c r="B908" i="3"/>
  <c r="B909" i="3"/>
  <c r="B910" i="3"/>
  <c r="B911" i="3"/>
  <c r="D911" i="3" s="1"/>
  <c r="B912" i="3"/>
  <c r="B913" i="3"/>
  <c r="B914" i="3"/>
  <c r="B915" i="3"/>
  <c r="B916" i="3"/>
  <c r="B917" i="3"/>
  <c r="B918" i="3"/>
  <c r="B919" i="3"/>
  <c r="D919" i="3" s="1"/>
  <c r="B920" i="3"/>
  <c r="B921" i="3"/>
  <c r="B922" i="3"/>
  <c r="B923" i="3"/>
  <c r="B924" i="3"/>
  <c r="B925" i="3"/>
  <c r="B926" i="3"/>
  <c r="B927" i="3"/>
  <c r="D927" i="3" s="1"/>
  <c r="B928" i="3"/>
  <c r="B929" i="3"/>
  <c r="B930" i="3"/>
  <c r="B931" i="3"/>
  <c r="B932" i="3"/>
  <c r="B933" i="3"/>
  <c r="B934" i="3"/>
  <c r="B935" i="3"/>
  <c r="D935" i="3" s="1"/>
  <c r="B936" i="3"/>
  <c r="B937" i="3"/>
  <c r="B938" i="3"/>
  <c r="B939" i="3"/>
  <c r="B940" i="3"/>
  <c r="B941" i="3"/>
  <c r="B942" i="3"/>
  <c r="B943" i="3"/>
  <c r="D943" i="3" s="1"/>
  <c r="B944" i="3"/>
  <c r="B945" i="3"/>
  <c r="B946" i="3"/>
  <c r="B947" i="3"/>
  <c r="B948" i="3"/>
  <c r="B949" i="3"/>
  <c r="B950" i="3"/>
  <c r="B951" i="3"/>
  <c r="D951" i="3" s="1"/>
  <c r="B952" i="3"/>
  <c r="B953" i="3"/>
  <c r="B954" i="3"/>
  <c r="B955" i="3"/>
  <c r="B956" i="3"/>
  <c r="B957" i="3"/>
  <c r="B958" i="3"/>
  <c r="B959" i="3"/>
  <c r="D959" i="3" s="1"/>
  <c r="B960" i="3"/>
  <c r="B961" i="3"/>
  <c r="B962" i="3"/>
  <c r="B963" i="3"/>
  <c r="B964" i="3"/>
  <c r="B965" i="3"/>
  <c r="B966" i="3"/>
  <c r="B967" i="3"/>
  <c r="D967" i="3" s="1"/>
  <c r="B968" i="3"/>
  <c r="B969" i="3"/>
  <c r="B970" i="3"/>
  <c r="B971" i="3"/>
  <c r="B972" i="3"/>
  <c r="B973" i="3"/>
  <c r="B974" i="3"/>
  <c r="B975" i="3"/>
  <c r="D975" i="3" s="1"/>
  <c r="B976" i="3"/>
  <c r="B977" i="3"/>
  <c r="B978" i="3"/>
  <c r="B979" i="3"/>
  <c r="B980" i="3"/>
  <c r="B981" i="3"/>
  <c r="B982" i="3"/>
  <c r="B983" i="3"/>
  <c r="D983" i="3" s="1"/>
  <c r="B984" i="3"/>
  <c r="B985" i="3"/>
  <c r="B986" i="3"/>
  <c r="B987" i="3"/>
  <c r="B988" i="3"/>
  <c r="B989" i="3"/>
  <c r="B990" i="3"/>
  <c r="B991" i="3"/>
  <c r="D991" i="3" s="1"/>
  <c r="B992" i="3"/>
  <c r="B993" i="3"/>
  <c r="B994" i="3"/>
  <c r="B995" i="3"/>
  <c r="B996" i="3"/>
  <c r="B997" i="3"/>
  <c r="B998" i="3"/>
  <c r="B999" i="3"/>
  <c r="D999" i="3" s="1"/>
  <c r="B1000" i="3"/>
  <c r="B1001" i="3"/>
  <c r="B1002" i="3"/>
  <c r="B1003" i="3"/>
  <c r="B1004" i="3"/>
  <c r="B1005" i="3"/>
  <c r="B1006" i="3"/>
  <c r="B1007" i="3"/>
  <c r="D1007" i="3" s="1"/>
  <c r="B1008" i="3"/>
  <c r="B1009" i="3"/>
  <c r="B1010" i="3"/>
  <c r="B1011" i="3"/>
  <c r="B1012" i="3"/>
  <c r="B1013" i="3"/>
  <c r="B1014" i="3"/>
  <c r="B1015" i="3"/>
  <c r="D1015" i="3" s="1"/>
  <c r="B1016" i="3"/>
  <c r="B1017" i="3"/>
  <c r="B1018" i="3"/>
  <c r="B1019" i="3"/>
  <c r="B1020" i="3"/>
  <c r="B1021" i="3"/>
  <c r="B1022" i="3"/>
  <c r="B1023" i="3"/>
  <c r="D1023" i="3" s="1"/>
  <c r="B1024" i="3"/>
  <c r="B1025" i="3"/>
  <c r="B1026" i="3"/>
  <c r="B1027" i="3"/>
  <c r="B1028" i="3"/>
  <c r="B1029" i="3"/>
  <c r="B1030" i="3"/>
  <c r="B1031" i="3"/>
  <c r="D1031" i="3" s="1"/>
  <c r="B1032" i="3"/>
  <c r="B1033" i="3"/>
  <c r="B1034" i="3"/>
  <c r="B1035" i="3"/>
  <c r="B1036" i="3"/>
  <c r="B1037" i="3"/>
  <c r="B1038" i="3"/>
  <c r="B1039" i="3"/>
  <c r="D1039" i="3" s="1"/>
  <c r="B1040" i="3"/>
  <c r="B1041" i="3"/>
  <c r="B1042" i="3"/>
  <c r="B1043" i="3"/>
  <c r="B1044" i="3"/>
  <c r="B1045" i="3"/>
  <c r="B1046" i="3"/>
  <c r="B1047" i="3"/>
  <c r="D1047" i="3" s="1"/>
  <c r="B1048" i="3"/>
  <c r="B1049" i="3"/>
  <c r="B1050" i="3"/>
  <c r="B1051" i="3"/>
  <c r="B1052" i="3"/>
  <c r="B1053" i="3"/>
  <c r="B1054" i="3"/>
  <c r="B1055" i="3"/>
  <c r="D1055" i="3" s="1"/>
  <c r="B1056" i="3"/>
  <c r="B1057" i="3"/>
  <c r="B1058" i="3"/>
  <c r="B1059" i="3"/>
  <c r="B1060" i="3"/>
  <c r="B1061" i="3"/>
  <c r="B1062" i="3"/>
  <c r="B1063" i="3"/>
  <c r="D1063" i="3" s="1"/>
  <c r="B1064" i="3"/>
  <c r="B1065" i="3"/>
  <c r="B1066" i="3"/>
  <c r="B1067" i="3"/>
  <c r="B1068" i="3"/>
  <c r="B1069" i="3"/>
  <c r="B1070" i="3"/>
  <c r="B1071" i="3"/>
  <c r="D1071" i="3" s="1"/>
  <c r="B1072" i="3"/>
  <c r="B1073" i="3"/>
  <c r="B1074" i="3"/>
  <c r="B1075" i="3"/>
  <c r="B1076" i="3"/>
  <c r="B1077" i="3"/>
  <c r="B1078" i="3"/>
  <c r="B1079" i="3"/>
  <c r="D1079" i="3" s="1"/>
  <c r="B1080" i="3"/>
  <c r="B1081" i="3"/>
  <c r="B1082" i="3"/>
  <c r="B1083" i="3"/>
  <c r="B1084" i="3"/>
  <c r="B1085" i="3"/>
  <c r="B1086" i="3"/>
  <c r="B1087" i="3"/>
  <c r="D1087" i="3" s="1"/>
  <c r="B1088" i="3"/>
  <c r="B1089" i="3"/>
  <c r="B1090" i="3"/>
  <c r="B1091" i="3"/>
  <c r="B1092" i="3"/>
  <c r="B1093" i="3"/>
  <c r="B1094" i="3"/>
  <c r="B1095" i="3"/>
  <c r="D1095" i="3" s="1"/>
  <c r="B1096" i="3"/>
  <c r="B1097" i="3"/>
  <c r="B1098" i="3"/>
  <c r="B1099" i="3"/>
  <c r="B1100" i="3"/>
  <c r="B1101" i="3"/>
  <c r="B1102" i="3"/>
  <c r="B1103" i="3"/>
  <c r="D1103" i="3" s="1"/>
  <c r="B1104" i="3"/>
  <c r="B1105" i="3"/>
  <c r="B1106" i="3"/>
  <c r="B1107" i="3"/>
  <c r="B1108" i="3"/>
  <c r="B1109" i="3"/>
  <c r="B1110" i="3"/>
  <c r="B1111" i="3"/>
  <c r="D1111" i="3" s="1"/>
  <c r="B1112" i="3"/>
  <c r="B1113" i="3"/>
  <c r="B1114" i="3"/>
  <c r="B1115" i="3"/>
  <c r="B1116" i="3"/>
  <c r="B1117" i="3"/>
  <c r="B1118" i="3"/>
  <c r="B1119" i="3"/>
  <c r="D1119" i="3" s="1"/>
  <c r="B1120" i="3"/>
  <c r="B1121" i="3"/>
  <c r="B1122" i="3"/>
  <c r="B1123" i="3"/>
  <c r="B1124" i="3"/>
  <c r="B1125" i="3"/>
  <c r="B1126" i="3"/>
  <c r="B1127" i="3"/>
  <c r="D1127" i="3" s="1"/>
  <c r="B1128" i="3"/>
  <c r="B1129" i="3"/>
  <c r="B1130" i="3"/>
  <c r="B1131" i="3"/>
  <c r="B1132" i="3"/>
  <c r="B1133" i="3"/>
  <c r="B1134" i="3"/>
  <c r="B1135" i="3"/>
  <c r="D1135" i="3" s="1"/>
  <c r="B1136" i="3"/>
  <c r="B1137" i="3"/>
  <c r="B1138" i="3"/>
  <c r="B1139" i="3"/>
  <c r="B1140" i="3"/>
  <c r="B1141" i="3"/>
  <c r="B1142" i="3"/>
  <c r="B1143" i="3"/>
  <c r="D1143" i="3" s="1"/>
  <c r="B1144" i="3"/>
  <c r="B1145" i="3"/>
  <c r="B1146" i="3"/>
  <c r="B1147" i="3"/>
  <c r="B1148" i="3"/>
  <c r="B1149" i="3"/>
  <c r="B1150" i="3"/>
  <c r="B1151" i="3"/>
  <c r="D1151" i="3" s="1"/>
  <c r="B1152" i="3"/>
  <c r="B1153" i="3"/>
  <c r="B1154" i="3"/>
  <c r="B1155" i="3"/>
  <c r="B1156" i="3"/>
  <c r="B1157" i="3"/>
  <c r="B1158" i="3"/>
  <c r="B1159" i="3"/>
  <c r="D1159" i="3" s="1"/>
  <c r="B1160" i="3"/>
  <c r="B1161" i="3"/>
  <c r="B1162" i="3"/>
  <c r="B1163" i="3"/>
  <c r="B1164" i="3"/>
  <c r="B1165" i="3"/>
  <c r="B1166" i="3"/>
  <c r="B1167" i="3"/>
  <c r="D1167" i="3" s="1"/>
  <c r="B1168" i="3"/>
  <c r="B1169" i="3"/>
  <c r="B1170" i="3"/>
  <c r="B1171" i="3"/>
  <c r="B1172" i="3"/>
  <c r="B1173" i="3"/>
  <c r="B1174" i="3"/>
  <c r="B1175" i="3"/>
  <c r="D1175" i="3" s="1"/>
  <c r="B1176" i="3"/>
  <c r="B1177" i="3"/>
  <c r="B1178" i="3"/>
  <c r="B1179" i="3"/>
  <c r="B1180" i="3"/>
  <c r="B1181" i="3"/>
  <c r="B1182" i="3"/>
  <c r="B1183" i="3"/>
  <c r="D1183" i="3" s="1"/>
  <c r="B1184" i="3"/>
  <c r="B1185" i="3"/>
  <c r="B1186" i="3"/>
  <c r="B1187" i="3"/>
  <c r="B1188" i="3"/>
  <c r="B1189" i="3"/>
  <c r="B1190" i="3"/>
  <c r="B1191" i="3"/>
  <c r="D1191" i="3" s="1"/>
  <c r="B1192" i="3"/>
  <c r="B1193" i="3"/>
  <c r="B1194" i="3"/>
  <c r="B1195" i="3"/>
  <c r="B1196" i="3"/>
  <c r="B1197" i="3"/>
  <c r="B1198" i="3"/>
  <c r="B1199" i="3"/>
  <c r="D1199" i="3" s="1"/>
  <c r="B1200" i="3"/>
  <c r="B1201" i="3"/>
  <c r="B1202" i="3"/>
  <c r="B1203" i="3"/>
  <c r="B1204" i="3"/>
  <c r="B1205" i="3"/>
  <c r="B1206" i="3"/>
  <c r="B1207" i="3"/>
  <c r="D1207" i="3" s="1"/>
  <c r="B1208" i="3"/>
  <c r="B1209" i="3"/>
  <c r="B1210" i="3"/>
  <c r="B1211" i="3"/>
  <c r="B1212" i="3"/>
  <c r="B1213" i="3"/>
  <c r="B1214" i="3"/>
  <c r="B1215" i="3"/>
  <c r="D1215" i="3" s="1"/>
  <c r="B1216" i="3"/>
  <c r="B1217" i="3"/>
  <c r="B1218" i="3"/>
  <c r="B1219" i="3"/>
  <c r="B1220" i="3"/>
  <c r="B1221" i="3"/>
  <c r="B1222" i="3"/>
  <c r="B1223" i="3"/>
  <c r="D1223" i="3" s="1"/>
  <c r="B1224" i="3"/>
  <c r="B1225" i="3"/>
  <c r="B1226" i="3"/>
  <c r="B1227" i="3"/>
  <c r="B1228" i="3"/>
  <c r="B1229" i="3"/>
  <c r="B1230" i="3"/>
  <c r="B1231" i="3"/>
  <c r="D1231" i="3" s="1"/>
  <c r="B1232" i="3"/>
  <c r="B1233" i="3"/>
  <c r="B1234" i="3"/>
  <c r="B1235" i="3"/>
  <c r="B1236" i="3"/>
  <c r="B1237" i="3"/>
  <c r="B1238" i="3"/>
  <c r="B1239" i="3"/>
  <c r="D1239" i="3" s="1"/>
  <c r="B1240" i="3"/>
  <c r="B1241" i="3"/>
  <c r="B1242" i="3"/>
  <c r="B1243" i="3"/>
  <c r="B1244" i="3"/>
  <c r="B1245" i="3"/>
  <c r="B1246" i="3"/>
  <c r="B1247" i="3"/>
  <c r="D1247" i="3" s="1"/>
  <c r="B1248" i="3"/>
  <c r="B1249" i="3"/>
  <c r="B1250" i="3"/>
  <c r="B1251" i="3"/>
  <c r="B1252" i="3"/>
  <c r="B1253" i="3"/>
  <c r="B1254" i="3"/>
  <c r="B1255" i="3"/>
  <c r="D1255" i="3" s="1"/>
  <c r="B1256" i="3"/>
  <c r="B1257" i="3"/>
  <c r="B1258" i="3"/>
  <c r="B1259" i="3"/>
  <c r="B1260" i="3"/>
  <c r="B1261" i="3"/>
  <c r="B1262" i="3"/>
  <c r="B1263" i="3"/>
  <c r="D1263" i="3" s="1"/>
  <c r="B1264" i="3"/>
  <c r="B1265" i="3"/>
  <c r="B1266" i="3"/>
  <c r="B1267" i="3"/>
  <c r="B1268" i="3"/>
  <c r="B1269" i="3"/>
  <c r="B1270" i="3"/>
  <c r="B1271" i="3"/>
  <c r="D1271" i="3" s="1"/>
  <c r="B1272" i="3"/>
  <c r="B1273" i="3"/>
  <c r="B1274" i="3"/>
  <c r="B1275" i="3"/>
  <c r="B1276" i="3"/>
  <c r="B1277" i="3"/>
  <c r="B1278" i="3"/>
  <c r="B1279" i="3"/>
  <c r="D1279" i="3" s="1"/>
  <c r="B1280" i="3"/>
  <c r="B1281" i="3"/>
  <c r="B1282" i="3"/>
  <c r="B1283" i="3"/>
  <c r="B1284" i="3"/>
  <c r="B1285" i="3"/>
  <c r="B1286" i="3"/>
  <c r="B1287" i="3"/>
  <c r="D1287" i="3" s="1"/>
  <c r="B1288" i="3"/>
  <c r="B1289" i="3"/>
  <c r="B1290" i="3"/>
  <c r="B1291" i="3"/>
  <c r="B1292" i="3"/>
  <c r="B1293" i="3"/>
  <c r="B1294" i="3"/>
  <c r="B1295" i="3"/>
  <c r="D1295" i="3" s="1"/>
  <c r="B1296" i="3"/>
  <c r="B1297" i="3"/>
  <c r="B1298" i="3"/>
  <c r="B1299" i="3"/>
  <c r="B1300" i="3"/>
  <c r="B1301" i="3"/>
  <c r="B1302" i="3"/>
  <c r="B1303" i="3"/>
  <c r="D1303" i="3" s="1"/>
  <c r="B1304" i="3"/>
  <c r="B1305" i="3"/>
  <c r="B1306" i="3"/>
  <c r="B1307" i="3"/>
  <c r="B1308" i="3"/>
  <c r="B1309" i="3"/>
  <c r="B1310" i="3"/>
  <c r="B1311" i="3"/>
  <c r="D1311" i="3" s="1"/>
  <c r="B1312" i="3"/>
  <c r="B1313" i="3"/>
  <c r="B1314" i="3"/>
  <c r="B1315" i="3"/>
  <c r="B1316" i="3"/>
  <c r="B1317" i="3"/>
  <c r="B1318" i="3"/>
  <c r="B1319" i="3"/>
  <c r="D1319" i="3" s="1"/>
  <c r="B1320" i="3"/>
  <c r="B1321" i="3"/>
  <c r="B1322" i="3"/>
  <c r="B1323" i="3"/>
  <c r="B1324" i="3"/>
  <c r="B1325" i="3"/>
  <c r="B1326" i="3"/>
  <c r="B1327" i="3"/>
  <c r="D1327" i="3" s="1"/>
  <c r="B1328" i="3"/>
  <c r="B1329" i="3"/>
  <c r="B1330" i="3"/>
  <c r="B1331" i="3"/>
  <c r="B1332" i="3"/>
  <c r="B1333" i="3"/>
  <c r="B1334" i="3"/>
  <c r="B1335" i="3"/>
  <c r="D1335" i="3" s="1"/>
  <c r="B1336" i="3"/>
  <c r="B1337" i="3"/>
  <c r="B1338" i="3"/>
  <c r="B1339" i="3"/>
  <c r="B1340" i="3"/>
  <c r="B1341" i="3"/>
  <c r="B1342" i="3"/>
  <c r="B1343" i="3"/>
  <c r="D1343" i="3" s="1"/>
  <c r="B1344" i="3"/>
  <c r="B1345" i="3"/>
  <c r="B1346" i="3"/>
  <c r="B1347" i="3"/>
  <c r="B1348" i="3"/>
  <c r="B1349" i="3"/>
  <c r="B1350" i="3"/>
  <c r="B1351" i="3"/>
  <c r="D1351" i="3" s="1"/>
  <c r="B1352" i="3"/>
  <c r="B1353" i="3"/>
  <c r="B1354" i="3"/>
  <c r="B1355" i="3"/>
  <c r="B1356" i="3"/>
  <c r="B1357" i="3"/>
  <c r="B1358" i="3"/>
  <c r="B1359" i="3"/>
  <c r="D1359" i="3" s="1"/>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D2" i="3"/>
  <c r="D3" i="3"/>
  <c r="D4" i="3"/>
  <c r="D5" i="3"/>
  <c r="D6" i="3"/>
  <c r="D8" i="3"/>
  <c r="D9" i="3"/>
  <c r="D10" i="3"/>
  <c r="D11" i="3"/>
  <c r="D12" i="3"/>
  <c r="D13" i="3"/>
  <c r="D14" i="3"/>
  <c r="D16" i="3"/>
  <c r="D17" i="3"/>
  <c r="D18" i="3"/>
  <c r="D19" i="3"/>
  <c r="D20" i="3"/>
  <c r="D21" i="3"/>
  <c r="D22" i="3"/>
  <c r="D24" i="3"/>
  <c r="D25" i="3"/>
  <c r="D26" i="3"/>
  <c r="D27" i="3"/>
  <c r="D28" i="3"/>
  <c r="D29" i="3"/>
  <c r="D30" i="3"/>
  <c r="D32" i="3"/>
  <c r="D33" i="3"/>
  <c r="D34" i="3"/>
  <c r="D35" i="3"/>
  <c r="D36" i="3"/>
  <c r="D37" i="3"/>
  <c r="D38" i="3"/>
  <c r="D40" i="3"/>
  <c r="D41" i="3"/>
  <c r="D42" i="3"/>
  <c r="D43" i="3"/>
  <c r="D44" i="3"/>
  <c r="D45" i="3"/>
  <c r="D46" i="3"/>
  <c r="D48" i="3"/>
  <c r="D49" i="3"/>
  <c r="D50" i="3"/>
  <c r="D51" i="3"/>
  <c r="D52" i="3"/>
  <c r="D53" i="3"/>
  <c r="D54" i="3"/>
  <c r="D56" i="3"/>
  <c r="D57" i="3"/>
  <c r="D58" i="3"/>
  <c r="D59" i="3"/>
  <c r="D60" i="3"/>
  <c r="D61" i="3"/>
  <c r="D62" i="3"/>
  <c r="D64" i="3"/>
  <c r="D65" i="3"/>
  <c r="D66" i="3"/>
  <c r="D67" i="3"/>
  <c r="D68" i="3"/>
  <c r="D69" i="3"/>
  <c r="D70" i="3"/>
  <c r="D72" i="3"/>
  <c r="D73" i="3"/>
  <c r="D74" i="3"/>
  <c r="D75" i="3"/>
  <c r="D76" i="3"/>
  <c r="D77" i="3"/>
  <c r="D78" i="3"/>
  <c r="D80" i="3"/>
  <c r="D81" i="3"/>
  <c r="D82" i="3"/>
  <c r="D83" i="3"/>
  <c r="D84" i="3"/>
  <c r="D85" i="3"/>
  <c r="D86" i="3"/>
  <c r="D88" i="3"/>
  <c r="D89" i="3"/>
  <c r="D90" i="3"/>
  <c r="D91" i="3"/>
  <c r="D92" i="3"/>
  <c r="D93" i="3"/>
  <c r="D94" i="3"/>
  <c r="D96" i="3"/>
  <c r="D97" i="3"/>
  <c r="D98" i="3"/>
  <c r="D99" i="3"/>
  <c r="D100" i="3"/>
  <c r="D101" i="3"/>
  <c r="D102" i="3"/>
  <c r="D104" i="3"/>
  <c r="D105" i="3"/>
  <c r="D106" i="3"/>
  <c r="D107" i="3"/>
  <c r="D108" i="3"/>
  <c r="D109" i="3"/>
  <c r="D110" i="3"/>
  <c r="D112" i="3"/>
  <c r="D113" i="3"/>
  <c r="D114" i="3"/>
  <c r="D115" i="3"/>
  <c r="D116" i="3"/>
  <c r="D117" i="3"/>
  <c r="D118" i="3"/>
  <c r="D120" i="3"/>
  <c r="D121" i="3"/>
  <c r="D122" i="3"/>
  <c r="D123" i="3"/>
  <c r="D124" i="3"/>
  <c r="D125" i="3"/>
  <c r="D126" i="3"/>
  <c r="D128" i="3"/>
  <c r="D129" i="3"/>
  <c r="D130" i="3"/>
  <c r="D131" i="3"/>
  <c r="D132" i="3"/>
  <c r="D133" i="3"/>
  <c r="D134" i="3"/>
  <c r="D136" i="3"/>
  <c r="D137" i="3"/>
  <c r="D138" i="3"/>
  <c r="D139" i="3"/>
  <c r="D140" i="3"/>
  <c r="D141" i="3"/>
  <c r="D142" i="3"/>
  <c r="D144" i="3"/>
  <c r="D145" i="3"/>
  <c r="D146" i="3"/>
  <c r="D147" i="3"/>
  <c r="D148" i="3"/>
  <c r="D149" i="3"/>
  <c r="D150" i="3"/>
  <c r="D152" i="3"/>
  <c r="D153" i="3"/>
  <c r="D154" i="3"/>
  <c r="D155" i="3"/>
  <c r="D156" i="3"/>
  <c r="D157" i="3"/>
  <c r="D158" i="3"/>
  <c r="D160" i="3"/>
  <c r="D161" i="3"/>
  <c r="D162" i="3"/>
  <c r="D163" i="3"/>
  <c r="D164" i="3"/>
  <c r="D165" i="3"/>
  <c r="D166" i="3"/>
  <c r="D168" i="3"/>
  <c r="D169" i="3"/>
  <c r="D170" i="3"/>
  <c r="D171" i="3"/>
  <c r="D172" i="3"/>
  <c r="D173" i="3"/>
  <c r="D174" i="3"/>
  <c r="D176" i="3"/>
  <c r="D177" i="3"/>
  <c r="D178" i="3"/>
  <c r="D179" i="3"/>
  <c r="D180" i="3"/>
  <c r="D181" i="3"/>
  <c r="D182" i="3"/>
  <c r="D184" i="3"/>
  <c r="D185" i="3"/>
  <c r="D186" i="3"/>
  <c r="D187" i="3"/>
  <c r="D188" i="3"/>
  <c r="D189" i="3"/>
  <c r="D190" i="3"/>
  <c r="D192" i="3"/>
  <c r="D193" i="3"/>
  <c r="D194" i="3"/>
  <c r="D195" i="3"/>
  <c r="D196" i="3"/>
  <c r="D197" i="3"/>
  <c r="D198" i="3"/>
  <c r="D200" i="3"/>
  <c r="D201" i="3"/>
  <c r="D202" i="3"/>
  <c r="D203" i="3"/>
  <c r="D204" i="3"/>
  <c r="D205" i="3"/>
  <c r="D206" i="3"/>
  <c r="D208" i="3"/>
  <c r="D209" i="3"/>
  <c r="D210" i="3"/>
  <c r="D211" i="3"/>
  <c r="D212" i="3"/>
  <c r="D213" i="3"/>
  <c r="D214" i="3"/>
  <c r="D216" i="3"/>
  <c r="D217" i="3"/>
  <c r="D218" i="3"/>
  <c r="D219" i="3"/>
  <c r="D220" i="3"/>
  <c r="D221" i="3"/>
  <c r="D222" i="3"/>
  <c r="D224" i="3"/>
  <c r="D225" i="3"/>
  <c r="D226" i="3"/>
  <c r="D227" i="3"/>
  <c r="D228" i="3"/>
  <c r="D229" i="3"/>
  <c r="D230" i="3"/>
  <c r="D232" i="3"/>
  <c r="D233" i="3"/>
  <c r="D234" i="3"/>
  <c r="D235" i="3"/>
  <c r="D236" i="3"/>
  <c r="D237" i="3"/>
  <c r="D238" i="3"/>
  <c r="D240" i="3"/>
  <c r="D241" i="3"/>
  <c r="D242" i="3"/>
  <c r="D243" i="3"/>
  <c r="D244" i="3"/>
  <c r="D245" i="3"/>
  <c r="D246" i="3"/>
  <c r="D248" i="3"/>
  <c r="D249" i="3"/>
  <c r="D250" i="3"/>
  <c r="D251" i="3"/>
  <c r="D252" i="3"/>
  <c r="D253" i="3"/>
  <c r="D254" i="3"/>
  <c r="D256" i="3"/>
  <c r="D257" i="3"/>
  <c r="D258" i="3"/>
  <c r="D259" i="3"/>
  <c r="D260" i="3"/>
  <c r="D261" i="3"/>
  <c r="D262" i="3"/>
  <c r="D264" i="3"/>
  <c r="D265" i="3"/>
  <c r="D266" i="3"/>
  <c r="D267" i="3"/>
  <c r="D268" i="3"/>
  <c r="D269" i="3"/>
  <c r="D270" i="3"/>
  <c r="D272" i="3"/>
  <c r="D273" i="3"/>
  <c r="D274" i="3"/>
  <c r="D275" i="3"/>
  <c r="D276" i="3"/>
  <c r="D277" i="3"/>
  <c r="D278" i="3"/>
  <c r="D280" i="3"/>
  <c r="D281" i="3"/>
  <c r="D282" i="3"/>
  <c r="D283" i="3"/>
  <c r="D284" i="3"/>
  <c r="D285" i="3"/>
  <c r="D286" i="3"/>
  <c r="D288" i="3"/>
  <c r="D289" i="3"/>
  <c r="D290" i="3"/>
  <c r="D291" i="3"/>
  <c r="D292" i="3"/>
  <c r="D293" i="3"/>
  <c r="D294" i="3"/>
  <c r="D296" i="3"/>
  <c r="D297" i="3"/>
  <c r="D298" i="3"/>
  <c r="D299" i="3"/>
  <c r="D300" i="3"/>
  <c r="D301" i="3"/>
  <c r="D302" i="3"/>
  <c r="D304" i="3"/>
  <c r="D305" i="3"/>
  <c r="D306" i="3"/>
  <c r="D307" i="3"/>
  <c r="D308" i="3"/>
  <c r="D309" i="3"/>
  <c r="D310" i="3"/>
  <c r="D312" i="3"/>
  <c r="D313" i="3"/>
  <c r="D314" i="3"/>
  <c r="D315" i="3"/>
  <c r="D316" i="3"/>
  <c r="D317" i="3"/>
  <c r="D318" i="3"/>
  <c r="D320" i="3"/>
  <c r="D321" i="3"/>
  <c r="D322" i="3"/>
  <c r="D323" i="3"/>
  <c r="D324" i="3"/>
  <c r="D325" i="3"/>
  <c r="D326" i="3"/>
  <c r="D328" i="3"/>
  <c r="D329" i="3"/>
  <c r="D330" i="3"/>
  <c r="D331" i="3"/>
  <c r="D332" i="3"/>
  <c r="D333" i="3"/>
  <c r="D334" i="3"/>
  <c r="D336" i="3"/>
  <c r="D337" i="3"/>
  <c r="D338" i="3"/>
  <c r="D339" i="3"/>
  <c r="D340" i="3"/>
  <c r="D341" i="3"/>
  <c r="D342" i="3"/>
  <c r="D344" i="3"/>
  <c r="D345" i="3"/>
  <c r="D346" i="3"/>
  <c r="D347" i="3"/>
  <c r="D348" i="3"/>
  <c r="D349" i="3"/>
  <c r="D350" i="3"/>
  <c r="D352" i="3"/>
  <c r="D353" i="3"/>
  <c r="D354" i="3"/>
  <c r="D355" i="3"/>
  <c r="D356" i="3"/>
  <c r="D357" i="3"/>
  <c r="D358" i="3"/>
  <c r="D360" i="3"/>
  <c r="D361" i="3"/>
  <c r="D362" i="3"/>
  <c r="D363" i="3"/>
  <c r="D364" i="3"/>
  <c r="D365" i="3"/>
  <c r="D366" i="3"/>
  <c r="D368" i="3"/>
  <c r="D369" i="3"/>
  <c r="D370" i="3"/>
  <c r="D371" i="3"/>
  <c r="D372" i="3"/>
  <c r="D373" i="3"/>
  <c r="D374" i="3"/>
  <c r="D376" i="3"/>
  <c r="D377" i="3"/>
  <c r="D378" i="3"/>
  <c r="D379" i="3"/>
  <c r="D380" i="3"/>
  <c r="D381" i="3"/>
  <c r="D382" i="3"/>
  <c r="D384" i="3"/>
  <c r="D385" i="3"/>
  <c r="D386" i="3"/>
  <c r="D387" i="3"/>
  <c r="D388" i="3"/>
  <c r="D389" i="3"/>
  <c r="D390" i="3"/>
  <c r="D392" i="3"/>
  <c r="D393" i="3"/>
  <c r="D394" i="3"/>
  <c r="D395" i="3"/>
  <c r="D396" i="3"/>
  <c r="D397" i="3"/>
  <c r="D398" i="3"/>
  <c r="D400" i="3"/>
  <c r="D401" i="3"/>
  <c r="D402" i="3"/>
  <c r="D403" i="3"/>
  <c r="D404" i="3"/>
  <c r="D405" i="3"/>
  <c r="D406" i="3"/>
  <c r="D408" i="3"/>
  <c r="D409" i="3"/>
  <c r="D410" i="3"/>
  <c r="D411" i="3"/>
  <c r="D412" i="3"/>
  <c r="D413" i="3"/>
  <c r="D414" i="3"/>
  <c r="D416" i="3"/>
  <c r="D417" i="3"/>
  <c r="D418" i="3"/>
  <c r="D419" i="3"/>
  <c r="D420" i="3"/>
  <c r="D421" i="3"/>
  <c r="D422" i="3"/>
  <c r="D424" i="3"/>
  <c r="D425" i="3"/>
  <c r="D426" i="3"/>
  <c r="D427" i="3"/>
  <c r="D428" i="3"/>
  <c r="D429" i="3"/>
  <c r="D430" i="3"/>
  <c r="D432" i="3"/>
  <c r="D433" i="3"/>
  <c r="D434" i="3"/>
  <c r="D435" i="3"/>
  <c r="D436" i="3"/>
  <c r="D437" i="3"/>
  <c r="D438" i="3"/>
  <c r="D440" i="3"/>
  <c r="D441" i="3"/>
  <c r="D442" i="3"/>
  <c r="D443" i="3"/>
  <c r="D444" i="3"/>
  <c r="D445" i="3"/>
  <c r="D446" i="3"/>
  <c r="D448" i="3"/>
  <c r="D449" i="3"/>
  <c r="D450" i="3"/>
  <c r="D451" i="3"/>
  <c r="D452" i="3"/>
  <c r="D453" i="3"/>
  <c r="D454" i="3"/>
  <c r="D456" i="3"/>
  <c r="D457" i="3"/>
  <c r="D458" i="3"/>
  <c r="D459" i="3"/>
  <c r="D460" i="3"/>
  <c r="D461" i="3"/>
  <c r="D462" i="3"/>
  <c r="D464" i="3"/>
  <c r="D465" i="3"/>
  <c r="D466" i="3"/>
  <c r="D467" i="3"/>
  <c r="D468" i="3"/>
  <c r="D469" i="3"/>
  <c r="D470" i="3"/>
  <c r="D472" i="3"/>
  <c r="D473" i="3"/>
  <c r="D474" i="3"/>
  <c r="D475" i="3"/>
  <c r="D476" i="3"/>
  <c r="D477" i="3"/>
  <c r="D478" i="3"/>
  <c r="D480" i="3"/>
  <c r="D481" i="3"/>
  <c r="D482" i="3"/>
  <c r="D483" i="3"/>
  <c r="D484" i="3"/>
  <c r="D485" i="3"/>
  <c r="D486" i="3"/>
  <c r="D488" i="3"/>
  <c r="D489" i="3"/>
  <c r="D490" i="3"/>
  <c r="D491" i="3"/>
  <c r="D492" i="3"/>
  <c r="D493" i="3"/>
  <c r="D494" i="3"/>
  <c r="D496" i="3"/>
  <c r="D497" i="3"/>
  <c r="D498" i="3"/>
  <c r="D499" i="3"/>
  <c r="D500" i="3"/>
  <c r="D501" i="3"/>
  <c r="D502" i="3"/>
  <c r="D504" i="3"/>
  <c r="D505" i="3"/>
  <c r="D506" i="3"/>
  <c r="D507" i="3"/>
  <c r="D508" i="3"/>
  <c r="D509" i="3"/>
  <c r="D510" i="3"/>
  <c r="D512" i="3"/>
  <c r="D513" i="3"/>
  <c r="D514" i="3"/>
  <c r="D515" i="3"/>
  <c r="D516" i="3"/>
  <c r="D517" i="3"/>
  <c r="D518" i="3"/>
  <c r="D520" i="3"/>
  <c r="D521" i="3"/>
  <c r="D522" i="3"/>
  <c r="D523" i="3"/>
  <c r="D524" i="3"/>
  <c r="D525" i="3"/>
  <c r="D526" i="3"/>
  <c r="D528" i="3"/>
  <c r="D529" i="3"/>
  <c r="D530" i="3"/>
  <c r="D531" i="3"/>
  <c r="D532" i="3"/>
  <c r="D533" i="3"/>
  <c r="D534" i="3"/>
  <c r="D536" i="3"/>
  <c r="D537" i="3"/>
  <c r="D538" i="3"/>
  <c r="D539" i="3"/>
  <c r="D540" i="3"/>
  <c r="D541" i="3"/>
  <c r="D542" i="3"/>
  <c r="D544" i="3"/>
  <c r="D545" i="3"/>
  <c r="D546" i="3"/>
  <c r="D547" i="3"/>
  <c r="D548" i="3"/>
  <c r="D549" i="3"/>
  <c r="D550" i="3"/>
  <c r="D552" i="3"/>
  <c r="D553" i="3"/>
  <c r="D554" i="3"/>
  <c r="D555" i="3"/>
  <c r="D556" i="3"/>
  <c r="D557" i="3"/>
  <c r="D558" i="3"/>
  <c r="D560" i="3"/>
  <c r="D561" i="3"/>
  <c r="D562" i="3"/>
  <c r="D563" i="3"/>
  <c r="D564" i="3"/>
  <c r="D565" i="3"/>
  <c r="D566" i="3"/>
  <c r="D568" i="3"/>
  <c r="D569" i="3"/>
  <c r="D570" i="3"/>
  <c r="D571" i="3"/>
  <c r="D572" i="3"/>
  <c r="D573" i="3"/>
  <c r="D574" i="3"/>
  <c r="D576" i="3"/>
  <c r="D577" i="3"/>
  <c r="D578" i="3"/>
  <c r="D579" i="3"/>
  <c r="D580" i="3"/>
  <c r="D581" i="3"/>
  <c r="D582" i="3"/>
  <c r="D584" i="3"/>
  <c r="D585" i="3"/>
  <c r="D586" i="3"/>
  <c r="D587" i="3"/>
  <c r="D588" i="3"/>
  <c r="D589" i="3"/>
  <c r="D590" i="3"/>
  <c r="D592" i="3"/>
  <c r="D593" i="3"/>
  <c r="D594" i="3"/>
  <c r="D595" i="3"/>
  <c r="D596" i="3"/>
  <c r="D597" i="3"/>
  <c r="D598" i="3"/>
  <c r="D600" i="3"/>
  <c r="D601" i="3"/>
  <c r="D602" i="3"/>
  <c r="D603" i="3"/>
  <c r="D604" i="3"/>
  <c r="D605" i="3"/>
  <c r="D606" i="3"/>
  <c r="D608" i="3"/>
  <c r="D609" i="3"/>
  <c r="D610" i="3"/>
  <c r="D611" i="3"/>
  <c r="D612" i="3"/>
  <c r="D613" i="3"/>
  <c r="D614" i="3"/>
  <c r="D616" i="3"/>
  <c r="D617" i="3"/>
  <c r="D618" i="3"/>
  <c r="D619" i="3"/>
  <c r="D620" i="3"/>
  <c r="D621" i="3"/>
  <c r="D622" i="3"/>
  <c r="D624" i="3"/>
  <c r="D625" i="3"/>
  <c r="D626" i="3"/>
  <c r="D627" i="3"/>
  <c r="D628" i="3"/>
  <c r="D629" i="3"/>
  <c r="D630" i="3"/>
  <c r="D632" i="3"/>
  <c r="D633" i="3"/>
  <c r="D634" i="3"/>
  <c r="D635" i="3"/>
  <c r="D636" i="3"/>
  <c r="D637" i="3"/>
  <c r="D638" i="3"/>
  <c r="D640" i="3"/>
  <c r="D641" i="3"/>
  <c r="D642" i="3"/>
  <c r="D643" i="3"/>
  <c r="D644" i="3"/>
  <c r="D645" i="3"/>
  <c r="D646" i="3"/>
  <c r="D648" i="3"/>
  <c r="D649" i="3"/>
  <c r="D650" i="3"/>
  <c r="D651" i="3"/>
  <c r="D652" i="3"/>
  <c r="D653" i="3"/>
  <c r="D654" i="3"/>
  <c r="D656" i="3"/>
  <c r="D657" i="3"/>
  <c r="D658" i="3"/>
  <c r="D659" i="3"/>
  <c r="D660" i="3"/>
  <c r="D661" i="3"/>
  <c r="D662" i="3"/>
  <c r="D664" i="3"/>
  <c r="D665" i="3"/>
  <c r="D666" i="3"/>
  <c r="D667" i="3"/>
  <c r="D668" i="3"/>
  <c r="D669" i="3"/>
  <c r="D670" i="3"/>
  <c r="D672" i="3"/>
  <c r="D673" i="3"/>
  <c r="D674" i="3"/>
  <c r="D675" i="3"/>
  <c r="D676" i="3"/>
  <c r="D677" i="3"/>
  <c r="D678" i="3"/>
  <c r="D680" i="3"/>
  <c r="D681" i="3"/>
  <c r="D682" i="3"/>
  <c r="D683" i="3"/>
  <c r="D684" i="3"/>
  <c r="D685" i="3"/>
  <c r="D686" i="3"/>
  <c r="D688" i="3"/>
  <c r="D689" i="3"/>
  <c r="D690" i="3"/>
  <c r="D691" i="3"/>
  <c r="D692" i="3"/>
  <c r="D693" i="3"/>
  <c r="D694" i="3"/>
  <c r="D696" i="3"/>
  <c r="D697" i="3"/>
  <c r="D698" i="3"/>
  <c r="D699" i="3"/>
  <c r="D700" i="3"/>
  <c r="D701" i="3"/>
  <c r="D702" i="3"/>
  <c r="D704" i="3"/>
  <c r="D705" i="3"/>
  <c r="D706" i="3"/>
  <c r="D707" i="3"/>
  <c r="D708" i="3"/>
  <c r="D709" i="3"/>
  <c r="D710" i="3"/>
  <c r="D712" i="3"/>
  <c r="D713" i="3"/>
  <c r="D714" i="3"/>
  <c r="D715" i="3"/>
  <c r="D716" i="3"/>
  <c r="D717" i="3"/>
  <c r="D718" i="3"/>
  <c r="D720" i="3"/>
  <c r="D721" i="3"/>
  <c r="D722" i="3"/>
  <c r="D723" i="3"/>
  <c r="D724" i="3"/>
  <c r="D725" i="3"/>
  <c r="D726" i="3"/>
  <c r="D728" i="3"/>
  <c r="D729" i="3"/>
  <c r="D730" i="3"/>
  <c r="D731" i="3"/>
  <c r="D732" i="3"/>
  <c r="D733" i="3"/>
  <c r="D734" i="3"/>
  <c r="D736" i="3"/>
  <c r="D737" i="3"/>
  <c r="D738" i="3"/>
  <c r="D739" i="3"/>
  <c r="D740" i="3"/>
  <c r="D741" i="3"/>
  <c r="D742" i="3"/>
  <c r="D744" i="3"/>
  <c r="D745" i="3"/>
  <c r="D746" i="3"/>
  <c r="D747" i="3"/>
  <c r="D748" i="3"/>
  <c r="D749" i="3"/>
  <c r="D750" i="3"/>
  <c r="D752" i="3"/>
  <c r="D753" i="3"/>
  <c r="D754" i="3"/>
  <c r="D755" i="3"/>
  <c r="D756" i="3"/>
  <c r="D757" i="3"/>
  <c r="D758" i="3"/>
  <c r="D760" i="3"/>
  <c r="D761" i="3"/>
  <c r="D762" i="3"/>
  <c r="D763" i="3"/>
  <c r="D764" i="3"/>
  <c r="D765" i="3"/>
  <c r="D766" i="3"/>
  <c r="D768" i="3"/>
  <c r="D769" i="3"/>
  <c r="D770" i="3"/>
  <c r="D771" i="3"/>
  <c r="D772" i="3"/>
  <c r="D773" i="3"/>
  <c r="D774" i="3"/>
  <c r="D776" i="3"/>
  <c r="D777" i="3"/>
  <c r="D778" i="3"/>
  <c r="D779" i="3"/>
  <c r="D780" i="3"/>
  <c r="D781" i="3"/>
  <c r="D782" i="3"/>
  <c r="D784" i="3"/>
  <c r="D785" i="3"/>
  <c r="D786" i="3"/>
  <c r="D787" i="3"/>
  <c r="D788" i="3"/>
  <c r="D789" i="3"/>
  <c r="D790" i="3"/>
  <c r="D792" i="3"/>
  <c r="D793" i="3"/>
  <c r="D794" i="3"/>
  <c r="D795" i="3"/>
  <c r="D796" i="3"/>
  <c r="D797" i="3"/>
  <c r="D798" i="3"/>
  <c r="D800" i="3"/>
  <c r="D801" i="3"/>
  <c r="D802" i="3"/>
  <c r="D803" i="3"/>
  <c r="D804" i="3"/>
  <c r="D805" i="3"/>
  <c r="D806" i="3"/>
  <c r="D808" i="3"/>
  <c r="D809" i="3"/>
  <c r="D810" i="3"/>
  <c r="D811" i="3"/>
  <c r="D812" i="3"/>
  <c r="D813" i="3"/>
  <c r="D814" i="3"/>
  <c r="D816" i="3"/>
  <c r="D817" i="3"/>
  <c r="D818" i="3"/>
  <c r="D819" i="3"/>
  <c r="D820" i="3"/>
  <c r="D821" i="3"/>
  <c r="D822" i="3"/>
  <c r="D824" i="3"/>
  <c r="D825" i="3"/>
  <c r="D826" i="3"/>
  <c r="D827" i="3"/>
  <c r="D828" i="3"/>
  <c r="D829" i="3"/>
  <c r="D830" i="3"/>
  <c r="D832" i="3"/>
  <c r="D833" i="3"/>
  <c r="D834" i="3"/>
  <c r="D835" i="3"/>
  <c r="D836" i="3"/>
  <c r="D837" i="3"/>
  <c r="D838" i="3"/>
  <c r="D840" i="3"/>
  <c r="D841" i="3"/>
  <c r="D842" i="3"/>
  <c r="D843" i="3"/>
  <c r="D844" i="3"/>
  <c r="D845" i="3"/>
  <c r="D846" i="3"/>
  <c r="D848" i="3"/>
  <c r="D849" i="3"/>
  <c r="D850" i="3"/>
  <c r="D851" i="3"/>
  <c r="D852" i="3"/>
  <c r="D853" i="3"/>
  <c r="D854" i="3"/>
  <c r="D856" i="3"/>
  <c r="D857" i="3"/>
  <c r="D858" i="3"/>
  <c r="D859" i="3"/>
  <c r="D860" i="3"/>
  <c r="D861" i="3"/>
  <c r="D862" i="3"/>
  <c r="D864" i="3"/>
  <c r="D865" i="3"/>
  <c r="D866" i="3"/>
  <c r="D867" i="3"/>
  <c r="D868" i="3"/>
  <c r="D869" i="3"/>
  <c r="D870" i="3"/>
  <c r="D872" i="3"/>
  <c r="D873" i="3"/>
  <c r="D874" i="3"/>
  <c r="D875" i="3"/>
  <c r="D876" i="3"/>
  <c r="D877" i="3"/>
  <c r="D878" i="3"/>
  <c r="D880" i="3"/>
  <c r="D881" i="3"/>
  <c r="D882" i="3"/>
  <c r="D883" i="3"/>
  <c r="D884" i="3"/>
  <c r="D885" i="3"/>
  <c r="D886" i="3"/>
  <c r="D888" i="3"/>
  <c r="D889" i="3"/>
  <c r="D890" i="3"/>
  <c r="D891" i="3"/>
  <c r="D892" i="3"/>
  <c r="D893" i="3"/>
  <c r="D894" i="3"/>
  <c r="D896" i="3"/>
  <c r="D897" i="3"/>
  <c r="D898" i="3"/>
  <c r="D899" i="3"/>
  <c r="D900" i="3"/>
  <c r="D901" i="3"/>
  <c r="D902" i="3"/>
  <c r="D904" i="3"/>
  <c r="D905" i="3"/>
  <c r="D906" i="3"/>
  <c r="D907" i="3"/>
  <c r="D908" i="3"/>
  <c r="D909" i="3"/>
  <c r="D910" i="3"/>
  <c r="D912" i="3"/>
  <c r="D913" i="3"/>
  <c r="D914" i="3"/>
  <c r="D915" i="3"/>
  <c r="D916" i="3"/>
  <c r="D917" i="3"/>
  <c r="D918" i="3"/>
  <c r="D920" i="3"/>
  <c r="D921" i="3"/>
  <c r="D922" i="3"/>
  <c r="D923" i="3"/>
  <c r="D924" i="3"/>
  <c r="D925" i="3"/>
  <c r="D926" i="3"/>
  <c r="D928" i="3"/>
  <c r="D929" i="3"/>
  <c r="D930" i="3"/>
  <c r="D931" i="3"/>
  <c r="D932" i="3"/>
  <c r="D933" i="3"/>
  <c r="D934" i="3"/>
  <c r="D936" i="3"/>
  <c r="D937" i="3"/>
  <c r="D938" i="3"/>
  <c r="D939" i="3"/>
  <c r="D940" i="3"/>
  <c r="D941" i="3"/>
  <c r="D942" i="3"/>
  <c r="D944" i="3"/>
  <c r="D945" i="3"/>
  <c r="D946" i="3"/>
  <c r="D947" i="3"/>
  <c r="D948" i="3"/>
  <c r="D949" i="3"/>
  <c r="D950" i="3"/>
  <c r="D952" i="3"/>
  <c r="D953" i="3"/>
  <c r="D954" i="3"/>
  <c r="D955" i="3"/>
  <c r="D956" i="3"/>
  <c r="D957" i="3"/>
  <c r="D958" i="3"/>
  <c r="D960" i="3"/>
  <c r="D961" i="3"/>
  <c r="D962" i="3"/>
  <c r="D963" i="3"/>
  <c r="D964" i="3"/>
  <c r="D965" i="3"/>
  <c r="D966" i="3"/>
  <c r="D968" i="3"/>
  <c r="D969" i="3"/>
  <c r="D970" i="3"/>
  <c r="D971" i="3"/>
  <c r="D972" i="3"/>
  <c r="D973" i="3"/>
  <c r="D974" i="3"/>
  <c r="D976" i="3"/>
  <c r="D977" i="3"/>
  <c r="D978" i="3"/>
  <c r="D979" i="3"/>
  <c r="D980" i="3"/>
  <c r="D981" i="3"/>
  <c r="D982" i="3"/>
  <c r="D984" i="3"/>
  <c r="D985" i="3"/>
  <c r="D986" i="3"/>
  <c r="D987" i="3"/>
  <c r="D988" i="3"/>
  <c r="D989" i="3"/>
  <c r="D990" i="3"/>
  <c r="D992" i="3"/>
  <c r="D993" i="3"/>
  <c r="D994" i="3"/>
  <c r="D995" i="3"/>
  <c r="D996" i="3"/>
  <c r="D997" i="3"/>
  <c r="D998" i="3"/>
  <c r="D1000" i="3"/>
  <c r="D1001" i="3"/>
  <c r="D1002" i="3"/>
  <c r="D1003" i="3"/>
  <c r="D1004" i="3"/>
  <c r="D1005" i="3"/>
  <c r="D1006" i="3"/>
  <c r="D1008" i="3"/>
  <c r="D1009" i="3"/>
  <c r="D1010" i="3"/>
  <c r="D1011" i="3"/>
  <c r="D1012" i="3"/>
  <c r="D1013" i="3"/>
  <c r="D1014" i="3"/>
  <c r="D1016" i="3"/>
  <c r="D1017" i="3"/>
  <c r="D1018" i="3"/>
  <c r="D1019" i="3"/>
  <c r="D1020" i="3"/>
  <c r="D1021" i="3"/>
  <c r="D1022" i="3"/>
  <c r="D1024" i="3"/>
  <c r="D1025" i="3"/>
  <c r="D1026" i="3"/>
  <c r="D1027" i="3"/>
  <c r="D1028" i="3"/>
  <c r="D1029" i="3"/>
  <c r="D1030" i="3"/>
  <c r="D1032" i="3"/>
  <c r="D1033" i="3"/>
  <c r="D1034" i="3"/>
  <c r="D1035" i="3"/>
  <c r="D1036" i="3"/>
  <c r="D1037" i="3"/>
  <c r="D1038" i="3"/>
  <c r="D1040" i="3"/>
  <c r="D1041" i="3"/>
  <c r="D1042" i="3"/>
  <c r="D1043" i="3"/>
  <c r="D1044" i="3"/>
  <c r="D1045" i="3"/>
  <c r="D1046" i="3"/>
  <c r="D1048" i="3"/>
  <c r="D1049" i="3"/>
  <c r="D1050" i="3"/>
  <c r="D1051" i="3"/>
  <c r="D1052" i="3"/>
  <c r="D1053" i="3"/>
  <c r="D1054" i="3"/>
  <c r="D1056" i="3"/>
  <c r="D1057" i="3"/>
  <c r="D1058" i="3"/>
  <c r="D1059" i="3"/>
  <c r="D1060" i="3"/>
  <c r="D1061" i="3"/>
  <c r="D1062" i="3"/>
  <c r="D1064" i="3"/>
  <c r="D1065" i="3"/>
  <c r="D1066" i="3"/>
  <c r="D1067" i="3"/>
  <c r="D1068" i="3"/>
  <c r="D1069" i="3"/>
  <c r="D1070" i="3"/>
  <c r="D1072" i="3"/>
  <c r="D1073" i="3"/>
  <c r="D1074" i="3"/>
  <c r="D1075" i="3"/>
  <c r="D1076" i="3"/>
  <c r="D1077" i="3"/>
  <c r="D1078" i="3"/>
  <c r="D1080" i="3"/>
  <c r="D1081" i="3"/>
  <c r="D1082" i="3"/>
  <c r="D1083" i="3"/>
  <c r="D1084" i="3"/>
  <c r="D1085" i="3"/>
  <c r="D1086" i="3"/>
  <c r="D1088" i="3"/>
  <c r="D1089" i="3"/>
  <c r="D1090" i="3"/>
  <c r="D1091" i="3"/>
  <c r="D1092" i="3"/>
  <c r="D1093" i="3"/>
  <c r="D1094" i="3"/>
  <c r="D1096" i="3"/>
  <c r="D1097" i="3"/>
  <c r="D1098" i="3"/>
  <c r="D1099" i="3"/>
  <c r="D1100" i="3"/>
  <c r="D1101" i="3"/>
  <c r="D1102" i="3"/>
  <c r="D1104" i="3"/>
  <c r="D1105" i="3"/>
  <c r="D1106" i="3"/>
  <c r="D1107" i="3"/>
  <c r="D1108" i="3"/>
  <c r="D1109" i="3"/>
  <c r="D1110" i="3"/>
  <c r="D1112" i="3"/>
  <c r="D1113" i="3"/>
  <c r="D1114" i="3"/>
  <c r="D1115" i="3"/>
  <c r="D1116" i="3"/>
  <c r="D1117" i="3"/>
  <c r="D1118" i="3"/>
  <c r="D1120" i="3"/>
  <c r="D1121" i="3"/>
  <c r="D1122" i="3"/>
  <c r="D1123" i="3"/>
  <c r="D1124" i="3"/>
  <c r="D1125" i="3"/>
  <c r="D1126" i="3"/>
  <c r="D1128" i="3"/>
  <c r="D1129" i="3"/>
  <c r="D1130" i="3"/>
  <c r="D1131" i="3"/>
  <c r="D1132" i="3"/>
  <c r="D1133" i="3"/>
  <c r="D1134" i="3"/>
  <c r="D1136" i="3"/>
  <c r="D1137" i="3"/>
  <c r="D1138" i="3"/>
  <c r="D1139" i="3"/>
  <c r="D1140" i="3"/>
  <c r="D1141" i="3"/>
  <c r="D1142" i="3"/>
  <c r="D1144" i="3"/>
  <c r="D1145" i="3"/>
  <c r="D1146" i="3"/>
  <c r="D1147" i="3"/>
  <c r="D1148" i="3"/>
  <c r="D1149" i="3"/>
  <c r="D1150" i="3"/>
  <c r="D1152" i="3"/>
  <c r="D1153" i="3"/>
  <c r="D1154" i="3"/>
  <c r="D1155" i="3"/>
  <c r="D1156" i="3"/>
  <c r="D1157" i="3"/>
  <c r="D1158" i="3"/>
  <c r="D1160" i="3"/>
  <c r="D1161" i="3"/>
  <c r="D1162" i="3"/>
  <c r="D1163" i="3"/>
  <c r="D1164" i="3"/>
  <c r="D1165" i="3"/>
  <c r="D1166" i="3"/>
  <c r="D1168" i="3"/>
  <c r="D1169" i="3"/>
  <c r="D1170" i="3"/>
  <c r="D1171" i="3"/>
  <c r="D1172" i="3"/>
  <c r="D1173" i="3"/>
  <c r="D1174" i="3"/>
  <c r="D1176" i="3"/>
  <c r="D1177" i="3"/>
  <c r="D1178" i="3"/>
  <c r="D1179" i="3"/>
  <c r="D1180" i="3"/>
  <c r="D1181" i="3"/>
  <c r="D1182" i="3"/>
  <c r="D1184" i="3"/>
  <c r="D1185" i="3"/>
  <c r="D1186" i="3"/>
  <c r="D1187" i="3"/>
  <c r="D1188" i="3"/>
  <c r="D1189" i="3"/>
  <c r="D1190" i="3"/>
  <c r="D1192" i="3"/>
  <c r="D1193" i="3"/>
  <c r="D1194" i="3"/>
  <c r="D1195" i="3"/>
  <c r="D1196" i="3"/>
  <c r="D1197" i="3"/>
  <c r="D1198" i="3"/>
  <c r="D1200" i="3"/>
  <c r="D1201" i="3"/>
  <c r="D1202" i="3"/>
  <c r="D1203" i="3"/>
  <c r="D1204" i="3"/>
  <c r="D1205" i="3"/>
  <c r="D1206" i="3"/>
  <c r="D1208" i="3"/>
  <c r="D1209" i="3"/>
  <c r="D1210" i="3"/>
  <c r="D1211" i="3"/>
  <c r="D1212" i="3"/>
  <c r="D1213" i="3"/>
  <c r="D1214" i="3"/>
  <c r="D1216" i="3"/>
  <c r="D1217" i="3"/>
  <c r="D1218" i="3"/>
  <c r="D1219" i="3"/>
  <c r="D1220" i="3"/>
  <c r="D1221" i="3"/>
  <c r="D1222" i="3"/>
  <c r="D1224" i="3"/>
  <c r="D1225" i="3"/>
  <c r="D1226" i="3"/>
  <c r="D1227" i="3"/>
  <c r="D1228" i="3"/>
  <c r="D1229" i="3"/>
  <c r="D1230" i="3"/>
  <c r="D1232" i="3"/>
  <c r="D1233" i="3"/>
  <c r="D1234" i="3"/>
  <c r="D1235" i="3"/>
  <c r="D1236" i="3"/>
  <c r="D1237" i="3"/>
  <c r="D1238" i="3"/>
  <c r="D1240" i="3"/>
  <c r="D1241" i="3"/>
  <c r="D1242" i="3"/>
  <c r="D1243" i="3"/>
  <c r="D1244" i="3"/>
  <c r="D1245" i="3"/>
  <c r="D1246" i="3"/>
  <c r="D1248" i="3"/>
  <c r="D1249" i="3"/>
  <c r="D1250" i="3"/>
  <c r="D1251" i="3"/>
  <c r="D1252" i="3"/>
  <c r="D1253" i="3"/>
  <c r="D1254" i="3"/>
  <c r="D1256" i="3"/>
  <c r="D1257" i="3"/>
  <c r="D1258" i="3"/>
  <c r="D1259" i="3"/>
  <c r="D1260" i="3"/>
  <c r="D1261" i="3"/>
  <c r="D1262" i="3"/>
  <c r="D1264" i="3"/>
  <c r="D1265" i="3"/>
  <c r="D1266" i="3"/>
  <c r="D1267" i="3"/>
  <c r="D1268" i="3"/>
  <c r="D1269" i="3"/>
  <c r="D1270" i="3"/>
  <c r="D1272" i="3"/>
  <c r="D1273" i="3"/>
  <c r="D1274" i="3"/>
  <c r="D1275" i="3"/>
  <c r="D1276" i="3"/>
  <c r="D1277" i="3"/>
  <c r="D1278" i="3"/>
  <c r="D1280" i="3"/>
  <c r="D1281" i="3"/>
  <c r="D1282" i="3"/>
  <c r="D1283" i="3"/>
  <c r="D1284" i="3"/>
  <c r="D1285" i="3"/>
  <c r="D1286" i="3"/>
  <c r="D1288" i="3"/>
  <c r="D1289" i="3"/>
  <c r="D1290" i="3"/>
  <c r="D1291" i="3"/>
  <c r="D1292" i="3"/>
  <c r="D1293" i="3"/>
  <c r="D1294" i="3"/>
  <c r="D1296" i="3"/>
  <c r="D1297" i="3"/>
  <c r="D1298" i="3"/>
  <c r="D1299" i="3"/>
  <c r="D1300" i="3"/>
  <c r="D1301" i="3"/>
  <c r="D1302" i="3"/>
  <c r="D1304" i="3"/>
  <c r="D1305" i="3"/>
  <c r="D1306" i="3"/>
  <c r="D1307" i="3"/>
  <c r="D1308" i="3"/>
  <c r="D1309" i="3"/>
  <c r="D1310" i="3"/>
  <c r="D1312" i="3"/>
  <c r="D1313" i="3"/>
  <c r="D1314" i="3"/>
  <c r="D1315" i="3"/>
  <c r="D1316" i="3"/>
  <c r="D1317" i="3"/>
  <c r="D1318" i="3"/>
  <c r="D1320" i="3"/>
  <c r="D1321" i="3"/>
  <c r="D1322" i="3"/>
  <c r="D1323" i="3"/>
  <c r="D1324" i="3"/>
  <c r="D1325" i="3"/>
  <c r="D1326" i="3"/>
  <c r="D1328" i="3"/>
  <c r="D1329" i="3"/>
  <c r="D1330" i="3"/>
  <c r="D1331" i="3"/>
  <c r="D1332" i="3"/>
  <c r="D1333" i="3"/>
  <c r="D1334" i="3"/>
  <c r="D1336" i="3"/>
  <c r="D1337" i="3"/>
  <c r="D1338" i="3"/>
  <c r="D1339" i="3"/>
  <c r="D1340" i="3"/>
  <c r="D1341" i="3"/>
  <c r="D1342" i="3"/>
  <c r="D1344" i="3"/>
  <c r="D1345" i="3"/>
  <c r="D1346" i="3"/>
  <c r="D1347" i="3"/>
  <c r="D1348" i="3"/>
  <c r="D1349" i="3"/>
  <c r="D1350" i="3"/>
  <c r="D1352" i="3"/>
  <c r="D1353" i="3"/>
  <c r="D1354" i="3"/>
  <c r="D1355" i="3"/>
  <c r="D1356" i="3"/>
  <c r="D1357" i="3"/>
  <c r="D1358"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AK19" i="4" l="1"/>
  <c r="AJ19" i="4"/>
  <c r="AI19" i="4"/>
  <c r="AH19" i="4"/>
  <c r="AG19" i="4"/>
  <c r="AF19" i="4"/>
  <c r="AE19" i="4"/>
  <c r="AD19" i="4"/>
  <c r="AC19" i="4"/>
  <c r="S19" i="4"/>
  <c r="R19" i="4"/>
  <c r="Q19" i="4"/>
  <c r="P19" i="4"/>
  <c r="O19" i="4"/>
  <c r="N19" i="4"/>
  <c r="AT19" i="4"/>
  <c r="AS19" i="4"/>
  <c r="AR19" i="4"/>
  <c r="AQ19" i="4"/>
  <c r="AP19" i="4"/>
  <c r="AO19" i="4"/>
  <c r="AN19" i="4"/>
  <c r="AM19" i="4"/>
  <c r="AL19" i="4"/>
  <c r="AB19" i="4"/>
  <c r="AA19" i="4"/>
  <c r="Z19" i="4"/>
  <c r="Y19" i="4"/>
  <c r="X19" i="4"/>
  <c r="W19" i="4"/>
  <c r="V19" i="4"/>
  <c r="U19" i="4"/>
  <c r="T19" i="4"/>
  <c r="J19" i="4"/>
  <c r="I19" i="4"/>
  <c r="H19" i="4"/>
  <c r="D19" i="4"/>
  <c r="C19" i="4"/>
  <c r="B19" i="4"/>
  <c r="N3" i="1"/>
  <c r="N159" i="1"/>
  <c r="N166" i="1"/>
  <c r="N7" i="1"/>
  <c r="N183" i="1"/>
  <c r="N8" i="1"/>
  <c r="N9" i="1"/>
  <c r="N11" i="1"/>
  <c r="N14" i="1"/>
  <c r="N15" i="1"/>
  <c r="N12" i="1"/>
  <c r="N13" i="1"/>
  <c r="N16" i="1"/>
  <c r="N294" i="1"/>
  <c r="N17" i="1"/>
  <c r="N19" i="1"/>
  <c r="N20" i="1"/>
  <c r="N21" i="1"/>
  <c r="N18" i="1"/>
  <c r="N22" i="1"/>
  <c r="N23" i="1"/>
  <c r="N24" i="1"/>
  <c r="N25" i="1"/>
  <c r="N27" i="1"/>
  <c r="N394" i="1"/>
  <c r="N28" i="1"/>
  <c r="N29" i="1"/>
  <c r="N31" i="1"/>
  <c r="N184" i="1"/>
  <c r="N46" i="1"/>
  <c r="N39" i="1"/>
  <c r="N35" i="1"/>
  <c r="N36" i="1"/>
  <c r="N37" i="1"/>
  <c r="N38" i="1"/>
  <c r="N34" i="1"/>
  <c r="N41" i="1"/>
  <c r="N43" i="1"/>
  <c r="N44" i="1"/>
  <c r="N42" i="1"/>
  <c r="N40" i="1"/>
  <c r="N48" i="1"/>
  <c r="N49" i="1"/>
  <c r="N47" i="1"/>
  <c r="N185" i="1"/>
  <c r="N422" i="1"/>
  <c r="N50" i="1"/>
  <c r="N51" i="1"/>
  <c r="N52" i="1"/>
  <c r="N59" i="1"/>
  <c r="N54" i="1"/>
  <c r="N55" i="1"/>
  <c r="N57" i="1"/>
  <c r="N56" i="1"/>
  <c r="N58" i="1"/>
  <c r="N420" i="1"/>
  <c r="N63" i="1"/>
  <c r="N64" i="1"/>
  <c r="N60" i="1"/>
  <c r="N61" i="1"/>
  <c r="N62" i="1"/>
  <c r="N65" i="1"/>
  <c r="N66" i="1"/>
  <c r="N53" i="1"/>
  <c r="N67" i="1"/>
  <c r="N70" i="1"/>
  <c r="N71" i="1"/>
  <c r="N68" i="1"/>
  <c r="N75" i="1"/>
  <c r="N76" i="1"/>
  <c r="N77" i="1"/>
  <c r="N78" i="1"/>
  <c r="N79" i="1"/>
  <c r="N80" i="1"/>
  <c r="N82" i="1"/>
  <c r="N81" i="1"/>
  <c r="N83" i="1"/>
  <c r="N84" i="1"/>
  <c r="N85" i="1"/>
  <c r="N86" i="1"/>
  <c r="N87" i="1"/>
  <c r="N88" i="1"/>
  <c r="N89" i="1"/>
  <c r="N90" i="1"/>
  <c r="N93" i="1"/>
  <c r="N91" i="1"/>
  <c r="N92" i="1"/>
  <c r="N97" i="1"/>
  <c r="N94" i="1"/>
  <c r="N95" i="1"/>
  <c r="N96" i="1"/>
  <c r="N98" i="1"/>
  <c r="N99" i="1"/>
  <c r="N101" i="1"/>
  <c r="N100" i="1"/>
  <c r="N102" i="1"/>
  <c r="N103" i="1"/>
  <c r="N104" i="1"/>
  <c r="N105" i="1"/>
  <c r="N106" i="1"/>
  <c r="N107" i="1"/>
  <c r="N108" i="1"/>
  <c r="N109" i="1"/>
  <c r="N110" i="1"/>
  <c r="N111" i="1"/>
  <c r="N112" i="1"/>
  <c r="N113" i="1"/>
  <c r="N119" i="1"/>
  <c r="N120" i="1"/>
  <c r="N114" i="1"/>
  <c r="N115" i="1"/>
  <c r="N116" i="1"/>
  <c r="N117" i="1"/>
  <c r="N118" i="1"/>
  <c r="N121" i="1"/>
  <c r="N122" i="1"/>
  <c r="N123" i="1"/>
  <c r="N124" i="1"/>
  <c r="N125" i="1"/>
  <c r="N126" i="1"/>
  <c r="N127" i="1"/>
  <c r="N128" i="1"/>
  <c r="N130" i="1"/>
  <c r="N129" i="1"/>
  <c r="N131" i="1"/>
  <c r="N169" i="1"/>
  <c r="N134" i="1"/>
  <c r="N133" i="1"/>
  <c r="N135" i="1"/>
  <c r="N136" i="1"/>
  <c r="N69" i="1"/>
  <c r="N142" i="1"/>
  <c r="N138" i="1"/>
  <c r="N139" i="1"/>
  <c r="N140" i="1"/>
  <c r="N141" i="1"/>
  <c r="N143" i="1"/>
  <c r="N144" i="1"/>
  <c r="N147" i="1"/>
  <c r="N145" i="1"/>
  <c r="N146" i="1"/>
  <c r="N148" i="1"/>
  <c r="N188" i="1"/>
  <c r="N150" i="1"/>
  <c r="N151" i="1"/>
  <c r="N158" i="1"/>
  <c r="N152" i="1"/>
  <c r="N153" i="1"/>
  <c r="N154" i="1"/>
  <c r="N155" i="1"/>
  <c r="N156" i="1"/>
  <c r="N157" i="1"/>
  <c r="N162" i="1"/>
  <c r="N72" i="1"/>
  <c r="N160" i="1"/>
  <c r="N161" i="1"/>
  <c r="N163" i="1"/>
  <c r="N164" i="1"/>
  <c r="N165" i="1"/>
  <c r="N73" i="1"/>
  <c r="N167" i="1"/>
  <c r="N168" i="1"/>
  <c r="N173" i="1"/>
  <c r="N174" i="1"/>
  <c r="N175" i="1"/>
  <c r="N176" i="1"/>
  <c r="N172" i="1"/>
  <c r="N170" i="1"/>
  <c r="N171" i="1"/>
  <c r="N177" i="1"/>
  <c r="N178" i="1"/>
  <c r="N179" i="1"/>
  <c r="N182" i="1"/>
  <c r="N180" i="1"/>
  <c r="N181" i="1"/>
  <c r="N74" i="1"/>
  <c r="N132" i="1"/>
  <c r="N191" i="1"/>
  <c r="N186" i="1"/>
  <c r="N187" i="1"/>
  <c r="N190" i="1"/>
  <c r="N189" i="1"/>
  <c r="N192" i="1"/>
  <c r="N193" i="1"/>
  <c r="N194" i="1"/>
  <c r="N195" i="1"/>
  <c r="N199" i="1"/>
  <c r="N196" i="1"/>
  <c r="N198" i="1"/>
  <c r="N197" i="1"/>
  <c r="N200" i="1"/>
  <c r="N201" i="1"/>
  <c r="N203" i="1"/>
  <c r="N204" i="1"/>
  <c r="N205" i="1"/>
  <c r="N206" i="1"/>
  <c r="N207" i="1"/>
  <c r="N208" i="1"/>
  <c r="N211" i="1"/>
  <c r="N210" i="1"/>
  <c r="N209" i="1"/>
  <c r="N214" i="1"/>
  <c r="N212" i="1"/>
  <c r="N213" i="1"/>
  <c r="N218" i="1"/>
  <c r="N215" i="1"/>
  <c r="N216" i="1"/>
  <c r="N217" i="1"/>
  <c r="N219" i="1"/>
  <c r="N220" i="1"/>
  <c r="N221" i="1"/>
  <c r="N227" i="1"/>
  <c r="N226" i="1"/>
  <c r="N222" i="1"/>
  <c r="N223" i="1"/>
  <c r="N224" i="1"/>
  <c r="N228" i="1"/>
  <c r="N229" i="1"/>
  <c r="N225" i="1"/>
  <c r="N231" i="1"/>
  <c r="N230" i="1"/>
  <c r="N233" i="1"/>
  <c r="N232" i="1"/>
  <c r="N234" i="1"/>
  <c r="N239" i="1"/>
  <c r="N236" i="1"/>
  <c r="N240" i="1"/>
  <c r="N237" i="1"/>
  <c r="N238" i="1"/>
  <c r="N241" i="1"/>
  <c r="N242" i="1"/>
  <c r="N250" i="1"/>
  <c r="N243" i="1"/>
  <c r="N244" i="1"/>
  <c r="N245" i="1"/>
  <c r="N246" i="1"/>
  <c r="N247" i="1"/>
  <c r="N248" i="1"/>
  <c r="N249" i="1"/>
  <c r="N251" i="1"/>
  <c r="N253" i="1"/>
  <c r="N252" i="1"/>
  <c r="N254" i="1"/>
  <c r="N256" i="1"/>
  <c r="N255" i="1"/>
  <c r="N257" i="1"/>
  <c r="N258" i="1"/>
  <c r="N259" i="1"/>
  <c r="N260" i="1"/>
  <c r="N261" i="1"/>
  <c r="N262" i="1"/>
  <c r="N263" i="1"/>
  <c r="N265" i="1"/>
  <c r="N264" i="1"/>
  <c r="N266" i="1"/>
  <c r="N267" i="1"/>
  <c r="N268" i="1"/>
  <c r="N269" i="1"/>
  <c r="N274" i="1"/>
  <c r="N275" i="1"/>
  <c r="N273" i="1"/>
  <c r="N271" i="1"/>
  <c r="N272" i="1"/>
  <c r="N277" i="1"/>
  <c r="N270" i="1"/>
  <c r="N276" i="1"/>
  <c r="N278" i="1"/>
  <c r="N279" i="1"/>
  <c r="N280" i="1"/>
  <c r="N281" i="1"/>
  <c r="N282" i="1"/>
  <c r="N284" i="1"/>
  <c r="N285" i="1"/>
  <c r="N286" i="1"/>
  <c r="N287" i="1"/>
  <c r="N288" i="1"/>
  <c r="N289" i="1"/>
  <c r="N290" i="1"/>
  <c r="N291" i="1"/>
  <c r="N292" i="1"/>
  <c r="N235" i="1"/>
  <c r="N137" i="1"/>
  <c r="N295" i="1"/>
  <c r="N296" i="1"/>
  <c r="N298" i="1"/>
  <c r="N299" i="1"/>
  <c r="N297" i="1"/>
  <c r="N300" i="1"/>
  <c r="N304" i="1"/>
  <c r="N305" i="1"/>
  <c r="N301" i="1"/>
  <c r="N302" i="1"/>
  <c r="N303" i="1"/>
  <c r="N306" i="1"/>
  <c r="N307" i="1"/>
  <c r="N311" i="1"/>
  <c r="N309" i="1"/>
  <c r="N310" i="1"/>
  <c r="N308" i="1"/>
  <c r="N316" i="1"/>
  <c r="N317" i="1"/>
  <c r="N315" i="1"/>
  <c r="N313" i="1"/>
  <c r="N314" i="1"/>
  <c r="N324" i="1"/>
  <c r="N321" i="1"/>
  <c r="N323" i="1"/>
  <c r="N318" i="1"/>
  <c r="N322" i="1"/>
  <c r="N319" i="1"/>
  <c r="N320" i="1"/>
  <c r="N325" i="1"/>
  <c r="N326" i="1"/>
  <c r="N329" i="1"/>
  <c r="N327" i="1"/>
  <c r="N328" i="1"/>
  <c r="N331" i="1"/>
  <c r="N330" i="1"/>
  <c r="N332" i="1"/>
  <c r="N333" i="1"/>
  <c r="N334" i="1"/>
  <c r="N335" i="1"/>
  <c r="N336" i="1"/>
  <c r="N337" i="1"/>
  <c r="N338" i="1"/>
  <c r="N339" i="1"/>
  <c r="N340" i="1"/>
  <c r="N341" i="1"/>
  <c r="N342" i="1"/>
  <c r="N343" i="1"/>
  <c r="N344" i="1"/>
  <c r="N345" i="1"/>
  <c r="N346" i="1"/>
  <c r="N348" i="1"/>
  <c r="N347" i="1"/>
  <c r="N349" i="1"/>
  <c r="N350" i="1"/>
  <c r="N351" i="1"/>
  <c r="N352" i="1"/>
  <c r="N353" i="1"/>
  <c r="N354" i="1"/>
  <c r="N357" i="1"/>
  <c r="N355" i="1"/>
  <c r="N356" i="1"/>
  <c r="N358" i="1"/>
  <c r="N359" i="1"/>
  <c r="N360" i="1"/>
  <c r="N361" i="1"/>
  <c r="N362" i="1"/>
  <c r="N363" i="1"/>
  <c r="N367" i="1"/>
  <c r="N368" i="1"/>
  <c r="N369" i="1"/>
  <c r="N370" i="1"/>
  <c r="N371" i="1"/>
  <c r="N372" i="1"/>
  <c r="N373" i="1"/>
  <c r="N374" i="1"/>
  <c r="N364" i="1"/>
  <c r="N365" i="1"/>
  <c r="N366" i="1"/>
  <c r="N375" i="1"/>
  <c r="N376" i="1"/>
  <c r="N377" i="1"/>
  <c r="N378" i="1"/>
  <c r="N379" i="1"/>
  <c r="N380" i="1"/>
  <c r="N381" i="1"/>
  <c r="N383" i="1"/>
  <c r="N382" i="1"/>
  <c r="N384" i="1"/>
  <c r="N389" i="1"/>
  <c r="N386" i="1"/>
  <c r="N387" i="1"/>
  <c r="N388" i="1"/>
  <c r="N385" i="1"/>
  <c r="N390" i="1"/>
  <c r="N391" i="1"/>
  <c r="N392" i="1"/>
  <c r="N393" i="1"/>
  <c r="N149" i="1"/>
  <c r="N397" i="1"/>
  <c r="N396" i="1"/>
  <c r="N395" i="1"/>
  <c r="N399" i="1"/>
  <c r="N398" i="1"/>
  <c r="N403" i="1"/>
  <c r="N404" i="1"/>
  <c r="N411" i="1"/>
  <c r="N410" i="1"/>
  <c r="N405" i="1"/>
  <c r="N406" i="1"/>
  <c r="N409" i="1"/>
  <c r="N407" i="1"/>
  <c r="N408" i="1"/>
  <c r="N413" i="1"/>
  <c r="N412" i="1"/>
  <c r="N416" i="1"/>
  <c r="N415" i="1"/>
  <c r="N414" i="1"/>
  <c r="N418" i="1"/>
  <c r="N419" i="1"/>
  <c r="N293" i="1"/>
  <c r="N421" i="1"/>
  <c r="N424" i="1"/>
  <c r="N423" i="1"/>
  <c r="N425" i="1"/>
  <c r="N426" i="1"/>
  <c r="N427" i="1"/>
  <c r="N428" i="1"/>
  <c r="N429" i="1"/>
  <c r="N431" i="1"/>
  <c r="N430" i="1"/>
  <c r="N435" i="1"/>
  <c r="N432" i="1"/>
  <c r="N433" i="1"/>
  <c r="N434" i="1"/>
  <c r="N439" i="1"/>
  <c r="N436" i="1"/>
  <c r="N437" i="1"/>
  <c r="N438" i="1"/>
  <c r="N443" i="1"/>
  <c r="N442" i="1"/>
  <c r="N440" i="1"/>
  <c r="N441" i="1"/>
  <c r="N445" i="1"/>
  <c r="N444" i="1"/>
  <c r="N446" i="1"/>
  <c r="N447" i="1"/>
  <c r="N448" i="1"/>
  <c r="N451" i="1"/>
  <c r="N452" i="1"/>
  <c r="N453" i="1"/>
  <c r="N454" i="1"/>
  <c r="N449" i="1"/>
  <c r="N450" i="1"/>
  <c r="N455" i="1"/>
  <c r="N456" i="1"/>
  <c r="N457" i="1"/>
  <c r="N458" i="1"/>
  <c r="N459" i="1"/>
  <c r="N460" i="1"/>
  <c r="N461" i="1"/>
  <c r="N464" i="1"/>
  <c r="N462" i="1"/>
  <c r="N463" i="1"/>
  <c r="N467" i="1"/>
  <c r="N466" i="1"/>
  <c r="N465" i="1"/>
  <c r="N468" i="1"/>
  <c r="N471" i="1"/>
  <c r="N469" i="1"/>
  <c r="N472" i="1"/>
  <c r="N473" i="1"/>
  <c r="N470" i="1"/>
  <c r="N474" i="1"/>
  <c r="N475" i="1"/>
  <c r="N476" i="1"/>
  <c r="N477" i="1"/>
  <c r="N478" i="1"/>
  <c r="N479" i="1"/>
  <c r="N480" i="1"/>
  <c r="N481" i="1"/>
  <c r="N482" i="1"/>
  <c r="N608" i="1"/>
  <c r="N489" i="1"/>
  <c r="N490" i="1"/>
  <c r="N491" i="1"/>
  <c r="N484" i="1"/>
  <c r="N485" i="1"/>
  <c r="N486" i="1"/>
  <c r="N609" i="1"/>
  <c r="N610" i="1"/>
  <c r="N492" i="1"/>
  <c r="N493" i="1"/>
  <c r="N494" i="1"/>
  <c r="N495" i="1"/>
  <c r="N496" i="1"/>
  <c r="N506" i="1"/>
  <c r="N507" i="1"/>
  <c r="N508" i="1"/>
  <c r="N505" i="1"/>
  <c r="N497" i="1"/>
  <c r="N498" i="1"/>
  <c r="N499" i="1"/>
  <c r="N500" i="1"/>
  <c r="N501" i="1"/>
  <c r="N502" i="1"/>
  <c r="N503" i="1"/>
  <c r="N504" i="1"/>
  <c r="N509" i="1"/>
  <c r="N530" i="1"/>
  <c r="N541" i="1"/>
  <c r="N515" i="1"/>
  <c r="N516" i="1"/>
  <c r="N510" i="1"/>
  <c r="N727" i="1"/>
  <c r="N511" i="1"/>
  <c r="N517" i="1"/>
  <c r="N518" i="1"/>
  <c r="N519" i="1"/>
  <c r="N520" i="1"/>
  <c r="N522" i="1"/>
  <c r="N521" i="1"/>
  <c r="N523" i="1"/>
  <c r="N524" i="1"/>
  <c r="N525" i="1"/>
  <c r="N528" i="1"/>
  <c r="N529" i="1"/>
  <c r="N526" i="1"/>
  <c r="N527" i="1"/>
  <c r="N542" i="1"/>
  <c r="N532" i="1"/>
  <c r="N611" i="1"/>
  <c r="N533" i="1"/>
  <c r="N534" i="1"/>
  <c r="N543" i="1"/>
  <c r="N536" i="1"/>
  <c r="N538" i="1"/>
  <c r="N539" i="1"/>
  <c r="N540" i="1"/>
  <c r="N537" i="1"/>
  <c r="N535" i="1"/>
  <c r="N544" i="1"/>
  <c r="N546" i="1"/>
  <c r="N549" i="1"/>
  <c r="N550" i="1"/>
  <c r="N548" i="1"/>
  <c r="N554" i="1"/>
  <c r="N551" i="1"/>
  <c r="N552" i="1"/>
  <c r="N553" i="1"/>
  <c r="N547" i="1"/>
  <c r="N555" i="1"/>
  <c r="N556" i="1"/>
  <c r="N557" i="1"/>
  <c r="N558" i="1"/>
  <c r="N559" i="1"/>
  <c r="N560" i="1"/>
  <c r="N561" i="1"/>
  <c r="N562" i="1"/>
  <c r="N563" i="1"/>
  <c r="N564" i="1"/>
  <c r="N565" i="1"/>
  <c r="N569" i="1"/>
  <c r="N568" i="1"/>
  <c r="N566" i="1"/>
  <c r="N567" i="1"/>
  <c r="N545" i="1"/>
  <c r="N570" i="1"/>
  <c r="N572" i="1"/>
  <c r="N573" i="1"/>
  <c r="N574" i="1"/>
  <c r="N575" i="1"/>
  <c r="N577" i="1"/>
  <c r="N578" i="1"/>
  <c r="N579" i="1"/>
  <c r="N612" i="1"/>
  <c r="N581" i="1"/>
  <c r="N580" i="1"/>
  <c r="N582" i="1"/>
  <c r="N583" i="1"/>
  <c r="N584" i="1"/>
  <c r="N585" i="1"/>
  <c r="N586" i="1"/>
  <c r="N587" i="1"/>
  <c r="N588" i="1"/>
  <c r="N589" i="1"/>
  <c r="N590" i="1"/>
  <c r="L711" i="1"/>
  <c r="L712" i="1"/>
  <c r="L713" i="1"/>
  <c r="L714" i="1"/>
  <c r="L715" i="1"/>
  <c r="L716" i="1"/>
  <c r="L717" i="1"/>
  <c r="L718" i="1"/>
  <c r="L719" i="1"/>
  <c r="L720" i="1"/>
  <c r="L721" i="1"/>
  <c r="L722" i="1"/>
  <c r="L723" i="1"/>
  <c r="L724" i="1"/>
  <c r="L725" i="1"/>
  <c r="L726" i="1"/>
  <c r="L571" i="1"/>
  <c r="L728" i="1"/>
  <c r="L729" i="1"/>
  <c r="L730" i="1"/>
  <c r="L731" i="1"/>
  <c r="L732" i="1"/>
  <c r="L733" i="1"/>
  <c r="L734" i="1"/>
  <c r="L735" i="1"/>
  <c r="L736" i="1"/>
  <c r="L737" i="1"/>
  <c r="L738" i="1"/>
  <c r="L739" i="1"/>
  <c r="L740" i="1"/>
  <c r="L741" i="1"/>
  <c r="L742" i="1"/>
  <c r="L743" i="1"/>
  <c r="L592" i="1"/>
  <c r="L593" i="1"/>
  <c r="L594" i="1"/>
  <c r="L595" i="1"/>
  <c r="L596" i="1"/>
  <c r="L597" i="1"/>
  <c r="L598" i="1"/>
  <c r="L599" i="1"/>
  <c r="L600" i="1"/>
  <c r="L601" i="1"/>
  <c r="L602" i="1"/>
  <c r="L603" i="1"/>
  <c r="L604" i="1"/>
  <c r="L605" i="1"/>
  <c r="L606" i="1"/>
  <c r="L607" i="1"/>
  <c r="L483" i="1"/>
  <c r="L487" i="1"/>
  <c r="L488" i="1"/>
  <c r="L531" i="1"/>
  <c r="L576"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591" i="1"/>
  <c r="M56" i="1"/>
  <c r="M55" i="1"/>
  <c r="M422" i="1"/>
  <c r="M294" i="1"/>
  <c r="M582" i="1"/>
  <c r="M580" i="1"/>
  <c r="M581" i="1"/>
  <c r="M612" i="1"/>
  <c r="M579" i="1"/>
  <c r="M578" i="1"/>
  <c r="M577" i="1"/>
  <c r="M575" i="1"/>
  <c r="M574" i="1"/>
  <c r="M573" i="1"/>
  <c r="M572" i="1"/>
  <c r="M570" i="1"/>
  <c r="M545" i="1"/>
  <c r="M567" i="1"/>
  <c r="M566" i="1"/>
  <c r="M568" i="1"/>
  <c r="M569" i="1"/>
  <c r="M565" i="1"/>
  <c r="M564" i="1"/>
  <c r="M563" i="1"/>
  <c r="M562" i="1"/>
  <c r="M561" i="1"/>
  <c r="M560" i="1"/>
  <c r="M559" i="1"/>
  <c r="M558" i="1"/>
  <c r="M557" i="1"/>
  <c r="M556" i="1"/>
  <c r="M555" i="1"/>
  <c r="M547" i="1"/>
  <c r="M553" i="1"/>
  <c r="M552" i="1"/>
  <c r="M551" i="1"/>
  <c r="M554" i="1"/>
  <c r="M548" i="1"/>
  <c r="M550" i="1"/>
  <c r="M549" i="1"/>
  <c r="M546" i="1"/>
  <c r="M544" i="1"/>
  <c r="M535" i="1"/>
  <c r="M537" i="1"/>
  <c r="M540" i="1"/>
  <c r="M539" i="1"/>
  <c r="M538" i="1"/>
  <c r="M536" i="1"/>
  <c r="M543" i="1"/>
  <c r="M534" i="1"/>
  <c r="M533" i="1"/>
  <c r="M611" i="1"/>
  <c r="M532" i="1"/>
  <c r="M542" i="1"/>
  <c r="M527" i="1"/>
  <c r="M526" i="1"/>
  <c r="M529" i="1"/>
  <c r="M528" i="1"/>
  <c r="M525" i="1"/>
  <c r="M524" i="1"/>
  <c r="M523" i="1"/>
  <c r="M521" i="1"/>
  <c r="M522" i="1"/>
  <c r="M520" i="1"/>
  <c r="M519" i="1"/>
  <c r="M518" i="1"/>
  <c r="M517" i="1"/>
  <c r="M511" i="1"/>
  <c r="M727" i="1"/>
  <c r="M510" i="1"/>
  <c r="M516" i="1"/>
  <c r="M515" i="1"/>
  <c r="M541" i="1"/>
  <c r="M530" i="1"/>
  <c r="M509" i="1"/>
  <c r="M504" i="1"/>
  <c r="M503" i="1"/>
  <c r="M502" i="1"/>
  <c r="M501" i="1"/>
  <c r="M500" i="1"/>
  <c r="M499" i="1"/>
  <c r="M498" i="1"/>
  <c r="M497" i="1"/>
  <c r="M505" i="1"/>
  <c r="M508" i="1"/>
  <c r="M507" i="1"/>
  <c r="M506" i="1"/>
  <c r="M496" i="1"/>
  <c r="M495" i="1"/>
  <c r="M494" i="1"/>
  <c r="M493" i="1"/>
  <c r="M492" i="1"/>
  <c r="M610" i="1"/>
  <c r="M609" i="1"/>
  <c r="M486" i="1"/>
  <c r="M485" i="1"/>
  <c r="M484" i="1"/>
  <c r="M491" i="1"/>
  <c r="M490" i="1"/>
  <c r="M489" i="1"/>
  <c r="M608" i="1"/>
  <c r="M482" i="1"/>
  <c r="M481" i="1"/>
  <c r="M480" i="1"/>
  <c r="M479" i="1"/>
  <c r="M478" i="1"/>
  <c r="M477" i="1"/>
  <c r="M476" i="1"/>
  <c r="M475" i="1"/>
  <c r="M474" i="1"/>
  <c r="M470" i="1"/>
  <c r="M473" i="1"/>
  <c r="M472" i="1"/>
  <c r="M469" i="1"/>
  <c r="M471" i="1"/>
  <c r="M468" i="1"/>
  <c r="M465" i="1"/>
  <c r="M466" i="1"/>
  <c r="M467" i="1"/>
  <c r="M463" i="1"/>
  <c r="M462" i="1"/>
  <c r="M464" i="1"/>
  <c r="M461" i="1"/>
  <c r="M460" i="1"/>
  <c r="M459" i="1"/>
  <c r="M458" i="1"/>
  <c r="M457" i="1"/>
  <c r="M456" i="1"/>
  <c r="M455" i="1"/>
  <c r="M450" i="1"/>
  <c r="M449" i="1"/>
  <c r="M454" i="1"/>
  <c r="M453" i="1"/>
  <c r="M452" i="1"/>
  <c r="M451" i="1"/>
  <c r="M448" i="1"/>
  <c r="M447" i="1"/>
  <c r="M446" i="1"/>
  <c r="M444" i="1"/>
  <c r="M445" i="1"/>
  <c r="M441" i="1"/>
  <c r="M440" i="1"/>
  <c r="M442" i="1"/>
  <c r="M443" i="1"/>
  <c r="M438" i="1"/>
  <c r="M437" i="1"/>
  <c r="M436" i="1"/>
  <c r="M439" i="1"/>
  <c r="M434" i="1"/>
  <c r="M433" i="1"/>
  <c r="M432" i="1"/>
  <c r="M435" i="1"/>
  <c r="M430" i="1"/>
  <c r="M431" i="1"/>
  <c r="M429" i="1"/>
  <c r="M428" i="1"/>
  <c r="M427" i="1"/>
  <c r="M426" i="1"/>
  <c r="M425" i="1"/>
  <c r="M423" i="1"/>
  <c r="M424" i="1"/>
  <c r="M421" i="1"/>
  <c r="M293" i="1"/>
  <c r="M419" i="1"/>
  <c r="M418" i="1"/>
  <c r="M414" i="1"/>
  <c r="M415" i="1"/>
  <c r="M416" i="1"/>
  <c r="M412" i="1"/>
  <c r="M413" i="1"/>
  <c r="M408" i="1"/>
  <c r="M407" i="1"/>
  <c r="M409" i="1"/>
  <c r="M406" i="1"/>
  <c r="M405" i="1"/>
  <c r="M410" i="1"/>
  <c r="M411" i="1"/>
  <c r="M404" i="1"/>
  <c r="M403" i="1"/>
  <c r="M398" i="1"/>
  <c r="M399" i="1"/>
  <c r="M395" i="1"/>
  <c r="M396" i="1"/>
  <c r="M397" i="1"/>
  <c r="M149" i="1"/>
  <c r="M393" i="1"/>
  <c r="M392" i="1"/>
  <c r="M391" i="1"/>
  <c r="M390" i="1"/>
  <c r="M385" i="1"/>
  <c r="M388" i="1"/>
  <c r="M387" i="1"/>
  <c r="M386" i="1"/>
  <c r="M389" i="1"/>
  <c r="M384" i="1"/>
  <c r="M382" i="1"/>
  <c r="M383" i="1"/>
  <c r="M381" i="1"/>
  <c r="M380" i="1"/>
  <c r="M379" i="1"/>
  <c r="M378" i="1"/>
  <c r="M377" i="1"/>
  <c r="M376" i="1"/>
  <c r="M375" i="1"/>
  <c r="M366" i="1"/>
  <c r="M365" i="1"/>
  <c r="M364" i="1"/>
  <c r="M374" i="1"/>
  <c r="M373" i="1"/>
  <c r="M372" i="1"/>
  <c r="M371" i="1"/>
  <c r="M370" i="1"/>
  <c r="M369" i="1"/>
  <c r="M368" i="1"/>
  <c r="M367" i="1"/>
  <c r="M363" i="1"/>
  <c r="M362" i="1"/>
  <c r="M361" i="1"/>
  <c r="M360" i="1"/>
  <c r="M359" i="1"/>
  <c r="M358" i="1"/>
  <c r="M356" i="1"/>
  <c r="M355" i="1"/>
  <c r="M357" i="1"/>
  <c r="M354" i="1"/>
  <c r="M353" i="1"/>
  <c r="M352" i="1"/>
  <c r="M351" i="1"/>
  <c r="M350" i="1"/>
  <c r="M349" i="1"/>
  <c r="M347" i="1"/>
  <c r="M348" i="1"/>
  <c r="M346" i="1"/>
  <c r="M345" i="1"/>
  <c r="M344" i="1"/>
  <c r="M343" i="1"/>
  <c r="M342" i="1"/>
  <c r="M341" i="1"/>
  <c r="M340" i="1"/>
  <c r="M339" i="1"/>
  <c r="M338" i="1"/>
  <c r="M337" i="1"/>
  <c r="M336" i="1"/>
  <c r="M335" i="1"/>
  <c r="M334" i="1"/>
  <c r="M333" i="1"/>
  <c r="M332" i="1"/>
  <c r="M330" i="1"/>
  <c r="M331" i="1"/>
  <c r="M328" i="1"/>
  <c r="M327" i="1"/>
  <c r="M329" i="1"/>
  <c r="M326" i="1"/>
  <c r="M325" i="1"/>
  <c r="M320" i="1"/>
  <c r="M319" i="1"/>
  <c r="M322" i="1"/>
  <c r="M318" i="1"/>
  <c r="M323" i="1"/>
  <c r="M321" i="1"/>
  <c r="M324" i="1"/>
  <c r="M314" i="1"/>
  <c r="M313" i="1"/>
  <c r="M315" i="1"/>
  <c r="M317" i="1"/>
  <c r="M316" i="1"/>
  <c r="M308" i="1"/>
  <c r="M310" i="1"/>
  <c r="M309" i="1"/>
  <c r="M311" i="1"/>
  <c r="M307" i="1"/>
  <c r="M306" i="1"/>
  <c r="M303" i="1"/>
  <c r="M302" i="1"/>
  <c r="M301" i="1"/>
  <c r="M305" i="1"/>
  <c r="M304" i="1"/>
  <c r="M300" i="1"/>
  <c r="M297" i="1"/>
  <c r="M299" i="1"/>
  <c r="M298" i="1"/>
  <c r="M296" i="1"/>
  <c r="M295" i="1"/>
  <c r="M137" i="1"/>
  <c r="M235" i="1"/>
  <c r="M292" i="1"/>
  <c r="M291" i="1"/>
  <c r="M290" i="1"/>
  <c r="M289" i="1"/>
  <c r="M288" i="1"/>
  <c r="M287" i="1"/>
  <c r="M286" i="1"/>
  <c r="M285" i="1"/>
  <c r="M284" i="1"/>
  <c r="M282" i="1"/>
  <c r="M281" i="1"/>
  <c r="M280" i="1"/>
  <c r="M279" i="1"/>
  <c r="M278" i="1"/>
  <c r="M276" i="1"/>
  <c r="M270" i="1"/>
  <c r="M277" i="1"/>
  <c r="M272" i="1"/>
  <c r="M271" i="1"/>
  <c r="M273" i="1"/>
  <c r="M275" i="1"/>
  <c r="M274" i="1"/>
  <c r="M269" i="1"/>
  <c r="M268" i="1"/>
  <c r="M267" i="1"/>
  <c r="M264" i="1"/>
  <c r="M265" i="1"/>
  <c r="M263" i="1"/>
  <c r="M262" i="1"/>
  <c r="M261" i="1"/>
  <c r="M260" i="1"/>
  <c r="M259" i="1"/>
  <c r="M258" i="1"/>
  <c r="M257" i="1"/>
  <c r="M255" i="1"/>
  <c r="M256" i="1"/>
  <c r="M254" i="1"/>
  <c r="M252" i="1"/>
  <c r="M253" i="1"/>
  <c r="M251" i="1"/>
  <c r="M249" i="1"/>
  <c r="M248" i="1"/>
  <c r="M247" i="1"/>
  <c r="M246" i="1"/>
  <c r="M245" i="1"/>
  <c r="M244" i="1"/>
  <c r="M243" i="1"/>
  <c r="M250" i="1"/>
  <c r="M242" i="1"/>
  <c r="M241" i="1"/>
  <c r="M238" i="1"/>
  <c r="M237" i="1"/>
  <c r="M240" i="1"/>
  <c r="M236" i="1"/>
  <c r="M239" i="1"/>
  <c r="M234" i="1"/>
  <c r="M232" i="1"/>
  <c r="M233" i="1"/>
  <c r="M230" i="1"/>
  <c r="M231" i="1"/>
  <c r="M225" i="1"/>
  <c r="M229" i="1"/>
  <c r="M228" i="1"/>
  <c r="M224" i="1"/>
  <c r="M223" i="1"/>
  <c r="M222" i="1"/>
  <c r="M226" i="1"/>
  <c r="M227" i="1"/>
  <c r="M221" i="1"/>
  <c r="M220" i="1"/>
  <c r="M219" i="1"/>
  <c r="M217" i="1"/>
  <c r="M216" i="1"/>
  <c r="M215" i="1"/>
  <c r="M218" i="1"/>
  <c r="M213" i="1"/>
  <c r="M212" i="1"/>
  <c r="M214" i="1"/>
  <c r="M209" i="1"/>
  <c r="M210" i="1"/>
  <c r="M211" i="1"/>
  <c r="M208" i="1"/>
  <c r="M207" i="1"/>
  <c r="M206" i="1"/>
  <c r="M203" i="1"/>
  <c r="M194" i="1"/>
  <c r="M193" i="1"/>
  <c r="M192" i="1"/>
  <c r="M189" i="1"/>
  <c r="M190" i="1"/>
  <c r="M187" i="1"/>
  <c r="M186" i="1"/>
  <c r="M191" i="1"/>
  <c r="M201" i="1"/>
  <c r="M200" i="1"/>
  <c r="M197" i="1"/>
  <c r="M198" i="1"/>
  <c r="M196" i="1"/>
  <c r="M132" i="1"/>
  <c r="M74" i="1"/>
  <c r="M181" i="1"/>
  <c r="M180" i="1"/>
  <c r="M182" i="1"/>
  <c r="M179" i="1"/>
  <c r="M178" i="1"/>
  <c r="M177" i="1"/>
  <c r="M171" i="1"/>
  <c r="M170" i="1"/>
  <c r="M172" i="1"/>
  <c r="M176" i="1"/>
  <c r="M175" i="1"/>
  <c r="M174" i="1"/>
  <c r="M173" i="1"/>
  <c r="M168" i="1"/>
  <c r="M167" i="1"/>
  <c r="M73" i="1"/>
  <c r="M165" i="1"/>
  <c r="D537" i="1"/>
  <c r="D535" i="1"/>
  <c r="D613" i="1"/>
  <c r="D614" i="1"/>
  <c r="D615" i="1"/>
  <c r="D616" i="1"/>
  <c r="D617" i="1"/>
  <c r="D618" i="1"/>
  <c r="D619" i="1"/>
  <c r="D620" i="1"/>
  <c r="D621" i="1"/>
  <c r="D700" i="1"/>
  <c r="D701" i="1"/>
  <c r="D702" i="1"/>
  <c r="D703" i="1"/>
  <c r="D704" i="1"/>
  <c r="D705" i="1"/>
  <c r="D706" i="1"/>
  <c r="D707" i="1"/>
  <c r="D708" i="1"/>
  <c r="D546" i="1"/>
  <c r="D573" i="1"/>
  <c r="D660" i="1"/>
  <c r="D661" i="1"/>
  <c r="D662" i="1"/>
  <c r="D663" i="1"/>
  <c r="D664" i="1"/>
  <c r="D665" i="1"/>
  <c r="D666" i="1"/>
  <c r="D694" i="1"/>
  <c r="D695" i="1"/>
  <c r="D696" i="1"/>
  <c r="D717" i="1"/>
  <c r="D667" i="1"/>
  <c r="D583" i="1"/>
  <c r="D575" i="1"/>
  <c r="D719" i="1"/>
  <c r="D629" i="1"/>
  <c r="D630" i="1"/>
  <c r="D631" i="1"/>
  <c r="D632" i="1"/>
  <c r="D633" i="1"/>
  <c r="D720" i="1"/>
  <c r="D718" i="1"/>
  <c r="D534" i="1"/>
  <c r="M2705" i="3"/>
  <c r="G2705" i="3"/>
  <c r="B2705" i="3"/>
  <c r="D2705" i="3" s="1"/>
  <c r="M2704" i="3"/>
  <c r="G2704" i="3"/>
  <c r="B2704" i="3"/>
  <c r="D2704" i="3" s="1"/>
  <c r="M2703" i="3"/>
  <c r="G2703" i="3"/>
  <c r="B2703" i="3"/>
  <c r="D2703" i="3" s="1"/>
  <c r="M2702" i="3"/>
  <c r="G2702" i="3"/>
  <c r="B2702" i="3"/>
  <c r="D2702" i="3" s="1"/>
  <c r="M2701" i="3"/>
  <c r="G2701" i="3"/>
  <c r="B2701" i="3"/>
  <c r="D2701" i="3" s="1"/>
  <c r="M2700" i="3"/>
  <c r="G2700" i="3"/>
  <c r="B2700" i="3"/>
  <c r="D2700" i="3" s="1"/>
  <c r="M2699" i="3"/>
  <c r="G2699" i="3"/>
  <c r="B2699" i="3"/>
  <c r="D2699" i="3" s="1"/>
  <c r="M2698" i="3"/>
  <c r="G2698" i="3"/>
  <c r="B2698" i="3"/>
  <c r="D2698" i="3" s="1"/>
  <c r="M2697" i="3"/>
  <c r="G2697" i="3"/>
  <c r="B2697" i="3"/>
  <c r="D2697" i="3" s="1"/>
  <c r="M2696" i="3"/>
  <c r="G2696" i="3"/>
  <c r="B2696" i="3"/>
  <c r="D2696" i="3" s="1"/>
  <c r="M2695" i="3"/>
  <c r="G2695" i="3"/>
  <c r="B2695" i="3"/>
  <c r="D2695" i="3" s="1"/>
  <c r="M2694" i="3"/>
  <c r="G2694" i="3"/>
  <c r="B2694" i="3"/>
  <c r="D2694" i="3" s="1"/>
  <c r="M2693" i="3"/>
  <c r="G2693" i="3"/>
  <c r="B2693" i="3"/>
  <c r="D2693" i="3" s="1"/>
  <c r="M2692" i="3"/>
  <c r="G2692" i="3"/>
  <c r="B2692" i="3"/>
  <c r="D2692" i="3" s="1"/>
  <c r="M2691" i="3"/>
  <c r="G2691" i="3"/>
  <c r="B2691" i="3"/>
  <c r="D2691" i="3" s="1"/>
  <c r="M2690" i="3"/>
  <c r="G2690" i="3"/>
  <c r="B2690" i="3"/>
  <c r="D2690" i="3" s="1"/>
  <c r="M2689" i="3"/>
  <c r="G2689" i="3"/>
  <c r="B2689" i="3"/>
  <c r="D2689" i="3" s="1"/>
  <c r="M2688" i="3"/>
  <c r="G2688" i="3"/>
  <c r="B2688" i="3"/>
  <c r="D2688" i="3" s="1"/>
  <c r="M2687" i="3"/>
  <c r="G2687" i="3"/>
  <c r="B2687" i="3"/>
  <c r="D2687" i="3" s="1"/>
  <c r="M2686" i="3"/>
  <c r="G2686" i="3"/>
  <c r="B2686" i="3"/>
  <c r="D2686" i="3" s="1"/>
  <c r="M2685" i="3"/>
  <c r="G2685" i="3"/>
  <c r="B2685" i="3"/>
  <c r="D2685" i="3" s="1"/>
  <c r="M2684" i="3"/>
  <c r="G2684" i="3"/>
  <c r="B2684" i="3"/>
  <c r="D2684" i="3" s="1"/>
  <c r="M2683" i="3"/>
  <c r="G2683" i="3"/>
  <c r="B2683" i="3"/>
  <c r="D2683" i="3" s="1"/>
  <c r="M2682" i="3"/>
  <c r="G2682" i="3"/>
  <c r="B2682" i="3"/>
  <c r="D2682" i="3" s="1"/>
  <c r="M2681" i="3"/>
  <c r="G2681" i="3"/>
  <c r="B2681" i="3"/>
  <c r="D2681" i="3" s="1"/>
  <c r="M2680" i="3"/>
  <c r="G2680" i="3"/>
  <c r="B2680" i="3"/>
  <c r="D2680" i="3" s="1"/>
  <c r="M2679" i="3"/>
  <c r="G2679" i="3"/>
  <c r="B2679" i="3"/>
  <c r="D2679" i="3" s="1"/>
  <c r="M2678" i="3"/>
  <c r="G2678" i="3"/>
  <c r="B2678" i="3"/>
  <c r="D2678" i="3" s="1"/>
  <c r="M2677" i="3"/>
  <c r="G2677" i="3"/>
  <c r="B2677" i="3"/>
  <c r="D2677" i="3" s="1"/>
  <c r="M2676" i="3"/>
  <c r="G2676" i="3"/>
  <c r="B2676" i="3"/>
  <c r="D2676" i="3" s="1"/>
  <c r="M2675" i="3"/>
  <c r="G2675" i="3"/>
  <c r="B2675" i="3"/>
  <c r="D2675" i="3" s="1"/>
  <c r="M2674" i="3"/>
  <c r="G2674" i="3"/>
  <c r="B2674" i="3"/>
  <c r="D2674" i="3" s="1"/>
  <c r="M2673" i="3"/>
  <c r="G2673" i="3"/>
  <c r="B2673" i="3"/>
  <c r="D2673" i="3" s="1"/>
  <c r="M2672" i="3"/>
  <c r="G2672" i="3"/>
  <c r="B2672" i="3"/>
  <c r="D2672" i="3" s="1"/>
  <c r="M2671" i="3"/>
  <c r="G2671" i="3"/>
  <c r="B2671" i="3"/>
  <c r="D2671" i="3" s="1"/>
  <c r="M2670" i="3"/>
  <c r="G2670" i="3"/>
  <c r="B2670" i="3"/>
  <c r="D2670" i="3" s="1"/>
  <c r="M2669" i="3"/>
  <c r="G2669" i="3"/>
  <c r="B2669" i="3"/>
  <c r="D2669" i="3" s="1"/>
  <c r="M2668" i="3"/>
  <c r="G2668" i="3"/>
  <c r="B2668" i="3"/>
  <c r="D2668" i="3" s="1"/>
  <c r="M2667" i="3"/>
  <c r="G2667" i="3"/>
  <c r="B2667" i="3"/>
  <c r="D2667" i="3" s="1"/>
  <c r="M2666" i="3"/>
  <c r="G2666" i="3"/>
  <c r="B2666" i="3"/>
  <c r="D2666" i="3" s="1"/>
  <c r="M2665" i="3"/>
  <c r="G2665" i="3"/>
  <c r="B2665" i="3"/>
  <c r="D2665" i="3" s="1"/>
  <c r="M2664" i="3"/>
  <c r="G2664" i="3"/>
  <c r="B2664" i="3"/>
  <c r="D2664" i="3" s="1"/>
  <c r="M2663" i="3"/>
  <c r="G2663" i="3"/>
  <c r="B2663" i="3"/>
  <c r="D2663" i="3" s="1"/>
  <c r="M2662" i="3"/>
  <c r="G2662" i="3"/>
  <c r="B2662" i="3"/>
  <c r="D2662" i="3" s="1"/>
  <c r="M2661" i="3"/>
  <c r="G2661" i="3"/>
  <c r="B2661" i="3"/>
  <c r="D2661" i="3" s="1"/>
  <c r="M2660" i="3"/>
  <c r="G2660" i="3"/>
  <c r="B2660" i="3"/>
  <c r="D2660" i="3" s="1"/>
  <c r="M2659" i="3"/>
  <c r="G2659" i="3"/>
  <c r="B2659" i="3"/>
  <c r="D2659" i="3" s="1"/>
  <c r="M2658" i="3"/>
  <c r="G2658" i="3"/>
  <c r="B2658" i="3"/>
  <c r="D2658" i="3" s="1"/>
  <c r="M2657" i="3"/>
  <c r="G2657" i="3"/>
  <c r="B2657" i="3"/>
  <c r="D2657" i="3" s="1"/>
  <c r="M2656" i="3"/>
  <c r="G2656" i="3"/>
  <c r="B2656" i="3"/>
  <c r="D2656" i="3" s="1"/>
  <c r="M2655" i="3"/>
  <c r="G2655" i="3"/>
  <c r="B2655" i="3"/>
  <c r="D2655" i="3" s="1"/>
  <c r="M2654" i="3"/>
  <c r="G2654" i="3"/>
  <c r="B2654" i="3"/>
  <c r="D2654" i="3" s="1"/>
  <c r="M2653" i="3"/>
  <c r="G2653" i="3"/>
  <c r="B2653" i="3"/>
  <c r="D2653" i="3" s="1"/>
  <c r="M2652" i="3"/>
  <c r="G2652" i="3"/>
  <c r="B2652" i="3"/>
  <c r="D2652" i="3" s="1"/>
  <c r="M2651" i="3"/>
  <c r="G2651" i="3"/>
  <c r="B2651" i="3"/>
  <c r="D2651" i="3" s="1"/>
  <c r="M2650" i="3"/>
  <c r="G2650" i="3"/>
  <c r="B2650" i="3"/>
  <c r="D2650" i="3" s="1"/>
  <c r="M2649" i="3"/>
  <c r="G2649" i="3"/>
  <c r="B2649" i="3"/>
  <c r="D2649" i="3" s="1"/>
  <c r="M2648" i="3"/>
  <c r="G2648" i="3"/>
  <c r="B2648" i="3"/>
  <c r="D2648" i="3" s="1"/>
  <c r="M2647" i="3"/>
  <c r="G2647" i="3"/>
  <c r="B2647" i="3"/>
  <c r="D2647" i="3" s="1"/>
  <c r="M2646" i="3"/>
  <c r="G2646" i="3"/>
  <c r="B2646" i="3"/>
  <c r="D2646" i="3" s="1"/>
  <c r="M2645" i="3"/>
  <c r="G2645" i="3"/>
  <c r="B2645" i="3"/>
  <c r="D2645" i="3" s="1"/>
  <c r="M2644" i="3"/>
  <c r="G2644" i="3"/>
  <c r="B2644" i="3"/>
  <c r="D2644" i="3" s="1"/>
  <c r="M2643" i="3"/>
  <c r="G2643" i="3"/>
  <c r="B2643" i="3"/>
  <c r="D2643" i="3" s="1"/>
  <c r="M2642" i="3"/>
  <c r="G2642" i="3"/>
  <c r="B2642" i="3"/>
  <c r="D2642" i="3" s="1"/>
  <c r="M2641" i="3"/>
  <c r="G2641" i="3"/>
  <c r="B2641" i="3"/>
  <c r="D2641" i="3" s="1"/>
  <c r="M2640" i="3"/>
  <c r="G2640" i="3"/>
  <c r="B2640" i="3"/>
  <c r="D2640" i="3" s="1"/>
  <c r="M2639" i="3"/>
  <c r="G2639" i="3"/>
  <c r="B2639" i="3"/>
  <c r="D2639" i="3" s="1"/>
  <c r="M2638" i="3"/>
  <c r="G2638" i="3"/>
  <c r="B2638" i="3"/>
  <c r="D2638" i="3" s="1"/>
  <c r="M2637" i="3"/>
  <c r="G2637" i="3"/>
  <c r="B2637" i="3"/>
  <c r="D2637" i="3" s="1"/>
  <c r="M2636" i="3"/>
  <c r="G2636" i="3"/>
  <c r="B2636" i="3"/>
  <c r="D2636" i="3" s="1"/>
  <c r="M2635" i="3"/>
  <c r="G2635" i="3"/>
  <c r="B2635" i="3"/>
  <c r="D2635" i="3" s="1"/>
  <c r="M2634" i="3"/>
  <c r="G2634" i="3"/>
  <c r="B2634" i="3"/>
  <c r="D2634" i="3" s="1"/>
  <c r="M2633" i="3"/>
  <c r="G2633" i="3"/>
  <c r="B2633" i="3"/>
  <c r="D2633" i="3" s="1"/>
  <c r="M2632" i="3"/>
  <c r="G2632" i="3"/>
  <c r="B2632" i="3"/>
  <c r="D2632" i="3" s="1"/>
  <c r="M2631" i="3"/>
  <c r="G2631" i="3"/>
  <c r="B2631" i="3"/>
  <c r="D2631" i="3" s="1"/>
  <c r="M2630" i="3"/>
  <c r="G2630" i="3"/>
  <c r="B2630" i="3"/>
  <c r="D2630" i="3" s="1"/>
  <c r="M2629" i="3"/>
  <c r="G2629" i="3"/>
  <c r="B2629" i="3"/>
  <c r="D2629" i="3" s="1"/>
  <c r="M2628" i="3"/>
  <c r="G2628" i="3"/>
  <c r="B2628" i="3"/>
  <c r="D2628" i="3" s="1"/>
  <c r="M2627" i="3"/>
  <c r="G2627" i="3"/>
  <c r="B2627" i="3"/>
  <c r="D2627" i="3" s="1"/>
  <c r="M2626" i="3"/>
  <c r="G2626" i="3"/>
  <c r="B2626" i="3"/>
  <c r="D2626" i="3" s="1"/>
  <c r="M2625" i="3"/>
  <c r="G2625" i="3"/>
  <c r="B2625" i="3"/>
  <c r="D2625" i="3" s="1"/>
  <c r="M2624" i="3"/>
  <c r="G2624" i="3"/>
  <c r="B2624" i="3"/>
  <c r="D2624" i="3" s="1"/>
  <c r="M2623" i="3"/>
  <c r="G2623" i="3"/>
  <c r="B2623" i="3"/>
  <c r="D2623" i="3" s="1"/>
  <c r="M2622" i="3"/>
  <c r="G2622" i="3"/>
  <c r="B2622" i="3"/>
  <c r="D2622" i="3" s="1"/>
  <c r="M2621" i="3"/>
  <c r="G2621" i="3"/>
  <c r="B2621" i="3"/>
  <c r="D2621" i="3" s="1"/>
  <c r="M2620" i="3"/>
  <c r="G2620" i="3"/>
  <c r="B2620" i="3"/>
  <c r="D2620" i="3" s="1"/>
  <c r="M2619" i="3"/>
  <c r="G2619" i="3"/>
  <c r="B2619" i="3"/>
  <c r="D2619" i="3" s="1"/>
  <c r="M2618" i="3"/>
  <c r="G2618" i="3"/>
  <c r="B2618" i="3"/>
  <c r="D2618" i="3" s="1"/>
  <c r="M2617" i="3"/>
  <c r="G2617" i="3"/>
  <c r="B2617" i="3"/>
  <c r="D2617" i="3" s="1"/>
  <c r="M2616" i="3"/>
  <c r="G2616" i="3"/>
  <c r="B2616" i="3"/>
  <c r="D2616" i="3" s="1"/>
  <c r="M2615" i="3"/>
  <c r="G2615" i="3"/>
  <c r="B2615" i="3"/>
  <c r="D2615" i="3" s="1"/>
  <c r="M2614" i="3"/>
  <c r="G2614" i="3"/>
  <c r="B2614" i="3"/>
  <c r="D2614" i="3" s="1"/>
  <c r="M2613" i="3"/>
  <c r="G2613" i="3"/>
  <c r="B2613" i="3"/>
  <c r="D2613" i="3" s="1"/>
  <c r="M2612" i="3"/>
  <c r="G2612" i="3"/>
  <c r="B2612" i="3"/>
  <c r="D2612" i="3" s="1"/>
  <c r="M2611" i="3"/>
  <c r="G2611" i="3"/>
  <c r="B2611" i="3"/>
  <c r="D2611" i="3" s="1"/>
  <c r="M2610" i="3"/>
  <c r="G2610" i="3"/>
  <c r="B2610" i="3"/>
  <c r="D2610" i="3" s="1"/>
  <c r="M2609" i="3"/>
  <c r="G2609" i="3"/>
  <c r="B2609" i="3"/>
  <c r="D2609" i="3" s="1"/>
  <c r="M2608" i="3"/>
  <c r="G2608" i="3"/>
  <c r="B2608" i="3"/>
  <c r="D2608" i="3" s="1"/>
  <c r="M2607" i="3"/>
  <c r="G2607" i="3"/>
  <c r="B2607" i="3"/>
  <c r="D2607" i="3" s="1"/>
  <c r="M2606" i="3"/>
  <c r="G2606" i="3"/>
  <c r="B2606" i="3"/>
  <c r="D2606" i="3" s="1"/>
  <c r="M2605" i="3"/>
  <c r="G2605" i="3"/>
  <c r="B2605" i="3"/>
  <c r="D2605" i="3" s="1"/>
  <c r="M2604" i="3"/>
  <c r="G2604" i="3"/>
  <c r="B2604" i="3"/>
  <c r="D2604" i="3" s="1"/>
  <c r="M2603" i="3"/>
  <c r="G2603" i="3"/>
  <c r="B2603" i="3"/>
  <c r="D2603" i="3" s="1"/>
  <c r="M2602" i="3"/>
  <c r="G2602" i="3"/>
  <c r="B2602" i="3"/>
  <c r="D2602" i="3" s="1"/>
  <c r="M2601" i="3"/>
  <c r="G2601" i="3"/>
  <c r="B2601" i="3"/>
  <c r="D2601" i="3" s="1"/>
  <c r="M2600" i="3"/>
  <c r="G2600" i="3"/>
  <c r="B2600" i="3"/>
  <c r="D2600" i="3" s="1"/>
  <c r="M2599" i="3"/>
  <c r="G2599" i="3"/>
  <c r="B2599" i="3"/>
  <c r="D2599" i="3" s="1"/>
  <c r="M2598" i="3"/>
  <c r="G2598" i="3"/>
  <c r="B2598" i="3"/>
  <c r="D2598" i="3" s="1"/>
  <c r="M2597" i="3"/>
  <c r="G2597" i="3"/>
  <c r="B2597" i="3"/>
  <c r="D2597" i="3" s="1"/>
  <c r="M2596" i="3"/>
  <c r="G2596" i="3"/>
  <c r="D2596" i="3"/>
  <c r="B2596" i="3"/>
  <c r="F2612" i="3" a="1"/>
  <c r="F2682" i="3" a="1"/>
  <c r="F2611" i="3" a="1"/>
  <c r="F2599" i="3" a="1"/>
  <c r="F2675" i="3" a="1"/>
  <c r="F2688" i="3" a="1"/>
  <c r="F2677" i="3" a="1"/>
  <c r="F2680" i="3" a="1"/>
  <c r="F2666" i="3" a="1"/>
  <c r="F2625" i="3" a="1"/>
  <c r="F2613" i="3" a="1"/>
  <c r="F2679" i="3" a="1"/>
  <c r="F2671" i="3" a="1"/>
  <c r="F2615" i="3" a="1"/>
  <c r="F2604" i="3" a="1"/>
  <c r="F2607" i="3" a="1"/>
  <c r="F2687" i="3" a="1"/>
  <c r="F2694" i="3" a="1"/>
  <c r="F2598" i="3" a="1"/>
  <c r="F2601" i="3" a="1"/>
  <c r="F2610" i="3" a="1"/>
  <c r="F2606" i="3" a="1"/>
  <c r="F2686" i="3" a="1"/>
  <c r="F2691" i="3" a="1"/>
  <c r="F2672" i="3" a="1"/>
  <c r="F2609" i="3" a="1"/>
  <c r="F2605" i="3" a="1"/>
  <c r="F2669" i="3" a="1"/>
  <c r="F2690" i="3" a="1"/>
  <c r="F2692" i="3" a="1"/>
  <c r="F2681" i="3" a="1"/>
  <c r="F2674" i="3" a="1"/>
  <c r="F2673" i="3" a="1"/>
  <c r="F2603" i="3" a="1"/>
  <c r="F2617" i="3" a="1"/>
  <c r="F2624" i="3" a="1"/>
  <c r="F2608" i="3" a="1"/>
  <c r="F2597" i="3" a="1"/>
  <c r="F2600" i="3" a="1"/>
  <c r="F2596" i="3" a="1"/>
  <c r="F2602" i="3" a="1"/>
  <c r="F2689" i="3" a="1"/>
  <c r="F2678" i="3" a="1"/>
  <c r="F2667" i="3" a="1"/>
  <c r="F2670" i="3" a="1"/>
  <c r="F2683" i="3" a="1"/>
  <c r="F2668" i="3" a="1"/>
  <c r="F2616" i="3" a="1"/>
  <c r="F2618" i="3" a="1"/>
  <c r="F2693" i="3" a="1"/>
  <c r="F2684" i="3" a="1"/>
  <c r="F2676" i="3" a="1"/>
  <c r="F2620" i="3" a="1"/>
  <c r="F2614" i="3" a="1"/>
  <c r="F2619" i="3" a="1"/>
  <c r="F2685" i="3" a="1"/>
  <c r="F2597" i="3" l="1"/>
  <c r="F2601" i="3"/>
  <c r="F2605" i="3"/>
  <c r="F2609" i="3"/>
  <c r="F2613" i="3"/>
  <c r="F2617" i="3"/>
  <c r="F2666" i="3"/>
  <c r="F2670" i="3"/>
  <c r="F2674" i="3"/>
  <c r="F2678" i="3"/>
  <c r="F2682" i="3"/>
  <c r="F2686" i="3"/>
  <c r="F2690" i="3"/>
  <c r="F2694" i="3"/>
  <c r="F2596" i="3"/>
  <c r="F2600" i="3"/>
  <c r="F2604" i="3"/>
  <c r="F2608" i="3"/>
  <c r="F2612" i="3"/>
  <c r="F2616" i="3"/>
  <c r="F2620" i="3"/>
  <c r="F2625" i="3"/>
  <c r="F2669" i="3"/>
  <c r="F2673" i="3"/>
  <c r="F2677" i="3"/>
  <c r="F2681" i="3"/>
  <c r="F2685" i="3"/>
  <c r="F2689" i="3"/>
  <c r="F2693" i="3"/>
  <c r="F2599" i="3"/>
  <c r="F2603" i="3"/>
  <c r="F2607" i="3"/>
  <c r="F2611" i="3"/>
  <c r="F2615" i="3"/>
  <c r="F2619" i="3"/>
  <c r="F2624" i="3"/>
  <c r="F2668" i="3"/>
  <c r="F2672" i="3"/>
  <c r="F2676" i="3"/>
  <c r="F2680" i="3"/>
  <c r="F2684" i="3"/>
  <c r="F2688" i="3"/>
  <c r="F2692" i="3"/>
  <c r="F2598" i="3"/>
  <c r="F2602" i="3"/>
  <c r="F2606" i="3"/>
  <c r="F2610" i="3"/>
  <c r="F2614" i="3"/>
  <c r="F2618" i="3"/>
  <c r="F2667" i="3"/>
  <c r="F2671" i="3"/>
  <c r="F2675" i="3"/>
  <c r="F2679" i="3"/>
  <c r="F2683" i="3"/>
  <c r="F2687" i="3"/>
  <c r="F2691" i="3"/>
  <c r="M2595" i="3" l="1"/>
  <c r="G2595" i="3"/>
  <c r="M2594" i="3"/>
  <c r="G2594" i="3"/>
  <c r="M2593" i="3"/>
  <c r="G2593" i="3"/>
  <c r="M2592" i="3"/>
  <c r="G2592" i="3"/>
  <c r="M2591" i="3"/>
  <c r="G2591" i="3"/>
  <c r="M2590" i="3"/>
  <c r="G2590" i="3"/>
  <c r="M2589" i="3"/>
  <c r="G2589" i="3"/>
  <c r="M2588" i="3"/>
  <c r="G2588" i="3"/>
  <c r="M2587" i="3"/>
  <c r="G2587" i="3"/>
  <c r="M2586" i="3"/>
  <c r="G2586" i="3"/>
  <c r="M2585" i="3"/>
  <c r="G2585" i="3"/>
  <c r="M2584" i="3"/>
  <c r="G2584" i="3"/>
  <c r="M2583" i="3"/>
  <c r="G2583" i="3"/>
  <c r="M2582" i="3"/>
  <c r="G2582" i="3"/>
  <c r="M2581" i="3"/>
  <c r="G2581" i="3"/>
  <c r="M2580" i="3"/>
  <c r="G2580" i="3"/>
  <c r="M2579" i="3"/>
  <c r="G2579" i="3"/>
  <c r="M2578" i="3"/>
  <c r="G2578" i="3"/>
  <c r="M2577" i="3"/>
  <c r="G2577" i="3"/>
  <c r="M2576" i="3"/>
  <c r="G2576" i="3"/>
  <c r="M2575" i="3"/>
  <c r="G2575" i="3"/>
  <c r="M2574" i="3"/>
  <c r="G2574" i="3"/>
  <c r="M2573" i="3"/>
  <c r="G2573" i="3"/>
  <c r="M2572" i="3"/>
  <c r="G2572" i="3"/>
  <c r="M2571" i="3"/>
  <c r="G2571" i="3"/>
  <c r="M2570" i="3"/>
  <c r="G2570" i="3"/>
  <c r="M2569" i="3"/>
  <c r="G2569" i="3"/>
  <c r="M2568" i="3"/>
  <c r="G2568" i="3"/>
  <c r="M2567" i="3"/>
  <c r="G2567" i="3"/>
  <c r="M2566" i="3"/>
  <c r="G2566" i="3"/>
  <c r="M2565" i="3"/>
  <c r="G2565" i="3"/>
  <c r="M2564" i="3"/>
  <c r="G2564" i="3"/>
  <c r="M2563" i="3"/>
  <c r="G2563" i="3"/>
  <c r="M2562" i="3"/>
  <c r="G2562" i="3"/>
  <c r="M2561" i="3"/>
  <c r="G2561" i="3"/>
  <c r="M2560" i="3"/>
  <c r="G2560" i="3"/>
  <c r="M2559" i="3"/>
  <c r="G2559" i="3"/>
  <c r="M2558" i="3"/>
  <c r="G2558" i="3"/>
  <c r="M2557" i="3"/>
  <c r="G2557" i="3"/>
  <c r="M2556" i="3"/>
  <c r="G2556" i="3"/>
  <c r="M2555" i="3"/>
  <c r="G2555" i="3"/>
  <c r="M2554" i="3"/>
  <c r="G2554" i="3"/>
  <c r="M2553" i="3"/>
  <c r="G2553" i="3"/>
  <c r="M2552" i="3"/>
  <c r="G2552" i="3"/>
  <c r="M2551" i="3"/>
  <c r="G2551" i="3"/>
  <c r="M2550" i="3"/>
  <c r="G2550" i="3"/>
  <c r="M2549" i="3"/>
  <c r="G2549" i="3"/>
  <c r="M2548" i="3"/>
  <c r="G2548" i="3"/>
  <c r="M2547" i="3"/>
  <c r="G2547" i="3"/>
  <c r="M2546" i="3"/>
  <c r="G2546" i="3"/>
  <c r="M2545" i="3"/>
  <c r="G2545" i="3"/>
  <c r="M2544" i="3"/>
  <c r="G2544" i="3"/>
  <c r="M2543" i="3"/>
  <c r="G2543" i="3"/>
  <c r="M2542" i="3"/>
  <c r="G2542" i="3"/>
  <c r="M2541" i="3"/>
  <c r="G2541" i="3"/>
  <c r="M2540" i="3"/>
  <c r="G2540" i="3"/>
  <c r="M2539" i="3"/>
  <c r="G2539" i="3"/>
  <c r="M2538" i="3"/>
  <c r="G2538" i="3"/>
  <c r="M2537" i="3"/>
  <c r="G2537" i="3"/>
  <c r="M2536" i="3"/>
  <c r="G2536" i="3"/>
  <c r="M2535" i="3"/>
  <c r="G2535" i="3"/>
  <c r="M2534" i="3"/>
  <c r="G2534" i="3"/>
  <c r="M2533" i="3"/>
  <c r="G2533" i="3"/>
  <c r="M2532" i="3"/>
  <c r="G2532" i="3"/>
  <c r="M2531" i="3"/>
  <c r="G2531" i="3"/>
  <c r="M2530" i="3"/>
  <c r="G2530" i="3"/>
  <c r="M2529" i="3"/>
  <c r="G2529" i="3"/>
  <c r="M2528" i="3"/>
  <c r="G2528" i="3"/>
  <c r="M2527" i="3"/>
  <c r="G2527" i="3"/>
  <c r="M2526" i="3"/>
  <c r="G2526" i="3"/>
  <c r="M2525" i="3"/>
  <c r="G2525" i="3"/>
  <c r="M2524" i="3"/>
  <c r="G2524" i="3"/>
  <c r="M2523" i="3"/>
  <c r="G2523" i="3"/>
  <c r="M2522" i="3"/>
  <c r="G2522" i="3"/>
  <c r="M2521" i="3"/>
  <c r="G2521" i="3"/>
  <c r="M2520" i="3"/>
  <c r="G2520" i="3"/>
  <c r="M2519" i="3"/>
  <c r="G2519" i="3"/>
  <c r="M2518" i="3"/>
  <c r="G2518" i="3"/>
  <c r="M2517" i="3"/>
  <c r="G2517" i="3"/>
  <c r="M2516" i="3"/>
  <c r="G2516" i="3"/>
  <c r="M2515" i="3"/>
  <c r="G2515" i="3"/>
  <c r="M2514" i="3"/>
  <c r="G2514" i="3"/>
  <c r="M2513" i="3"/>
  <c r="G2513" i="3"/>
  <c r="M2512" i="3"/>
  <c r="G2512" i="3"/>
  <c r="M2511" i="3"/>
  <c r="G2511" i="3"/>
  <c r="M2510" i="3"/>
  <c r="G2510" i="3"/>
  <c r="M2509" i="3"/>
  <c r="M2508" i="3"/>
  <c r="G2508" i="3"/>
  <c r="M2507" i="3"/>
  <c r="G2507" i="3"/>
  <c r="M2506" i="3"/>
  <c r="G2506" i="3"/>
  <c r="M2505" i="3"/>
  <c r="G2505" i="3"/>
  <c r="M2504" i="3"/>
  <c r="G2504" i="3"/>
  <c r="M2503" i="3"/>
  <c r="G2503" i="3"/>
  <c r="M2502" i="3"/>
  <c r="G2502" i="3"/>
  <c r="M2501" i="3"/>
  <c r="G2501" i="3"/>
  <c r="M2500" i="3"/>
  <c r="G2500" i="3"/>
  <c r="M2499" i="3"/>
  <c r="G2499" i="3"/>
  <c r="M2498" i="3"/>
  <c r="G2498" i="3"/>
  <c r="M2497" i="3"/>
  <c r="G2497" i="3"/>
  <c r="M2496" i="3"/>
  <c r="G2496" i="3"/>
  <c r="M2495" i="3"/>
  <c r="G2495" i="3"/>
  <c r="M2494" i="3"/>
  <c r="G2494" i="3"/>
  <c r="M2493" i="3"/>
  <c r="G2493" i="3"/>
  <c r="M2492" i="3"/>
  <c r="G2492" i="3"/>
  <c r="M2491" i="3"/>
  <c r="G2491" i="3"/>
  <c r="M2490" i="3"/>
  <c r="G2490" i="3"/>
  <c r="M2489" i="3"/>
  <c r="G2489" i="3"/>
  <c r="M2488" i="3"/>
  <c r="G2488" i="3"/>
  <c r="M2487" i="3"/>
  <c r="G2487" i="3"/>
  <c r="M2486" i="3"/>
  <c r="G2486" i="3"/>
  <c r="M2485" i="3"/>
  <c r="G2485" i="3"/>
  <c r="M2484" i="3"/>
  <c r="G2484" i="3"/>
  <c r="M2483" i="3"/>
  <c r="G2483" i="3"/>
  <c r="M2482" i="3"/>
  <c r="G2482" i="3"/>
  <c r="M2481" i="3"/>
  <c r="G2481" i="3"/>
  <c r="M2480" i="3"/>
  <c r="G2480" i="3"/>
  <c r="M2479" i="3"/>
  <c r="G2479" i="3"/>
  <c r="M2478" i="3"/>
  <c r="G2478" i="3"/>
  <c r="M2477" i="3"/>
  <c r="G2477" i="3"/>
  <c r="M2476" i="3"/>
  <c r="G2476" i="3"/>
  <c r="M2475" i="3"/>
  <c r="G2475" i="3"/>
  <c r="M2474" i="3"/>
  <c r="G2474" i="3"/>
  <c r="M2473" i="3"/>
  <c r="G2473" i="3"/>
  <c r="M2472" i="3"/>
  <c r="G2472" i="3"/>
  <c r="M2471" i="3"/>
  <c r="G2471" i="3"/>
  <c r="M2470" i="3"/>
  <c r="G2470" i="3"/>
  <c r="M2469" i="3"/>
  <c r="G2469" i="3"/>
  <c r="M2468" i="3"/>
  <c r="G2468" i="3"/>
  <c r="M2467" i="3"/>
  <c r="G2467" i="3"/>
  <c r="M2466" i="3"/>
  <c r="G2466" i="3"/>
  <c r="M2465" i="3"/>
  <c r="G2465" i="3"/>
  <c r="M2464" i="3"/>
  <c r="G2464" i="3"/>
  <c r="M2463" i="3"/>
  <c r="G2463" i="3"/>
  <c r="M2462" i="3"/>
  <c r="G2462" i="3"/>
  <c r="M2461" i="3"/>
  <c r="G2461" i="3"/>
  <c r="M2460" i="3"/>
  <c r="G2460" i="3"/>
  <c r="M2459" i="3"/>
  <c r="G2459" i="3"/>
  <c r="M2458" i="3"/>
  <c r="G2458" i="3"/>
  <c r="M2457" i="3"/>
  <c r="G2457" i="3"/>
  <c r="M2456" i="3"/>
  <c r="G2456" i="3"/>
  <c r="M2455" i="3"/>
  <c r="G2455" i="3"/>
  <c r="M2454" i="3"/>
  <c r="G2454" i="3"/>
  <c r="M2453" i="3"/>
  <c r="G2453" i="3"/>
  <c r="M2452" i="3"/>
  <c r="G2452" i="3"/>
  <c r="M2451" i="3"/>
  <c r="G2451" i="3"/>
  <c r="M2450" i="3"/>
  <c r="G2450" i="3"/>
  <c r="M2449" i="3"/>
  <c r="G2449" i="3"/>
  <c r="M2448" i="3"/>
  <c r="G2448" i="3"/>
  <c r="M2447" i="3"/>
  <c r="G2447" i="3"/>
  <c r="M2446" i="3"/>
  <c r="G2446" i="3"/>
  <c r="M2445" i="3"/>
  <c r="G2445" i="3"/>
  <c r="M2444" i="3"/>
  <c r="G2444" i="3"/>
  <c r="M2443" i="3"/>
  <c r="G2443" i="3"/>
  <c r="M2442" i="3"/>
  <c r="G2442" i="3"/>
  <c r="M2441" i="3"/>
  <c r="G2441" i="3"/>
  <c r="M2440" i="3"/>
  <c r="G2440" i="3"/>
  <c r="M2439" i="3"/>
  <c r="G2439" i="3"/>
  <c r="M2438" i="3"/>
  <c r="G2438" i="3"/>
  <c r="M2437" i="3"/>
  <c r="G2437" i="3"/>
  <c r="M2436" i="3"/>
  <c r="G2436" i="3"/>
  <c r="M2435" i="3"/>
  <c r="G2435" i="3"/>
  <c r="M2434" i="3"/>
  <c r="G2434" i="3"/>
  <c r="M2433" i="3"/>
  <c r="G2433" i="3"/>
  <c r="M2432" i="3"/>
  <c r="G2432" i="3"/>
  <c r="M2431" i="3"/>
  <c r="G2431" i="3"/>
  <c r="M2430" i="3"/>
  <c r="G2430" i="3"/>
  <c r="M2429" i="3"/>
  <c r="G2429" i="3"/>
  <c r="M2428" i="3"/>
  <c r="G2428" i="3"/>
  <c r="M2427" i="3"/>
  <c r="G2427" i="3"/>
  <c r="M2426" i="3"/>
  <c r="G2426" i="3"/>
  <c r="M2425" i="3"/>
  <c r="G2425" i="3"/>
  <c r="M2424" i="3"/>
  <c r="G2424" i="3"/>
  <c r="M2423" i="3"/>
  <c r="G2423" i="3"/>
  <c r="M2422" i="3"/>
  <c r="G2422" i="3"/>
  <c r="M2421" i="3"/>
  <c r="G2421" i="3"/>
  <c r="M2420" i="3"/>
  <c r="G2420" i="3"/>
  <c r="M2419" i="3"/>
  <c r="G2419" i="3"/>
  <c r="M2418" i="3"/>
  <c r="G2418" i="3"/>
  <c r="M2417" i="3"/>
  <c r="G2417" i="3"/>
  <c r="M2416" i="3"/>
  <c r="G2416" i="3"/>
  <c r="M2415" i="3"/>
  <c r="G2415" i="3"/>
  <c r="M2414" i="3"/>
  <c r="G2414" i="3"/>
  <c r="M2413" i="3"/>
  <c r="G2413" i="3"/>
  <c r="M2412" i="3"/>
  <c r="G2412" i="3"/>
  <c r="M2411" i="3"/>
  <c r="G2411" i="3"/>
  <c r="M2410" i="3"/>
  <c r="G2410" i="3"/>
  <c r="M2409" i="3"/>
  <c r="G2409" i="3"/>
  <c r="M2408" i="3"/>
  <c r="G2408" i="3"/>
  <c r="M2407" i="3"/>
  <c r="G2407" i="3"/>
  <c r="M2406" i="3"/>
  <c r="G2406" i="3"/>
  <c r="M2405" i="3"/>
  <c r="G2405" i="3"/>
  <c r="M2404" i="3"/>
  <c r="G2404" i="3"/>
  <c r="M2403" i="3"/>
  <c r="G2403" i="3"/>
  <c r="M2402" i="3"/>
  <c r="G2402" i="3"/>
  <c r="M2401" i="3"/>
  <c r="G2401" i="3"/>
  <c r="M2400" i="3"/>
  <c r="G2400" i="3"/>
  <c r="M2399" i="3"/>
  <c r="G2399" i="3"/>
  <c r="M2398" i="3"/>
  <c r="G2398" i="3"/>
  <c r="M2397" i="3"/>
  <c r="G2397" i="3"/>
  <c r="M2396" i="3"/>
  <c r="G2396" i="3"/>
  <c r="M2395" i="3"/>
  <c r="G2395" i="3"/>
  <c r="M2394" i="3"/>
  <c r="G2394" i="3"/>
  <c r="M2393" i="3"/>
  <c r="G2393" i="3"/>
  <c r="M2392" i="3"/>
  <c r="G2392" i="3"/>
  <c r="M2391" i="3"/>
  <c r="G2391" i="3"/>
  <c r="M2390" i="3"/>
  <c r="G2390" i="3"/>
  <c r="M2389" i="3"/>
  <c r="G2389" i="3"/>
  <c r="M2388" i="3"/>
  <c r="G2388" i="3"/>
  <c r="M2387" i="3"/>
  <c r="G2387" i="3"/>
  <c r="M2386" i="3"/>
  <c r="G2386" i="3"/>
  <c r="M2385" i="3"/>
  <c r="G2385" i="3"/>
  <c r="M2384" i="3"/>
  <c r="G2384" i="3"/>
  <c r="M2383" i="3"/>
  <c r="G2383" i="3"/>
  <c r="M2382" i="3"/>
  <c r="G2382" i="3"/>
  <c r="M2381" i="3"/>
  <c r="G2381" i="3"/>
  <c r="M2380" i="3"/>
  <c r="G2380" i="3"/>
  <c r="M2379" i="3"/>
  <c r="G2379" i="3"/>
  <c r="M2378" i="3"/>
  <c r="G2378" i="3"/>
  <c r="M2377" i="3"/>
  <c r="G2377" i="3"/>
  <c r="M2376" i="3"/>
  <c r="G2376" i="3"/>
  <c r="M2375" i="3"/>
  <c r="G2375" i="3"/>
  <c r="M2374" i="3"/>
  <c r="G2374" i="3"/>
  <c r="M2373" i="3"/>
  <c r="G2373" i="3"/>
  <c r="M2372" i="3"/>
  <c r="G2372" i="3"/>
  <c r="M2371" i="3"/>
  <c r="G2371" i="3"/>
  <c r="M2370" i="3"/>
  <c r="G2370" i="3"/>
  <c r="M2369" i="3"/>
  <c r="G2369" i="3"/>
  <c r="M2368" i="3"/>
  <c r="G2368" i="3"/>
  <c r="M2367" i="3"/>
  <c r="G2367" i="3"/>
  <c r="M2366" i="3"/>
  <c r="G2366" i="3"/>
  <c r="M2365" i="3"/>
  <c r="G2365" i="3"/>
  <c r="M2364" i="3"/>
  <c r="G2364" i="3"/>
  <c r="M2363" i="3"/>
  <c r="G2363" i="3"/>
  <c r="M2362" i="3"/>
  <c r="G2362" i="3"/>
  <c r="M2361" i="3"/>
  <c r="G2361" i="3"/>
  <c r="M2360" i="3"/>
  <c r="G2360" i="3"/>
  <c r="M2359" i="3"/>
  <c r="G2359" i="3"/>
  <c r="M2358" i="3"/>
  <c r="G2358" i="3"/>
  <c r="M2357" i="3"/>
  <c r="G2357" i="3"/>
  <c r="M2356" i="3"/>
  <c r="G2356" i="3"/>
  <c r="M2355" i="3"/>
  <c r="G2355" i="3"/>
  <c r="M2354" i="3"/>
  <c r="G2354" i="3"/>
  <c r="M2353" i="3"/>
  <c r="G2353" i="3"/>
  <c r="M2352" i="3"/>
  <c r="G2352" i="3"/>
  <c r="M2351" i="3"/>
  <c r="G2351" i="3"/>
  <c r="M2350" i="3"/>
  <c r="G2350" i="3"/>
  <c r="M2349" i="3"/>
  <c r="G2349" i="3"/>
  <c r="M2348" i="3"/>
  <c r="G2348" i="3"/>
  <c r="M2347" i="3"/>
  <c r="G2347" i="3"/>
  <c r="M2346" i="3"/>
  <c r="G2346" i="3"/>
  <c r="M2345" i="3"/>
  <c r="G2345" i="3"/>
  <c r="M2344" i="3"/>
  <c r="G2344" i="3"/>
  <c r="M2343" i="3"/>
  <c r="G2343" i="3"/>
  <c r="M2342" i="3"/>
  <c r="G2342" i="3"/>
  <c r="M2341" i="3"/>
  <c r="G2341" i="3"/>
  <c r="M2340" i="3"/>
  <c r="G2340" i="3"/>
  <c r="M2339" i="3"/>
  <c r="G2339" i="3"/>
  <c r="M2338" i="3"/>
  <c r="G2338" i="3"/>
  <c r="M2337" i="3"/>
  <c r="G2337" i="3"/>
  <c r="M2336" i="3"/>
  <c r="G2336" i="3"/>
  <c r="M2335" i="3"/>
  <c r="G2335" i="3"/>
  <c r="M2334" i="3"/>
  <c r="G2334" i="3"/>
  <c r="M2333" i="3"/>
  <c r="G2333" i="3"/>
  <c r="M2332" i="3"/>
  <c r="G2332" i="3"/>
  <c r="M2331" i="3"/>
  <c r="G2331" i="3"/>
  <c r="M2330" i="3"/>
  <c r="G2330" i="3"/>
  <c r="M2329" i="3"/>
  <c r="G2329" i="3"/>
  <c r="M2328" i="3"/>
  <c r="G2328" i="3"/>
  <c r="M2327" i="3"/>
  <c r="G2327" i="3"/>
  <c r="M2326" i="3"/>
  <c r="G2326" i="3"/>
  <c r="M2325" i="3"/>
  <c r="G2325" i="3"/>
  <c r="M2324" i="3"/>
  <c r="G2324" i="3"/>
  <c r="M2323" i="3"/>
  <c r="G2323" i="3"/>
  <c r="M2322" i="3"/>
  <c r="G2322" i="3"/>
  <c r="M2321" i="3"/>
  <c r="G2321" i="3"/>
  <c r="M2320" i="3"/>
  <c r="G2320" i="3"/>
  <c r="M2319" i="3"/>
  <c r="G2319" i="3"/>
  <c r="M2318" i="3"/>
  <c r="G2318" i="3"/>
  <c r="M2317" i="3"/>
  <c r="G2317" i="3"/>
  <c r="M2316" i="3"/>
  <c r="G2316" i="3"/>
  <c r="M2315" i="3"/>
  <c r="G2315" i="3"/>
  <c r="M2314" i="3"/>
  <c r="G2314" i="3"/>
  <c r="M2313" i="3"/>
  <c r="G2313" i="3"/>
  <c r="M2312" i="3"/>
  <c r="G2312" i="3"/>
  <c r="M2311" i="3"/>
  <c r="G2311" i="3"/>
  <c r="M2310" i="3"/>
  <c r="G2310" i="3"/>
  <c r="M2309" i="3"/>
  <c r="G2309" i="3"/>
  <c r="M2308" i="3"/>
  <c r="G2308" i="3"/>
  <c r="M2307" i="3"/>
  <c r="G2307" i="3"/>
  <c r="M2306" i="3"/>
  <c r="G2306" i="3"/>
  <c r="M2305" i="3"/>
  <c r="G2305" i="3"/>
  <c r="M2304" i="3"/>
  <c r="G2304" i="3"/>
  <c r="M2303" i="3"/>
  <c r="G2303" i="3"/>
  <c r="M2302" i="3"/>
  <c r="G2302" i="3"/>
  <c r="M2301" i="3"/>
  <c r="G2301" i="3"/>
  <c r="M2300" i="3"/>
  <c r="G2300" i="3"/>
  <c r="M2299" i="3"/>
  <c r="G2299" i="3"/>
  <c r="M2298" i="3"/>
  <c r="G2298" i="3"/>
  <c r="M2297" i="3"/>
  <c r="G2297" i="3"/>
  <c r="M2296" i="3"/>
  <c r="G2296" i="3"/>
  <c r="M2295" i="3"/>
  <c r="G2295" i="3"/>
  <c r="M2294" i="3"/>
  <c r="G2294" i="3"/>
  <c r="M2293" i="3"/>
  <c r="G2293" i="3"/>
  <c r="M2292" i="3"/>
  <c r="G2292" i="3"/>
  <c r="M2291" i="3"/>
  <c r="G2291" i="3"/>
  <c r="M2290" i="3"/>
  <c r="G2290" i="3"/>
  <c r="M2289" i="3"/>
  <c r="G2289" i="3"/>
  <c r="M2288" i="3"/>
  <c r="G2288" i="3"/>
  <c r="M2287" i="3"/>
  <c r="G2287" i="3"/>
  <c r="M2286" i="3"/>
  <c r="G2286" i="3"/>
  <c r="M2285" i="3"/>
  <c r="G2285" i="3"/>
  <c r="M2284" i="3"/>
  <c r="G2284" i="3"/>
  <c r="M2283" i="3"/>
  <c r="G2283" i="3"/>
  <c r="M2282" i="3"/>
  <c r="G2282" i="3"/>
  <c r="M2281" i="3"/>
  <c r="G2281" i="3"/>
  <c r="M2280" i="3"/>
  <c r="G2280" i="3"/>
  <c r="M2279" i="3"/>
  <c r="G2279" i="3"/>
  <c r="M2278" i="3"/>
  <c r="G2278" i="3"/>
  <c r="M2277" i="3"/>
  <c r="G2277" i="3"/>
  <c r="M2276" i="3"/>
  <c r="G2276" i="3"/>
  <c r="M2275" i="3"/>
  <c r="G2275" i="3"/>
  <c r="M2274" i="3"/>
  <c r="G2274" i="3"/>
  <c r="M2273" i="3"/>
  <c r="G2273" i="3"/>
  <c r="M2272" i="3"/>
  <c r="G2272" i="3"/>
  <c r="M2271" i="3"/>
  <c r="G2271" i="3"/>
  <c r="M2270" i="3"/>
  <c r="G2270" i="3"/>
  <c r="M2269" i="3"/>
  <c r="G2269" i="3"/>
  <c r="M2268" i="3"/>
  <c r="G2268" i="3"/>
  <c r="M2267" i="3"/>
  <c r="G2267" i="3"/>
  <c r="M2266" i="3"/>
  <c r="G2266" i="3"/>
  <c r="M2265" i="3"/>
  <c r="G2265" i="3"/>
  <c r="M2264" i="3"/>
  <c r="G2264" i="3"/>
  <c r="M2263" i="3"/>
  <c r="G2263" i="3"/>
  <c r="M2262" i="3"/>
  <c r="G2262" i="3"/>
  <c r="M2261" i="3"/>
  <c r="G2261" i="3"/>
  <c r="M2260" i="3"/>
  <c r="G2260" i="3"/>
  <c r="M2259" i="3"/>
  <c r="G2259" i="3"/>
  <c r="M2258" i="3"/>
  <c r="G2258" i="3"/>
  <c r="M2257" i="3"/>
  <c r="G2257" i="3"/>
  <c r="M2256" i="3"/>
  <c r="G2256" i="3"/>
  <c r="M2255" i="3"/>
  <c r="G2255" i="3"/>
  <c r="M2254" i="3"/>
  <c r="G2254" i="3"/>
  <c r="M2253" i="3"/>
  <c r="G2253" i="3"/>
  <c r="M2252" i="3"/>
  <c r="G2252" i="3"/>
  <c r="M2251" i="3"/>
  <c r="G2251" i="3"/>
  <c r="M2250" i="3"/>
  <c r="G2250" i="3"/>
  <c r="M2249" i="3"/>
  <c r="G2249" i="3"/>
  <c r="M2248" i="3"/>
  <c r="G2248" i="3"/>
  <c r="M2247" i="3"/>
  <c r="G2247" i="3"/>
  <c r="M2246" i="3"/>
  <c r="G2246" i="3"/>
  <c r="M2245" i="3"/>
  <c r="G2245" i="3"/>
  <c r="M2244" i="3"/>
  <c r="G2244" i="3"/>
  <c r="M2243" i="3"/>
  <c r="G2243" i="3"/>
  <c r="M2242" i="3"/>
  <c r="G2242" i="3"/>
  <c r="M2241" i="3"/>
  <c r="G2241" i="3"/>
  <c r="M2240" i="3"/>
  <c r="G2240" i="3"/>
  <c r="M2239" i="3"/>
  <c r="G2239" i="3"/>
  <c r="M2238" i="3"/>
  <c r="G2238" i="3"/>
  <c r="M2237" i="3"/>
  <c r="G2237" i="3"/>
  <c r="M2236" i="3"/>
  <c r="G2236" i="3"/>
  <c r="M2235" i="3"/>
  <c r="G2235" i="3"/>
  <c r="M2234" i="3"/>
  <c r="G2234" i="3"/>
  <c r="M2233" i="3"/>
  <c r="G2233" i="3"/>
  <c r="M2232" i="3"/>
  <c r="G2232" i="3"/>
  <c r="M2231" i="3"/>
  <c r="G2231" i="3"/>
  <c r="M2230" i="3"/>
  <c r="G2230" i="3"/>
  <c r="M2229" i="3"/>
  <c r="G2229" i="3"/>
  <c r="M2228" i="3"/>
  <c r="G2228" i="3"/>
  <c r="M2227" i="3"/>
  <c r="G2227" i="3"/>
  <c r="M2226" i="3"/>
  <c r="G2226" i="3"/>
  <c r="M2225" i="3"/>
  <c r="G2225" i="3"/>
  <c r="M2224" i="3"/>
  <c r="G2224" i="3"/>
  <c r="M2223" i="3"/>
  <c r="G2223" i="3"/>
  <c r="M2222" i="3"/>
  <c r="G2222" i="3"/>
  <c r="M2221" i="3"/>
  <c r="G2221" i="3"/>
  <c r="M2220" i="3"/>
  <c r="G2220" i="3"/>
  <c r="M2219" i="3"/>
  <c r="G2219" i="3"/>
  <c r="M2218" i="3"/>
  <c r="G2218" i="3"/>
  <c r="M2217" i="3"/>
  <c r="G2217" i="3"/>
  <c r="M2216" i="3"/>
  <c r="G2216" i="3"/>
  <c r="M2215" i="3"/>
  <c r="G2215" i="3"/>
  <c r="M2214" i="3"/>
  <c r="G2214" i="3"/>
  <c r="M2213" i="3"/>
  <c r="G2213" i="3"/>
  <c r="M2212" i="3"/>
  <c r="G2212" i="3"/>
  <c r="M2211" i="3"/>
  <c r="G2211" i="3"/>
  <c r="M2210" i="3"/>
  <c r="G2210" i="3"/>
  <c r="M2209" i="3"/>
  <c r="G2209" i="3"/>
  <c r="M2208" i="3"/>
  <c r="G2208" i="3"/>
  <c r="M2207" i="3"/>
  <c r="G2207" i="3"/>
  <c r="M2206" i="3"/>
  <c r="G2206" i="3"/>
  <c r="M2205" i="3"/>
  <c r="G2205" i="3"/>
  <c r="M2204" i="3"/>
  <c r="G2204" i="3"/>
  <c r="M2203" i="3"/>
  <c r="G2203" i="3"/>
  <c r="M2202" i="3"/>
  <c r="G2202" i="3"/>
  <c r="M2201" i="3"/>
  <c r="G2201" i="3"/>
  <c r="M2200" i="3"/>
  <c r="G2200" i="3"/>
  <c r="M2199" i="3"/>
  <c r="G2199" i="3"/>
  <c r="M2198" i="3"/>
  <c r="G2198" i="3"/>
  <c r="M2197" i="3"/>
  <c r="G2197" i="3"/>
  <c r="M2196" i="3"/>
  <c r="G2196" i="3"/>
  <c r="M2195" i="3"/>
  <c r="G2195" i="3"/>
  <c r="M2194" i="3"/>
  <c r="G2194" i="3"/>
  <c r="M2193" i="3"/>
  <c r="G2193" i="3"/>
  <c r="M2192" i="3"/>
  <c r="G2192" i="3"/>
  <c r="M2191" i="3"/>
  <c r="G2191" i="3"/>
  <c r="M2190" i="3"/>
  <c r="G2190" i="3"/>
  <c r="M2189" i="3"/>
  <c r="G2189" i="3"/>
  <c r="M2188" i="3"/>
  <c r="G2188" i="3"/>
  <c r="M2187" i="3"/>
  <c r="G2187" i="3"/>
  <c r="M2186" i="3"/>
  <c r="G2186" i="3"/>
  <c r="M2185" i="3"/>
  <c r="G2185" i="3"/>
  <c r="M2184" i="3"/>
  <c r="G2184" i="3"/>
  <c r="M2183" i="3"/>
  <c r="G2183" i="3"/>
  <c r="M2182" i="3"/>
  <c r="G2182" i="3"/>
  <c r="M2181" i="3"/>
  <c r="G2181" i="3"/>
  <c r="M2180" i="3"/>
  <c r="G2180" i="3"/>
  <c r="M2179" i="3"/>
  <c r="G2179" i="3"/>
  <c r="M2178" i="3"/>
  <c r="G2178" i="3"/>
  <c r="M2177" i="3"/>
  <c r="G2177" i="3"/>
  <c r="M2176" i="3"/>
  <c r="G2176" i="3"/>
  <c r="M2175" i="3"/>
  <c r="G2175" i="3"/>
  <c r="M2174" i="3"/>
  <c r="G2174" i="3"/>
  <c r="M2173" i="3"/>
  <c r="G2173" i="3"/>
  <c r="M2172" i="3"/>
  <c r="G2172" i="3"/>
  <c r="M2171" i="3"/>
  <c r="G2171" i="3"/>
  <c r="M2170" i="3"/>
  <c r="G2170" i="3"/>
  <c r="M2169" i="3"/>
  <c r="G2169" i="3"/>
  <c r="M2168" i="3"/>
  <c r="G2168" i="3"/>
  <c r="M2167" i="3"/>
  <c r="G2167" i="3"/>
  <c r="M2166" i="3"/>
  <c r="G2166" i="3"/>
  <c r="M2165" i="3"/>
  <c r="G2165" i="3"/>
  <c r="M2164" i="3"/>
  <c r="G2164" i="3"/>
  <c r="M2163" i="3"/>
  <c r="G2163" i="3"/>
  <c r="M2162" i="3"/>
  <c r="G2162" i="3"/>
  <c r="M2161" i="3"/>
  <c r="G2161" i="3"/>
  <c r="M2160" i="3"/>
  <c r="G2160" i="3"/>
  <c r="M2159" i="3"/>
  <c r="G2159" i="3"/>
  <c r="M2158" i="3"/>
  <c r="G2158" i="3"/>
  <c r="M2157" i="3"/>
  <c r="G2157" i="3"/>
  <c r="M2156" i="3"/>
  <c r="G2156" i="3"/>
  <c r="M2155" i="3"/>
  <c r="G2155" i="3"/>
  <c r="M2154" i="3"/>
  <c r="G2154" i="3"/>
  <c r="M2153" i="3"/>
  <c r="G2153" i="3"/>
  <c r="M2152" i="3"/>
  <c r="G2152" i="3"/>
  <c r="M2151" i="3"/>
  <c r="G2151" i="3"/>
  <c r="M2150" i="3"/>
  <c r="G2150" i="3"/>
  <c r="M2149" i="3"/>
  <c r="G2149" i="3"/>
  <c r="M2148" i="3"/>
  <c r="G2148" i="3"/>
  <c r="M2147" i="3"/>
  <c r="G2147" i="3"/>
  <c r="M2146" i="3"/>
  <c r="G2146" i="3"/>
  <c r="M2145" i="3"/>
  <c r="G2145" i="3"/>
  <c r="M2144" i="3"/>
  <c r="G2144" i="3"/>
  <c r="M2143" i="3"/>
  <c r="G2143" i="3"/>
  <c r="M2142" i="3"/>
  <c r="G2142" i="3"/>
  <c r="M2141" i="3"/>
  <c r="G2141" i="3"/>
  <c r="M2140" i="3"/>
  <c r="G2140" i="3"/>
  <c r="M2139" i="3"/>
  <c r="G2139" i="3"/>
  <c r="M2138" i="3"/>
  <c r="G2138" i="3"/>
  <c r="M2137" i="3"/>
  <c r="G2137" i="3"/>
  <c r="M2136" i="3"/>
  <c r="G2136" i="3"/>
  <c r="M2135" i="3"/>
  <c r="G2135" i="3"/>
  <c r="M2134" i="3"/>
  <c r="G2134" i="3"/>
  <c r="M2133" i="3"/>
  <c r="G2133" i="3"/>
  <c r="M2132" i="3"/>
  <c r="G2132" i="3"/>
  <c r="M2131" i="3"/>
  <c r="G2131" i="3"/>
  <c r="M2130" i="3"/>
  <c r="G2130" i="3"/>
  <c r="M2129" i="3"/>
  <c r="G2129" i="3"/>
  <c r="M2128" i="3"/>
  <c r="G2128" i="3"/>
  <c r="M2127" i="3"/>
  <c r="G2127" i="3"/>
  <c r="M2126" i="3"/>
  <c r="G2126" i="3"/>
  <c r="M2125" i="3"/>
  <c r="G2125" i="3"/>
  <c r="M2124" i="3"/>
  <c r="G2124" i="3"/>
  <c r="M2123" i="3"/>
  <c r="G2123" i="3"/>
  <c r="M2122" i="3"/>
  <c r="G2122" i="3"/>
  <c r="M2121" i="3"/>
  <c r="G2121" i="3"/>
  <c r="M2120" i="3"/>
  <c r="G2120" i="3"/>
  <c r="M2119" i="3"/>
  <c r="G2119" i="3"/>
  <c r="M2118" i="3"/>
  <c r="G2118" i="3"/>
  <c r="M2117" i="3"/>
  <c r="G2117" i="3"/>
  <c r="M2116" i="3"/>
  <c r="G2116" i="3"/>
  <c r="M2115" i="3"/>
  <c r="G2115" i="3"/>
  <c r="M2114" i="3"/>
  <c r="G2114" i="3"/>
  <c r="M2113" i="3"/>
  <c r="G2113" i="3"/>
  <c r="M2112" i="3"/>
  <c r="G2112" i="3"/>
  <c r="M2111" i="3"/>
  <c r="G2111" i="3"/>
  <c r="M2110" i="3"/>
  <c r="G2110" i="3"/>
  <c r="M2109" i="3"/>
  <c r="G2109" i="3"/>
  <c r="M2108" i="3"/>
  <c r="G2108" i="3"/>
  <c r="M2107" i="3"/>
  <c r="G2107" i="3"/>
  <c r="M2106" i="3"/>
  <c r="G2106" i="3"/>
  <c r="M2105" i="3"/>
  <c r="G2105" i="3"/>
  <c r="M2104" i="3"/>
  <c r="G2104" i="3"/>
  <c r="M2103" i="3"/>
  <c r="G2103" i="3"/>
  <c r="M2102" i="3"/>
  <c r="G2102" i="3"/>
  <c r="M2101" i="3"/>
  <c r="G2101" i="3"/>
  <c r="M2100" i="3"/>
  <c r="G2100" i="3"/>
  <c r="M2099" i="3"/>
  <c r="G2099" i="3"/>
  <c r="M2098" i="3"/>
  <c r="G2098" i="3"/>
  <c r="M2097" i="3"/>
  <c r="G2097" i="3"/>
  <c r="M2096" i="3"/>
  <c r="G2096" i="3"/>
  <c r="M2095" i="3"/>
  <c r="G2095" i="3"/>
  <c r="M2094" i="3"/>
  <c r="G2094" i="3"/>
  <c r="M2093" i="3"/>
  <c r="G2093" i="3"/>
  <c r="M2092" i="3"/>
  <c r="G2092" i="3"/>
  <c r="M2091" i="3"/>
  <c r="G2091" i="3"/>
  <c r="M2090" i="3"/>
  <c r="G2090" i="3"/>
  <c r="M2089" i="3"/>
  <c r="G2089" i="3"/>
  <c r="M2088" i="3"/>
  <c r="G2088" i="3"/>
  <c r="M2087" i="3"/>
  <c r="G2087" i="3"/>
  <c r="M2086" i="3"/>
  <c r="G2086" i="3"/>
  <c r="M2085" i="3"/>
  <c r="G2085" i="3"/>
  <c r="M2084" i="3"/>
  <c r="G2084" i="3"/>
  <c r="M2083" i="3"/>
  <c r="G2083" i="3"/>
  <c r="M2082" i="3"/>
  <c r="G2082" i="3"/>
  <c r="M2081" i="3"/>
  <c r="G2081" i="3"/>
  <c r="M2080" i="3"/>
  <c r="G2080" i="3"/>
  <c r="M2079" i="3"/>
  <c r="G2079" i="3"/>
  <c r="M2078" i="3"/>
  <c r="G2078" i="3"/>
  <c r="M2077" i="3"/>
  <c r="G2077" i="3"/>
  <c r="M2076" i="3"/>
  <c r="G2076" i="3"/>
  <c r="M2075" i="3"/>
  <c r="G2075" i="3"/>
  <c r="M2074" i="3"/>
  <c r="G2074" i="3"/>
  <c r="M2073" i="3"/>
  <c r="G2073" i="3"/>
  <c r="M2072" i="3"/>
  <c r="G2072" i="3"/>
  <c r="M2071" i="3"/>
  <c r="G2071" i="3"/>
  <c r="M2070" i="3"/>
  <c r="G2070" i="3"/>
  <c r="M2069" i="3"/>
  <c r="G2069" i="3"/>
  <c r="M2068" i="3"/>
  <c r="G2068" i="3"/>
  <c r="M2067" i="3"/>
  <c r="G2067" i="3"/>
  <c r="M2066" i="3"/>
  <c r="G2066" i="3"/>
  <c r="M2065" i="3"/>
  <c r="G2065" i="3"/>
  <c r="M2064" i="3"/>
  <c r="G2064" i="3"/>
  <c r="M2063" i="3"/>
  <c r="G2063" i="3"/>
  <c r="M2062" i="3"/>
  <c r="G2062" i="3"/>
  <c r="M2061" i="3"/>
  <c r="G2061" i="3"/>
  <c r="M2060" i="3"/>
  <c r="G2060" i="3"/>
  <c r="M2059" i="3"/>
  <c r="G2059" i="3"/>
  <c r="M2058" i="3"/>
  <c r="G2058" i="3"/>
  <c r="M2057" i="3"/>
  <c r="G2057" i="3"/>
  <c r="M2056" i="3"/>
  <c r="G2056" i="3"/>
  <c r="M2055" i="3"/>
  <c r="G2055" i="3"/>
  <c r="M2054" i="3"/>
  <c r="G2054" i="3"/>
  <c r="M2053" i="3"/>
  <c r="G2053" i="3"/>
  <c r="M2052" i="3"/>
  <c r="G2052" i="3"/>
  <c r="M2051" i="3"/>
  <c r="G2051" i="3"/>
  <c r="M2050" i="3"/>
  <c r="G2050" i="3"/>
  <c r="M2049" i="3"/>
  <c r="G2049" i="3"/>
  <c r="M2048" i="3"/>
  <c r="G2048" i="3"/>
  <c r="M2047" i="3"/>
  <c r="G2047" i="3"/>
  <c r="M2046" i="3"/>
  <c r="G2046" i="3"/>
  <c r="M2045" i="3"/>
  <c r="G2045" i="3"/>
  <c r="M2044" i="3"/>
  <c r="G2044" i="3"/>
  <c r="M2043" i="3"/>
  <c r="G2043" i="3"/>
  <c r="M2042" i="3"/>
  <c r="G2042" i="3"/>
  <c r="M2041" i="3"/>
  <c r="G2041" i="3"/>
  <c r="M2040" i="3"/>
  <c r="G2040" i="3"/>
  <c r="M2039" i="3"/>
  <c r="G2039" i="3"/>
  <c r="M2038" i="3"/>
  <c r="G2038" i="3"/>
  <c r="M2037" i="3"/>
  <c r="G2037" i="3"/>
  <c r="M2036" i="3"/>
  <c r="G2036" i="3"/>
  <c r="M2035" i="3"/>
  <c r="G2035" i="3"/>
  <c r="M2034" i="3"/>
  <c r="G2034" i="3"/>
  <c r="M2033" i="3"/>
  <c r="G2033" i="3"/>
  <c r="M2032" i="3"/>
  <c r="G2032" i="3"/>
  <c r="M2031" i="3"/>
  <c r="G2031" i="3"/>
  <c r="M2030" i="3"/>
  <c r="G2030" i="3"/>
  <c r="M2029" i="3"/>
  <c r="G2029" i="3"/>
  <c r="M2028" i="3"/>
  <c r="G2028" i="3"/>
  <c r="M2027" i="3"/>
  <c r="G2027" i="3"/>
  <c r="M2026" i="3"/>
  <c r="G2026" i="3"/>
  <c r="M2025" i="3"/>
  <c r="G2025" i="3"/>
  <c r="M2024" i="3"/>
  <c r="G2024" i="3"/>
  <c r="M2023" i="3"/>
  <c r="G2023" i="3"/>
  <c r="M2022" i="3"/>
  <c r="G2022" i="3"/>
  <c r="M2021" i="3"/>
  <c r="G2021" i="3"/>
  <c r="M2020" i="3"/>
  <c r="G2020" i="3"/>
  <c r="M2019" i="3"/>
  <c r="G2019" i="3"/>
  <c r="M2018" i="3"/>
  <c r="G2018" i="3"/>
  <c r="M2017" i="3"/>
  <c r="G2017" i="3"/>
  <c r="M2016" i="3"/>
  <c r="G2016" i="3"/>
  <c r="M2015" i="3"/>
  <c r="G2015" i="3"/>
  <c r="M2014" i="3"/>
  <c r="G2014" i="3"/>
  <c r="M2013" i="3"/>
  <c r="M2012" i="3"/>
  <c r="G2012" i="3"/>
  <c r="M2011" i="3"/>
  <c r="G2011" i="3"/>
  <c r="M2010" i="3"/>
  <c r="G2010" i="3"/>
  <c r="M2009" i="3"/>
  <c r="G2009" i="3"/>
  <c r="M2008" i="3"/>
  <c r="G2008" i="3"/>
  <c r="M2007" i="3"/>
  <c r="G2007" i="3"/>
  <c r="M2006" i="3"/>
  <c r="G2006" i="3"/>
  <c r="M2005" i="3"/>
  <c r="G2005" i="3"/>
  <c r="M2004" i="3"/>
  <c r="G2004" i="3"/>
  <c r="M2003" i="3"/>
  <c r="G2003" i="3"/>
  <c r="M2002" i="3"/>
  <c r="G2002" i="3"/>
  <c r="M2001" i="3"/>
  <c r="G2001" i="3"/>
  <c r="M2000" i="3"/>
  <c r="G2000" i="3"/>
  <c r="M1999" i="3"/>
  <c r="G1999" i="3"/>
  <c r="M1998" i="3"/>
  <c r="G1998" i="3"/>
  <c r="M1997" i="3"/>
  <c r="G1997" i="3"/>
  <c r="M1996" i="3"/>
  <c r="G1996" i="3"/>
  <c r="M1995" i="3"/>
  <c r="G1995" i="3"/>
  <c r="M1994" i="3"/>
  <c r="G1994" i="3"/>
  <c r="M1993" i="3"/>
  <c r="G1993" i="3"/>
  <c r="M1992" i="3"/>
  <c r="G1992" i="3"/>
  <c r="M1991" i="3"/>
  <c r="G1991" i="3"/>
  <c r="M1990" i="3"/>
  <c r="G1990" i="3"/>
  <c r="M1989" i="3"/>
  <c r="G1989" i="3"/>
  <c r="M1988" i="3"/>
  <c r="G1988" i="3"/>
  <c r="M1987" i="3"/>
  <c r="G1987" i="3"/>
  <c r="M1986" i="3"/>
  <c r="G1986" i="3"/>
  <c r="M1985" i="3"/>
  <c r="G1985" i="3"/>
  <c r="M1984" i="3"/>
  <c r="G1984" i="3"/>
  <c r="M1983" i="3"/>
  <c r="G1983" i="3"/>
  <c r="M1982" i="3"/>
  <c r="G1982" i="3"/>
  <c r="M1981" i="3"/>
  <c r="G1981" i="3"/>
  <c r="M1980" i="3"/>
  <c r="G1980" i="3"/>
  <c r="M1979" i="3"/>
  <c r="G1979" i="3"/>
  <c r="M1978" i="3"/>
  <c r="G1978" i="3"/>
  <c r="M1977" i="3"/>
  <c r="G1977" i="3"/>
  <c r="M1976" i="3"/>
  <c r="G1976" i="3"/>
  <c r="M1975" i="3"/>
  <c r="G1975" i="3"/>
  <c r="M1974" i="3"/>
  <c r="G1974" i="3"/>
  <c r="M1973" i="3"/>
  <c r="G1973" i="3"/>
  <c r="M1972" i="3"/>
  <c r="G1972" i="3"/>
  <c r="M1971" i="3"/>
  <c r="G1971" i="3"/>
  <c r="M1970" i="3"/>
  <c r="G1970" i="3"/>
  <c r="M1969" i="3"/>
  <c r="G1969" i="3"/>
  <c r="M1968" i="3"/>
  <c r="G1968" i="3"/>
  <c r="M1967" i="3"/>
  <c r="G1967" i="3"/>
  <c r="M1966" i="3"/>
  <c r="G1966" i="3"/>
  <c r="M1965" i="3"/>
  <c r="G1965" i="3"/>
  <c r="M1964" i="3"/>
  <c r="G1964" i="3"/>
  <c r="M1963" i="3"/>
  <c r="G1963" i="3"/>
  <c r="M1962" i="3"/>
  <c r="G1962" i="3"/>
  <c r="M1961" i="3"/>
  <c r="G1961" i="3"/>
  <c r="M1960" i="3"/>
  <c r="G1960" i="3"/>
  <c r="M1959" i="3"/>
  <c r="G1959" i="3"/>
  <c r="M1958" i="3"/>
  <c r="G1958" i="3"/>
  <c r="M1957" i="3"/>
  <c r="G1957" i="3"/>
  <c r="M1956" i="3"/>
  <c r="G1956" i="3"/>
  <c r="M1955" i="3"/>
  <c r="G1955" i="3"/>
  <c r="M1954" i="3"/>
  <c r="G1954" i="3"/>
  <c r="M1953" i="3"/>
  <c r="G1953" i="3"/>
  <c r="M1952" i="3"/>
  <c r="G1952" i="3"/>
  <c r="M1951" i="3"/>
  <c r="G1951" i="3"/>
  <c r="M1950" i="3"/>
  <c r="G1950" i="3"/>
  <c r="M1949" i="3"/>
  <c r="G1949" i="3"/>
  <c r="M1948" i="3"/>
  <c r="G1948" i="3"/>
  <c r="M1947" i="3"/>
  <c r="G1947" i="3"/>
  <c r="M1946" i="3"/>
  <c r="G1946" i="3"/>
  <c r="M1945" i="3"/>
  <c r="G1945" i="3"/>
  <c r="M1944" i="3"/>
  <c r="G1944" i="3"/>
  <c r="M1943" i="3"/>
  <c r="G1943" i="3"/>
  <c r="M1942" i="3"/>
  <c r="G1942" i="3"/>
  <c r="M1941" i="3"/>
  <c r="G1941" i="3"/>
  <c r="M1940" i="3"/>
  <c r="G1940" i="3"/>
  <c r="M1939" i="3"/>
  <c r="G1939" i="3"/>
  <c r="M1938" i="3"/>
  <c r="G1938" i="3"/>
  <c r="M1937" i="3"/>
  <c r="G1937" i="3"/>
  <c r="M1936" i="3"/>
  <c r="G1936" i="3"/>
  <c r="M1935" i="3"/>
  <c r="G1935" i="3"/>
  <c r="M1934" i="3"/>
  <c r="G1934" i="3"/>
  <c r="M1933" i="3"/>
  <c r="G1933" i="3"/>
  <c r="M1932" i="3"/>
  <c r="G1932" i="3"/>
  <c r="M1931" i="3"/>
  <c r="G1931" i="3"/>
  <c r="M1930" i="3"/>
  <c r="G1930" i="3"/>
  <c r="M1929" i="3"/>
  <c r="G1929" i="3"/>
  <c r="M1928" i="3"/>
  <c r="G1928" i="3"/>
  <c r="M1927" i="3"/>
  <c r="G1927" i="3"/>
  <c r="M1926" i="3"/>
  <c r="G1926" i="3"/>
  <c r="M1925" i="3"/>
  <c r="G1925" i="3"/>
  <c r="M1924" i="3"/>
  <c r="G1924" i="3"/>
  <c r="M1923" i="3"/>
  <c r="G1923" i="3"/>
  <c r="M1922" i="3"/>
  <c r="G1922" i="3"/>
  <c r="M1921" i="3"/>
  <c r="G1921" i="3"/>
  <c r="M1920" i="3"/>
  <c r="G1920" i="3"/>
  <c r="M1919" i="3"/>
  <c r="G1919" i="3"/>
  <c r="M1918" i="3"/>
  <c r="G1918" i="3"/>
  <c r="M1917" i="3"/>
  <c r="G1917" i="3"/>
  <c r="M1916" i="3"/>
  <c r="G1916" i="3"/>
  <c r="M1915" i="3"/>
  <c r="G1915" i="3"/>
  <c r="M1914" i="3"/>
  <c r="G1914" i="3"/>
  <c r="M1913" i="3"/>
  <c r="G1913" i="3"/>
  <c r="M1912" i="3"/>
  <c r="G1912" i="3"/>
  <c r="M1911" i="3"/>
  <c r="G1911" i="3"/>
  <c r="M1910" i="3"/>
  <c r="G1910" i="3"/>
  <c r="M1909" i="3"/>
  <c r="G1909" i="3"/>
  <c r="M1908" i="3"/>
  <c r="G1908" i="3"/>
  <c r="M1907" i="3"/>
  <c r="G1907" i="3"/>
  <c r="M1906" i="3"/>
  <c r="G1906" i="3"/>
  <c r="M1905" i="3"/>
  <c r="G1905" i="3"/>
  <c r="M1904" i="3"/>
  <c r="G1904" i="3"/>
  <c r="M1903" i="3"/>
  <c r="G1903" i="3"/>
  <c r="M1902" i="3"/>
  <c r="G1902" i="3"/>
  <c r="M1901" i="3"/>
  <c r="G1901" i="3"/>
  <c r="M1900" i="3"/>
  <c r="G1900" i="3"/>
  <c r="M1899" i="3"/>
  <c r="G1899" i="3"/>
  <c r="M1898" i="3"/>
  <c r="G1898" i="3"/>
  <c r="M1897" i="3"/>
  <c r="G1897" i="3"/>
  <c r="M1896" i="3"/>
  <c r="G1896" i="3"/>
  <c r="M1895" i="3"/>
  <c r="G1895" i="3"/>
  <c r="M1894" i="3"/>
  <c r="G1894" i="3"/>
  <c r="M1893" i="3"/>
  <c r="G1893" i="3"/>
  <c r="M1892" i="3"/>
  <c r="G1892" i="3"/>
  <c r="M1891" i="3"/>
  <c r="G1891" i="3"/>
  <c r="M1890" i="3"/>
  <c r="G1890" i="3"/>
  <c r="M1889" i="3"/>
  <c r="G1889" i="3"/>
  <c r="M1888" i="3"/>
  <c r="G1888" i="3"/>
  <c r="M1887" i="3"/>
  <c r="G1887" i="3"/>
  <c r="M1886" i="3"/>
  <c r="G1886" i="3"/>
  <c r="M1885" i="3"/>
  <c r="G1885" i="3"/>
  <c r="M1884" i="3"/>
  <c r="G1884" i="3"/>
  <c r="M1883" i="3"/>
  <c r="G1883" i="3"/>
  <c r="M1882" i="3"/>
  <c r="G1882" i="3"/>
  <c r="M1881" i="3"/>
  <c r="G1881" i="3"/>
  <c r="M1880" i="3"/>
  <c r="G1880" i="3"/>
  <c r="M1879" i="3"/>
  <c r="G1879" i="3"/>
  <c r="M1878" i="3"/>
  <c r="G1878" i="3"/>
  <c r="M1877" i="3"/>
  <c r="G1877" i="3"/>
  <c r="M1876" i="3"/>
  <c r="G1876" i="3"/>
  <c r="M1875" i="3"/>
  <c r="G1875" i="3"/>
  <c r="M1874" i="3"/>
  <c r="G1874" i="3"/>
  <c r="M1873" i="3"/>
  <c r="G1873" i="3"/>
  <c r="M1872" i="3"/>
  <c r="G1872" i="3"/>
  <c r="M1871" i="3"/>
  <c r="G1871" i="3"/>
  <c r="M1870" i="3"/>
  <c r="G1870" i="3"/>
  <c r="M1869" i="3"/>
  <c r="G1869" i="3"/>
  <c r="M1868" i="3"/>
  <c r="G1868" i="3"/>
  <c r="M1867" i="3"/>
  <c r="G1867" i="3"/>
  <c r="M1866" i="3"/>
  <c r="G1866" i="3"/>
  <c r="M1865" i="3"/>
  <c r="G1865" i="3"/>
  <c r="M1864" i="3"/>
  <c r="G1864" i="3"/>
  <c r="M1863" i="3"/>
  <c r="G1863" i="3"/>
  <c r="M1862" i="3"/>
  <c r="G1862" i="3"/>
  <c r="M1861" i="3"/>
  <c r="G1861" i="3"/>
  <c r="M1860" i="3"/>
  <c r="G1860" i="3"/>
  <c r="M1859" i="3"/>
  <c r="G1859" i="3"/>
  <c r="M1858" i="3"/>
  <c r="G1858" i="3"/>
  <c r="M1857" i="3"/>
  <c r="G1857" i="3"/>
  <c r="M1856" i="3"/>
  <c r="G1856" i="3"/>
  <c r="M1855" i="3"/>
  <c r="G1855" i="3"/>
  <c r="M1854" i="3"/>
  <c r="G1854" i="3"/>
  <c r="M1853" i="3"/>
  <c r="G1853" i="3"/>
  <c r="M1852" i="3"/>
  <c r="G1852" i="3"/>
  <c r="M1851" i="3"/>
  <c r="G1851" i="3"/>
  <c r="M1850" i="3"/>
  <c r="G1850" i="3"/>
  <c r="M1849" i="3"/>
  <c r="G1849" i="3"/>
  <c r="M1848" i="3"/>
  <c r="G1848" i="3"/>
  <c r="M1847" i="3"/>
  <c r="G1847" i="3"/>
  <c r="M1846" i="3"/>
  <c r="G1846" i="3"/>
  <c r="M1845" i="3"/>
  <c r="G1845" i="3"/>
  <c r="M1844" i="3"/>
  <c r="G1844" i="3"/>
  <c r="M1843" i="3"/>
  <c r="G1843" i="3"/>
  <c r="M1842" i="3"/>
  <c r="G1842" i="3"/>
  <c r="M1841" i="3"/>
  <c r="G1841" i="3"/>
  <c r="M1840" i="3"/>
  <c r="G1840" i="3"/>
  <c r="M1839" i="3"/>
  <c r="G1839" i="3"/>
  <c r="M1838" i="3"/>
  <c r="G1838" i="3"/>
  <c r="M1837" i="3"/>
  <c r="G1837" i="3"/>
  <c r="M1836" i="3"/>
  <c r="G1836" i="3"/>
  <c r="M1835" i="3"/>
  <c r="G1835" i="3"/>
  <c r="M1834" i="3"/>
  <c r="G1834" i="3"/>
  <c r="M1833" i="3"/>
  <c r="G1833" i="3"/>
  <c r="M1832" i="3"/>
  <c r="G1832" i="3"/>
  <c r="M1831" i="3"/>
  <c r="G1831" i="3"/>
  <c r="M1830" i="3"/>
  <c r="G1830" i="3"/>
  <c r="M1829" i="3"/>
  <c r="G1829" i="3"/>
  <c r="M1828" i="3"/>
  <c r="G1828" i="3"/>
  <c r="M1827" i="3"/>
  <c r="G1827" i="3"/>
  <c r="M1826" i="3"/>
  <c r="G1826" i="3"/>
  <c r="M1825" i="3"/>
  <c r="G1825" i="3"/>
  <c r="M1824" i="3"/>
  <c r="G1824" i="3"/>
  <c r="M1823" i="3"/>
  <c r="G1823" i="3"/>
  <c r="M1822" i="3"/>
  <c r="G1822" i="3"/>
  <c r="M1821" i="3"/>
  <c r="G1821" i="3"/>
  <c r="M1820" i="3"/>
  <c r="G1820" i="3"/>
  <c r="M1819" i="3"/>
  <c r="G1819" i="3"/>
  <c r="M1818" i="3"/>
  <c r="G1818" i="3"/>
  <c r="M1817" i="3"/>
  <c r="G1817" i="3"/>
  <c r="M1816" i="3"/>
  <c r="G1816" i="3"/>
  <c r="M1815" i="3"/>
  <c r="G1815" i="3"/>
  <c r="M1814" i="3"/>
  <c r="G1814" i="3"/>
  <c r="M1813" i="3"/>
  <c r="G1813" i="3"/>
  <c r="M1812" i="3"/>
  <c r="G1812" i="3"/>
  <c r="M1811" i="3"/>
  <c r="G1811" i="3"/>
  <c r="M1810" i="3"/>
  <c r="G1810" i="3"/>
  <c r="M1809" i="3"/>
  <c r="G1809" i="3"/>
  <c r="M1808" i="3"/>
  <c r="G1808" i="3"/>
  <c r="M1807" i="3"/>
  <c r="G1807" i="3"/>
  <c r="M1806" i="3"/>
  <c r="G1806" i="3"/>
  <c r="M1805" i="3"/>
  <c r="G1805" i="3"/>
  <c r="M1804" i="3"/>
  <c r="G1804" i="3"/>
  <c r="M1803" i="3"/>
  <c r="G1803" i="3"/>
  <c r="M1802" i="3"/>
  <c r="G1802" i="3"/>
  <c r="M1801" i="3"/>
  <c r="G1801" i="3"/>
  <c r="M1800" i="3"/>
  <c r="G1800" i="3"/>
  <c r="M1799" i="3"/>
  <c r="G1799" i="3"/>
  <c r="M1798" i="3"/>
  <c r="G1798" i="3"/>
  <c r="M1797" i="3"/>
  <c r="G1797" i="3"/>
  <c r="M1796" i="3"/>
  <c r="G1796" i="3"/>
  <c r="M1795" i="3"/>
  <c r="G1795" i="3"/>
  <c r="M1794" i="3"/>
  <c r="G1794" i="3"/>
  <c r="M1793" i="3"/>
  <c r="G1793" i="3"/>
  <c r="M1792" i="3"/>
  <c r="G1792" i="3"/>
  <c r="M1791" i="3"/>
  <c r="G1791" i="3"/>
  <c r="M1790" i="3"/>
  <c r="G1790" i="3"/>
  <c r="M1789" i="3"/>
  <c r="G1789" i="3"/>
  <c r="M1788" i="3"/>
  <c r="G1788" i="3"/>
  <c r="M1787" i="3"/>
  <c r="G1787" i="3"/>
  <c r="M1786" i="3"/>
  <c r="G1786" i="3"/>
  <c r="M1785" i="3"/>
  <c r="G1785" i="3"/>
  <c r="M1784" i="3"/>
  <c r="G1784" i="3"/>
  <c r="M1783" i="3"/>
  <c r="G1783" i="3"/>
  <c r="M1782" i="3"/>
  <c r="G1782" i="3"/>
  <c r="M1781" i="3"/>
  <c r="G1781" i="3"/>
  <c r="M1780" i="3"/>
  <c r="G1780" i="3"/>
  <c r="M1779" i="3"/>
  <c r="G1779" i="3"/>
  <c r="M1778" i="3"/>
  <c r="G1778" i="3"/>
  <c r="M1777" i="3"/>
  <c r="G1777" i="3"/>
  <c r="M1776" i="3"/>
  <c r="G1776" i="3"/>
  <c r="M1775" i="3"/>
  <c r="G1775" i="3"/>
  <c r="M1774" i="3"/>
  <c r="G1774" i="3"/>
  <c r="M1773" i="3"/>
  <c r="G1773" i="3"/>
  <c r="M1772" i="3"/>
  <c r="G1772" i="3"/>
  <c r="M1771" i="3"/>
  <c r="G1771" i="3"/>
  <c r="M1770" i="3"/>
  <c r="G1770" i="3"/>
  <c r="M1769" i="3"/>
  <c r="G1769" i="3"/>
  <c r="M1768" i="3"/>
  <c r="G1768" i="3"/>
  <c r="M1767" i="3"/>
  <c r="G1767" i="3"/>
  <c r="M1766" i="3"/>
  <c r="G1766" i="3"/>
  <c r="M1765" i="3"/>
  <c r="G1765" i="3"/>
  <c r="M1764" i="3"/>
  <c r="G1764" i="3"/>
  <c r="M1763" i="3"/>
  <c r="G1763" i="3"/>
  <c r="M1762" i="3"/>
  <c r="G1762" i="3"/>
  <c r="M1761" i="3"/>
  <c r="G1761" i="3"/>
  <c r="M1760" i="3"/>
  <c r="G1760" i="3"/>
  <c r="M1759" i="3"/>
  <c r="G1759" i="3"/>
  <c r="M1758" i="3"/>
  <c r="G1758" i="3"/>
  <c r="M1757" i="3"/>
  <c r="G1757" i="3"/>
  <c r="M1756" i="3"/>
  <c r="G1756" i="3"/>
  <c r="M1755" i="3"/>
  <c r="G1755" i="3"/>
  <c r="M1754" i="3"/>
  <c r="G1754" i="3"/>
  <c r="M1753" i="3"/>
  <c r="G1753" i="3"/>
  <c r="M1752" i="3"/>
  <c r="G1752" i="3"/>
  <c r="M1751" i="3"/>
  <c r="G1751" i="3"/>
  <c r="M1750" i="3"/>
  <c r="G1750" i="3"/>
  <c r="M1749" i="3"/>
  <c r="G1749" i="3"/>
  <c r="M1748" i="3"/>
  <c r="G1748" i="3"/>
  <c r="M1747" i="3"/>
  <c r="G1747" i="3"/>
  <c r="M1746" i="3"/>
  <c r="G1746" i="3"/>
  <c r="M1745" i="3"/>
  <c r="G1745" i="3"/>
  <c r="M1744" i="3"/>
  <c r="G1744" i="3"/>
  <c r="M1743" i="3"/>
  <c r="G1743" i="3"/>
  <c r="M1742" i="3"/>
  <c r="G1742" i="3"/>
  <c r="M1741" i="3"/>
  <c r="G1741" i="3"/>
  <c r="M1740" i="3"/>
  <c r="G1740" i="3"/>
  <c r="M1739" i="3"/>
  <c r="G1739" i="3"/>
  <c r="M1738" i="3"/>
  <c r="G1738" i="3"/>
  <c r="M1737" i="3"/>
  <c r="G1737" i="3"/>
  <c r="M1736" i="3"/>
  <c r="G1736" i="3"/>
  <c r="M1735" i="3"/>
  <c r="G1735" i="3"/>
  <c r="M1734" i="3"/>
  <c r="G1734" i="3"/>
  <c r="M1733" i="3"/>
  <c r="G1733" i="3"/>
  <c r="M1732" i="3"/>
  <c r="G1732" i="3"/>
  <c r="M1731" i="3"/>
  <c r="G1731" i="3"/>
  <c r="M1730" i="3"/>
  <c r="G1730" i="3"/>
  <c r="M1729" i="3"/>
  <c r="G1729" i="3"/>
  <c r="M1728" i="3"/>
  <c r="G1728" i="3"/>
  <c r="M1727" i="3"/>
  <c r="G1727" i="3"/>
  <c r="M1726" i="3"/>
  <c r="G1726" i="3"/>
  <c r="M1725" i="3"/>
  <c r="G1725" i="3"/>
  <c r="M1724" i="3"/>
  <c r="G1724" i="3"/>
  <c r="M1723" i="3"/>
  <c r="G1723" i="3"/>
  <c r="M1722" i="3"/>
  <c r="G1722" i="3"/>
  <c r="M1721" i="3"/>
  <c r="G1721" i="3"/>
  <c r="M1720" i="3"/>
  <c r="G1720" i="3"/>
  <c r="M1719" i="3"/>
  <c r="G1719" i="3"/>
  <c r="M1718" i="3"/>
  <c r="G1718" i="3"/>
  <c r="M1717" i="3"/>
  <c r="G1717" i="3"/>
  <c r="M1716" i="3"/>
  <c r="G1716" i="3"/>
  <c r="M1715" i="3"/>
  <c r="G1715" i="3"/>
  <c r="M1714" i="3"/>
  <c r="G1714" i="3"/>
  <c r="M1713" i="3"/>
  <c r="G1713" i="3"/>
  <c r="M1712" i="3"/>
  <c r="G1712" i="3"/>
  <c r="M1711" i="3"/>
  <c r="G1711" i="3"/>
  <c r="M1710" i="3"/>
  <c r="G1710" i="3"/>
  <c r="M1709" i="3"/>
  <c r="G1709" i="3"/>
  <c r="M1708" i="3"/>
  <c r="G1708" i="3"/>
  <c r="M1707" i="3"/>
  <c r="G1707" i="3"/>
  <c r="M1706" i="3"/>
  <c r="G1706" i="3"/>
  <c r="M1705" i="3"/>
  <c r="G1705" i="3"/>
  <c r="M1704" i="3"/>
  <c r="G1704" i="3"/>
  <c r="M1703" i="3"/>
  <c r="G1703" i="3"/>
  <c r="M1702" i="3"/>
  <c r="G1702" i="3"/>
  <c r="M1701" i="3"/>
  <c r="G1701" i="3"/>
  <c r="M1700" i="3"/>
  <c r="G1700" i="3"/>
  <c r="M1699" i="3"/>
  <c r="G1699" i="3"/>
  <c r="M1698" i="3"/>
  <c r="G1698" i="3"/>
  <c r="M1697" i="3"/>
  <c r="G1697" i="3"/>
  <c r="M1696" i="3"/>
  <c r="G1696" i="3"/>
  <c r="M1695" i="3"/>
  <c r="G1695" i="3"/>
  <c r="M1694" i="3"/>
  <c r="G1694" i="3"/>
  <c r="M1693" i="3"/>
  <c r="G1693" i="3"/>
  <c r="M1692" i="3"/>
  <c r="G1692" i="3"/>
  <c r="M1691" i="3"/>
  <c r="G1691" i="3"/>
  <c r="M1690" i="3"/>
  <c r="G1690" i="3"/>
  <c r="M1689" i="3"/>
  <c r="G1689" i="3"/>
  <c r="M1688" i="3"/>
  <c r="G1688" i="3"/>
  <c r="M1687" i="3"/>
  <c r="G1687" i="3"/>
  <c r="M1686" i="3"/>
  <c r="G1686" i="3"/>
  <c r="M1685" i="3"/>
  <c r="G1685" i="3"/>
  <c r="M1684" i="3"/>
  <c r="G1684" i="3"/>
  <c r="M1683" i="3"/>
  <c r="M1682" i="3"/>
  <c r="G1682" i="3"/>
  <c r="M1681" i="3"/>
  <c r="G1681" i="3"/>
  <c r="M1680" i="3"/>
  <c r="G1680" i="3"/>
  <c r="M1679" i="3"/>
  <c r="G1679" i="3"/>
  <c r="M1678" i="3"/>
  <c r="G1678" i="3"/>
  <c r="M1677" i="3"/>
  <c r="G1677" i="3"/>
  <c r="M1676" i="3"/>
  <c r="G1676" i="3"/>
  <c r="M1675" i="3"/>
  <c r="G1675" i="3"/>
  <c r="M1674" i="3"/>
  <c r="G1674" i="3"/>
  <c r="M1673" i="3"/>
  <c r="G1673" i="3"/>
  <c r="M1672" i="3"/>
  <c r="G1672" i="3"/>
  <c r="M1671" i="3"/>
  <c r="G1671" i="3"/>
  <c r="M1670" i="3"/>
  <c r="G1670" i="3"/>
  <c r="M1669" i="3"/>
  <c r="G1669" i="3"/>
  <c r="M1668" i="3"/>
  <c r="G1668" i="3"/>
  <c r="M1667" i="3"/>
  <c r="G1667" i="3"/>
  <c r="M1666" i="3"/>
  <c r="G1666" i="3"/>
  <c r="M1665" i="3"/>
  <c r="G1665" i="3"/>
  <c r="M1664" i="3"/>
  <c r="G1664" i="3"/>
  <c r="M1663" i="3"/>
  <c r="G1663" i="3"/>
  <c r="M1662" i="3"/>
  <c r="G1662" i="3"/>
  <c r="M1661" i="3"/>
  <c r="G1661" i="3"/>
  <c r="M1660" i="3"/>
  <c r="G1660" i="3"/>
  <c r="M1659" i="3"/>
  <c r="G1659" i="3"/>
  <c r="M1658" i="3"/>
  <c r="G1658" i="3"/>
  <c r="M1657" i="3"/>
  <c r="G1657" i="3"/>
  <c r="M1656" i="3"/>
  <c r="G1656" i="3"/>
  <c r="M1655" i="3"/>
  <c r="G1655" i="3"/>
  <c r="M1654" i="3"/>
  <c r="G1654" i="3"/>
  <c r="M1653" i="3"/>
  <c r="G1653" i="3"/>
  <c r="M1652" i="3"/>
  <c r="G1652" i="3"/>
  <c r="M1651" i="3"/>
  <c r="G1651" i="3"/>
  <c r="M1650" i="3"/>
  <c r="G1650" i="3"/>
  <c r="M1649" i="3"/>
  <c r="G1649" i="3"/>
  <c r="M1648" i="3"/>
  <c r="G1648" i="3"/>
  <c r="M1647" i="3"/>
  <c r="G1647" i="3"/>
  <c r="M1646" i="3"/>
  <c r="G1646" i="3"/>
  <c r="M1645" i="3"/>
  <c r="G1645" i="3"/>
  <c r="M1644" i="3"/>
  <c r="G1644" i="3"/>
  <c r="M1643" i="3"/>
  <c r="G1643" i="3"/>
  <c r="M1642" i="3"/>
  <c r="G1642" i="3"/>
  <c r="M1641" i="3"/>
  <c r="G1641" i="3"/>
  <c r="M1640" i="3"/>
  <c r="G1640" i="3"/>
  <c r="M1639" i="3"/>
  <c r="G1639" i="3"/>
  <c r="M1638" i="3"/>
  <c r="G1638" i="3"/>
  <c r="M1637" i="3"/>
  <c r="G1637" i="3"/>
  <c r="M1636" i="3"/>
  <c r="G1636" i="3"/>
  <c r="M1635" i="3"/>
  <c r="G1635" i="3"/>
  <c r="M1634" i="3"/>
  <c r="G1634" i="3"/>
  <c r="M1633" i="3"/>
  <c r="G1633" i="3"/>
  <c r="M1632" i="3"/>
  <c r="G1632" i="3"/>
  <c r="M1631" i="3"/>
  <c r="G1631" i="3"/>
  <c r="M1630" i="3"/>
  <c r="G1630" i="3"/>
  <c r="M1629" i="3"/>
  <c r="G1629" i="3"/>
  <c r="M1628" i="3"/>
  <c r="G1628" i="3"/>
  <c r="M1627" i="3"/>
  <c r="G1627" i="3"/>
  <c r="M1626" i="3"/>
  <c r="G1626" i="3"/>
  <c r="M1625" i="3"/>
  <c r="G1625" i="3"/>
  <c r="M1624" i="3"/>
  <c r="G1624" i="3"/>
  <c r="M1623" i="3"/>
  <c r="G1623" i="3"/>
  <c r="M1622" i="3"/>
  <c r="G1622" i="3"/>
  <c r="M1621" i="3"/>
  <c r="G1621" i="3"/>
  <c r="M1620" i="3"/>
  <c r="G1620" i="3"/>
  <c r="M1619" i="3"/>
  <c r="G1619" i="3"/>
  <c r="M1618" i="3"/>
  <c r="G1618" i="3"/>
  <c r="M1617" i="3"/>
  <c r="G1617" i="3"/>
  <c r="M1616" i="3"/>
  <c r="G1616" i="3"/>
  <c r="M1615" i="3"/>
  <c r="G1615" i="3"/>
  <c r="M1614" i="3"/>
  <c r="G1614" i="3"/>
  <c r="M1613" i="3"/>
  <c r="G1613" i="3"/>
  <c r="M1612" i="3"/>
  <c r="G1612" i="3"/>
  <c r="M1611" i="3"/>
  <c r="G1611" i="3"/>
  <c r="M1610" i="3"/>
  <c r="G1610" i="3"/>
  <c r="M1609" i="3"/>
  <c r="G1609" i="3"/>
  <c r="M1608" i="3"/>
  <c r="G1608" i="3"/>
  <c r="M1607" i="3"/>
  <c r="G1607" i="3"/>
  <c r="M1606" i="3"/>
  <c r="G1606" i="3"/>
  <c r="M1605" i="3"/>
  <c r="G1605" i="3"/>
  <c r="M1604" i="3"/>
  <c r="G1604" i="3"/>
  <c r="M1603" i="3"/>
  <c r="G1603" i="3"/>
  <c r="M1602" i="3"/>
  <c r="G1602" i="3"/>
  <c r="M1601" i="3"/>
  <c r="G1601" i="3"/>
  <c r="M1600" i="3"/>
  <c r="G1600" i="3"/>
  <c r="M1599" i="3"/>
  <c r="G1599" i="3"/>
  <c r="M1598" i="3"/>
  <c r="G1598" i="3"/>
  <c r="M1597" i="3"/>
  <c r="G1597" i="3"/>
  <c r="M1596" i="3"/>
  <c r="G1596" i="3"/>
  <c r="M1595" i="3"/>
  <c r="G1595" i="3"/>
  <c r="M1594" i="3"/>
  <c r="G1594" i="3"/>
  <c r="M1593" i="3"/>
  <c r="G1593" i="3"/>
  <c r="M1592" i="3"/>
  <c r="G1592" i="3"/>
  <c r="M1591" i="3"/>
  <c r="G1591" i="3"/>
  <c r="M1590" i="3"/>
  <c r="G1590" i="3"/>
  <c r="M1589" i="3"/>
  <c r="G1589" i="3"/>
  <c r="M1588" i="3"/>
  <c r="G1588" i="3"/>
  <c r="M1587" i="3"/>
  <c r="G1587" i="3"/>
  <c r="M1586" i="3"/>
  <c r="G1586" i="3"/>
  <c r="M1585" i="3"/>
  <c r="G1585" i="3"/>
  <c r="M1584" i="3"/>
  <c r="G1584" i="3"/>
  <c r="M1583" i="3"/>
  <c r="G1583" i="3"/>
  <c r="M1582" i="3"/>
  <c r="G1582" i="3"/>
  <c r="M1581" i="3"/>
  <c r="G1581" i="3"/>
  <c r="M1580" i="3"/>
  <c r="G1580" i="3"/>
  <c r="M1579" i="3"/>
  <c r="G1579" i="3"/>
  <c r="M1578" i="3"/>
  <c r="G1578" i="3"/>
  <c r="M1577" i="3"/>
  <c r="G1577" i="3"/>
  <c r="M1576" i="3"/>
  <c r="G1576" i="3"/>
  <c r="M1575" i="3"/>
  <c r="G1575" i="3"/>
  <c r="M1574" i="3"/>
  <c r="G1574" i="3"/>
  <c r="M1573" i="3"/>
  <c r="G1573" i="3"/>
  <c r="M1572" i="3"/>
  <c r="G1572" i="3"/>
  <c r="M1571" i="3"/>
  <c r="G1571" i="3"/>
  <c r="M1570" i="3"/>
  <c r="G1570" i="3"/>
  <c r="M1569" i="3"/>
  <c r="G1569" i="3"/>
  <c r="M1568" i="3"/>
  <c r="G1568" i="3"/>
  <c r="M1567" i="3"/>
  <c r="G1567" i="3"/>
  <c r="M1566" i="3"/>
  <c r="G1566" i="3"/>
  <c r="M1565" i="3"/>
  <c r="G1565" i="3"/>
  <c r="M1564" i="3"/>
  <c r="G1564" i="3"/>
  <c r="M1563" i="3"/>
  <c r="G1563" i="3"/>
  <c r="M1562" i="3"/>
  <c r="G1562" i="3"/>
  <c r="M1561" i="3"/>
  <c r="G1561" i="3"/>
  <c r="M1560" i="3"/>
  <c r="G1560" i="3"/>
  <c r="M1559" i="3"/>
  <c r="G1559" i="3"/>
  <c r="M1558" i="3"/>
  <c r="G1558" i="3"/>
  <c r="M1557" i="3"/>
  <c r="G1557" i="3"/>
  <c r="M1556" i="3"/>
  <c r="G1556" i="3"/>
  <c r="M1555" i="3"/>
  <c r="G1555" i="3"/>
  <c r="M1554" i="3"/>
  <c r="G1554" i="3"/>
  <c r="M1553" i="3"/>
  <c r="G1553" i="3"/>
  <c r="M1552" i="3"/>
  <c r="G1552" i="3"/>
  <c r="M1551" i="3"/>
  <c r="G1551" i="3"/>
  <c r="M1550" i="3"/>
  <c r="G1550" i="3"/>
  <c r="M1549" i="3"/>
  <c r="G1549" i="3"/>
  <c r="M1548" i="3"/>
  <c r="G1548" i="3"/>
  <c r="M1547" i="3"/>
  <c r="G1547" i="3"/>
  <c r="M1546" i="3"/>
  <c r="G1546" i="3"/>
  <c r="M1545" i="3"/>
  <c r="G1545" i="3"/>
  <c r="M1544" i="3"/>
  <c r="G1544" i="3"/>
  <c r="M1543" i="3"/>
  <c r="G1543" i="3"/>
  <c r="M1542" i="3"/>
  <c r="G1542" i="3"/>
  <c r="M1541" i="3"/>
  <c r="M1540" i="3"/>
  <c r="M1539" i="3"/>
  <c r="M1538" i="3"/>
  <c r="G1538" i="3"/>
  <c r="M1537" i="3"/>
  <c r="G1537" i="3"/>
  <c r="M1536" i="3"/>
  <c r="G1536" i="3"/>
  <c r="M1535" i="3"/>
  <c r="M1534" i="3"/>
  <c r="G1534" i="3"/>
  <c r="M1533" i="3"/>
  <c r="G1533" i="3"/>
  <c r="M1532" i="3"/>
  <c r="G1532" i="3"/>
  <c r="M1531" i="3"/>
  <c r="G1531" i="3"/>
  <c r="M1530" i="3"/>
  <c r="G1530" i="3"/>
  <c r="M1529" i="3"/>
  <c r="G1529" i="3"/>
  <c r="M1528" i="3"/>
  <c r="G1528" i="3"/>
  <c r="M1527" i="3"/>
  <c r="G1527" i="3"/>
  <c r="M1526" i="3"/>
  <c r="G1526" i="3"/>
  <c r="M1525" i="3"/>
  <c r="G1525" i="3"/>
  <c r="M1524" i="3"/>
  <c r="G1524" i="3"/>
  <c r="M1523" i="3"/>
  <c r="G1523" i="3"/>
  <c r="M1522" i="3"/>
  <c r="G1522" i="3"/>
  <c r="M1521" i="3"/>
  <c r="G1521" i="3"/>
  <c r="M1520" i="3"/>
  <c r="G1520" i="3"/>
  <c r="M1519" i="3"/>
  <c r="G1519" i="3"/>
  <c r="M1518" i="3"/>
  <c r="G1518" i="3"/>
  <c r="M1517" i="3"/>
  <c r="G1517" i="3"/>
  <c r="M1516" i="3"/>
  <c r="G1516" i="3"/>
  <c r="M1515" i="3"/>
  <c r="G1515" i="3"/>
  <c r="M1514" i="3"/>
  <c r="G1514" i="3"/>
  <c r="M1513" i="3"/>
  <c r="G1513" i="3"/>
  <c r="M1512" i="3"/>
  <c r="G1512" i="3"/>
  <c r="M1511" i="3"/>
  <c r="G1511" i="3"/>
  <c r="M1510" i="3"/>
  <c r="G1510" i="3"/>
  <c r="M1509" i="3"/>
  <c r="G1509" i="3"/>
  <c r="M1508" i="3"/>
  <c r="G1508" i="3"/>
  <c r="M1507" i="3"/>
  <c r="G1507" i="3"/>
  <c r="M1506" i="3"/>
  <c r="G1506" i="3"/>
  <c r="M1505" i="3"/>
  <c r="G1505" i="3"/>
  <c r="M1504" i="3"/>
  <c r="G1504" i="3"/>
  <c r="M1503" i="3"/>
  <c r="G1503" i="3"/>
  <c r="M1502" i="3"/>
  <c r="G1502" i="3"/>
  <c r="M1501" i="3"/>
  <c r="G1501" i="3"/>
  <c r="M1500" i="3"/>
  <c r="G1500" i="3"/>
  <c r="M1499" i="3"/>
  <c r="G1499" i="3"/>
  <c r="M1498" i="3"/>
  <c r="G1498" i="3"/>
  <c r="M1497" i="3"/>
  <c r="G1497" i="3"/>
  <c r="M1496" i="3"/>
  <c r="G1496" i="3"/>
  <c r="M1495" i="3"/>
  <c r="G1495" i="3"/>
  <c r="M1494" i="3"/>
  <c r="G1494" i="3"/>
  <c r="M1493" i="3"/>
  <c r="G1493" i="3"/>
  <c r="M1492" i="3"/>
  <c r="G1492" i="3"/>
  <c r="M1491" i="3"/>
  <c r="G1491" i="3"/>
  <c r="M1490" i="3"/>
  <c r="G1490" i="3"/>
  <c r="M1489" i="3"/>
  <c r="G1489" i="3"/>
  <c r="M1488" i="3"/>
  <c r="G1488" i="3"/>
  <c r="M1487" i="3"/>
  <c r="G1487" i="3"/>
  <c r="M1486" i="3"/>
  <c r="G1486" i="3"/>
  <c r="M1485" i="3"/>
  <c r="G1485" i="3"/>
  <c r="M1484" i="3"/>
  <c r="G1484" i="3"/>
  <c r="M1483" i="3"/>
  <c r="G1483" i="3"/>
  <c r="M1482" i="3"/>
  <c r="G1482" i="3"/>
  <c r="M1481" i="3"/>
  <c r="G1481" i="3"/>
  <c r="M1480" i="3"/>
  <c r="G1480" i="3"/>
  <c r="M1479" i="3"/>
  <c r="G1479" i="3"/>
  <c r="M1478" i="3"/>
  <c r="G1478" i="3"/>
  <c r="M1477" i="3"/>
  <c r="G1477" i="3"/>
  <c r="M1476" i="3"/>
  <c r="G1476" i="3"/>
  <c r="M1475" i="3"/>
  <c r="G1475" i="3"/>
  <c r="M1474" i="3"/>
  <c r="G1474" i="3"/>
  <c r="M1473" i="3"/>
  <c r="G1473" i="3"/>
  <c r="M1472" i="3"/>
  <c r="G1472" i="3"/>
  <c r="M1471" i="3"/>
  <c r="G1471" i="3"/>
  <c r="M1470" i="3"/>
  <c r="G1470" i="3"/>
  <c r="M1469" i="3"/>
  <c r="G1469" i="3"/>
  <c r="M1468" i="3"/>
  <c r="G1468" i="3"/>
  <c r="M1467" i="3"/>
  <c r="G1467" i="3"/>
  <c r="M1466" i="3"/>
  <c r="G1466" i="3"/>
  <c r="M1465" i="3"/>
  <c r="G1465" i="3"/>
  <c r="M1464" i="3"/>
  <c r="G1464" i="3"/>
  <c r="M1463" i="3"/>
  <c r="G1463" i="3"/>
  <c r="M1462" i="3"/>
  <c r="G1462" i="3"/>
  <c r="M1461" i="3"/>
  <c r="G1461" i="3"/>
  <c r="M1460" i="3"/>
  <c r="G1460" i="3"/>
  <c r="M1459" i="3"/>
  <c r="G1459" i="3"/>
  <c r="M1458" i="3"/>
  <c r="G1458" i="3"/>
  <c r="M1457" i="3"/>
  <c r="G1457" i="3"/>
  <c r="M1456" i="3"/>
  <c r="G1456" i="3"/>
  <c r="M1455" i="3"/>
  <c r="G1455" i="3"/>
  <c r="M1454" i="3"/>
  <c r="G1454" i="3"/>
  <c r="M1453" i="3"/>
  <c r="G1453" i="3"/>
  <c r="M1452" i="3"/>
  <c r="G1452" i="3"/>
  <c r="M1451" i="3"/>
  <c r="G1451" i="3"/>
  <c r="M1450" i="3"/>
  <c r="G1450" i="3"/>
  <c r="M1449" i="3"/>
  <c r="G1449" i="3"/>
  <c r="M1448" i="3"/>
  <c r="G1448" i="3"/>
  <c r="M1447" i="3"/>
  <c r="G1447" i="3"/>
  <c r="M1446" i="3"/>
  <c r="G1446" i="3"/>
  <c r="M1445" i="3"/>
  <c r="G1445" i="3"/>
  <c r="M1444" i="3"/>
  <c r="G1444" i="3"/>
  <c r="M1443" i="3"/>
  <c r="G1443" i="3"/>
  <c r="M1442" i="3"/>
  <c r="G1442" i="3"/>
  <c r="M1441" i="3"/>
  <c r="G1441" i="3"/>
  <c r="M1440" i="3"/>
  <c r="G1440" i="3"/>
  <c r="M1439" i="3"/>
  <c r="G1439" i="3"/>
  <c r="D647" i="1"/>
  <c r="D646" i="1"/>
  <c r="D645" i="1"/>
  <c r="D627" i="1"/>
  <c r="D626" i="1"/>
  <c r="D625" i="1"/>
  <c r="D624" i="1"/>
  <c r="D623" i="1"/>
  <c r="D622" i="1"/>
  <c r="D582" i="1"/>
  <c r="D586" i="1"/>
  <c r="D670" i="1"/>
  <c r="D520" i="1"/>
  <c r="D519" i="1"/>
  <c r="D518" i="1"/>
  <c r="D517" i="1"/>
  <c r="D669" i="1"/>
  <c r="D668" i="1"/>
  <c r="D601" i="1"/>
  <c r="D600" i="1"/>
  <c r="D599" i="1"/>
  <c r="D598" i="1"/>
  <c r="D547" i="1"/>
  <c r="D597" i="1"/>
  <c r="D585" i="1"/>
  <c r="D596" i="1"/>
  <c r="D595" i="1"/>
  <c r="D584" i="1"/>
  <c r="D556" i="1"/>
  <c r="D587" i="1"/>
  <c r="D564" i="1"/>
  <c r="D605" i="1"/>
  <c r="D604" i="1"/>
  <c r="D603" i="1"/>
  <c r="D567" i="1"/>
  <c r="D607" i="1"/>
  <c r="D606" i="1"/>
  <c r="D566" i="1"/>
  <c r="D511" i="1"/>
  <c r="D540" i="1"/>
  <c r="D539" i="1"/>
  <c r="D538" i="1"/>
  <c r="D533" i="1"/>
  <c r="D726" i="1"/>
  <c r="D725" i="1"/>
  <c r="D724" i="1"/>
  <c r="D723" i="1"/>
  <c r="D722" i="1"/>
  <c r="D721" i="1"/>
  <c r="D509" i="1"/>
  <c r="D468" i="1"/>
  <c r="D470" i="1"/>
  <c r="D612" i="1"/>
  <c r="D608" i="1"/>
  <c r="D610" i="1"/>
  <c r="D611" i="1"/>
  <c r="D609" i="1"/>
  <c r="D465" i="1"/>
  <c r="D676" i="1"/>
  <c r="D460" i="1"/>
  <c r="D532" i="1"/>
  <c r="D579" i="1"/>
  <c r="D578" i="1"/>
  <c r="D577" i="1"/>
  <c r="D482" i="1"/>
  <c r="D637" i="1"/>
  <c r="D636" i="1"/>
  <c r="D635" i="1"/>
  <c r="D634" i="1"/>
  <c r="D450" i="1"/>
  <c r="D449" i="1"/>
  <c r="D448" i="1"/>
  <c r="D686" i="1"/>
  <c r="D685" i="1"/>
  <c r="D684" i="1"/>
  <c r="D683" i="1"/>
  <c r="D682" i="1"/>
  <c r="D681" i="1"/>
  <c r="D680" i="1"/>
  <c r="D679" i="1"/>
  <c r="D678" i="1"/>
  <c r="D677" i="1"/>
  <c r="D480" i="1"/>
  <c r="D590" i="1"/>
  <c r="D553" i="1"/>
  <c r="D552" i="1"/>
  <c r="D589" i="1"/>
  <c r="D588" i="1"/>
  <c r="D551" i="1"/>
  <c r="D673" i="1"/>
  <c r="D672" i="1"/>
  <c r="D481" i="1"/>
  <c r="D477" i="1"/>
  <c r="D459" i="1"/>
  <c r="D486" i="1"/>
  <c r="D485" i="1"/>
  <c r="D484" i="1"/>
  <c r="D473" i="1"/>
  <c r="D472" i="1"/>
  <c r="D430" i="1"/>
  <c r="D441" i="1"/>
  <c r="D440" i="1"/>
  <c r="D474" i="1"/>
  <c r="D491" i="1"/>
  <c r="D594" i="1"/>
  <c r="D580" i="1"/>
  <c r="D431" i="1"/>
  <c r="D504" i="1"/>
  <c r="D503" i="1"/>
  <c r="D502" i="1"/>
  <c r="D501" i="1"/>
  <c r="D455" i="1"/>
  <c r="D434" i="1"/>
  <c r="D433" i="1"/>
  <c r="D432" i="1"/>
  <c r="D454" i="1"/>
  <c r="D453" i="1"/>
  <c r="D452" i="1"/>
  <c r="D451" i="1"/>
  <c r="D427" i="1"/>
  <c r="D423" i="1"/>
  <c r="D404" i="1"/>
  <c r="D469" i="1"/>
  <c r="D675" i="1"/>
  <c r="D674" i="1"/>
  <c r="D456" i="1"/>
  <c r="D384" i="1"/>
  <c r="D466" i="1"/>
  <c r="D640" i="1"/>
  <c r="D555" i="1"/>
  <c r="D536" i="1"/>
  <c r="D687" i="1"/>
  <c r="D643" i="1"/>
  <c r="D642" i="1"/>
  <c r="D641" i="1"/>
  <c r="D419" i="1"/>
  <c r="D418" i="1"/>
  <c r="D447" i="1"/>
  <c r="D435" i="1"/>
  <c r="D412" i="1"/>
  <c r="D408" i="1"/>
  <c r="D393" i="1"/>
  <c r="D392" i="1"/>
  <c r="D391" i="1"/>
  <c r="D407" i="1"/>
  <c r="D424" i="1"/>
  <c r="D375" i="1"/>
  <c r="D361" i="1"/>
  <c r="D471" i="1"/>
  <c r="D413" i="1"/>
  <c r="D409" i="1"/>
  <c r="D442" i="1"/>
  <c r="D655" i="1"/>
  <c r="D654" i="1"/>
  <c r="D653" i="1"/>
  <c r="D652" i="1"/>
  <c r="D467" i="1"/>
  <c r="D716" i="1"/>
  <c r="D715" i="1"/>
  <c r="D714" i="1"/>
  <c r="D713" i="1"/>
  <c r="D712" i="1"/>
  <c r="D711" i="1"/>
  <c r="D385" i="1"/>
  <c r="D366" i="1"/>
  <c r="D365" i="1"/>
  <c r="D364" i="1"/>
  <c r="D742" i="1"/>
  <c r="D741" i="1"/>
  <c r="D388" i="1"/>
  <c r="D363" i="1"/>
  <c r="D344" i="1"/>
  <c r="D376" i="1"/>
  <c r="D374" i="1"/>
  <c r="D496" i="1"/>
  <c r="D495" i="1"/>
  <c r="D494" i="1"/>
  <c r="D493" i="1"/>
  <c r="D457" i="1"/>
  <c r="D330" i="1"/>
  <c r="D331" i="1"/>
  <c r="D328" i="1"/>
  <c r="D327" i="1"/>
  <c r="D693" i="1"/>
  <c r="D657" i="1"/>
  <c r="D656" i="1"/>
  <c r="D354" i="1"/>
  <c r="D353" i="1"/>
  <c r="D352" i="1"/>
  <c r="D340" i="1"/>
  <c r="D359" i="1"/>
  <c r="D568" i="1"/>
  <c r="D554" i="1"/>
  <c r="D692" i="1"/>
  <c r="D691" i="1"/>
  <c r="D690" i="1"/>
  <c r="D689" i="1"/>
  <c r="D581" i="1"/>
  <c r="D688" i="1"/>
  <c r="D346" i="1"/>
  <c r="D360" i="1"/>
  <c r="D326" i="1"/>
  <c r="D336" i="1"/>
  <c r="D335" i="1"/>
  <c r="D334" i="1"/>
  <c r="D308" i="1"/>
  <c r="D345" i="1"/>
  <c r="D338" i="1"/>
  <c r="D333" i="1"/>
  <c r="D337" i="1"/>
  <c r="D351" i="1"/>
  <c r="D343" i="1"/>
  <c r="D342" i="1"/>
  <c r="D341" i="1"/>
  <c r="D329" i="1"/>
  <c r="D576" i="1"/>
  <c r="D438" i="1"/>
  <c r="D428" i="1"/>
  <c r="D461" i="1"/>
  <c r="D531" i="1"/>
  <c r="D437" i="1"/>
  <c r="D488" i="1"/>
  <c r="D487" i="1"/>
  <c r="D483" i="1"/>
  <c r="D436" i="1"/>
  <c r="D734" i="1"/>
  <c r="D733" i="1"/>
  <c r="D732" i="1"/>
  <c r="D731" i="1"/>
  <c r="D730" i="1"/>
  <c r="D727" i="1"/>
  <c r="D729" i="1"/>
  <c r="D728" i="1"/>
  <c r="D307" i="1"/>
  <c r="D651" i="1"/>
  <c r="D650" i="1"/>
  <c r="D649" i="1"/>
  <c r="D444" i="1"/>
  <c r="D648" i="1"/>
  <c r="D548" i="1"/>
  <c r="D574" i="1"/>
  <c r="D264" i="1"/>
  <c r="D295" i="1"/>
  <c r="D325" i="1"/>
  <c r="D292" i="1"/>
  <c r="D291" i="1"/>
  <c r="D303" i="1"/>
  <c r="D302" i="1"/>
  <c r="D301" i="1"/>
  <c r="D290" i="1"/>
  <c r="D289" i="1"/>
  <c r="D347" i="1"/>
  <c r="D297" i="1"/>
  <c r="D463" i="1"/>
  <c r="D476" i="1"/>
  <c r="D475" i="1"/>
  <c r="D462" i="1"/>
  <c r="D490" i="1"/>
  <c r="D489" i="1"/>
  <c r="D252" i="1"/>
  <c r="D299" i="1"/>
  <c r="D339" i="1"/>
  <c r="D710" i="1"/>
  <c r="D743" i="1"/>
  <c r="D306" i="1"/>
  <c r="D443" i="1"/>
  <c r="D249" i="1"/>
  <c r="D314" i="1"/>
  <c r="D313" i="1"/>
  <c r="D737" i="1"/>
  <c r="D279" i="1"/>
  <c r="D736" i="1"/>
  <c r="D735" i="1"/>
  <c r="D310" i="1"/>
  <c r="D698" i="1"/>
  <c r="D282" i="1"/>
  <c r="D281" i="1"/>
  <c r="D278" i="1"/>
  <c r="D300" i="1"/>
  <c r="D697" i="1"/>
  <c r="D254" i="1"/>
  <c r="D414" i="1"/>
  <c r="D406" i="1"/>
  <c r="D362" i="1"/>
  <c r="D405" i="1"/>
  <c r="D356" i="1"/>
  <c r="D355" i="1"/>
  <c r="D320" i="1"/>
  <c r="D319" i="1"/>
  <c r="D350" i="1"/>
  <c r="D349" i="1"/>
  <c r="D261" i="1"/>
  <c r="D263" i="1"/>
  <c r="D260" i="1"/>
  <c r="D262" i="1"/>
  <c r="D288" i="1"/>
  <c r="D287" i="1"/>
  <c r="D671" i="1"/>
  <c r="D258" i="1"/>
  <c r="D248" i="1"/>
  <c r="D247" i="1"/>
  <c r="D269" i="1"/>
  <c r="D246" i="1"/>
  <c r="D358" i="1"/>
  <c r="D245" i="1"/>
  <c r="D382" i="1"/>
  <c r="D268" i="1"/>
  <c r="D244" i="1"/>
  <c r="D267" i="1"/>
  <c r="D276" i="1"/>
  <c r="D415" i="1"/>
  <c r="D395" i="1"/>
  <c r="D659" i="1"/>
  <c r="D658" i="1"/>
  <c r="D591" i="1"/>
  <c r="D446" i="1"/>
  <c r="D270" i="1"/>
  <c r="D194" i="1"/>
  <c r="D242" i="1"/>
  <c r="D265" i="1"/>
  <c r="D563" i="1"/>
  <c r="D562" i="1"/>
  <c r="D561" i="1"/>
  <c r="D560" i="1"/>
  <c r="D559" i="1"/>
  <c r="D558" i="1"/>
  <c r="D557" i="1"/>
  <c r="D492" i="1"/>
  <c r="D396" i="1"/>
  <c r="D298" i="1"/>
  <c r="D207" i="1"/>
  <c r="D410" i="1"/>
  <c r="D322" i="1"/>
  <c r="D521" i="1"/>
  <c r="D315" i="1"/>
  <c r="D277" i="1"/>
  <c r="D309" i="1"/>
  <c r="D286" i="1"/>
  <c r="D416" i="1"/>
  <c r="D164" i="1"/>
  <c r="D171" i="1"/>
  <c r="D170" i="1"/>
  <c r="D243" i="1"/>
  <c r="D189" i="1"/>
  <c r="D550" i="1"/>
  <c r="D549" i="1"/>
  <c r="D387" i="1"/>
  <c r="D225" i="1"/>
  <c r="D386" i="1"/>
  <c r="D445" i="1"/>
  <c r="D230" i="1"/>
  <c r="D411" i="1"/>
  <c r="D181" i="1"/>
  <c r="D209" i="1"/>
  <c r="D699" i="1"/>
  <c r="D180" i="1"/>
  <c r="D177" i="1"/>
  <c r="D190" i="1"/>
  <c r="D210" i="1"/>
  <c r="D569" i="1"/>
  <c r="D305" i="1"/>
  <c r="D304" i="1"/>
  <c r="D332" i="1"/>
  <c r="D229" i="1"/>
  <c r="D397" i="1"/>
  <c r="D228" i="1"/>
  <c r="D200" i="1"/>
  <c r="D357" i="1"/>
  <c r="D389" i="1"/>
  <c r="D738" i="1"/>
  <c r="D403" i="1"/>
  <c r="D478" i="1"/>
  <c r="D272" i="1"/>
  <c r="D271" i="1"/>
  <c r="D273" i="1"/>
  <c r="D213" i="1"/>
  <c r="D126" i="1"/>
  <c r="D125" i="1"/>
  <c r="D127" i="1"/>
  <c r="D500" i="1"/>
  <c r="D644" i="1"/>
  <c r="D145" i="1"/>
  <c r="D499" i="1"/>
  <c r="D151" i="1"/>
  <c r="D498" i="1"/>
  <c r="D497" i="1"/>
  <c r="D167" i="1"/>
  <c r="D115" i="1"/>
  <c r="D208" i="1"/>
  <c r="D197" i="1"/>
  <c r="D114" i="1"/>
  <c r="D178" i="1"/>
  <c r="D602" i="1"/>
  <c r="D187" i="1"/>
  <c r="D212" i="1"/>
  <c r="D193" i="1"/>
  <c r="D192" i="1"/>
  <c r="D186" i="1"/>
  <c r="D172" i="1"/>
  <c r="D139" i="1"/>
  <c r="D138" i="1"/>
  <c r="D141" i="1"/>
  <c r="D146" i="1"/>
  <c r="D525" i="1"/>
  <c r="D522" i="1"/>
  <c r="D510" i="1"/>
  <c r="D118" i="1"/>
  <c r="D117" i="1"/>
  <c r="D198" i="1"/>
  <c r="D241" i="1"/>
  <c r="D116" i="1"/>
  <c r="D102" i="1"/>
  <c r="D196" i="1"/>
  <c r="D348" i="1"/>
  <c r="D163" i="1"/>
  <c r="D155" i="1"/>
  <c r="D565" i="1"/>
  <c r="D628" i="1"/>
  <c r="D154" i="1"/>
  <c r="D76" i="1"/>
  <c r="D259" i="1"/>
  <c r="D89" i="1"/>
  <c r="D88" i="1"/>
  <c r="D157" i="1"/>
  <c r="D140" i="1"/>
  <c r="D214" i="1"/>
  <c r="D224" i="1"/>
  <c r="D156" i="1"/>
  <c r="D87" i="1"/>
  <c r="D100" i="1"/>
  <c r="D94" i="1"/>
  <c r="D206" i="1"/>
  <c r="D91" i="1"/>
  <c r="D111" i="1"/>
  <c r="D112" i="1"/>
  <c r="D110" i="1"/>
  <c r="D109" i="1"/>
  <c r="D108" i="1"/>
  <c r="D107" i="1"/>
  <c r="D150" i="1"/>
  <c r="D639" i="1"/>
  <c r="D426" i="1"/>
  <c r="D275" i="1"/>
  <c r="D439" i="1"/>
  <c r="D223" i="1"/>
  <c r="D238" i="1"/>
  <c r="D274" i="1"/>
  <c r="D318" i="1"/>
  <c r="D86" i="1"/>
  <c r="D638" i="1"/>
  <c r="D237" i="1"/>
  <c r="D222" i="1"/>
  <c r="D133" i="1"/>
  <c r="D161" i="1"/>
  <c r="D311" i="1"/>
  <c r="D253" i="1"/>
  <c r="D250" i="1"/>
  <c r="D240" i="1"/>
  <c r="D191" i="1"/>
  <c r="D211" i="1"/>
  <c r="D182" i="1"/>
  <c r="D593" i="1"/>
  <c r="D592" i="1"/>
  <c r="D113" i="1"/>
  <c r="D83" i="1"/>
  <c r="D128" i="1"/>
  <c r="D378" i="1"/>
  <c r="D106" i="1"/>
  <c r="D105" i="1"/>
  <c r="D104" i="1"/>
  <c r="D92" i="1"/>
  <c r="D103" i="1"/>
  <c r="D71" i="1"/>
  <c r="D84" i="1"/>
  <c r="D98" i="1"/>
  <c r="D136" i="1"/>
  <c r="D135" i="1"/>
  <c r="D99" i="1"/>
  <c r="D168" i="1"/>
  <c r="D123" i="1"/>
  <c r="D176" i="1"/>
  <c r="D323" i="1"/>
  <c r="D175" i="1"/>
  <c r="D221" i="1"/>
  <c r="D174" i="1"/>
  <c r="D220" i="1"/>
  <c r="D383" i="1"/>
  <c r="D144" i="1"/>
  <c r="D219" i="1"/>
  <c r="D234" i="1"/>
  <c r="D143" i="1"/>
  <c r="D65" i="1"/>
  <c r="D173" i="1"/>
  <c r="D122" i="1"/>
  <c r="D121" i="1"/>
  <c r="D40" i="1"/>
  <c r="D422" i="1"/>
  <c r="D420" i="1"/>
  <c r="D257" i="1"/>
  <c r="D236" i="1"/>
  <c r="D81" i="1"/>
  <c r="D124" i="1"/>
  <c r="D153" i="1"/>
  <c r="D251" i="1"/>
  <c r="D152" i="1"/>
  <c r="D160" i="1"/>
  <c r="D56" i="1"/>
  <c r="D96" i="1"/>
  <c r="D95" i="1"/>
  <c r="D90" i="1"/>
  <c r="D85" i="1"/>
  <c r="D203" i="1"/>
  <c r="D66" i="1"/>
  <c r="D55" i="1"/>
  <c r="D18" i="1"/>
  <c r="D29" i="1"/>
  <c r="D294" i="1"/>
  <c r="D394" i="1"/>
  <c r="D179" i="1"/>
  <c r="F2070" i="3" a="1"/>
  <c r="F2260" i="3" a="1"/>
  <c r="F2521" i="3" a="1"/>
  <c r="F2287" i="3" a="1"/>
  <c r="F2043" i="3" a="1"/>
  <c r="F1907" i="3" a="1"/>
  <c r="F1734" i="3" a="1"/>
  <c r="F1952" i="3" a="1"/>
  <c r="F1835" i="3" a="1"/>
  <c r="F1652" i="3" a="1"/>
  <c r="F1583" i="3" a="1"/>
  <c r="F1649" i="3" a="1"/>
  <c r="F1906" i="3" a="1"/>
  <c r="F2174" i="3" a="1"/>
  <c r="F1604" i="3" a="1"/>
  <c r="F2280" i="3" a="1"/>
  <c r="F2464" i="3" a="1"/>
  <c r="F2179" i="3" a="1"/>
  <c r="F2481" i="3" a="1"/>
  <c r="F2251" i="3" a="1"/>
  <c r="F2204" i="3" a="1"/>
  <c r="F1910" i="3" a="1"/>
  <c r="F1608" i="3" a="1"/>
  <c r="F2062" i="3" a="1"/>
  <c r="F1833" i="3" a="1"/>
  <c r="F1487" i="3" a="1"/>
  <c r="F1537" i="3" a="1"/>
  <c r="F1825" i="3" a="1"/>
  <c r="F2192" i="3" a="1"/>
  <c r="F2108" i="3" a="1"/>
  <c r="F2416" i="3" a="1"/>
  <c r="F2531" i="3" a="1"/>
  <c r="F2263" i="3" a="1"/>
  <c r="F2018" i="3" a="1"/>
  <c r="F2301" i="3" a="1"/>
  <c r="F1589" i="3" a="1"/>
  <c r="F1994" i="3" a="1"/>
  <c r="F1660" i="3" a="1"/>
  <c r="F2476" i="3" a="1"/>
  <c r="F1901" i="3" a="1"/>
  <c r="F2373" i="3" a="1"/>
  <c r="F2543" i="3" a="1"/>
  <c r="F2299" i="3" a="1"/>
  <c r="F2020" i="3" a="1"/>
  <c r="F2284" i="3" a="1"/>
  <c r="F2045" i="3" a="1"/>
  <c r="F1870" i="3" a="1"/>
  <c r="F1707" i="3" a="1"/>
  <c r="F1933" i="3" a="1"/>
  <c r="F1756" i="3" a="1"/>
  <c r="F1614" i="3" a="1"/>
  <c r="F1762" i="3" a="1"/>
  <c r="F1568" i="3" a="1"/>
  <c r="F1922" i="3" a="1"/>
  <c r="F2439" i="3" a="1"/>
  <c r="F1492" i="3" a="1"/>
  <c r="F2162" i="3" a="1"/>
  <c r="F2294" i="3" a="1"/>
  <c r="F2039" i="3" a="1"/>
  <c r="F2379" i="3" a="1"/>
  <c r="F2075" i="3" a="1"/>
  <c r="F1943" i="3" a="1"/>
  <c r="F1810" i="3" a="1"/>
  <c r="F2008" i="3" a="1"/>
  <c r="F1887" i="3" a="1"/>
  <c r="F1701" i="3" a="1"/>
  <c r="F1814" i="3" a="1"/>
  <c r="F1998" i="3" a="1"/>
  <c r="F2548" i="3" a="1"/>
  <c r="F1900" i="3" a="1"/>
  <c r="F2466" i="3" a="1"/>
  <c r="F2559" i="3" a="1"/>
  <c r="F2381" i="3" a="1"/>
  <c r="F2058" i="3" a="1"/>
  <c r="F2405" i="3" a="1"/>
  <c r="F1639" i="3" a="1"/>
  <c r="F2033" i="3" a="1"/>
  <c r="F1721" i="3" a="1"/>
  <c r="F1585" i="3" a="1"/>
  <c r="F1945" i="3" a="1"/>
  <c r="F1567" i="3" a="1"/>
  <c r="F2024" i="3" a="1"/>
  <c r="F1460" i="3" a="1"/>
  <c r="F1912" i="3" a="1"/>
  <c r="F1496" i="3" a="1"/>
  <c r="F2477" i="3" a="1"/>
  <c r="F2184" i="3" a="1"/>
  <c r="F2454" i="3" a="1"/>
  <c r="F2209" i="3" a="1"/>
  <c r="F2040" i="3" a="1"/>
  <c r="F1839" i="3" a="1"/>
  <c r="F2484" i="3" a="1"/>
  <c r="F1892" i="3" a="1"/>
  <c r="F1735" i="3" a="1"/>
  <c r="F1596" i="3" a="1"/>
  <c r="F1490" i="3" a="1"/>
  <c r="F1515" i="3" a="1"/>
  <c r="F1505" i="3" a="1"/>
  <c r="F2059" i="3" a="1"/>
  <c r="F1950" i="3" a="1"/>
  <c r="F2393" i="3" a="1"/>
  <c r="F1873" i="3" a="1"/>
  <c r="F1759" i="3" a="1"/>
  <c r="F1514" i="3" a="1"/>
  <c r="F2459" i="3" a="1"/>
  <c r="F2380" i="3" a="1"/>
  <c r="F2219" i="3" a="1"/>
  <c r="F2560" i="3" a="1"/>
  <c r="F1640" i="3" a="1"/>
  <c r="F1875" i="3" a="1"/>
  <c r="F1574" i="3" a="1"/>
  <c r="F1857" i="3" a="1"/>
  <c r="F2391" i="3" a="1"/>
  <c r="F2376" i="3" a="1"/>
  <c r="F1904" i="3" a="1"/>
  <c r="F1997" i="3" a="1"/>
  <c r="F1934" i="3" a="1"/>
  <c r="F1677" i="3" a="1"/>
  <c r="F2025" i="3" a="1"/>
  <c r="F1830" i="3" a="1"/>
  <c r="F2469" i="3" a="1"/>
  <c r="F2176" i="3" a="1"/>
  <c r="F2436" i="3" a="1"/>
  <c r="F2193" i="3" a="1"/>
  <c r="F2004" i="3" a="1"/>
  <c r="F1831" i="3" a="1"/>
  <c r="F2452" i="3" a="1"/>
  <c r="F1884" i="3" a="1"/>
  <c r="F1727" i="3" a="1"/>
  <c r="F1586" i="3" a="1"/>
  <c r="F1482" i="3" a="1"/>
  <c r="F1507" i="3" a="1"/>
  <c r="F1485" i="3" a="1"/>
  <c r="F2541" i="3" a="1"/>
  <c r="F1722" i="3" a="1"/>
  <c r="F2186" i="3" a="1"/>
  <c r="F2378" i="3" a="1"/>
  <c r="F2063" i="3" a="1"/>
  <c r="F2415" i="3" a="1"/>
  <c r="F2167" i="3" a="1"/>
  <c r="F1991" i="3" a="1"/>
  <c r="F1834" i="3" a="1"/>
  <c r="F2056" i="3" a="1"/>
  <c r="F1911" i="3" a="1"/>
  <c r="F1725" i="3" a="1"/>
  <c r="F1958" i="3" a="1"/>
  <c r="F1472" i="3" a="1"/>
  <c r="F1609" i="3" a="1"/>
  <c r="F2554" i="3" a="1"/>
  <c r="F1937" i="3" a="1"/>
  <c r="F2262" i="3" a="1"/>
  <c r="F2456" i="3" a="1"/>
  <c r="F2171" i="3" a="1"/>
  <c r="F2473" i="3" a="1"/>
  <c r="F2243" i="3" a="1"/>
  <c r="F2164" i="3" a="1"/>
  <c r="F1902" i="3" a="1"/>
  <c r="F1590" i="3" a="1"/>
  <c r="F2030" i="3" a="1"/>
  <c r="F1570" i="3" a="1"/>
  <c r="F2097" i="3" a="1"/>
  <c r="F2550" i="3" a="1"/>
  <c r="F2221" i="3" a="1"/>
  <c r="F2483" i="3" a="1"/>
  <c r="F2206" i="3" a="1"/>
  <c r="F2495" i="3" a="1"/>
  <c r="F1744" i="3" a="1"/>
  <c r="F1618" i="3" a="1"/>
  <c r="F1863" i="3" a="1"/>
  <c r="F1671" i="3" a="1"/>
  <c r="F2418" i="3" a="1"/>
  <c r="F1516" i="3" a="1"/>
  <c r="F1477" i="3" a="1"/>
  <c r="F1533" i="3" a="1"/>
  <c r="F1517" i="3" a="1"/>
  <c r="F2501" i="3" a="1"/>
  <c r="F2216" i="3" a="1"/>
  <c r="F2478" i="3" a="1"/>
  <c r="F2245" i="3" a="1"/>
  <c r="F2390" i="3" a="1"/>
  <c r="F1702" i="3" a="1"/>
  <c r="F1916" i="3" a="1"/>
  <c r="F1620" i="3" a="1"/>
  <c r="F1541" i="3" a="1"/>
  <c r="F1869" i="3" a="1"/>
  <c r="F2496" i="3" a="1"/>
  <c r="F2524" i="3" a="1"/>
  <c r="F2277" i="3" a="1"/>
  <c r="F1946" i="3" a="1"/>
  <c r="F2180" i="3" a="1"/>
  <c r="F1519" i="3" a="1"/>
  <c r="F1455" i="3" a="1"/>
  <c r="F2553" i="3" a="1"/>
  <c r="F2052" i="3" a="1"/>
  <c r="F2077" i="3" a="1"/>
  <c r="F1739" i="3" a="1"/>
  <c r="F1824" i="3" a="1"/>
  <c r="F1646" i="3" a="1"/>
  <c r="F1645" i="3" a="1"/>
  <c r="F1464" i="3" a="1"/>
  <c r="F2552" i="3" a="1"/>
  <c r="F2257" i="3" a="1"/>
  <c r="F2507" i="3" a="1"/>
  <c r="F2242" i="3" a="1"/>
  <c r="F2530" i="3" a="1"/>
  <c r="F1812" i="3" a="1"/>
  <c r="F1642" i="3" a="1"/>
  <c r="F1889" i="3" a="1"/>
  <c r="F1716" i="3" a="1"/>
  <c r="F1564" i="3" a="1"/>
  <c r="F1544" i="3" a="1"/>
  <c r="F1501" i="3" a="1"/>
  <c r="F1706" i="3" a="1"/>
  <c r="F1942" i="3" a="1"/>
  <c r="F1923" i="3" a="1"/>
  <c r="F1452" i="3" a="1"/>
  <c r="F2461" i="3" a="1"/>
  <c r="F2168" i="3" a="1"/>
  <c r="F2428" i="3" a="1"/>
  <c r="F2185" i="3" a="1"/>
  <c r="F1996" i="3" a="1"/>
  <c r="F1823" i="3" a="1"/>
  <c r="F2434" i="3" a="1"/>
  <c r="F1882" i="3" a="1"/>
  <c r="F1719" i="3" a="1"/>
  <c r="F1578" i="3" a="1"/>
  <c r="F1474" i="3" a="1"/>
  <c r="F1499" i="3" a="1"/>
  <c r="F1746" i="3" a="1"/>
  <c r="F2271" i="3" a="1"/>
  <c r="F1661" i="3" a="1"/>
  <c r="F2528" i="3" a="1"/>
  <c r="F2244" i="3" a="1"/>
  <c r="F2494" i="3" a="1"/>
  <c r="F2261" i="3" a="1"/>
  <c r="F2027" i="3" a="1"/>
  <c r="F1891" i="3" a="1"/>
  <c r="F1718" i="3" a="1"/>
  <c r="F1936" i="3" a="1"/>
  <c r="F1819" i="3" a="1"/>
  <c r="F1479" i="3" a="1"/>
  <c r="F1750" i="3" a="1"/>
  <c r="F2408" i="3" a="1"/>
  <c r="F2523" i="3" a="1"/>
  <c r="F2255" i="3" a="1"/>
  <c r="F2567" i="3" a="1"/>
  <c r="F2293" i="3" a="1"/>
  <c r="F1581" i="3" a="1"/>
  <c r="F1962" i="3" a="1"/>
  <c r="F1656" i="3" a="1"/>
  <c r="F2426" i="3" a="1"/>
  <c r="F1893" i="3" a="1"/>
  <c r="F1536" i="3" a="1"/>
  <c r="F1714" i="3" a="1"/>
  <c r="F1473" i="3" a="1"/>
  <c r="F1747" i="3" a="1"/>
  <c r="F2566" i="3" a="1"/>
  <c r="F2291" i="3" a="1"/>
  <c r="F2540" i="3" a="1"/>
  <c r="F2276" i="3" a="1"/>
  <c r="F2037" i="3" a="1"/>
  <c r="F2506" i="3" a="1"/>
  <c r="F2173" i="3" a="1"/>
  <c r="F2433" i="3" a="1"/>
  <c r="F2158" i="3" a="1"/>
  <c r="F2455" i="3" a="1"/>
  <c r="F1704" i="3" a="1"/>
  <c r="F1576" i="3" a="1"/>
  <c r="F1761" i="3" a="1"/>
  <c r="F1627" i="3" a="1"/>
  <c r="F2009" i="3" a="1"/>
  <c r="F1476" i="3" a="1"/>
  <c r="F1575" i="3" a="1"/>
  <c r="F1494" i="3" a="1"/>
  <c r="F2549" i="3" a="1"/>
  <c r="F1938" i="3" a="1"/>
  <c r="F2563" i="3" a="1"/>
  <c r="F2375" i="3" a="1"/>
  <c r="F2036" i="3" a="1"/>
  <c r="F2300" i="3" a="1"/>
  <c r="F2061" i="3" a="1"/>
  <c r="F1888" i="3" a="1"/>
  <c r="F1723" i="3" a="1"/>
  <c r="F1949" i="3" a="1"/>
  <c r="F1808" i="3" a="1"/>
  <c r="F1630" i="3" a="1"/>
  <c r="F1872" i="3" a="1"/>
  <c r="F1613" i="3" a="1"/>
  <c r="F2049" i="3" a="1"/>
  <c r="F1491" i="3" a="1"/>
  <c r="F1720" i="3" a="1"/>
  <c r="F1523" i="3" a="1"/>
  <c r="F2453" i="3" a="1"/>
  <c r="F2160" i="3" a="1"/>
  <c r="F2420" i="3" a="1"/>
  <c r="F2177" i="3" a="1"/>
  <c r="F1956" i="3" a="1"/>
  <c r="F1815" i="3" a="1"/>
  <c r="F2188" i="3" a="1"/>
  <c r="F1874" i="3" a="1"/>
  <c r="F1711" i="3" a="1"/>
  <c r="F1599" i="3" a="1"/>
  <c r="F1832" i="3" a="1"/>
  <c r="F2254" i="3" a="1"/>
  <c r="F2438" i="3" a="1"/>
  <c r="F2163" i="3" a="1"/>
  <c r="F2465" i="3" a="1"/>
  <c r="F2223" i="3" a="1"/>
  <c r="F2081" i="3" a="1"/>
  <c r="F1894" i="3" a="1"/>
  <c r="F1582" i="3" a="1"/>
  <c r="F2003" i="3" a="1"/>
  <c r="F1817" i="3" a="1"/>
  <c r="F1471" i="3" a="1"/>
  <c r="F1520" i="3" a="1"/>
  <c r="F2533" i="3" a="1"/>
  <c r="F1665" i="3" a="1"/>
  <c r="F2555" i="3" a="1"/>
  <c r="F2213" i="3" a="1"/>
  <c r="F2475" i="3" a="1"/>
  <c r="F2190" i="3" a="1"/>
  <c r="F2487" i="3" a="1"/>
  <c r="F1736" i="3" a="1"/>
  <c r="F1610" i="3" a="1"/>
  <c r="F1837" i="3" a="1"/>
  <c r="F1663" i="3" a="1"/>
  <c r="F2212" i="3" a="1"/>
  <c r="F1508" i="3" a="1"/>
  <c r="F1469" i="3" a="1"/>
  <c r="F1526" i="3" a="1"/>
  <c r="F2191" i="3" a="1"/>
  <c r="F1451" i="3" a="1"/>
  <c r="F2493" i="3" a="1"/>
  <c r="F2208" i="3" a="1"/>
  <c r="F2470" i="3" a="1"/>
  <c r="F2225" i="3" a="1"/>
  <c r="F2282" i="3" a="1"/>
  <c r="F1865" i="3" a="1"/>
  <c r="F1673" i="3" a="1"/>
  <c r="F1908" i="3" a="1"/>
  <c r="F1751" i="3" a="1"/>
  <c r="F1612" i="3" a="1"/>
  <c r="F1506" i="3" a="1"/>
  <c r="F1535" i="3" a="1"/>
  <c r="F2278" i="3" a="1"/>
  <c r="F1577" i="3" a="1"/>
  <c r="F2450" i="3" a="1"/>
  <c r="F2546" i="3" a="1"/>
  <c r="F2297" i="3" a="1"/>
  <c r="F2042" i="3" a="1"/>
  <c r="F2385" i="3" a="1"/>
  <c r="F1623" i="3" a="1"/>
  <c r="F2021" i="3" a="1"/>
  <c r="F1705" i="3" a="1"/>
  <c r="F1569" i="3" a="1"/>
  <c r="F1925" i="3" a="1"/>
  <c r="F1657" i="3" a="1"/>
  <c r="F1898" i="3" a="1"/>
  <c r="F1637" i="3" a="1"/>
  <c r="F2275" i="3" a="1"/>
  <c r="F1732" i="3" a="1"/>
  <c r="F2432" i="3" a="1"/>
  <c r="F2289" i="3" a="1"/>
  <c r="F2034" i="3" a="1"/>
  <c r="F2377" i="3" a="1"/>
  <c r="F1615" i="3" a="1"/>
  <c r="F2010" i="3" a="1"/>
  <c r="F1549" i="3" a="1"/>
  <c r="F1917" i="3" a="1"/>
  <c r="F1641" i="3" a="1"/>
  <c r="F1571" i="3" a="1"/>
  <c r="F2485" i="3" a="1"/>
  <c r="F2544" i="3" a="1"/>
  <c r="F2499" i="3" a="1"/>
  <c r="F2222" i="3" a="1"/>
  <c r="F1760" i="3" a="1"/>
  <c r="F1879" i="3" a="1"/>
  <c r="F2500" i="3" a="1"/>
  <c r="F1538" i="3" a="1"/>
  <c r="F1591" i="3" a="1"/>
  <c r="F1662" i="3" a="1"/>
  <c r="F2367" i="3" a="1"/>
  <c r="F2292" i="3" a="1"/>
  <c r="F2053" i="3" a="1"/>
  <c r="F1715" i="3" a="1"/>
  <c r="F1764" i="3" a="1"/>
  <c r="F1617" i="3" a="1"/>
  <c r="F2084" i="3" a="1"/>
  <c r="F2542" i="3" a="1"/>
  <c r="F1676" i="3" a="1"/>
  <c r="F1856" i="3" a="1"/>
  <c r="F1821" i="3" a="1"/>
  <c r="F2249" i="3" a="1"/>
  <c r="F2522" i="3" a="1"/>
  <c r="F1634" i="3" a="1"/>
  <c r="F1708" i="3" a="1"/>
  <c r="F1493" i="3" a="1"/>
  <c r="F1478" i="3" a="1"/>
  <c r="F2551" i="3" a="1"/>
  <c r="F2028" i="3" a="1"/>
  <c r="F1878" i="3" a="1"/>
  <c r="F1941" i="3" a="1"/>
  <c r="F1622" i="3" a="1"/>
  <c r="F2170" i="3" a="1"/>
  <c r="F2194" i="3" a="1"/>
  <c r="F2386" i="3" a="1"/>
  <c r="F2071" i="3" a="1"/>
  <c r="F2423" i="3" a="1"/>
  <c r="F2175" i="3" a="1"/>
  <c r="F1999" i="3" a="1"/>
  <c r="F1842" i="3" a="1"/>
  <c r="F2256" i="3" a="1"/>
  <c r="F1919" i="3" a="1"/>
  <c r="F1733" i="3" a="1"/>
  <c r="F2248" i="3" a="1"/>
  <c r="F1480" i="3" a="1"/>
  <c r="F1524" i="3" a="1"/>
  <c r="F2211" i="3" a="1"/>
  <c r="F1654" i="3" a="1"/>
  <c r="F2424" i="3" a="1"/>
  <c r="F2536" i="3" a="1"/>
  <c r="F2281" i="3" a="1"/>
  <c r="F2026" i="3" a="1"/>
  <c r="F2369" i="3" a="1"/>
  <c r="F1607" i="3" a="1"/>
  <c r="F2002" i="3" a="1"/>
  <c r="F1668" i="3" a="1"/>
  <c r="F1529" i="3" a="1"/>
  <c r="F1909" i="3" a="1"/>
  <c r="F1625" i="3" a="1"/>
  <c r="F1838" i="3" a="1"/>
  <c r="F1513" i="3" a="1"/>
  <c r="F2189" i="3" a="1"/>
  <c r="F1992" i="3" a="1"/>
  <c r="F2490" i="3" a="1"/>
  <c r="F2157" i="3" a="1"/>
  <c r="F2417" i="3" a="1"/>
  <c r="F2102" i="3" a="1"/>
  <c r="F2429" i="3" a="1"/>
  <c r="F1667" i="3" a="1"/>
  <c r="F2264" i="3" a="1"/>
  <c r="F1745" i="3" a="1"/>
  <c r="F1611" i="3" a="1"/>
  <c r="F1993" i="3" a="1"/>
  <c r="F2098" i="3" a="1"/>
  <c r="F2366" i="3" a="1"/>
  <c r="F2435" i="3" a="1"/>
  <c r="F2112" i="3" a="1"/>
  <c r="F2412" i="3" a="1"/>
  <c r="F2169" i="3" a="1"/>
  <c r="F1948" i="3" a="1"/>
  <c r="F1807" i="3" a="1"/>
  <c r="F2156" i="3" a="1"/>
  <c r="F1866" i="3" a="1"/>
  <c r="F1703" i="3" a="1"/>
  <c r="F1542" i="3" a="1"/>
  <c r="F1456" i="3" a="1"/>
  <c r="F1483" i="3" a="1"/>
  <c r="F2462" i="3" a="1"/>
  <c r="F1867" i="3" a="1"/>
  <c r="F2246" i="3" a="1"/>
  <c r="F2430" i="3" a="1"/>
  <c r="F2115" i="3" a="1"/>
  <c r="F2457" i="3" a="1"/>
  <c r="F2215" i="3" a="1"/>
  <c r="F2072" i="3" a="1"/>
  <c r="F1886" i="3" a="1"/>
  <c r="F2547" i="3" a="1"/>
  <c r="F1995" i="3" a="1"/>
  <c r="F1809" i="3" a="1"/>
  <c r="F1463" i="3" a="1"/>
  <c r="F1512" i="3" a="1"/>
  <c r="F2372" i="3" a="1"/>
  <c r="F1905" i="3" a="1"/>
  <c r="F2539" i="3" a="1"/>
  <c r="F2205" i="3" a="1"/>
  <c r="F2467" i="3" a="1"/>
  <c r="F2182" i="3" a="1"/>
  <c r="F2479" i="3" a="1"/>
  <c r="F1728" i="3" a="1"/>
  <c r="F1594" i="3" a="1"/>
  <c r="F2044" i="3" a="1"/>
  <c r="F1731" i="3" a="1"/>
  <c r="F1914" i="3" a="1"/>
  <c r="F2057" i="3" a="1"/>
  <c r="F2502" i="3" a="1"/>
  <c r="F1726" i="3" a="1"/>
  <c r="F1534" i="3" a="1"/>
  <c r="F1565" i="3" a="1"/>
  <c r="F2407" i="3" a="1"/>
  <c r="F2041" i="3" a="1"/>
  <c r="F2482" i="3" a="1"/>
  <c r="F2074" i="3" a="1"/>
  <c r="F1881" i="3" a="1"/>
  <c r="F1895" i="3" a="1"/>
  <c r="F1497" i="3" a="1"/>
  <c r="F1947" i="3" a="1"/>
  <c r="F2389" i="3" a="1"/>
  <c r="F1940" i="3" a="1"/>
  <c r="F2054" i="3" a="1"/>
  <c r="F1674" i="3" a="1"/>
  <c r="F2032" i="3" a="1"/>
  <c r="F2258" i="3" a="1"/>
  <c r="F2226" i="3" a="1"/>
  <c r="F2107" i="3" a="1"/>
  <c r="F2207" i="3" a="1"/>
  <c r="F1876" i="3" a="1"/>
  <c r="F1740" i="3" a="1"/>
  <c r="F1680" i="3" a="1"/>
  <c r="F1459" i="3" a="1"/>
  <c r="F2099" i="3" a="1"/>
  <c r="F2564" i="3" a="1"/>
  <c r="F2406" i="3" a="1"/>
  <c r="F2166" i="3" a="1"/>
  <c r="F2051" i="3" a="1"/>
  <c r="F1926" i="3" a="1"/>
  <c r="F1724" i="3" a="1"/>
  <c r="F2064" i="3" a="1"/>
  <c r="F2187" i="3" a="1"/>
  <c r="F1918" i="3" a="1"/>
  <c r="F1495" i="3" a="1"/>
  <c r="F1643" i="3" a="1"/>
  <c r="F2110" i="3" a="1"/>
  <c r="F1753" i="3" a="1"/>
  <c r="F1521" i="3" a="1"/>
  <c r="F2562" i="3" a="1"/>
  <c r="F2503" i="3" a="1"/>
  <c r="F1679" i="3" a="1"/>
  <c r="F2520" i="3" a="1"/>
  <c r="F2387" i="3" a="1"/>
  <c r="F2065" i="3" a="1"/>
  <c r="F1811" i="3" a="1"/>
  <c r="F1454" i="3" a="1"/>
  <c r="F1457" i="3" a="1"/>
  <c r="F2247" i="3" a="1"/>
  <c r="F1862" i="3" a="1"/>
  <c r="F1921" i="3" a="1"/>
  <c r="F1606" i="3" a="1"/>
  <c r="F1547" i="3" a="1"/>
  <c r="F2217" i="3" a="1"/>
  <c r="F2114" i="3" a="1"/>
  <c r="F2031" i="3" a="1"/>
  <c r="F2067" i="3" a="1"/>
  <c r="F1758" i="3" a="1"/>
  <c r="F1651" i="3" a="1"/>
  <c r="F1530" i="3" a="1"/>
  <c r="F1504" i="3" a="1"/>
  <c r="F2050" i="3" a="1"/>
  <c r="F2525" i="3" a="1"/>
  <c r="F2268" i="3" a="1"/>
  <c r="F2497" i="3" a="1"/>
  <c r="F1820" i="3" a="1"/>
  <c r="F1860" i="3" a="1"/>
  <c r="F1635" i="3" a="1"/>
  <c r="F1664" i="3" a="1"/>
  <c r="F1545" i="3" a="1"/>
  <c r="F1548" i="3" a="1"/>
  <c r="F1749" i="3" a="1"/>
  <c r="F1488" i="3" a="1"/>
  <c r="F1605" i="3" a="1"/>
  <c r="F2295" i="3" a="1"/>
  <c r="F1939" i="3" a="1"/>
  <c r="F2006" i="3" a="1"/>
  <c r="F2069" i="3" a="1"/>
  <c r="F2568" i="3" a="1"/>
  <c r="F1466" i="3" a="1"/>
  <c r="F1822" i="3" a="1"/>
  <c r="F1737" i="3" a="1"/>
  <c r="F2427" i="3" a="1"/>
  <c r="F1763" i="3" a="1"/>
  <c r="F1475" i="3" a="1"/>
  <c r="F2449" i="3" a="1"/>
  <c r="F1453" i="3" a="1"/>
  <c r="F2195" i="3" a="1"/>
  <c r="F1813" i="3" a="1"/>
  <c r="F1738" i="3" a="1"/>
  <c r="F1896" i="3" a="1"/>
  <c r="F2505" i="3" a="1"/>
  <c r="F1655" i="3" a="1"/>
  <c r="F1828" i="3" a="1"/>
  <c r="F1621" i="3" a="1"/>
  <c r="F2113" i="3" a="1"/>
  <c r="F2100" i="3" a="1"/>
  <c r="F1650" i="3" a="1"/>
  <c r="F2023" i="3" a="1"/>
  <c r="F2472" i="3" a="1"/>
  <c r="F2425" i="3" a="1"/>
  <c r="F2005" i="3" a="1"/>
  <c r="F1669" i="3" a="1"/>
  <c r="F1603" i="3" a="1"/>
  <c r="F2076" i="3" a="1"/>
  <c r="F2220" i="3" a="1"/>
  <c r="F2534" i="3" a="1"/>
  <c r="F1757" i="3" a="1"/>
  <c r="F1498" i="3" a="1"/>
  <c r="F2183" i="3" a="1"/>
  <c r="F1713" i="3" a="1"/>
  <c r="F2368" i="3" a="1"/>
  <c r="F1957" i="3" a="1"/>
  <c r="F1629" i="3" a="1"/>
  <c r="F1566" i="3" a="1"/>
  <c r="F2279" i="3" a="1"/>
  <c r="F1944" i="3" a="1"/>
  <c r="F1633" i="3" a="1"/>
  <c r="F2178" i="3" a="1"/>
  <c r="F2159" i="3" a="1"/>
  <c r="F1903" i="3" a="1"/>
  <c r="F2109" i="3" a="1"/>
  <c r="F2253" i="3" a="1"/>
  <c r="F1818" i="3" a="1"/>
  <c r="F1961" i="3" a="1"/>
  <c r="F1543" i="3" a="1"/>
  <c r="F2474" i="3" a="1"/>
  <c r="F2404" i="3" a="1"/>
  <c r="F1647" i="3" a="1"/>
  <c r="F1729" i="3" a="1"/>
  <c r="F1953" i="3" a="1"/>
  <c r="F1489" i="3" a="1"/>
  <c r="F1631" i="3" a="1"/>
  <c r="F2419" i="3" a="1"/>
  <c r="F2392" i="3" a="1"/>
  <c r="F1920" i="3" a="1"/>
  <c r="F2019" i="3" a="1"/>
  <c r="F1955" i="3" a="1"/>
  <c r="F1579" i="3" a="1"/>
  <c r="F1653" i="3" a="1"/>
  <c r="F2471" i="3" a="1"/>
  <c r="F2296" i="3" a="1"/>
  <c r="F2509" i="3" a="1"/>
  <c r="F2431" i="3" a="1"/>
  <c r="F1712" i="3" a="1"/>
  <c r="F1742" i="3" a="1"/>
  <c r="F2080" i="3" a="1"/>
  <c r="F1546" i="3" a="1"/>
  <c r="F2458" i="3" a="1"/>
  <c r="F2460" i="3" a="1"/>
  <c r="F1484" i="3" a="1"/>
  <c r="F2035" i="3" a="1"/>
  <c r="F2370" i="3" a="1"/>
  <c r="F2224" i="3" a="1"/>
  <c r="F2488" i="3" a="1"/>
  <c r="F1540" i="3" a="1"/>
  <c r="F1672" i="3" a="1"/>
  <c r="F1829" i="3" a="1"/>
  <c r="F1880" i="3" a="1"/>
  <c r="F2535" i="3" a="1"/>
  <c r="F1503" i="3" a="1"/>
  <c r="F1638" i="3" a="1"/>
  <c r="F2047" i="3" a="1"/>
  <c r="F2413" i="3" a="1"/>
  <c r="F1510" i="3" a="1"/>
  <c r="F2172" i="3" a="1"/>
  <c r="F2529" i="3" a="1"/>
  <c r="F2038" i="3" a="1"/>
  <c r="F2382" i="3" a="1"/>
  <c r="F1584" i="3" a="1"/>
  <c r="F2489" i="3" a="1"/>
  <c r="F1616" i="3" a="1"/>
  <c r="F1539" i="3" a="1"/>
  <c r="F2498" i="3" a="1"/>
  <c r="F2437" i="3" a="1"/>
  <c r="F1619" i="3" a="1"/>
  <c r="F1486" i="3" a="1"/>
  <c r="F2241" i="3" a="1"/>
  <c r="F1752" i="3" a="1"/>
  <c r="F2468" i="3" a="1"/>
  <c r="F2302" i="3" a="1"/>
  <c r="F2421" i="3" a="1"/>
  <c r="F1710" i="3" a="1"/>
  <c r="F1709" i="3" a="1"/>
  <c r="F1470" i="3" a="1"/>
  <c r="F2388" i="3" a="1"/>
  <c r="F2066" i="3" a="1"/>
  <c r="F1573" i="3" a="1"/>
  <c r="F1648" i="3" a="1"/>
  <c r="F1885" i="3" a="1"/>
  <c r="F1587" i="3" a="1"/>
  <c r="F1592" i="3" a="1"/>
  <c r="F2283" i="3" a="1"/>
  <c r="F2266" i="3" a="1"/>
  <c r="F1836" i="3" a="1"/>
  <c r="F1913" i="3" a="1"/>
  <c r="F1877" i="3" a="1"/>
  <c r="F1500" i="3" a="1"/>
  <c r="F1467" i="3" a="1"/>
  <c r="F1868" i="3" a="1"/>
  <c r="F2210" i="3" a="1"/>
  <c r="F2451" i="3" a="1"/>
  <c r="F1897" i="3" a="1"/>
  <c r="F2060" i="3" a="1"/>
  <c r="F2545" i="3" a="1"/>
  <c r="F1531" i="3" a="1"/>
  <c r="F1827" i="3" a="1"/>
  <c r="F1959" i="3" a="1"/>
  <c r="F1628" i="3" a="1"/>
  <c r="F2532" i="3" a="1"/>
  <c r="F2422" i="3" a="1"/>
  <c r="F1666" i="3" a="1"/>
  <c r="F2078" i="3" a="1"/>
  <c r="F1861" i="3" a="1"/>
  <c r="F1899" i="3" a="1"/>
  <c r="F1826" i="3" a="1"/>
  <c r="F1864" i="3" a="1"/>
  <c r="F1595" i="3" a="1"/>
  <c r="F2000" i="3" a="1"/>
  <c r="F2181" i="3" a="1"/>
  <c r="F1597" i="3" a="1"/>
  <c r="F2414" i="3" a="1"/>
  <c r="F1871" i="3" a="1"/>
  <c r="F2374" i="3" a="1"/>
  <c r="F1465" i="3" a="1"/>
  <c r="F1840" i="3" a="1"/>
  <c r="F2480" i="3" a="1"/>
  <c r="F1509" i="3" a="1"/>
  <c r="F1532" i="3" a="1"/>
  <c r="F1816" i="3" a="1"/>
  <c r="F2111" i="3" a="1"/>
  <c r="F1858" i="3" a="1"/>
  <c r="F2046" i="3" a="1"/>
  <c r="F1632" i="3" a="1"/>
  <c r="F2007" i="3" a="1"/>
  <c r="F2384" i="3" a="1"/>
  <c r="F1528" i="3" a="1"/>
  <c r="F2492" i="3" a="1"/>
  <c r="F2048" i="3" a="1"/>
  <c r="F2068" i="3" a="1"/>
  <c r="F2022" i="3" a="1"/>
  <c r="F2298" i="3" a="1"/>
  <c r="F1841" i="3" a="1"/>
  <c r="F1951" i="3" a="1"/>
  <c r="F1954" i="3" a="1"/>
  <c r="F2561" i="3" a="1"/>
  <c r="F1670" i="3" a="1"/>
  <c r="F2411" i="3" a="1"/>
  <c r="F1960" i="3" a="1"/>
  <c r="F1458" i="3" a="1"/>
  <c r="F1743" i="3" a="1"/>
  <c r="F2288" i="3" a="1"/>
  <c r="F2259" i="3" a="1"/>
  <c r="F2073" i="3" a="1"/>
  <c r="F1636" i="3" a="1"/>
  <c r="F2165" i="3" a="1"/>
  <c r="F1675" i="3" a="1"/>
  <c r="F2001" i="3" a="1"/>
  <c r="F2218" i="3" a="1"/>
  <c r="F2491" i="3" a="1"/>
  <c r="F1626" i="3" a="1"/>
  <c r="F1481" i="3" a="1"/>
  <c r="F2409" i="3" a="1"/>
  <c r="F2558" i="3" a="1"/>
  <c r="F2017" i="3" a="1"/>
  <c r="F1450" i="3" a="1"/>
  <c r="F2526" i="3" a="1"/>
  <c r="F2101" i="3" a="1"/>
  <c r="F2161" i="3" a="1"/>
  <c r="F1678" i="3" a="1"/>
  <c r="F1748" i="3" a="1"/>
  <c r="F1730" i="3" a="1"/>
  <c r="F1890" i="3" a="1"/>
  <c r="F1511" i="3" a="1"/>
  <c r="F2286" i="3" a="1"/>
  <c r="F2371" i="3" a="1"/>
  <c r="F1935" i="3" a="1"/>
  <c r="F2527" i="3" a="1"/>
  <c r="F1588" i="3" a="1"/>
  <c r="F1754" i="3" a="1"/>
  <c r="F1518" i="3" a="1"/>
  <c r="F1580" i="3" a="1"/>
  <c r="F2265" i="3" a="1"/>
  <c r="F2079" i="3" a="1"/>
  <c r="F2463" i="3" a="1"/>
  <c r="F1915" i="3" a="1"/>
  <c r="F1624" i="3" a="1"/>
  <c r="F1572" i="3" a="1"/>
  <c r="F2290" i="3" a="1"/>
  <c r="F1502" i="3" a="1"/>
  <c r="F2303" i="3" a="1"/>
  <c r="F2383" i="3" a="1"/>
  <c r="F2252" i="3" a="1"/>
  <c r="F1644" i="3" a="1"/>
  <c r="F2055" i="3" a="1"/>
  <c r="F1924" i="3" a="1"/>
  <c r="F2504" i="3" a="1"/>
  <c r="F1462" i="3" a="1"/>
  <c r="F1755" i="3" a="1"/>
  <c r="F2565" i="3" a="1"/>
  <c r="F2267" i="3" a="1"/>
  <c r="F1717" i="3" a="1"/>
  <c r="F2410" i="3" a="1"/>
  <c r="F1468" i="3" a="1"/>
  <c r="F2214" i="3" a="1"/>
  <c r="F2486" i="3" a="1"/>
  <c r="F1522" i="3" a="1"/>
  <c r="F2285" i="3" a="1"/>
  <c r="F1527" i="3" a="1"/>
  <c r="F2029" i="3" a="1"/>
  <c r="F1525" i="3" a="1"/>
  <c r="F2250" i="3" a="1"/>
  <c r="F1859" i="3" a="1"/>
  <c r="F1741" i="3" a="1"/>
  <c r="F1455" i="3" l="1"/>
  <c r="F1465" i="3"/>
  <c r="F1473" i="3"/>
  <c r="F1481" i="3"/>
  <c r="F1513" i="3"/>
  <c r="F1571" i="3"/>
  <c r="F1637" i="3"/>
  <c r="F1452" i="3"/>
  <c r="F1460" i="3"/>
  <c r="F1462" i="3"/>
  <c r="F1470" i="3"/>
  <c r="F1478" i="3"/>
  <c r="F1486" i="3"/>
  <c r="F1494" i="3"/>
  <c r="F1502" i="3"/>
  <c r="F1510" i="3"/>
  <c r="F1518" i="3"/>
  <c r="F1526" i="3"/>
  <c r="F1533" i="3"/>
  <c r="F1548" i="3"/>
  <c r="F1591" i="3"/>
  <c r="F1706" i="3"/>
  <c r="F1738" i="3"/>
  <c r="F1830" i="3"/>
  <c r="F1880" i="3"/>
  <c r="F1890" i="3"/>
  <c r="F1922" i="3"/>
  <c r="F1942" i="3"/>
  <c r="F2049" i="3"/>
  <c r="F1531" i="3"/>
  <c r="F1677" i="3"/>
  <c r="F1457" i="3"/>
  <c r="F1467" i="3"/>
  <c r="F1475" i="3"/>
  <c r="F1483" i="3"/>
  <c r="F1491" i="3"/>
  <c r="F1499" i="3"/>
  <c r="F1507" i="3"/>
  <c r="F1515" i="3"/>
  <c r="F1523" i="3"/>
  <c r="F1535" i="3"/>
  <c r="F1541" i="3"/>
  <c r="F1543" i="3"/>
  <c r="F1617" i="3"/>
  <c r="F1633" i="3"/>
  <c r="F1649" i="3"/>
  <c r="F2006" i="3"/>
  <c r="F2366" i="3"/>
  <c r="F1653" i="3"/>
  <c r="F1998" i="3"/>
  <c r="F1454" i="3"/>
  <c r="F1464" i="3"/>
  <c r="F1472" i="3"/>
  <c r="F1480" i="3"/>
  <c r="F1488" i="3"/>
  <c r="F1496" i="3"/>
  <c r="F1504" i="3"/>
  <c r="F1512" i="3"/>
  <c r="F1520" i="3"/>
  <c r="F1528" i="3"/>
  <c r="F1537" i="3"/>
  <c r="F1539" i="3"/>
  <c r="F1545" i="3"/>
  <c r="F1566" i="3"/>
  <c r="F1574" i="3"/>
  <c r="F1587" i="3"/>
  <c r="F1714" i="3"/>
  <c r="F1746" i="3"/>
  <c r="F1838" i="3"/>
  <c r="F1856" i="3"/>
  <c r="F1898" i="3"/>
  <c r="F1950" i="3"/>
  <c r="F2024" i="3"/>
  <c r="F1489" i="3"/>
  <c r="F1497" i="3"/>
  <c r="F1505" i="3"/>
  <c r="F1521" i="3"/>
  <c r="F1575" i="3"/>
  <c r="F2064" i="3"/>
  <c r="F1451" i="3"/>
  <c r="F1459" i="3"/>
  <c r="F1469" i="3"/>
  <c r="F1477" i="3"/>
  <c r="F1485" i="3"/>
  <c r="F1493" i="3"/>
  <c r="F1501" i="3"/>
  <c r="F1509" i="3"/>
  <c r="F1517" i="3"/>
  <c r="F1525" i="3"/>
  <c r="F1547" i="3"/>
  <c r="F1568" i="3"/>
  <c r="F1599" i="3"/>
  <c r="F1613" i="3"/>
  <c r="F1629" i="3"/>
  <c r="F1645" i="3"/>
  <c r="F1661" i="3"/>
  <c r="F2022" i="3"/>
  <c r="F2032" i="3"/>
  <c r="F1456" i="3"/>
  <c r="F1466" i="3"/>
  <c r="F1474" i="3"/>
  <c r="F1482" i="3"/>
  <c r="F1490" i="3"/>
  <c r="F1498" i="3"/>
  <c r="F1506" i="3"/>
  <c r="F1514" i="3"/>
  <c r="F1522" i="3"/>
  <c r="F1532" i="3"/>
  <c r="F1534" i="3"/>
  <c r="F1583" i="3"/>
  <c r="F1597" i="3"/>
  <c r="F1722" i="3"/>
  <c r="F1754" i="3"/>
  <c r="F1814" i="3"/>
  <c r="F1864" i="3"/>
  <c r="F1906" i="3"/>
  <c r="F1958" i="3"/>
  <c r="F2248" i="3"/>
  <c r="F2290" i="3"/>
  <c r="F1605" i="3"/>
  <c r="F1453" i="3"/>
  <c r="F1463" i="3"/>
  <c r="F1471" i="3"/>
  <c r="F1479" i="3"/>
  <c r="F1487" i="3"/>
  <c r="F1495" i="3"/>
  <c r="F1503" i="3"/>
  <c r="F1511" i="3"/>
  <c r="F1519" i="3"/>
  <c r="F1527" i="3"/>
  <c r="F1536" i="3"/>
  <c r="F1609" i="3"/>
  <c r="F1625" i="3"/>
  <c r="F1641" i="3"/>
  <c r="F1657" i="3"/>
  <c r="F1669" i="3"/>
  <c r="F1567" i="3"/>
  <c r="F1621" i="3"/>
  <c r="F1450" i="3"/>
  <c r="F1458" i="3"/>
  <c r="F1468" i="3"/>
  <c r="F1476" i="3"/>
  <c r="F1484" i="3"/>
  <c r="F1492" i="3"/>
  <c r="F1500" i="3"/>
  <c r="F1508" i="3"/>
  <c r="F1516" i="3"/>
  <c r="F1524" i="3"/>
  <c r="F1538" i="3"/>
  <c r="F1544" i="3"/>
  <c r="F1546" i="3"/>
  <c r="F1565" i="3"/>
  <c r="F1579" i="3"/>
  <c r="F1730" i="3"/>
  <c r="F1762" i="3"/>
  <c r="F1822" i="3"/>
  <c r="F1872" i="3"/>
  <c r="F1914" i="3"/>
  <c r="F1934" i="3"/>
  <c r="F2100" i="3"/>
  <c r="F1530" i="3"/>
  <c r="F1540" i="3"/>
  <c r="F1542" i="3"/>
  <c r="F1570" i="3"/>
  <c r="F1578" i="3"/>
  <c r="F1586" i="3"/>
  <c r="F1596" i="3"/>
  <c r="F1604" i="3"/>
  <c r="F1612" i="3"/>
  <c r="F1620" i="3"/>
  <c r="F1628" i="3"/>
  <c r="F1636" i="3"/>
  <c r="F1644" i="3"/>
  <c r="F1652" i="3"/>
  <c r="F1664" i="3"/>
  <c r="F1672" i="3"/>
  <c r="F1680" i="3"/>
  <c r="F1701" i="3"/>
  <c r="F1709" i="3"/>
  <c r="F1717" i="3"/>
  <c r="F1725" i="3"/>
  <c r="F1733" i="3"/>
  <c r="F1741" i="3"/>
  <c r="F1749" i="3"/>
  <c r="F1757" i="3"/>
  <c r="F1809" i="3"/>
  <c r="F1817" i="3"/>
  <c r="F1825" i="3"/>
  <c r="F1833" i="3"/>
  <c r="F1841" i="3"/>
  <c r="F1859" i="3"/>
  <c r="F1867" i="3"/>
  <c r="F1875" i="3"/>
  <c r="F1885" i="3"/>
  <c r="F1893" i="3"/>
  <c r="F1901" i="3"/>
  <c r="F1909" i="3"/>
  <c r="F1917" i="3"/>
  <c r="F1925" i="3"/>
  <c r="F1937" i="3"/>
  <c r="F1945" i="3"/>
  <c r="F1953" i="3"/>
  <c r="F1961" i="3"/>
  <c r="F1993" i="3"/>
  <c r="F2001" i="3"/>
  <c r="F2009" i="3"/>
  <c r="F2038" i="3"/>
  <c r="F2084" i="3"/>
  <c r="F2172" i="3"/>
  <c r="F2212" i="3"/>
  <c r="F2418" i="3"/>
  <c r="F2468" i="3"/>
  <c r="F2500" i="3"/>
  <c r="F1564" i="3"/>
  <c r="F1572" i="3"/>
  <c r="F1580" i="3"/>
  <c r="F1588" i="3"/>
  <c r="F1606" i="3"/>
  <c r="F1614" i="3"/>
  <c r="F1622" i="3"/>
  <c r="F1630" i="3"/>
  <c r="F1638" i="3"/>
  <c r="F1646" i="3"/>
  <c r="F1654" i="3"/>
  <c r="F1666" i="3"/>
  <c r="F1674" i="3"/>
  <c r="F1703" i="3"/>
  <c r="F1711" i="3"/>
  <c r="F1719" i="3"/>
  <c r="F1727" i="3"/>
  <c r="F1735" i="3"/>
  <c r="F1743" i="3"/>
  <c r="F1751" i="3"/>
  <c r="F1759" i="3"/>
  <c r="F1811" i="3"/>
  <c r="F1819" i="3"/>
  <c r="F1827" i="3"/>
  <c r="F1835" i="3"/>
  <c r="F1861" i="3"/>
  <c r="F1869" i="3"/>
  <c r="F1877" i="3"/>
  <c r="F1887" i="3"/>
  <c r="F1895" i="3"/>
  <c r="F1903" i="3"/>
  <c r="F1911" i="3"/>
  <c r="F1919" i="3"/>
  <c r="F1939" i="3"/>
  <c r="F1947" i="3"/>
  <c r="F1955" i="3"/>
  <c r="F1995" i="3"/>
  <c r="F2003" i="3"/>
  <c r="F2030" i="3"/>
  <c r="F2062" i="3"/>
  <c r="F2073" i="3"/>
  <c r="F2080" i="3"/>
  <c r="F2108" i="3"/>
  <c r="F2180" i="3"/>
  <c r="F2220" i="3"/>
  <c r="F2426" i="3"/>
  <c r="F2476" i="3"/>
  <c r="F1529" i="3"/>
  <c r="F1549" i="3"/>
  <c r="F1569" i="3"/>
  <c r="F1577" i="3"/>
  <c r="F1585" i="3"/>
  <c r="F1595" i="3"/>
  <c r="F1603" i="3"/>
  <c r="F1611" i="3"/>
  <c r="F1619" i="3"/>
  <c r="F1627" i="3"/>
  <c r="F1635" i="3"/>
  <c r="F1643" i="3"/>
  <c r="F1651" i="3"/>
  <c r="F1663" i="3"/>
  <c r="F1671" i="3"/>
  <c r="F1679" i="3"/>
  <c r="F1708" i="3"/>
  <c r="F1716" i="3"/>
  <c r="F1724" i="3"/>
  <c r="F1732" i="3"/>
  <c r="F1740" i="3"/>
  <c r="F1748" i="3"/>
  <c r="F1756" i="3"/>
  <c r="F1764" i="3"/>
  <c r="F1808" i="3"/>
  <c r="F1816" i="3"/>
  <c r="F1824" i="3"/>
  <c r="F1832" i="3"/>
  <c r="F1840" i="3"/>
  <c r="F1858" i="3"/>
  <c r="F1866" i="3"/>
  <c r="F1874" i="3"/>
  <c r="F1882" i="3"/>
  <c r="F1884" i="3"/>
  <c r="F1892" i="3"/>
  <c r="F1900" i="3"/>
  <c r="F1908" i="3"/>
  <c r="F1916" i="3"/>
  <c r="F1924" i="3"/>
  <c r="F1936" i="3"/>
  <c r="F1944" i="3"/>
  <c r="F1952" i="3"/>
  <c r="F1960" i="3"/>
  <c r="F1992" i="3"/>
  <c r="F2000" i="3"/>
  <c r="F2008" i="3"/>
  <c r="F2017" i="3"/>
  <c r="F2041" i="3"/>
  <c r="F2056" i="3"/>
  <c r="F2256" i="3"/>
  <c r="F2298" i="3"/>
  <c r="F2374" i="3"/>
  <c r="F2527" i="3"/>
  <c r="F2547" i="3"/>
  <c r="F1582" i="3"/>
  <c r="F1590" i="3"/>
  <c r="F1608" i="3"/>
  <c r="F1616" i="3"/>
  <c r="F1624" i="3"/>
  <c r="F1632" i="3"/>
  <c r="F1640" i="3"/>
  <c r="F1648" i="3"/>
  <c r="F1656" i="3"/>
  <c r="F1660" i="3"/>
  <c r="F1668" i="3"/>
  <c r="F1676" i="3"/>
  <c r="F1705" i="3"/>
  <c r="F1713" i="3"/>
  <c r="F1721" i="3"/>
  <c r="F1729" i="3"/>
  <c r="F1737" i="3"/>
  <c r="F1745" i="3"/>
  <c r="F1753" i="3"/>
  <c r="F1761" i="3"/>
  <c r="F1813" i="3"/>
  <c r="F1821" i="3"/>
  <c r="F1829" i="3"/>
  <c r="F1837" i="3"/>
  <c r="F1863" i="3"/>
  <c r="F1871" i="3"/>
  <c r="F1879" i="3"/>
  <c r="F1889" i="3"/>
  <c r="F1897" i="3"/>
  <c r="F1905" i="3"/>
  <c r="F1913" i="3"/>
  <c r="F1921" i="3"/>
  <c r="F1933" i="3"/>
  <c r="F1941" i="3"/>
  <c r="F1949" i="3"/>
  <c r="F1957" i="3"/>
  <c r="F1997" i="3"/>
  <c r="F2005" i="3"/>
  <c r="F2019" i="3"/>
  <c r="F2054" i="3"/>
  <c r="F2156" i="3"/>
  <c r="F2188" i="3"/>
  <c r="F2434" i="3"/>
  <c r="F2452" i="3"/>
  <c r="F2484" i="3"/>
  <c r="F1665" i="3"/>
  <c r="F1673" i="3"/>
  <c r="F1702" i="3"/>
  <c r="F1710" i="3"/>
  <c r="F1718" i="3"/>
  <c r="F1726" i="3"/>
  <c r="F1734" i="3"/>
  <c r="F1742" i="3"/>
  <c r="F1750" i="3"/>
  <c r="F1758" i="3"/>
  <c r="F1810" i="3"/>
  <c r="F1818" i="3"/>
  <c r="F1826" i="3"/>
  <c r="F1834" i="3"/>
  <c r="F1842" i="3"/>
  <c r="F1860" i="3"/>
  <c r="F1868" i="3"/>
  <c r="F1876" i="3"/>
  <c r="F1886" i="3"/>
  <c r="F1894" i="3"/>
  <c r="F1902" i="3"/>
  <c r="F1910" i="3"/>
  <c r="F1918" i="3"/>
  <c r="F1926" i="3"/>
  <c r="F1938" i="3"/>
  <c r="F1946" i="3"/>
  <c r="F1954" i="3"/>
  <c r="F1962" i="3"/>
  <c r="F1994" i="3"/>
  <c r="F2002" i="3"/>
  <c r="F2010" i="3"/>
  <c r="F2021" i="3"/>
  <c r="F2023" i="3"/>
  <c r="F2033" i="3"/>
  <c r="F2048" i="3"/>
  <c r="F2065" i="3"/>
  <c r="F2264" i="3"/>
  <c r="F2382" i="3"/>
  <c r="F1576" i="3"/>
  <c r="F1584" i="3"/>
  <c r="F1592" i="3"/>
  <c r="F1594" i="3"/>
  <c r="F1610" i="3"/>
  <c r="F1618" i="3"/>
  <c r="F1626" i="3"/>
  <c r="F1634" i="3"/>
  <c r="F1642" i="3"/>
  <c r="F1650" i="3"/>
  <c r="F1662" i="3"/>
  <c r="F1670" i="3"/>
  <c r="F1678" i="3"/>
  <c r="F1707" i="3"/>
  <c r="F1715" i="3"/>
  <c r="F1723" i="3"/>
  <c r="F1731" i="3"/>
  <c r="F1739" i="3"/>
  <c r="F1747" i="3"/>
  <c r="F1755" i="3"/>
  <c r="F1763" i="3"/>
  <c r="F1807" i="3"/>
  <c r="F1815" i="3"/>
  <c r="F1823" i="3"/>
  <c r="F1831" i="3"/>
  <c r="F1839" i="3"/>
  <c r="F1857" i="3"/>
  <c r="F1865" i="3"/>
  <c r="F1873" i="3"/>
  <c r="F1881" i="3"/>
  <c r="F1891" i="3"/>
  <c r="F1899" i="3"/>
  <c r="F1907" i="3"/>
  <c r="F1915" i="3"/>
  <c r="F1923" i="3"/>
  <c r="F1935" i="3"/>
  <c r="F1943" i="3"/>
  <c r="F1951" i="3"/>
  <c r="F1959" i="3"/>
  <c r="F1991" i="3"/>
  <c r="F1999" i="3"/>
  <c r="F2007" i="3"/>
  <c r="F2025" i="3"/>
  <c r="F2046" i="3"/>
  <c r="F2072" i="3"/>
  <c r="F2081" i="3"/>
  <c r="F2164" i="3"/>
  <c r="F2204" i="3"/>
  <c r="F2410" i="3"/>
  <c r="F2460" i="3"/>
  <c r="F2492" i="3"/>
  <c r="F2560" i="3"/>
  <c r="F1573" i="3"/>
  <c r="F1581" i="3"/>
  <c r="F1589" i="3"/>
  <c r="F1607" i="3"/>
  <c r="F1615" i="3"/>
  <c r="F1623" i="3"/>
  <c r="F1631" i="3"/>
  <c r="F1639" i="3"/>
  <c r="F1647" i="3"/>
  <c r="F1655" i="3"/>
  <c r="F1667" i="3"/>
  <c r="F1675" i="3"/>
  <c r="F1704" i="3"/>
  <c r="F1712" i="3"/>
  <c r="F1720" i="3"/>
  <c r="F1728" i="3"/>
  <c r="F1736" i="3"/>
  <c r="F1744" i="3"/>
  <c r="F1752" i="3"/>
  <c r="F1760" i="3"/>
  <c r="F1812" i="3"/>
  <c r="F1820" i="3"/>
  <c r="F1828" i="3"/>
  <c r="F1836" i="3"/>
  <c r="F1862" i="3"/>
  <c r="F1870" i="3"/>
  <c r="F1878" i="3"/>
  <c r="F1888" i="3"/>
  <c r="F1896" i="3"/>
  <c r="F1904" i="3"/>
  <c r="F1912" i="3"/>
  <c r="F1920" i="3"/>
  <c r="F1940" i="3"/>
  <c r="F1948" i="3"/>
  <c r="F1956" i="3"/>
  <c r="F1996" i="3"/>
  <c r="F2004" i="3"/>
  <c r="F2040" i="3"/>
  <c r="F2057" i="3"/>
  <c r="F2282" i="3"/>
  <c r="F2390" i="3"/>
  <c r="F2558" i="3"/>
  <c r="F2027" i="3"/>
  <c r="F2035" i="3"/>
  <c r="F2043" i="3"/>
  <c r="F2051" i="3"/>
  <c r="F2059" i="3"/>
  <c r="F2067" i="3"/>
  <c r="F2075" i="3"/>
  <c r="F2111" i="3"/>
  <c r="F2159" i="3"/>
  <c r="F2167" i="3"/>
  <c r="F2175" i="3"/>
  <c r="F2183" i="3"/>
  <c r="F2191" i="3"/>
  <c r="F2207" i="3"/>
  <c r="F2215" i="3"/>
  <c r="F2223" i="3"/>
  <c r="F2243" i="3"/>
  <c r="F2251" i="3"/>
  <c r="F2259" i="3"/>
  <c r="F2267" i="3"/>
  <c r="F2271" i="3"/>
  <c r="F2277" i="3"/>
  <c r="F2285" i="3"/>
  <c r="F2293" i="3"/>
  <c r="F2301" i="3"/>
  <c r="F2369" i="3"/>
  <c r="F2377" i="3"/>
  <c r="F2385" i="3"/>
  <c r="F2393" i="3"/>
  <c r="F2405" i="3"/>
  <c r="F2413" i="3"/>
  <c r="F2421" i="3"/>
  <c r="F2429" i="3"/>
  <c r="F2437" i="3"/>
  <c r="F2455" i="3"/>
  <c r="F2463" i="3"/>
  <c r="F2471" i="3"/>
  <c r="F2479" i="3"/>
  <c r="F2487" i="3"/>
  <c r="F2495" i="3"/>
  <c r="F2503" i="3"/>
  <c r="F2522" i="3"/>
  <c r="F2530" i="3"/>
  <c r="F2535" i="3"/>
  <c r="F2541" i="3"/>
  <c r="F2029" i="3"/>
  <c r="F2037" i="3"/>
  <c r="F2045" i="3"/>
  <c r="F2053" i="3"/>
  <c r="F2061" i="3"/>
  <c r="F2069" i="3"/>
  <c r="F2077" i="3"/>
  <c r="F2097" i="3"/>
  <c r="F2113" i="3"/>
  <c r="F2161" i="3"/>
  <c r="F2169" i="3"/>
  <c r="F2177" i="3"/>
  <c r="F2185" i="3"/>
  <c r="F2193" i="3"/>
  <c r="F2209" i="3"/>
  <c r="F2217" i="3"/>
  <c r="F2225" i="3"/>
  <c r="F2245" i="3"/>
  <c r="F2253" i="3"/>
  <c r="F2261" i="3"/>
  <c r="F2279" i="3"/>
  <c r="F2287" i="3"/>
  <c r="F2295" i="3"/>
  <c r="F2303" i="3"/>
  <c r="F2371" i="3"/>
  <c r="F2379" i="3"/>
  <c r="F2387" i="3"/>
  <c r="F2407" i="3"/>
  <c r="F2415" i="3"/>
  <c r="F2423" i="3"/>
  <c r="F2431" i="3"/>
  <c r="F2439" i="3"/>
  <c r="F2449" i="3"/>
  <c r="F2457" i="3"/>
  <c r="F2465" i="3"/>
  <c r="F2473" i="3"/>
  <c r="F2481" i="3"/>
  <c r="F2489" i="3"/>
  <c r="F2497" i="3"/>
  <c r="F2505" i="3"/>
  <c r="F2524" i="3"/>
  <c r="F2532" i="3"/>
  <c r="F2567" i="3"/>
  <c r="F2018" i="3"/>
  <c r="F2026" i="3"/>
  <c r="F2034" i="3"/>
  <c r="F2042" i="3"/>
  <c r="F2050" i="3"/>
  <c r="F2058" i="3"/>
  <c r="F2066" i="3"/>
  <c r="F2074" i="3"/>
  <c r="F2102" i="3"/>
  <c r="F2110" i="3"/>
  <c r="F2158" i="3"/>
  <c r="F2166" i="3"/>
  <c r="F2174" i="3"/>
  <c r="F2182" i="3"/>
  <c r="F2190" i="3"/>
  <c r="F2206" i="3"/>
  <c r="F2214" i="3"/>
  <c r="F2222" i="3"/>
  <c r="F2242" i="3"/>
  <c r="F2250" i="3"/>
  <c r="F2258" i="3"/>
  <c r="F2266" i="3"/>
  <c r="F2276" i="3"/>
  <c r="F2284" i="3"/>
  <c r="F2292" i="3"/>
  <c r="F2300" i="3"/>
  <c r="F2368" i="3"/>
  <c r="F2376" i="3"/>
  <c r="F2384" i="3"/>
  <c r="F2392" i="3"/>
  <c r="F2404" i="3"/>
  <c r="F2412" i="3"/>
  <c r="F2420" i="3"/>
  <c r="F2428" i="3"/>
  <c r="F2436" i="3"/>
  <c r="F2454" i="3"/>
  <c r="F2462" i="3"/>
  <c r="F2470" i="3"/>
  <c r="F2478" i="3"/>
  <c r="F2486" i="3"/>
  <c r="F2494" i="3"/>
  <c r="F2502" i="3"/>
  <c r="F2521" i="3"/>
  <c r="F2529" i="3"/>
  <c r="F2554" i="3"/>
  <c r="F2031" i="3"/>
  <c r="F2039" i="3"/>
  <c r="F2047" i="3"/>
  <c r="F2055" i="3"/>
  <c r="F2063" i="3"/>
  <c r="F2071" i="3"/>
  <c r="F2079" i="3"/>
  <c r="F2099" i="3"/>
  <c r="F2107" i="3"/>
  <c r="F2115" i="3"/>
  <c r="F2163" i="3"/>
  <c r="F2171" i="3"/>
  <c r="F2179" i="3"/>
  <c r="F2187" i="3"/>
  <c r="F2195" i="3"/>
  <c r="F2211" i="3"/>
  <c r="F2219" i="3"/>
  <c r="F2247" i="3"/>
  <c r="F2255" i="3"/>
  <c r="F2263" i="3"/>
  <c r="F2281" i="3"/>
  <c r="F2289" i="3"/>
  <c r="F2297" i="3"/>
  <c r="F2373" i="3"/>
  <c r="F2381" i="3"/>
  <c r="F2389" i="3"/>
  <c r="F2409" i="3"/>
  <c r="F2417" i="3"/>
  <c r="F2425" i="3"/>
  <c r="F2433" i="3"/>
  <c r="F2451" i="3"/>
  <c r="F2459" i="3"/>
  <c r="F2467" i="3"/>
  <c r="F2475" i="3"/>
  <c r="F2483" i="3"/>
  <c r="F2491" i="3"/>
  <c r="F2499" i="3"/>
  <c r="F2507" i="3"/>
  <c r="F2509" i="3"/>
  <c r="F2526" i="3"/>
  <c r="F2534" i="3"/>
  <c r="F2540" i="3"/>
  <c r="F2020" i="3"/>
  <c r="F2028" i="3"/>
  <c r="F2036" i="3"/>
  <c r="F2044" i="3"/>
  <c r="F2052" i="3"/>
  <c r="F2060" i="3"/>
  <c r="F2068" i="3"/>
  <c r="F2076" i="3"/>
  <c r="F2112" i="3"/>
  <c r="F2160" i="3"/>
  <c r="F2168" i="3"/>
  <c r="F2176" i="3"/>
  <c r="F2184" i="3"/>
  <c r="F2192" i="3"/>
  <c r="F2208" i="3"/>
  <c r="F2216" i="3"/>
  <c r="F2224" i="3"/>
  <c r="F2244" i="3"/>
  <c r="F2252" i="3"/>
  <c r="F2260" i="3"/>
  <c r="F2268" i="3"/>
  <c r="F2278" i="3"/>
  <c r="F2286" i="3"/>
  <c r="F2294" i="3"/>
  <c r="F2302" i="3"/>
  <c r="F2370" i="3"/>
  <c r="F2378" i="3"/>
  <c r="F2386" i="3"/>
  <c r="F2406" i="3"/>
  <c r="F2414" i="3"/>
  <c r="F2422" i="3"/>
  <c r="F2430" i="3"/>
  <c r="F2438" i="3"/>
  <c r="F2456" i="3"/>
  <c r="F2464" i="3"/>
  <c r="F2472" i="3"/>
  <c r="F2480" i="3"/>
  <c r="F2488" i="3"/>
  <c r="F2496" i="3"/>
  <c r="F2504" i="3"/>
  <c r="F2523" i="3"/>
  <c r="F2531" i="3"/>
  <c r="F2536" i="3"/>
  <c r="F2542" i="3"/>
  <c r="F2546" i="3"/>
  <c r="F2548" i="3"/>
  <c r="F2559" i="3"/>
  <c r="F2101" i="3"/>
  <c r="F2109" i="3"/>
  <c r="F2157" i="3"/>
  <c r="F2165" i="3"/>
  <c r="F2173" i="3"/>
  <c r="F2181" i="3"/>
  <c r="F2189" i="3"/>
  <c r="F2205" i="3"/>
  <c r="F2213" i="3"/>
  <c r="F2221" i="3"/>
  <c r="F2241" i="3"/>
  <c r="F2249" i="3"/>
  <c r="F2257" i="3"/>
  <c r="F2265" i="3"/>
  <c r="F2275" i="3"/>
  <c r="F2283" i="3"/>
  <c r="F2291" i="3"/>
  <c r="F2299" i="3"/>
  <c r="F2367" i="3"/>
  <c r="F2375" i="3"/>
  <c r="F2383" i="3"/>
  <c r="F2391" i="3"/>
  <c r="F2411" i="3"/>
  <c r="F2419" i="3"/>
  <c r="F2427" i="3"/>
  <c r="F2435" i="3"/>
  <c r="F2453" i="3"/>
  <c r="F2461" i="3"/>
  <c r="F2469" i="3"/>
  <c r="F2477" i="3"/>
  <c r="F2485" i="3"/>
  <c r="F2493" i="3"/>
  <c r="F2501" i="3"/>
  <c r="F2520" i="3"/>
  <c r="F2528" i="3"/>
  <c r="F2568" i="3"/>
  <c r="F2070" i="3"/>
  <c r="F2078" i="3"/>
  <c r="F2098" i="3"/>
  <c r="F2114" i="3"/>
  <c r="F2162" i="3"/>
  <c r="F2170" i="3"/>
  <c r="F2178" i="3"/>
  <c r="F2186" i="3"/>
  <c r="F2194" i="3"/>
  <c r="F2210" i="3"/>
  <c r="F2218" i="3"/>
  <c r="F2226" i="3"/>
  <c r="F2246" i="3"/>
  <c r="F2254" i="3"/>
  <c r="F2262" i="3"/>
  <c r="F2280" i="3"/>
  <c r="F2288" i="3"/>
  <c r="F2296" i="3"/>
  <c r="F2372" i="3"/>
  <c r="F2380" i="3"/>
  <c r="F2388" i="3"/>
  <c r="F2408" i="3"/>
  <c r="F2416" i="3"/>
  <c r="F2424" i="3"/>
  <c r="F2432" i="3"/>
  <c r="F2450" i="3"/>
  <c r="F2458" i="3"/>
  <c r="F2466" i="3"/>
  <c r="F2474" i="3"/>
  <c r="F2482" i="3"/>
  <c r="F2490" i="3"/>
  <c r="F2498" i="3"/>
  <c r="F2506" i="3"/>
  <c r="F2525" i="3"/>
  <c r="F2533" i="3"/>
  <c r="F2539" i="3"/>
  <c r="F2555" i="3"/>
  <c r="F2550" i="3"/>
  <c r="F2562" i="3"/>
  <c r="F2544" i="3"/>
  <c r="F2552" i="3"/>
  <c r="F2564" i="3"/>
  <c r="F2549" i="3"/>
  <c r="F2561" i="3"/>
  <c r="F2566" i="3"/>
  <c r="F2543" i="3"/>
  <c r="F2551" i="3"/>
  <c r="F2563" i="3"/>
  <c r="F2545" i="3"/>
  <c r="F2553" i="3"/>
  <c r="F2565" i="3"/>
  <c r="N1438" i="3" l="1"/>
  <c r="G1438" i="3"/>
  <c r="N1437" i="3"/>
  <c r="G1437" i="3"/>
  <c r="N1436" i="3"/>
  <c r="G1436" i="3"/>
  <c r="N1435" i="3"/>
  <c r="G1435" i="3"/>
  <c r="N1434" i="3"/>
  <c r="G1434" i="3"/>
  <c r="N1433" i="3"/>
  <c r="G1433" i="3"/>
  <c r="N1432" i="3"/>
  <c r="G1432" i="3"/>
  <c r="N1431" i="3"/>
  <c r="G1431" i="3"/>
  <c r="N1430" i="3"/>
  <c r="G1430" i="3"/>
  <c r="N1429" i="3"/>
  <c r="G1429" i="3"/>
  <c r="N1428" i="3"/>
  <c r="G1428" i="3"/>
  <c r="N1427" i="3"/>
  <c r="G1427" i="3"/>
  <c r="N1426" i="3"/>
  <c r="G1426" i="3"/>
  <c r="N1425" i="3"/>
  <c r="G1425" i="3"/>
  <c r="N1424" i="3"/>
  <c r="G1424" i="3"/>
  <c r="N1423" i="3"/>
  <c r="G1423" i="3"/>
  <c r="N1422" i="3"/>
  <c r="G1422" i="3"/>
  <c r="N1421" i="3"/>
  <c r="G1421" i="3"/>
  <c r="N1420" i="3"/>
  <c r="G1420" i="3"/>
  <c r="N1419" i="3"/>
  <c r="G1419" i="3"/>
  <c r="N1418" i="3"/>
  <c r="G1418" i="3"/>
  <c r="N1417" i="3"/>
  <c r="G1417" i="3"/>
  <c r="N1416" i="3"/>
  <c r="G1416" i="3"/>
  <c r="N1415" i="3"/>
  <c r="G1415" i="3"/>
  <c r="N1414" i="3"/>
  <c r="G1414" i="3"/>
  <c r="N1413" i="3"/>
  <c r="G1413" i="3"/>
  <c r="N1412" i="3"/>
  <c r="G1412" i="3"/>
  <c r="N1411" i="3"/>
  <c r="G1411" i="3"/>
  <c r="N1410" i="3"/>
  <c r="G1410" i="3"/>
  <c r="N1409" i="3"/>
  <c r="G1409" i="3"/>
  <c r="N1408" i="3"/>
  <c r="G1408" i="3"/>
  <c r="N1407" i="3"/>
  <c r="G1407" i="3"/>
  <c r="N1406" i="3"/>
  <c r="G1406" i="3"/>
  <c r="N1405" i="3"/>
  <c r="G1405" i="3"/>
  <c r="N1404" i="3"/>
  <c r="G1404" i="3"/>
  <c r="N1403" i="3"/>
  <c r="G1403" i="3"/>
  <c r="N1402" i="3"/>
  <c r="G1402" i="3"/>
  <c r="N1401" i="3"/>
  <c r="G1401" i="3"/>
  <c r="N1400" i="3"/>
  <c r="G1400" i="3"/>
  <c r="N1399" i="3"/>
  <c r="G1399" i="3"/>
  <c r="N1398" i="3"/>
  <c r="G1398" i="3"/>
  <c r="N1397" i="3"/>
  <c r="G1397" i="3"/>
  <c r="N1396" i="3"/>
  <c r="G1396" i="3"/>
  <c r="N1395" i="3"/>
  <c r="G1395" i="3"/>
  <c r="N1394" i="3"/>
  <c r="G1394" i="3"/>
  <c r="N1393" i="3"/>
  <c r="G1393" i="3"/>
  <c r="N1392" i="3"/>
  <c r="G1392" i="3"/>
  <c r="N1391" i="3"/>
  <c r="G1391" i="3"/>
  <c r="N1390" i="3"/>
  <c r="G1390" i="3"/>
  <c r="N1389" i="3"/>
  <c r="G1389" i="3"/>
  <c r="N1388" i="3"/>
  <c r="G1388" i="3"/>
  <c r="N1387" i="3"/>
  <c r="G1387" i="3"/>
  <c r="N1386" i="3"/>
  <c r="G1386" i="3"/>
  <c r="N1385" i="3"/>
  <c r="G1385" i="3"/>
  <c r="N1384" i="3"/>
  <c r="G1384" i="3"/>
  <c r="N1383" i="3"/>
  <c r="G1383" i="3"/>
  <c r="N1382" i="3"/>
  <c r="G1382" i="3"/>
  <c r="N1381" i="3"/>
  <c r="G1381" i="3"/>
  <c r="N1380" i="3"/>
  <c r="G1380" i="3"/>
  <c r="N1379" i="3"/>
  <c r="G1379" i="3"/>
  <c r="N1378" i="3"/>
  <c r="G1378" i="3"/>
  <c r="N1377" i="3"/>
  <c r="G1377" i="3"/>
  <c r="N1376" i="3"/>
  <c r="G1376" i="3"/>
  <c r="N1375" i="3"/>
  <c r="G1375" i="3"/>
  <c r="N1374" i="3"/>
  <c r="G1374" i="3"/>
  <c r="N1373" i="3"/>
  <c r="G1373" i="3"/>
  <c r="N1372" i="3"/>
  <c r="G1372" i="3"/>
  <c r="N1371" i="3"/>
  <c r="G1371" i="3"/>
  <c r="N1370" i="3"/>
  <c r="G1370" i="3"/>
  <c r="N1369" i="3"/>
  <c r="G1369" i="3"/>
  <c r="N1368" i="3"/>
  <c r="G1368" i="3"/>
  <c r="N1367" i="3"/>
  <c r="G1367" i="3"/>
  <c r="N1366" i="3"/>
  <c r="G1366" i="3"/>
  <c r="N1365" i="3"/>
  <c r="G1365" i="3"/>
  <c r="N1364" i="3"/>
  <c r="G1364" i="3"/>
  <c r="N1363" i="3"/>
  <c r="G1363" i="3"/>
  <c r="N1362" i="3"/>
  <c r="G1362" i="3"/>
  <c r="N1361" i="3"/>
  <c r="G1361" i="3"/>
  <c r="N1360" i="3"/>
  <c r="G1360" i="3"/>
  <c r="N1359" i="3"/>
  <c r="G1359" i="3"/>
  <c r="N1358" i="3"/>
  <c r="G1358" i="3"/>
  <c r="N1357" i="3"/>
  <c r="G1357" i="3"/>
  <c r="N1356" i="3"/>
  <c r="G1356" i="3"/>
  <c r="N1355" i="3"/>
  <c r="G1355" i="3"/>
  <c r="N1354" i="3"/>
  <c r="G1354" i="3"/>
  <c r="N1353" i="3"/>
  <c r="G1353" i="3"/>
  <c r="N1352" i="3"/>
  <c r="G1352" i="3"/>
  <c r="N1351" i="3"/>
  <c r="G1351" i="3"/>
  <c r="N1350" i="3"/>
  <c r="G1350" i="3"/>
  <c r="N1349" i="3"/>
  <c r="G1349" i="3"/>
  <c r="N1348" i="3"/>
  <c r="G1348" i="3"/>
  <c r="N1347" i="3"/>
  <c r="G1347" i="3"/>
  <c r="N1346" i="3"/>
  <c r="N1345" i="3"/>
  <c r="G1345" i="3"/>
  <c r="N1344" i="3"/>
  <c r="G1344" i="3"/>
  <c r="N1343" i="3"/>
  <c r="G1343" i="3"/>
  <c r="N1342" i="3"/>
  <c r="G1342" i="3"/>
  <c r="N1341" i="3"/>
  <c r="G1341" i="3"/>
  <c r="N1340" i="3"/>
  <c r="G1340" i="3"/>
  <c r="N1339" i="3"/>
  <c r="G1339" i="3"/>
  <c r="N1338" i="3"/>
  <c r="G1338" i="3"/>
  <c r="N1337" i="3"/>
  <c r="G1337" i="3"/>
  <c r="N1336" i="3"/>
  <c r="G1336" i="3"/>
  <c r="N1335" i="3"/>
  <c r="G1335" i="3"/>
  <c r="N1334" i="3"/>
  <c r="G1334" i="3"/>
  <c r="N1333" i="3"/>
  <c r="G1333" i="3"/>
  <c r="N1332" i="3"/>
  <c r="G1332" i="3"/>
  <c r="N1331" i="3"/>
  <c r="G1331" i="3"/>
  <c r="N1330" i="3"/>
  <c r="G1330" i="3"/>
  <c r="N1329" i="3"/>
  <c r="G1329" i="3"/>
  <c r="N1328" i="3"/>
  <c r="G1328" i="3"/>
  <c r="N1327" i="3"/>
  <c r="G1327" i="3"/>
  <c r="N1326" i="3"/>
  <c r="G1326" i="3"/>
  <c r="N1325" i="3"/>
  <c r="G1325" i="3"/>
  <c r="N1324" i="3"/>
  <c r="G1324" i="3"/>
  <c r="N1323" i="3"/>
  <c r="G1323" i="3"/>
  <c r="N1322" i="3"/>
  <c r="G1322" i="3"/>
  <c r="N1321" i="3"/>
  <c r="G1321" i="3"/>
  <c r="N1320" i="3"/>
  <c r="G1320" i="3"/>
  <c r="N1319" i="3"/>
  <c r="G1319" i="3"/>
  <c r="N1318" i="3"/>
  <c r="G1318" i="3"/>
  <c r="N1317" i="3"/>
  <c r="G1317" i="3"/>
  <c r="N1316" i="3"/>
  <c r="G1316" i="3"/>
  <c r="N1315" i="3"/>
  <c r="G1315" i="3"/>
  <c r="N1314" i="3"/>
  <c r="G1314" i="3"/>
  <c r="N1313" i="3"/>
  <c r="G1313" i="3"/>
  <c r="N1312" i="3"/>
  <c r="G1312" i="3"/>
  <c r="N1311" i="3"/>
  <c r="G1311" i="3"/>
  <c r="N1310" i="3"/>
  <c r="G1310" i="3"/>
  <c r="N1309" i="3"/>
  <c r="G1309" i="3"/>
  <c r="N1308" i="3"/>
  <c r="G1308" i="3"/>
  <c r="N1307" i="3"/>
  <c r="G1307" i="3"/>
  <c r="N1306" i="3"/>
  <c r="G1306" i="3"/>
  <c r="N1305" i="3"/>
  <c r="G1305" i="3"/>
  <c r="N1304" i="3"/>
  <c r="G1304" i="3"/>
  <c r="N1303" i="3"/>
  <c r="G1303" i="3"/>
  <c r="N1302" i="3"/>
  <c r="G1302" i="3"/>
  <c r="N1301" i="3"/>
  <c r="G1301" i="3"/>
  <c r="N1300" i="3"/>
  <c r="G1300" i="3"/>
  <c r="N1299" i="3"/>
  <c r="G1299" i="3"/>
  <c r="N1298" i="3"/>
  <c r="G1298" i="3"/>
  <c r="N1297" i="3"/>
  <c r="G1297" i="3"/>
  <c r="N1296" i="3"/>
  <c r="G1296" i="3"/>
  <c r="N1295" i="3"/>
  <c r="G1295" i="3"/>
  <c r="N1294" i="3"/>
  <c r="G1294" i="3"/>
  <c r="N1293" i="3"/>
  <c r="G1293" i="3"/>
  <c r="N1292" i="3"/>
  <c r="G1292" i="3"/>
  <c r="N1291" i="3"/>
  <c r="G1291" i="3"/>
  <c r="N1290" i="3"/>
  <c r="G1290" i="3"/>
  <c r="N1289" i="3"/>
  <c r="G1289" i="3"/>
  <c r="N1288" i="3"/>
  <c r="G1288" i="3"/>
  <c r="N1287" i="3"/>
  <c r="G1287" i="3"/>
  <c r="N1286" i="3"/>
  <c r="G1286" i="3"/>
  <c r="N1285" i="3"/>
  <c r="G1285" i="3"/>
  <c r="N1284" i="3"/>
  <c r="G1284" i="3"/>
  <c r="N1283" i="3"/>
  <c r="G1283" i="3"/>
  <c r="N1282" i="3"/>
  <c r="G1282" i="3"/>
  <c r="N1281" i="3"/>
  <c r="G1281" i="3"/>
  <c r="N1280" i="3"/>
  <c r="G1280" i="3"/>
  <c r="N1279" i="3"/>
  <c r="G1279" i="3"/>
  <c r="N1278" i="3"/>
  <c r="G1278" i="3"/>
  <c r="N1277" i="3"/>
  <c r="G1277" i="3"/>
  <c r="N1276" i="3"/>
  <c r="G1276" i="3"/>
  <c r="N1275" i="3"/>
  <c r="G1275" i="3"/>
  <c r="N1274" i="3"/>
  <c r="G1274" i="3"/>
  <c r="N1273" i="3"/>
  <c r="G1273" i="3"/>
  <c r="N1272" i="3"/>
  <c r="G1272" i="3"/>
  <c r="N1271" i="3"/>
  <c r="G1271" i="3"/>
  <c r="N1270" i="3"/>
  <c r="G1270" i="3"/>
  <c r="N1269" i="3"/>
  <c r="G1269" i="3"/>
  <c r="N1268" i="3"/>
  <c r="G1268" i="3"/>
  <c r="N1267" i="3"/>
  <c r="G1267" i="3"/>
  <c r="N1266" i="3"/>
  <c r="G1266" i="3"/>
  <c r="N1265" i="3"/>
  <c r="G1265" i="3"/>
  <c r="N1264" i="3"/>
  <c r="G1264" i="3"/>
  <c r="N1263" i="3"/>
  <c r="G1263" i="3"/>
  <c r="N1262" i="3"/>
  <c r="G1262" i="3"/>
  <c r="N1261" i="3"/>
  <c r="G1261" i="3"/>
  <c r="N1260" i="3"/>
  <c r="G1260" i="3"/>
  <c r="N1259" i="3"/>
  <c r="G1259" i="3"/>
  <c r="N1258" i="3"/>
  <c r="G1258" i="3"/>
  <c r="N1257" i="3"/>
  <c r="G1257" i="3"/>
  <c r="N1256" i="3"/>
  <c r="G1256" i="3"/>
  <c r="N1255" i="3"/>
  <c r="G1255" i="3"/>
  <c r="N1254" i="3"/>
  <c r="G1254" i="3"/>
  <c r="N1253" i="3"/>
  <c r="N1252" i="3"/>
  <c r="G1252" i="3"/>
  <c r="N1251" i="3"/>
  <c r="G1251" i="3"/>
  <c r="N1250" i="3"/>
  <c r="G1250" i="3"/>
  <c r="N1249" i="3"/>
  <c r="G1249" i="3"/>
  <c r="N1248" i="3"/>
  <c r="G1248" i="3"/>
  <c r="N1247" i="3"/>
  <c r="G1247" i="3"/>
  <c r="N1246" i="3"/>
  <c r="G1246" i="3"/>
  <c r="N1245" i="3"/>
  <c r="G1245" i="3"/>
  <c r="N1244" i="3"/>
  <c r="G1244" i="3"/>
  <c r="N1243" i="3"/>
  <c r="G1243" i="3"/>
  <c r="N1242" i="3"/>
  <c r="G1242" i="3"/>
  <c r="N1241" i="3"/>
  <c r="G1241" i="3"/>
  <c r="N1240" i="3"/>
  <c r="G1240" i="3"/>
  <c r="N1239" i="3"/>
  <c r="G1239" i="3"/>
  <c r="N1238" i="3"/>
  <c r="G1238" i="3"/>
  <c r="N1237" i="3"/>
  <c r="G1237" i="3"/>
  <c r="N1236" i="3"/>
  <c r="G1236" i="3"/>
  <c r="N1235" i="3"/>
  <c r="G1235" i="3"/>
  <c r="N1234" i="3"/>
  <c r="G1234" i="3"/>
  <c r="N1233" i="3"/>
  <c r="G1233" i="3"/>
  <c r="N1232" i="3"/>
  <c r="G1232" i="3"/>
  <c r="N1231" i="3"/>
  <c r="G1231" i="3"/>
  <c r="N1230" i="3"/>
  <c r="G1230" i="3"/>
  <c r="N1229" i="3"/>
  <c r="G1229" i="3"/>
  <c r="N1228" i="3"/>
  <c r="G1228" i="3"/>
  <c r="N1227" i="3"/>
  <c r="G1227" i="3"/>
  <c r="N1226" i="3"/>
  <c r="G1226" i="3"/>
  <c r="N1225" i="3"/>
  <c r="G1225" i="3"/>
  <c r="N1224" i="3"/>
  <c r="G1224" i="3"/>
  <c r="N1223" i="3"/>
  <c r="G1223" i="3"/>
  <c r="N1222" i="3"/>
  <c r="G1222" i="3"/>
  <c r="N1221" i="3"/>
  <c r="G1221" i="3"/>
  <c r="N1220" i="3"/>
  <c r="G1220" i="3"/>
  <c r="N1219" i="3"/>
  <c r="G1219" i="3"/>
  <c r="N1218" i="3"/>
  <c r="G1218" i="3"/>
  <c r="N1217" i="3"/>
  <c r="G1217" i="3"/>
  <c r="N1216" i="3"/>
  <c r="G1216" i="3"/>
  <c r="N1215" i="3"/>
  <c r="G1215" i="3"/>
  <c r="N1214" i="3"/>
  <c r="G1214" i="3"/>
  <c r="N1213" i="3"/>
  <c r="G1213" i="3"/>
  <c r="N1212" i="3"/>
  <c r="G1212" i="3"/>
  <c r="N1211" i="3"/>
  <c r="G1211" i="3"/>
  <c r="N1210" i="3"/>
  <c r="G1210" i="3"/>
  <c r="N1209" i="3"/>
  <c r="G1209" i="3"/>
  <c r="N1208" i="3"/>
  <c r="G1208" i="3"/>
  <c r="N1207" i="3"/>
  <c r="G1207" i="3"/>
  <c r="N1206" i="3"/>
  <c r="G1206" i="3"/>
  <c r="N1205" i="3"/>
  <c r="G1205" i="3"/>
  <c r="N1204" i="3"/>
  <c r="G1204" i="3"/>
  <c r="N1203" i="3"/>
  <c r="G1203" i="3"/>
  <c r="N1202" i="3"/>
  <c r="G1202" i="3"/>
  <c r="N1201" i="3"/>
  <c r="G1201" i="3"/>
  <c r="N1200" i="3"/>
  <c r="G1200" i="3"/>
  <c r="N1199" i="3"/>
  <c r="G1199" i="3"/>
  <c r="N1198" i="3"/>
  <c r="G1198" i="3"/>
  <c r="N1197" i="3"/>
  <c r="G1197" i="3"/>
  <c r="N1196" i="3"/>
  <c r="G1196" i="3"/>
  <c r="N1195" i="3"/>
  <c r="G1195" i="3"/>
  <c r="N1194" i="3"/>
  <c r="G1194" i="3"/>
  <c r="N1193" i="3"/>
  <c r="G1193" i="3"/>
  <c r="N1192" i="3"/>
  <c r="G1192" i="3"/>
  <c r="N1191" i="3"/>
  <c r="G1191" i="3"/>
  <c r="N1190" i="3"/>
  <c r="G1190" i="3"/>
  <c r="N1189" i="3"/>
  <c r="G1189" i="3"/>
  <c r="N1188" i="3"/>
  <c r="G1188" i="3"/>
  <c r="N1187" i="3"/>
  <c r="G1187" i="3"/>
  <c r="N1186" i="3"/>
  <c r="G1186" i="3"/>
  <c r="N1185" i="3"/>
  <c r="G1185" i="3"/>
  <c r="N1184" i="3"/>
  <c r="G1184" i="3"/>
  <c r="N1183" i="3"/>
  <c r="G1183" i="3"/>
  <c r="N1182" i="3"/>
  <c r="G1182" i="3"/>
  <c r="N1181" i="3"/>
  <c r="G1181" i="3"/>
  <c r="N1180" i="3"/>
  <c r="G1180" i="3"/>
  <c r="N1179" i="3"/>
  <c r="G1179" i="3"/>
  <c r="N1178" i="3"/>
  <c r="G1178" i="3"/>
  <c r="N1177" i="3"/>
  <c r="G1177" i="3"/>
  <c r="N1176" i="3"/>
  <c r="G1176" i="3"/>
  <c r="N1175" i="3"/>
  <c r="G1175" i="3"/>
  <c r="N1174" i="3"/>
  <c r="G1174" i="3"/>
  <c r="N1173" i="3"/>
  <c r="G1173" i="3"/>
  <c r="N1172" i="3"/>
  <c r="G1172" i="3"/>
  <c r="N1171" i="3"/>
  <c r="G1171" i="3"/>
  <c r="N1170" i="3"/>
  <c r="G1170" i="3"/>
  <c r="N1169" i="3"/>
  <c r="G1169" i="3"/>
  <c r="N1168" i="3"/>
  <c r="G1168" i="3"/>
  <c r="N1167" i="3"/>
  <c r="G1167" i="3"/>
  <c r="N1166" i="3"/>
  <c r="G1166" i="3"/>
  <c r="N1165" i="3"/>
  <c r="G1165" i="3"/>
  <c r="N1164" i="3"/>
  <c r="G1164" i="3"/>
  <c r="N1163" i="3"/>
  <c r="G1163" i="3"/>
  <c r="N1162" i="3"/>
  <c r="G1162" i="3"/>
  <c r="N1161" i="3"/>
  <c r="G1161" i="3"/>
  <c r="N1160" i="3"/>
  <c r="G1160" i="3"/>
  <c r="N1159" i="3"/>
  <c r="G1159" i="3"/>
  <c r="N1158" i="3"/>
  <c r="G1158" i="3"/>
  <c r="N1157" i="3"/>
  <c r="G1157" i="3"/>
  <c r="N1156" i="3"/>
  <c r="G1156" i="3"/>
  <c r="N1155" i="3"/>
  <c r="G1155" i="3"/>
  <c r="N1154" i="3"/>
  <c r="G1154" i="3"/>
  <c r="N1153" i="3"/>
  <c r="G1153" i="3"/>
  <c r="N1152" i="3"/>
  <c r="G1152" i="3"/>
  <c r="N1151" i="3"/>
  <c r="G1151" i="3"/>
  <c r="N1150" i="3"/>
  <c r="G1150" i="3"/>
  <c r="N1149" i="3"/>
  <c r="G1149" i="3"/>
  <c r="N1148" i="3"/>
  <c r="G1148" i="3"/>
  <c r="N1147" i="3"/>
  <c r="G1147" i="3"/>
  <c r="N1146" i="3"/>
  <c r="G1146" i="3"/>
  <c r="N1145" i="3"/>
  <c r="G1145" i="3"/>
  <c r="N1144" i="3"/>
  <c r="G1144" i="3"/>
  <c r="N1143" i="3"/>
  <c r="G1143" i="3"/>
  <c r="N1142" i="3"/>
  <c r="G1142" i="3"/>
  <c r="N1141" i="3"/>
  <c r="G1141" i="3"/>
  <c r="N1140" i="3"/>
  <c r="G1140" i="3"/>
  <c r="N1139" i="3"/>
  <c r="G1139" i="3"/>
  <c r="N1138" i="3"/>
  <c r="G1138" i="3"/>
  <c r="N1137" i="3"/>
  <c r="G1137" i="3"/>
  <c r="N1136" i="3"/>
  <c r="G1136" i="3"/>
  <c r="N1135" i="3"/>
  <c r="G1135" i="3"/>
  <c r="N1134" i="3"/>
  <c r="G1134" i="3"/>
  <c r="N1133" i="3"/>
  <c r="G1133" i="3"/>
  <c r="N1132" i="3"/>
  <c r="G1132" i="3"/>
  <c r="N1131" i="3"/>
  <c r="G1131" i="3"/>
  <c r="N1130" i="3"/>
  <c r="G1130" i="3"/>
  <c r="N1129" i="3"/>
  <c r="G1129" i="3"/>
  <c r="N1128" i="3"/>
  <c r="G1128" i="3"/>
  <c r="N1127" i="3"/>
  <c r="G1127" i="3"/>
  <c r="N1126" i="3"/>
  <c r="G1126" i="3"/>
  <c r="N1125" i="3"/>
  <c r="G1125" i="3"/>
  <c r="N1124" i="3"/>
  <c r="G1124" i="3"/>
  <c r="N1123" i="3"/>
  <c r="G1123" i="3"/>
  <c r="N1122" i="3"/>
  <c r="G1122" i="3"/>
  <c r="N1121" i="3"/>
  <c r="G1121" i="3"/>
  <c r="N1120" i="3"/>
  <c r="G1120" i="3"/>
  <c r="N1119" i="3"/>
  <c r="G1119" i="3"/>
  <c r="N1118" i="3"/>
  <c r="G1118" i="3"/>
  <c r="N1117" i="3"/>
  <c r="G1117" i="3"/>
  <c r="N1116" i="3"/>
  <c r="G1116" i="3"/>
  <c r="N1115" i="3"/>
  <c r="G1115" i="3"/>
  <c r="N1114" i="3"/>
  <c r="G1114" i="3"/>
  <c r="N1113" i="3"/>
  <c r="G1113" i="3"/>
  <c r="N1112" i="3"/>
  <c r="G1112" i="3"/>
  <c r="N1111" i="3"/>
  <c r="G1111" i="3"/>
  <c r="N1110" i="3"/>
  <c r="G1110" i="3"/>
  <c r="N1109" i="3"/>
  <c r="G1109" i="3"/>
  <c r="N1108" i="3"/>
  <c r="G1108" i="3"/>
  <c r="N1107" i="3"/>
  <c r="G1107" i="3"/>
  <c r="N1106" i="3"/>
  <c r="G1106" i="3"/>
  <c r="N1105" i="3"/>
  <c r="G1105" i="3"/>
  <c r="N1104" i="3"/>
  <c r="G1104" i="3"/>
  <c r="N1103" i="3"/>
  <c r="G1103" i="3"/>
  <c r="N1102" i="3"/>
  <c r="G1102" i="3"/>
  <c r="N1101" i="3"/>
  <c r="G1101" i="3"/>
  <c r="N1100" i="3"/>
  <c r="G1100" i="3"/>
  <c r="N1099" i="3"/>
  <c r="G1099" i="3"/>
  <c r="N1098" i="3"/>
  <c r="G1098" i="3"/>
  <c r="N1097" i="3"/>
  <c r="G1097" i="3"/>
  <c r="N1096" i="3"/>
  <c r="G1096" i="3"/>
  <c r="N1095" i="3"/>
  <c r="G1095" i="3"/>
  <c r="N1094" i="3"/>
  <c r="G1094" i="3"/>
  <c r="N1093" i="3"/>
  <c r="G1093" i="3"/>
  <c r="N1092" i="3"/>
  <c r="G1092" i="3"/>
  <c r="N1091" i="3"/>
  <c r="G1091" i="3"/>
  <c r="N1090" i="3"/>
  <c r="G1090" i="3"/>
  <c r="N1089" i="3"/>
  <c r="G1089" i="3"/>
  <c r="N1088" i="3"/>
  <c r="G1088" i="3"/>
  <c r="N1087" i="3"/>
  <c r="G1087" i="3"/>
  <c r="N1086" i="3"/>
  <c r="G1086" i="3"/>
  <c r="N1085" i="3"/>
  <c r="G1085" i="3"/>
  <c r="N1084" i="3"/>
  <c r="G1084" i="3"/>
  <c r="N1083" i="3"/>
  <c r="G1083" i="3"/>
  <c r="N1082" i="3"/>
  <c r="G1082" i="3"/>
  <c r="N1081" i="3"/>
  <c r="G1081" i="3"/>
  <c r="N1080" i="3"/>
  <c r="G1080" i="3"/>
  <c r="N1079" i="3"/>
  <c r="G1079" i="3"/>
  <c r="N1078" i="3"/>
  <c r="G1078" i="3"/>
  <c r="N1077" i="3"/>
  <c r="G1077" i="3"/>
  <c r="N1076" i="3"/>
  <c r="G1076" i="3"/>
  <c r="N1075" i="3"/>
  <c r="G1075" i="3"/>
  <c r="N1074" i="3"/>
  <c r="G1074" i="3"/>
  <c r="N1073" i="3"/>
  <c r="G1073" i="3"/>
  <c r="N1072" i="3"/>
  <c r="G1072" i="3"/>
  <c r="N1071" i="3"/>
  <c r="G1071" i="3"/>
  <c r="N1070" i="3"/>
  <c r="G1070" i="3"/>
  <c r="N1069" i="3"/>
  <c r="G1069" i="3"/>
  <c r="N1068" i="3"/>
  <c r="G1068" i="3"/>
  <c r="N1067" i="3"/>
  <c r="G1067" i="3"/>
  <c r="N1066" i="3"/>
  <c r="G1066" i="3"/>
  <c r="N1065" i="3"/>
  <c r="G1065" i="3"/>
  <c r="N1064" i="3"/>
  <c r="G1064" i="3"/>
  <c r="N1063" i="3"/>
  <c r="G1063" i="3"/>
  <c r="N1062" i="3"/>
  <c r="G1062" i="3"/>
  <c r="N1061" i="3"/>
  <c r="G1061" i="3"/>
  <c r="N1060" i="3"/>
  <c r="G1060" i="3"/>
  <c r="N1059" i="3"/>
  <c r="G1059" i="3"/>
  <c r="N1058" i="3"/>
  <c r="G1058" i="3"/>
  <c r="N1057" i="3"/>
  <c r="G1057" i="3"/>
  <c r="N1056" i="3"/>
  <c r="G1056" i="3"/>
  <c r="N1055" i="3"/>
  <c r="G1055" i="3"/>
  <c r="N1054" i="3"/>
  <c r="G1054" i="3"/>
  <c r="N1053" i="3"/>
  <c r="G1053" i="3"/>
  <c r="N1052" i="3"/>
  <c r="G1052" i="3"/>
  <c r="N1051" i="3"/>
  <c r="G1051" i="3"/>
  <c r="N1050" i="3"/>
  <c r="G1050" i="3"/>
  <c r="N1049" i="3"/>
  <c r="G1049" i="3"/>
  <c r="N1048" i="3"/>
  <c r="G1048" i="3"/>
  <c r="N1047" i="3"/>
  <c r="G1047" i="3"/>
  <c r="N1046" i="3"/>
  <c r="G1046" i="3"/>
  <c r="N1045" i="3"/>
  <c r="G1045" i="3"/>
  <c r="N1044" i="3"/>
  <c r="G1044" i="3"/>
  <c r="N1043" i="3"/>
  <c r="G1043" i="3"/>
  <c r="N1042" i="3"/>
  <c r="G1042" i="3"/>
  <c r="N1041" i="3"/>
  <c r="G1041" i="3"/>
  <c r="N1040" i="3"/>
  <c r="G1040" i="3"/>
  <c r="N1039" i="3"/>
  <c r="G1039" i="3"/>
  <c r="N1038" i="3"/>
  <c r="G1038" i="3"/>
  <c r="N1037" i="3"/>
  <c r="G1037" i="3"/>
  <c r="N1036" i="3"/>
  <c r="G1036" i="3"/>
  <c r="N1035" i="3"/>
  <c r="G1035" i="3"/>
  <c r="N1034" i="3"/>
  <c r="G1034" i="3"/>
  <c r="N1033" i="3"/>
  <c r="G1033" i="3"/>
  <c r="N1032" i="3"/>
  <c r="G1032" i="3"/>
  <c r="N1031" i="3"/>
  <c r="G1031" i="3"/>
  <c r="N1030" i="3"/>
  <c r="G1030" i="3"/>
  <c r="N1029" i="3"/>
  <c r="G1029" i="3"/>
  <c r="N1028" i="3"/>
  <c r="G1028" i="3"/>
  <c r="N1027" i="3"/>
  <c r="G1027" i="3"/>
  <c r="N1026" i="3"/>
  <c r="G1026" i="3"/>
  <c r="N1025" i="3"/>
  <c r="G1025" i="3"/>
  <c r="N1024" i="3"/>
  <c r="G1024" i="3"/>
  <c r="N1023" i="3"/>
  <c r="G1023" i="3"/>
  <c r="N1022" i="3"/>
  <c r="G1022" i="3"/>
  <c r="N1021" i="3"/>
  <c r="G1021" i="3"/>
  <c r="N1020" i="3"/>
  <c r="G1020" i="3"/>
  <c r="N1019" i="3"/>
  <c r="G1019" i="3"/>
  <c r="N1018" i="3"/>
  <c r="G1018" i="3"/>
  <c r="N1017" i="3"/>
  <c r="G1017" i="3"/>
  <c r="N1016" i="3"/>
  <c r="N1015" i="3"/>
  <c r="G1015" i="3"/>
  <c r="N1014" i="3"/>
  <c r="N1013" i="3"/>
  <c r="N1012" i="3"/>
  <c r="G1012" i="3"/>
  <c r="N1011" i="3"/>
  <c r="G1011" i="3"/>
  <c r="N1010" i="3"/>
  <c r="G1010" i="3"/>
  <c r="N1009" i="3"/>
  <c r="G1009" i="3"/>
  <c r="N1008" i="3"/>
  <c r="G1008" i="3"/>
  <c r="N1007" i="3"/>
  <c r="G1007" i="3"/>
  <c r="N1006" i="3"/>
  <c r="G1006" i="3"/>
  <c r="N1005" i="3"/>
  <c r="G1005" i="3"/>
  <c r="N1004" i="3"/>
  <c r="G1004" i="3"/>
  <c r="N1003" i="3"/>
  <c r="G1003" i="3"/>
  <c r="N1002" i="3"/>
  <c r="G1002" i="3"/>
  <c r="N1001" i="3"/>
  <c r="G1001" i="3"/>
  <c r="N1000" i="3"/>
  <c r="G1000" i="3"/>
  <c r="N999" i="3"/>
  <c r="G999" i="3"/>
  <c r="N998" i="3"/>
  <c r="G998" i="3"/>
  <c r="N997" i="3"/>
  <c r="G997" i="3"/>
  <c r="N996" i="3"/>
  <c r="G996" i="3"/>
  <c r="N995" i="3"/>
  <c r="G995" i="3"/>
  <c r="N994" i="3"/>
  <c r="G994" i="3"/>
  <c r="N993" i="3"/>
  <c r="G993" i="3"/>
  <c r="N992" i="3"/>
  <c r="G992" i="3"/>
  <c r="N991" i="3"/>
  <c r="G991" i="3"/>
  <c r="N990" i="3"/>
  <c r="G990" i="3"/>
  <c r="N989" i="3"/>
  <c r="G989" i="3"/>
  <c r="N988" i="3"/>
  <c r="G988" i="3"/>
  <c r="N987" i="3"/>
  <c r="G987" i="3"/>
  <c r="N986" i="3"/>
  <c r="G986" i="3"/>
  <c r="N985" i="3"/>
  <c r="G985" i="3"/>
  <c r="N984" i="3"/>
  <c r="G984" i="3"/>
  <c r="N983" i="3"/>
  <c r="G983" i="3"/>
  <c r="N982" i="3"/>
  <c r="G982" i="3"/>
  <c r="N981" i="3"/>
  <c r="G981" i="3"/>
  <c r="N980" i="3"/>
  <c r="G980" i="3"/>
  <c r="N979" i="3"/>
  <c r="G979" i="3"/>
  <c r="N978" i="3"/>
  <c r="G978" i="3"/>
  <c r="N977" i="3"/>
  <c r="G977" i="3"/>
  <c r="N976" i="3"/>
  <c r="G976" i="3"/>
  <c r="N975" i="3"/>
  <c r="G975" i="3"/>
  <c r="N974" i="3"/>
  <c r="G974" i="3"/>
  <c r="N973" i="3"/>
  <c r="G973" i="3"/>
  <c r="N972" i="3"/>
  <c r="G972" i="3"/>
  <c r="N971" i="3"/>
  <c r="G971" i="3"/>
  <c r="N970" i="3"/>
  <c r="G970" i="3"/>
  <c r="N969" i="3"/>
  <c r="G969" i="3"/>
  <c r="N968" i="3"/>
  <c r="G968" i="3"/>
  <c r="N967" i="3"/>
  <c r="G967" i="3"/>
  <c r="N966" i="3"/>
  <c r="G966" i="3"/>
  <c r="N965" i="3"/>
  <c r="G965" i="3"/>
  <c r="N964" i="3"/>
  <c r="G964" i="3"/>
  <c r="N963" i="3"/>
  <c r="G963" i="3"/>
  <c r="N962" i="3"/>
  <c r="G962" i="3"/>
  <c r="N961" i="3"/>
  <c r="G961" i="3"/>
  <c r="N960" i="3"/>
  <c r="G960" i="3"/>
  <c r="N959" i="3"/>
  <c r="G959" i="3"/>
  <c r="N958" i="3"/>
  <c r="G958" i="3"/>
  <c r="N957" i="3"/>
  <c r="G957" i="3"/>
  <c r="N956" i="3"/>
  <c r="G956" i="3"/>
  <c r="N955" i="3"/>
  <c r="G955" i="3"/>
  <c r="N954" i="3"/>
  <c r="G954" i="3"/>
  <c r="N953" i="3"/>
  <c r="G953" i="3"/>
  <c r="N952" i="3"/>
  <c r="G952" i="3"/>
  <c r="N951" i="3"/>
  <c r="G951" i="3"/>
  <c r="N950" i="3"/>
  <c r="N949" i="3"/>
  <c r="G949" i="3"/>
  <c r="N948" i="3"/>
  <c r="G948" i="3"/>
  <c r="N947" i="3"/>
  <c r="G947" i="3"/>
  <c r="N946" i="3"/>
  <c r="G946" i="3"/>
  <c r="N945" i="3"/>
  <c r="G945" i="3"/>
  <c r="N944" i="3"/>
  <c r="G944" i="3"/>
  <c r="N943" i="3"/>
  <c r="G943" i="3"/>
  <c r="N942" i="3"/>
  <c r="G942" i="3"/>
  <c r="N941" i="3"/>
  <c r="G941" i="3"/>
  <c r="N940" i="3"/>
  <c r="G940" i="3"/>
  <c r="N939" i="3"/>
  <c r="G939" i="3"/>
  <c r="N938" i="3"/>
  <c r="G938" i="3"/>
  <c r="N937" i="3"/>
  <c r="G937" i="3"/>
  <c r="N936" i="3"/>
  <c r="G936" i="3"/>
  <c r="N935" i="3"/>
  <c r="G935" i="3"/>
  <c r="N934" i="3"/>
  <c r="G934" i="3"/>
  <c r="N933" i="3"/>
  <c r="G933" i="3"/>
  <c r="N932" i="3"/>
  <c r="G932" i="3"/>
  <c r="N931" i="3"/>
  <c r="G931" i="3"/>
  <c r="N930" i="3"/>
  <c r="G930" i="3"/>
  <c r="N929" i="3"/>
  <c r="G929" i="3"/>
  <c r="N928" i="3"/>
  <c r="G928" i="3"/>
  <c r="N927" i="3"/>
  <c r="G927" i="3"/>
  <c r="N926" i="3"/>
  <c r="G926" i="3"/>
  <c r="N925" i="3"/>
  <c r="G925" i="3"/>
  <c r="N924" i="3"/>
  <c r="G924" i="3"/>
  <c r="N923" i="3"/>
  <c r="G923" i="3"/>
  <c r="N922" i="3"/>
  <c r="G922" i="3"/>
  <c r="N921" i="3"/>
  <c r="G921" i="3"/>
  <c r="N920" i="3"/>
  <c r="G920" i="3"/>
  <c r="N919" i="3"/>
  <c r="G919" i="3"/>
  <c r="N918" i="3"/>
  <c r="G918" i="3"/>
  <c r="N917" i="3"/>
  <c r="G917" i="3"/>
  <c r="N916" i="3"/>
  <c r="G916" i="3"/>
  <c r="N915" i="3"/>
  <c r="G915" i="3"/>
  <c r="N914" i="3"/>
  <c r="G914" i="3"/>
  <c r="N913" i="3"/>
  <c r="G913" i="3"/>
  <c r="N912" i="3"/>
  <c r="G912" i="3"/>
  <c r="N911" i="3"/>
  <c r="G911" i="3"/>
  <c r="N910" i="3"/>
  <c r="G910" i="3"/>
  <c r="N909" i="3"/>
  <c r="G909" i="3"/>
  <c r="N908" i="3"/>
  <c r="G908" i="3"/>
  <c r="N907" i="3"/>
  <c r="G907" i="3"/>
  <c r="N906" i="3"/>
  <c r="G906" i="3"/>
  <c r="N905" i="3"/>
  <c r="G905" i="3"/>
  <c r="N904" i="3"/>
  <c r="G904" i="3"/>
  <c r="N903" i="3"/>
  <c r="G903" i="3"/>
  <c r="N902" i="3"/>
  <c r="G902" i="3"/>
  <c r="N901" i="3"/>
  <c r="G901" i="3"/>
  <c r="N900" i="3"/>
  <c r="G900" i="3"/>
  <c r="N899" i="3"/>
  <c r="G899" i="3"/>
  <c r="N898" i="3"/>
  <c r="G898" i="3"/>
  <c r="N897" i="3"/>
  <c r="G897" i="3"/>
  <c r="N896" i="3"/>
  <c r="G896" i="3"/>
  <c r="N895" i="3"/>
  <c r="G895" i="3"/>
  <c r="N894" i="3"/>
  <c r="N893" i="3"/>
  <c r="G893" i="3"/>
  <c r="N892" i="3"/>
  <c r="N891" i="3"/>
  <c r="G891" i="3"/>
  <c r="N890" i="3"/>
  <c r="G890" i="3"/>
  <c r="N889" i="3"/>
  <c r="G889" i="3"/>
  <c r="N888" i="3"/>
  <c r="G888" i="3"/>
  <c r="N887" i="3"/>
  <c r="G887" i="3"/>
  <c r="N886" i="3"/>
  <c r="G886" i="3"/>
  <c r="N885" i="3"/>
  <c r="G885" i="3"/>
  <c r="N884" i="3"/>
  <c r="G884" i="3"/>
  <c r="N883" i="3"/>
  <c r="G883" i="3"/>
  <c r="N882" i="3"/>
  <c r="G882" i="3"/>
  <c r="N881" i="3"/>
  <c r="G881" i="3"/>
  <c r="N880" i="3"/>
  <c r="G880" i="3"/>
  <c r="N879" i="3"/>
  <c r="G879" i="3"/>
  <c r="N878" i="3"/>
  <c r="G878" i="3"/>
  <c r="N877" i="3"/>
  <c r="G877" i="3"/>
  <c r="N876" i="3"/>
  <c r="G876" i="3"/>
  <c r="N875" i="3"/>
  <c r="G875" i="3"/>
  <c r="N874" i="3"/>
  <c r="G874" i="3"/>
  <c r="N873" i="3"/>
  <c r="G873" i="3"/>
  <c r="N872" i="3"/>
  <c r="G872" i="3"/>
  <c r="N871" i="3"/>
  <c r="G871" i="3"/>
  <c r="N870" i="3"/>
  <c r="G870" i="3"/>
  <c r="N869" i="3"/>
  <c r="G869" i="3"/>
  <c r="N868" i="3"/>
  <c r="G868" i="3"/>
  <c r="N867" i="3"/>
  <c r="G867" i="3"/>
  <c r="N866" i="3"/>
  <c r="G866" i="3"/>
  <c r="N865" i="3"/>
  <c r="G865" i="3"/>
  <c r="N864" i="3"/>
  <c r="G864" i="3"/>
  <c r="N863" i="3"/>
  <c r="G863" i="3"/>
  <c r="N862" i="3"/>
  <c r="G862" i="3"/>
  <c r="N861" i="3"/>
  <c r="N860" i="3"/>
  <c r="G860" i="3"/>
  <c r="N859" i="3"/>
  <c r="G859" i="3"/>
  <c r="N858" i="3"/>
  <c r="G858" i="3"/>
  <c r="N857" i="3"/>
  <c r="G857" i="3"/>
  <c r="N856" i="3"/>
  <c r="G856" i="3"/>
  <c r="N855" i="3"/>
  <c r="G855" i="3"/>
  <c r="N854" i="3"/>
  <c r="G854" i="3"/>
  <c r="N853" i="3"/>
  <c r="G853" i="3"/>
  <c r="N852" i="3"/>
  <c r="G852" i="3"/>
  <c r="N851" i="3"/>
  <c r="G851" i="3"/>
  <c r="N850" i="3"/>
  <c r="G850" i="3"/>
  <c r="N849" i="3"/>
  <c r="G849" i="3"/>
  <c r="N848" i="3"/>
  <c r="G848" i="3"/>
  <c r="N847" i="3"/>
  <c r="G847" i="3"/>
  <c r="N846" i="3"/>
  <c r="G846" i="3"/>
  <c r="N845" i="3"/>
  <c r="G845" i="3"/>
  <c r="N844" i="3"/>
  <c r="G844" i="3"/>
  <c r="N843" i="3"/>
  <c r="G843" i="3"/>
  <c r="N842" i="3"/>
  <c r="G842" i="3"/>
  <c r="N841" i="3"/>
  <c r="G841" i="3"/>
  <c r="N840" i="3"/>
  <c r="G840" i="3"/>
  <c r="N839" i="3"/>
  <c r="G839" i="3"/>
  <c r="N838" i="3"/>
  <c r="G838" i="3"/>
  <c r="N837" i="3"/>
  <c r="G837" i="3"/>
  <c r="N836" i="3"/>
  <c r="G836" i="3"/>
  <c r="N835" i="3"/>
  <c r="G835" i="3"/>
  <c r="N834" i="3"/>
  <c r="G834" i="3"/>
  <c r="N833" i="3"/>
  <c r="G833" i="3"/>
  <c r="N832" i="3"/>
  <c r="G832" i="3"/>
  <c r="N831" i="3"/>
  <c r="G831" i="3"/>
  <c r="N830" i="3"/>
  <c r="G830" i="3"/>
  <c r="N829" i="3"/>
  <c r="G829" i="3"/>
  <c r="N828" i="3"/>
  <c r="G828" i="3"/>
  <c r="N827" i="3"/>
  <c r="G827" i="3"/>
  <c r="N826" i="3"/>
  <c r="G826" i="3"/>
  <c r="N825" i="3"/>
  <c r="G825" i="3"/>
  <c r="N824" i="3"/>
  <c r="G824" i="3"/>
  <c r="N823" i="3"/>
  <c r="G823" i="3"/>
  <c r="N822" i="3"/>
  <c r="G822" i="3"/>
  <c r="N821" i="3"/>
  <c r="G821" i="3"/>
  <c r="N820" i="3"/>
  <c r="G820" i="3"/>
  <c r="N819" i="3"/>
  <c r="G819" i="3"/>
  <c r="N818" i="3"/>
  <c r="G818" i="3"/>
  <c r="N817" i="3"/>
  <c r="G817" i="3"/>
  <c r="N816" i="3"/>
  <c r="G816" i="3"/>
  <c r="N815" i="3"/>
  <c r="G815" i="3"/>
  <c r="N814" i="3"/>
  <c r="G814" i="3"/>
  <c r="N813" i="3"/>
  <c r="G813" i="3"/>
  <c r="N812" i="3"/>
  <c r="G812" i="3"/>
  <c r="N811" i="3"/>
  <c r="G811" i="3"/>
  <c r="N810" i="3"/>
  <c r="G810" i="3"/>
  <c r="N809" i="3"/>
  <c r="G809" i="3"/>
  <c r="N808" i="3"/>
  <c r="G808" i="3"/>
  <c r="N807" i="3"/>
  <c r="G807" i="3"/>
  <c r="N806" i="3"/>
  <c r="G806" i="3"/>
  <c r="N805" i="3"/>
  <c r="G805" i="3"/>
  <c r="N804" i="3"/>
  <c r="G804" i="3"/>
  <c r="N803" i="3"/>
  <c r="G803" i="3"/>
  <c r="N802" i="3"/>
  <c r="G802" i="3"/>
  <c r="N801" i="3"/>
  <c r="G801" i="3"/>
  <c r="N800" i="3"/>
  <c r="G800" i="3"/>
  <c r="N799" i="3"/>
  <c r="G799" i="3"/>
  <c r="N798" i="3"/>
  <c r="G798" i="3"/>
  <c r="N797" i="3"/>
  <c r="G797" i="3"/>
  <c r="N796" i="3"/>
  <c r="G796" i="3"/>
  <c r="N795" i="3"/>
  <c r="G795" i="3"/>
  <c r="N794" i="3"/>
  <c r="G794" i="3"/>
  <c r="N793" i="3"/>
  <c r="G793" i="3"/>
  <c r="N792" i="3"/>
  <c r="G792" i="3"/>
  <c r="N791" i="3"/>
  <c r="G791" i="3"/>
  <c r="N790" i="3"/>
  <c r="G790" i="3"/>
  <c r="N789" i="3"/>
  <c r="G789" i="3"/>
  <c r="N788" i="3"/>
  <c r="G788" i="3"/>
  <c r="N787" i="3"/>
  <c r="G787" i="3"/>
  <c r="N786" i="3"/>
  <c r="G786" i="3"/>
  <c r="N785" i="3"/>
  <c r="G785" i="3"/>
  <c r="N784" i="3"/>
  <c r="G784" i="3"/>
  <c r="N783" i="3"/>
  <c r="G783" i="3"/>
  <c r="N782" i="3"/>
  <c r="G782" i="3"/>
  <c r="N781" i="3"/>
  <c r="G781" i="3"/>
  <c r="N780" i="3"/>
  <c r="G780" i="3"/>
  <c r="N779" i="3"/>
  <c r="G779" i="3"/>
  <c r="N778" i="3"/>
  <c r="G778" i="3"/>
  <c r="N777" i="3"/>
  <c r="G777" i="3"/>
  <c r="N776" i="3"/>
  <c r="G776" i="3"/>
  <c r="N775" i="3"/>
  <c r="G775" i="3"/>
  <c r="N774" i="3"/>
  <c r="G774" i="3"/>
  <c r="N773" i="3"/>
  <c r="G773" i="3"/>
  <c r="N772" i="3"/>
  <c r="G772" i="3"/>
  <c r="N771" i="3"/>
  <c r="G771" i="3"/>
  <c r="N770" i="3"/>
  <c r="G770" i="3"/>
  <c r="N769" i="3"/>
  <c r="G769" i="3"/>
  <c r="N768" i="3"/>
  <c r="G768" i="3"/>
  <c r="N767" i="3"/>
  <c r="G767" i="3"/>
  <c r="N766" i="3"/>
  <c r="G766" i="3"/>
  <c r="N765" i="3"/>
  <c r="G765" i="3"/>
  <c r="N764" i="3"/>
  <c r="G764" i="3"/>
  <c r="N763" i="3"/>
  <c r="G763" i="3"/>
  <c r="N762" i="3"/>
  <c r="G762" i="3"/>
  <c r="N761" i="3"/>
  <c r="G761" i="3"/>
  <c r="N760" i="3"/>
  <c r="G760" i="3"/>
  <c r="N759" i="3"/>
  <c r="G759" i="3"/>
  <c r="N758" i="3"/>
  <c r="G758" i="3"/>
  <c r="N757" i="3"/>
  <c r="G757" i="3"/>
  <c r="N756" i="3"/>
  <c r="G756" i="3"/>
  <c r="N755" i="3"/>
  <c r="G755" i="3"/>
  <c r="N754" i="3"/>
  <c r="G754" i="3"/>
  <c r="N753" i="3"/>
  <c r="G753" i="3"/>
  <c r="N752" i="3"/>
  <c r="G752" i="3"/>
  <c r="N751" i="3"/>
  <c r="G751" i="3"/>
  <c r="N750" i="3"/>
  <c r="G750" i="3"/>
  <c r="N749" i="3"/>
  <c r="G749" i="3"/>
  <c r="N748" i="3"/>
  <c r="G748" i="3"/>
  <c r="N747" i="3"/>
  <c r="G747" i="3"/>
  <c r="N746" i="3"/>
  <c r="G746" i="3"/>
  <c r="N745" i="3"/>
  <c r="G745" i="3"/>
  <c r="N744" i="3"/>
  <c r="G744" i="3"/>
  <c r="N743" i="3"/>
  <c r="N742" i="3"/>
  <c r="G742" i="3"/>
  <c r="N741" i="3"/>
  <c r="G741" i="3"/>
  <c r="N740" i="3"/>
  <c r="G740" i="3"/>
  <c r="N739" i="3"/>
  <c r="G739" i="3"/>
  <c r="N738" i="3"/>
  <c r="G738" i="3"/>
  <c r="N737" i="3"/>
  <c r="G737" i="3"/>
  <c r="N736" i="3"/>
  <c r="G736" i="3"/>
  <c r="N735" i="3"/>
  <c r="G735" i="3"/>
  <c r="N734" i="3"/>
  <c r="G734" i="3"/>
  <c r="N733" i="3"/>
  <c r="G733" i="3"/>
  <c r="N732" i="3"/>
  <c r="G732" i="3"/>
  <c r="N731" i="3"/>
  <c r="G731" i="3"/>
  <c r="N730" i="3"/>
  <c r="G730" i="3"/>
  <c r="N729" i="3"/>
  <c r="G729" i="3"/>
  <c r="N728" i="3"/>
  <c r="G728" i="3"/>
  <c r="N727" i="3"/>
  <c r="G727" i="3"/>
  <c r="N726" i="3"/>
  <c r="G726" i="3"/>
  <c r="N725" i="3"/>
  <c r="G725" i="3"/>
  <c r="N724" i="3"/>
  <c r="G724" i="3"/>
  <c r="N723" i="3"/>
  <c r="G723" i="3"/>
  <c r="N722" i="3"/>
  <c r="G722" i="3"/>
  <c r="N721" i="3"/>
  <c r="G721" i="3"/>
  <c r="N720" i="3"/>
  <c r="G720" i="3"/>
  <c r="N719" i="3"/>
  <c r="G719" i="3"/>
  <c r="N718" i="3"/>
  <c r="G718" i="3"/>
  <c r="N717" i="3"/>
  <c r="G717" i="3"/>
  <c r="N716" i="3"/>
  <c r="G716" i="3"/>
  <c r="N715" i="3"/>
  <c r="G715" i="3"/>
  <c r="N714" i="3"/>
  <c r="G714" i="3"/>
  <c r="N713" i="3"/>
  <c r="G713" i="3"/>
  <c r="N712" i="3"/>
  <c r="G712" i="3"/>
  <c r="N711" i="3"/>
  <c r="G711" i="3"/>
  <c r="N710" i="3"/>
  <c r="G710" i="3"/>
  <c r="N709" i="3"/>
  <c r="G709" i="3"/>
  <c r="N708" i="3"/>
  <c r="G708" i="3"/>
  <c r="N707" i="3"/>
  <c r="G707" i="3"/>
  <c r="N706" i="3"/>
  <c r="G706" i="3"/>
  <c r="N705" i="3"/>
  <c r="G705" i="3"/>
  <c r="N704" i="3"/>
  <c r="G704" i="3"/>
  <c r="N703" i="3"/>
  <c r="G703" i="3"/>
  <c r="N702" i="3"/>
  <c r="G702" i="3"/>
  <c r="N701" i="3"/>
  <c r="G701" i="3"/>
  <c r="N700" i="3"/>
  <c r="G700" i="3"/>
  <c r="N699" i="3"/>
  <c r="G699" i="3"/>
  <c r="N698" i="3"/>
  <c r="G698" i="3"/>
  <c r="N697" i="3"/>
  <c r="G697" i="3"/>
  <c r="N696" i="3"/>
  <c r="G696" i="3"/>
  <c r="N695" i="3"/>
  <c r="G695" i="3"/>
  <c r="N694" i="3"/>
  <c r="G694" i="3"/>
  <c r="N693" i="3"/>
  <c r="G693" i="3"/>
  <c r="N692" i="3"/>
  <c r="N691" i="3"/>
  <c r="G691" i="3"/>
  <c r="N690" i="3"/>
  <c r="G690" i="3"/>
  <c r="N689" i="3"/>
  <c r="G689" i="3"/>
  <c r="N688" i="3"/>
  <c r="G688" i="3"/>
  <c r="N687" i="3"/>
  <c r="G687" i="3"/>
  <c r="N686" i="3"/>
  <c r="G686" i="3"/>
  <c r="N685" i="3"/>
  <c r="G685" i="3"/>
  <c r="N684" i="3"/>
  <c r="G684" i="3"/>
  <c r="N683" i="3"/>
  <c r="G683" i="3"/>
  <c r="N682" i="3"/>
  <c r="G682" i="3"/>
  <c r="N681" i="3"/>
  <c r="G681" i="3"/>
  <c r="N680" i="3"/>
  <c r="G680" i="3"/>
  <c r="N679" i="3"/>
  <c r="G679" i="3"/>
  <c r="N678" i="3"/>
  <c r="G678" i="3"/>
  <c r="N677" i="3"/>
  <c r="G677" i="3"/>
  <c r="N676" i="3"/>
  <c r="G676" i="3"/>
  <c r="N675" i="3"/>
  <c r="G675" i="3"/>
  <c r="N674" i="3"/>
  <c r="G674" i="3"/>
  <c r="N673" i="3"/>
  <c r="G673" i="3"/>
  <c r="N672" i="3"/>
  <c r="G672" i="3"/>
  <c r="N671" i="3"/>
  <c r="N670" i="3"/>
  <c r="G670" i="3"/>
  <c r="N669" i="3"/>
  <c r="G669" i="3"/>
  <c r="N668" i="3"/>
  <c r="G668" i="3"/>
  <c r="N667" i="3"/>
  <c r="G667" i="3"/>
  <c r="N666" i="3"/>
  <c r="G666" i="3"/>
  <c r="N665" i="3"/>
  <c r="G665" i="3"/>
  <c r="N664" i="3"/>
  <c r="G664" i="3"/>
  <c r="N663" i="3"/>
  <c r="G663" i="3"/>
  <c r="N662" i="3"/>
  <c r="G662" i="3"/>
  <c r="N661" i="3"/>
  <c r="G661" i="3"/>
  <c r="N660" i="3"/>
  <c r="G660" i="3"/>
  <c r="N659" i="3"/>
  <c r="G659" i="3"/>
  <c r="N658" i="3"/>
  <c r="G658" i="3"/>
  <c r="N657" i="3"/>
  <c r="G657" i="3"/>
  <c r="N656" i="3"/>
  <c r="G656" i="3"/>
  <c r="N655" i="3"/>
  <c r="G655" i="3"/>
  <c r="N654" i="3"/>
  <c r="G654" i="3"/>
  <c r="N653" i="3"/>
  <c r="G653" i="3"/>
  <c r="N652" i="3"/>
  <c r="G652" i="3"/>
  <c r="N651" i="3"/>
  <c r="G651" i="3"/>
  <c r="N650" i="3"/>
  <c r="G650" i="3"/>
  <c r="N649" i="3"/>
  <c r="G649" i="3"/>
  <c r="N648" i="3"/>
  <c r="G648" i="3"/>
  <c r="N647" i="3"/>
  <c r="G647" i="3"/>
  <c r="N646" i="3"/>
  <c r="G646" i="3"/>
  <c r="N645" i="3"/>
  <c r="G645" i="3"/>
  <c r="N644" i="3"/>
  <c r="G644" i="3"/>
  <c r="N643" i="3"/>
  <c r="G643" i="3"/>
  <c r="N642" i="3"/>
  <c r="G642" i="3"/>
  <c r="N641" i="3"/>
  <c r="G641" i="3"/>
  <c r="N640" i="3"/>
  <c r="G640" i="3"/>
  <c r="N639" i="3"/>
  <c r="G639" i="3"/>
  <c r="N638" i="3"/>
  <c r="G638" i="3"/>
  <c r="N637" i="3"/>
  <c r="G637" i="3"/>
  <c r="N636" i="3"/>
  <c r="G636" i="3"/>
  <c r="N635" i="3"/>
  <c r="G635" i="3"/>
  <c r="N634" i="3"/>
  <c r="G634" i="3"/>
  <c r="N633" i="3"/>
  <c r="G633" i="3"/>
  <c r="N632" i="3"/>
  <c r="G632" i="3"/>
  <c r="N631" i="3"/>
  <c r="G631" i="3"/>
  <c r="N630" i="3"/>
  <c r="G630" i="3"/>
  <c r="N629" i="3"/>
  <c r="G629" i="3"/>
  <c r="N628" i="3"/>
  <c r="G628" i="3"/>
  <c r="N627" i="3"/>
  <c r="G627" i="3"/>
  <c r="N626" i="3"/>
  <c r="G626" i="3"/>
  <c r="N625" i="3"/>
  <c r="G625" i="3"/>
  <c r="N624" i="3"/>
  <c r="G624" i="3"/>
  <c r="N623" i="3"/>
  <c r="G623" i="3"/>
  <c r="N622" i="3"/>
  <c r="G622" i="3"/>
  <c r="N621" i="3"/>
  <c r="G621" i="3"/>
  <c r="N620" i="3"/>
  <c r="G620" i="3"/>
  <c r="N619" i="3"/>
  <c r="G619" i="3"/>
  <c r="N618" i="3"/>
  <c r="G618" i="3"/>
  <c r="N617" i="3"/>
  <c r="G617" i="3"/>
  <c r="N616" i="3"/>
  <c r="G616" i="3"/>
  <c r="N615" i="3"/>
  <c r="G615" i="3"/>
  <c r="N614" i="3"/>
  <c r="G614" i="3"/>
  <c r="N613" i="3"/>
  <c r="G613" i="3"/>
  <c r="N612" i="3"/>
  <c r="G612" i="3"/>
  <c r="N611" i="3"/>
  <c r="G611" i="3"/>
  <c r="N610" i="3"/>
  <c r="G610" i="3"/>
  <c r="N609" i="3"/>
  <c r="G609" i="3"/>
  <c r="N608" i="3"/>
  <c r="G608" i="3"/>
  <c r="N607" i="3"/>
  <c r="G607" i="3"/>
  <c r="N606" i="3"/>
  <c r="G606" i="3"/>
  <c r="N605" i="3"/>
  <c r="G605" i="3"/>
  <c r="N604" i="3"/>
  <c r="G604" i="3"/>
  <c r="N603" i="3"/>
  <c r="G603" i="3"/>
  <c r="N602" i="3"/>
  <c r="G602" i="3"/>
  <c r="N601" i="3"/>
  <c r="G601" i="3"/>
  <c r="N600" i="3"/>
  <c r="G600" i="3"/>
  <c r="N599" i="3"/>
  <c r="G599" i="3"/>
  <c r="N598" i="3"/>
  <c r="G598" i="3"/>
  <c r="N597" i="3"/>
  <c r="G597" i="3"/>
  <c r="N596" i="3"/>
  <c r="G596" i="3"/>
  <c r="N595" i="3"/>
  <c r="G595" i="3"/>
  <c r="N594" i="3"/>
  <c r="N593" i="3"/>
  <c r="G593" i="3"/>
  <c r="N592" i="3"/>
  <c r="G592" i="3"/>
  <c r="N591" i="3"/>
  <c r="G591" i="3"/>
  <c r="N590" i="3"/>
  <c r="G590" i="3"/>
  <c r="N589" i="3"/>
  <c r="G589" i="3"/>
  <c r="N588" i="3"/>
  <c r="G588" i="3"/>
  <c r="N587" i="3"/>
  <c r="G587" i="3"/>
  <c r="N586" i="3"/>
  <c r="G586" i="3"/>
  <c r="N585" i="3"/>
  <c r="G585" i="3"/>
  <c r="N584" i="3"/>
  <c r="G584" i="3"/>
  <c r="N583" i="3"/>
  <c r="G583" i="3"/>
  <c r="N582" i="3"/>
  <c r="G582" i="3"/>
  <c r="N581" i="3"/>
  <c r="G581" i="3"/>
  <c r="N580" i="3"/>
  <c r="G580" i="3"/>
  <c r="N579" i="3"/>
  <c r="G579" i="3"/>
  <c r="N578" i="3"/>
  <c r="G578" i="3"/>
  <c r="N577" i="3"/>
  <c r="G577" i="3"/>
  <c r="N576" i="3"/>
  <c r="G576" i="3"/>
  <c r="N575" i="3"/>
  <c r="G575" i="3"/>
  <c r="N574" i="3"/>
  <c r="G574" i="3"/>
  <c r="N573" i="3"/>
  <c r="G573" i="3"/>
  <c r="N572" i="3"/>
  <c r="G572" i="3"/>
  <c r="N571" i="3"/>
  <c r="G571" i="3"/>
  <c r="N570" i="3"/>
  <c r="G570" i="3"/>
  <c r="N569" i="3"/>
  <c r="G569" i="3"/>
  <c r="N568" i="3"/>
  <c r="G568" i="3"/>
  <c r="N567" i="3"/>
  <c r="G567" i="3"/>
  <c r="N566" i="3"/>
  <c r="G566" i="3"/>
  <c r="N565" i="3"/>
  <c r="G565" i="3"/>
  <c r="N564" i="3"/>
  <c r="G564" i="3"/>
  <c r="N563" i="3"/>
  <c r="G563" i="3"/>
  <c r="N562" i="3"/>
  <c r="G562" i="3"/>
  <c r="N561" i="3"/>
  <c r="G561" i="3"/>
  <c r="N560" i="3"/>
  <c r="G560" i="3"/>
  <c r="N559" i="3"/>
  <c r="G559" i="3"/>
  <c r="N558" i="3"/>
  <c r="G558" i="3"/>
  <c r="N557" i="3"/>
  <c r="G557" i="3"/>
  <c r="N556" i="3"/>
  <c r="G556" i="3"/>
  <c r="N555" i="3"/>
  <c r="G555" i="3"/>
  <c r="N554" i="3"/>
  <c r="G554" i="3"/>
  <c r="N553" i="3"/>
  <c r="G553" i="3"/>
  <c r="N552" i="3"/>
  <c r="G552" i="3"/>
  <c r="N551" i="3"/>
  <c r="G551" i="3"/>
  <c r="N550" i="3"/>
  <c r="G550" i="3"/>
  <c r="N549" i="3"/>
  <c r="G549" i="3"/>
  <c r="N548" i="3"/>
  <c r="G548" i="3"/>
  <c r="N547" i="3"/>
  <c r="G547" i="3"/>
  <c r="N546" i="3"/>
  <c r="G546" i="3"/>
  <c r="N545" i="3"/>
  <c r="G545" i="3"/>
  <c r="N544" i="3"/>
  <c r="G544" i="3"/>
  <c r="N543" i="3"/>
  <c r="G543" i="3"/>
  <c r="N542" i="3"/>
  <c r="G542" i="3"/>
  <c r="N541" i="3"/>
  <c r="G541" i="3"/>
  <c r="N540" i="3"/>
  <c r="G540" i="3"/>
  <c r="N539" i="3"/>
  <c r="G539" i="3"/>
  <c r="N538" i="3"/>
  <c r="G538" i="3"/>
  <c r="N537" i="3"/>
  <c r="G537" i="3"/>
  <c r="N536" i="3"/>
  <c r="G536" i="3"/>
  <c r="N535" i="3"/>
  <c r="G535" i="3"/>
  <c r="N534" i="3"/>
  <c r="G534" i="3"/>
  <c r="N533" i="3"/>
  <c r="G533" i="3"/>
  <c r="N532" i="3"/>
  <c r="G532" i="3"/>
  <c r="N531" i="3"/>
  <c r="G531" i="3"/>
  <c r="N530" i="3"/>
  <c r="G530" i="3"/>
  <c r="N529" i="3"/>
  <c r="G529" i="3"/>
  <c r="N528" i="3"/>
  <c r="G528" i="3"/>
  <c r="N527" i="3"/>
  <c r="G527" i="3"/>
  <c r="N526" i="3"/>
  <c r="G526" i="3"/>
  <c r="N525" i="3"/>
  <c r="G525" i="3"/>
  <c r="N524" i="3"/>
  <c r="G524" i="3"/>
  <c r="N523" i="3"/>
  <c r="G523" i="3"/>
  <c r="N522" i="3"/>
  <c r="G522" i="3"/>
  <c r="N521" i="3"/>
  <c r="G521" i="3"/>
  <c r="N520" i="3"/>
  <c r="G520" i="3"/>
  <c r="N519" i="3"/>
  <c r="G519" i="3"/>
  <c r="N518" i="3"/>
  <c r="G518" i="3"/>
  <c r="N517" i="3"/>
  <c r="G517" i="3"/>
  <c r="N516" i="3"/>
  <c r="G516" i="3"/>
  <c r="N515" i="3"/>
  <c r="G515" i="3"/>
  <c r="N514" i="3"/>
  <c r="G514" i="3"/>
  <c r="N513" i="3"/>
  <c r="G513" i="3"/>
  <c r="N512" i="3"/>
  <c r="G512" i="3"/>
  <c r="N511" i="3"/>
  <c r="G511" i="3"/>
  <c r="N510" i="3"/>
  <c r="G510" i="3"/>
  <c r="N509" i="3"/>
  <c r="G509" i="3"/>
  <c r="N508" i="3"/>
  <c r="G508" i="3"/>
  <c r="N507" i="3"/>
  <c r="G507" i="3"/>
  <c r="N506" i="3"/>
  <c r="G506" i="3"/>
  <c r="N505" i="3"/>
  <c r="G505" i="3"/>
  <c r="N504" i="3"/>
  <c r="G504" i="3"/>
  <c r="N503" i="3"/>
  <c r="G503" i="3"/>
  <c r="N502" i="3"/>
  <c r="G502" i="3"/>
  <c r="N501" i="3"/>
  <c r="G501" i="3"/>
  <c r="N500" i="3"/>
  <c r="G500" i="3"/>
  <c r="N499" i="3"/>
  <c r="G499" i="3"/>
  <c r="N498" i="3"/>
  <c r="G498" i="3"/>
  <c r="N497" i="3"/>
  <c r="G497" i="3"/>
  <c r="N496" i="3"/>
  <c r="G496" i="3"/>
  <c r="N495" i="3"/>
  <c r="G495" i="3"/>
  <c r="N494" i="3"/>
  <c r="G494" i="3"/>
  <c r="N493" i="3"/>
  <c r="G493" i="3"/>
  <c r="N492" i="3"/>
  <c r="G492" i="3"/>
  <c r="N491" i="3"/>
  <c r="G491" i="3"/>
  <c r="N490" i="3"/>
  <c r="G490" i="3"/>
  <c r="N489" i="3"/>
  <c r="G489" i="3"/>
  <c r="N488" i="3"/>
  <c r="G488" i="3"/>
  <c r="N487" i="3"/>
  <c r="G487" i="3"/>
  <c r="N486" i="3"/>
  <c r="G486" i="3"/>
  <c r="N485" i="3"/>
  <c r="G485" i="3"/>
  <c r="N484" i="3"/>
  <c r="G484" i="3"/>
  <c r="N483" i="3"/>
  <c r="G483" i="3"/>
  <c r="N482" i="3"/>
  <c r="G482" i="3"/>
  <c r="N481" i="3"/>
  <c r="G481" i="3"/>
  <c r="N480" i="3"/>
  <c r="G480" i="3"/>
  <c r="N479" i="3"/>
  <c r="G479" i="3"/>
  <c r="N478" i="3"/>
  <c r="G478" i="3"/>
  <c r="N477" i="3"/>
  <c r="G477" i="3"/>
  <c r="N476" i="3"/>
  <c r="G476" i="3"/>
  <c r="N475" i="3"/>
  <c r="G475" i="3"/>
  <c r="N474" i="3"/>
  <c r="G474" i="3"/>
  <c r="N473" i="3"/>
  <c r="G473" i="3"/>
  <c r="N472" i="3"/>
  <c r="G472" i="3"/>
  <c r="N471" i="3"/>
  <c r="G471" i="3"/>
  <c r="N470" i="3"/>
  <c r="G470" i="3"/>
  <c r="N469" i="3"/>
  <c r="G469" i="3"/>
  <c r="N468" i="3"/>
  <c r="G468" i="3"/>
  <c r="N467" i="3"/>
  <c r="G467" i="3"/>
  <c r="N466" i="3"/>
  <c r="G466" i="3"/>
  <c r="N465" i="3"/>
  <c r="G465" i="3"/>
  <c r="N464" i="3"/>
  <c r="G464" i="3"/>
  <c r="N463" i="3"/>
  <c r="G463" i="3"/>
  <c r="N462" i="3"/>
  <c r="G462" i="3"/>
  <c r="N461" i="3"/>
  <c r="G461" i="3"/>
  <c r="N460" i="3"/>
  <c r="G460" i="3"/>
  <c r="N459" i="3"/>
  <c r="G459" i="3"/>
  <c r="N458" i="3"/>
  <c r="G458" i="3"/>
  <c r="N457" i="3"/>
  <c r="N456" i="3"/>
  <c r="G456" i="3"/>
  <c r="N455" i="3"/>
  <c r="G455" i="3"/>
  <c r="N454" i="3"/>
  <c r="G454" i="3"/>
  <c r="N453" i="3"/>
  <c r="G453" i="3"/>
  <c r="N452" i="3"/>
  <c r="G452" i="3"/>
  <c r="N451" i="3"/>
  <c r="G451" i="3"/>
  <c r="N450" i="3"/>
  <c r="G450" i="3"/>
  <c r="N449" i="3"/>
  <c r="G449" i="3"/>
  <c r="N448" i="3"/>
  <c r="G448" i="3"/>
  <c r="N447" i="3"/>
  <c r="G447" i="3"/>
  <c r="N446" i="3"/>
  <c r="G446" i="3"/>
  <c r="N445" i="3"/>
  <c r="G445" i="3"/>
  <c r="N444" i="3"/>
  <c r="G444" i="3"/>
  <c r="N443" i="3"/>
  <c r="G443" i="3"/>
  <c r="N442" i="3"/>
  <c r="G442" i="3"/>
  <c r="N441" i="3"/>
  <c r="G441" i="3"/>
  <c r="N440" i="3"/>
  <c r="G440" i="3"/>
  <c r="N439" i="3"/>
  <c r="G439" i="3"/>
  <c r="N438" i="3"/>
  <c r="G438" i="3"/>
  <c r="N437" i="3"/>
  <c r="G437" i="3"/>
  <c r="N436" i="3"/>
  <c r="G436" i="3"/>
  <c r="N435" i="3"/>
  <c r="N434" i="3"/>
  <c r="G434" i="3"/>
  <c r="N433" i="3"/>
  <c r="G433" i="3"/>
  <c r="N432" i="3"/>
  <c r="G432" i="3"/>
  <c r="N431" i="3"/>
  <c r="G431" i="3"/>
  <c r="N430" i="3"/>
  <c r="G430" i="3"/>
  <c r="N429" i="3"/>
  <c r="G429" i="3"/>
  <c r="N428" i="3"/>
  <c r="G428" i="3"/>
  <c r="N427" i="3"/>
  <c r="G427" i="3"/>
  <c r="N426" i="3"/>
  <c r="G426" i="3"/>
  <c r="N425" i="3"/>
  <c r="G425" i="3"/>
  <c r="N424" i="3"/>
  <c r="G424" i="3"/>
  <c r="N423" i="3"/>
  <c r="G423" i="3"/>
  <c r="N422" i="3"/>
  <c r="G422" i="3"/>
  <c r="N421" i="3"/>
  <c r="G421" i="3"/>
  <c r="N420" i="3"/>
  <c r="G420" i="3"/>
  <c r="N419" i="3"/>
  <c r="G419" i="3"/>
  <c r="N418" i="3"/>
  <c r="G418" i="3"/>
  <c r="N417" i="3"/>
  <c r="G417" i="3"/>
  <c r="N416" i="3"/>
  <c r="G416" i="3"/>
  <c r="N415" i="3"/>
  <c r="G415" i="3"/>
  <c r="N414" i="3"/>
  <c r="G414" i="3"/>
  <c r="N413" i="3"/>
  <c r="G413" i="3"/>
  <c r="N412" i="3"/>
  <c r="G412" i="3"/>
  <c r="N411" i="3"/>
  <c r="G411" i="3"/>
  <c r="N410" i="3"/>
  <c r="G410" i="3"/>
  <c r="N409" i="3"/>
  <c r="G409" i="3"/>
  <c r="N408" i="3"/>
  <c r="G408" i="3"/>
  <c r="N407" i="3"/>
  <c r="G407" i="3"/>
  <c r="N406" i="3"/>
  <c r="G406" i="3"/>
  <c r="N405" i="3"/>
  <c r="G405" i="3"/>
  <c r="N404" i="3"/>
  <c r="G404" i="3"/>
  <c r="N403" i="3"/>
  <c r="G403" i="3"/>
  <c r="N402" i="3"/>
  <c r="G402" i="3"/>
  <c r="N401" i="3"/>
  <c r="G401" i="3"/>
  <c r="N400" i="3"/>
  <c r="G400" i="3"/>
  <c r="N399" i="3"/>
  <c r="G399" i="3"/>
  <c r="N398" i="3"/>
  <c r="G398" i="3"/>
  <c r="N397" i="3"/>
  <c r="G397" i="3"/>
  <c r="N396" i="3"/>
  <c r="N395" i="3"/>
  <c r="G395" i="3"/>
  <c r="N394" i="3"/>
  <c r="G394" i="3"/>
  <c r="N393" i="3"/>
  <c r="G393" i="3"/>
  <c r="N392" i="3"/>
  <c r="G392" i="3"/>
  <c r="N391" i="3"/>
  <c r="G391" i="3"/>
  <c r="N390" i="3"/>
  <c r="G390" i="3"/>
  <c r="N389" i="3"/>
  <c r="G389" i="3"/>
  <c r="N388" i="3"/>
  <c r="G388" i="3"/>
  <c r="N387" i="3"/>
  <c r="G387" i="3"/>
  <c r="N386" i="3"/>
  <c r="G386" i="3"/>
  <c r="N385" i="3"/>
  <c r="G385" i="3"/>
  <c r="N384" i="3"/>
  <c r="G384" i="3"/>
  <c r="N383" i="3"/>
  <c r="N382" i="3"/>
  <c r="N381" i="3"/>
  <c r="G381" i="3"/>
  <c r="N380" i="3"/>
  <c r="G380" i="3"/>
  <c r="N379" i="3"/>
  <c r="G379" i="3"/>
  <c r="N378" i="3"/>
  <c r="G378" i="3"/>
  <c r="N377" i="3"/>
  <c r="G377" i="3"/>
  <c r="N376" i="3"/>
  <c r="G376" i="3"/>
  <c r="N375" i="3"/>
  <c r="G375" i="3"/>
  <c r="N374" i="3"/>
  <c r="G374" i="3"/>
  <c r="N373" i="3"/>
  <c r="G373" i="3"/>
  <c r="N372" i="3"/>
  <c r="G372" i="3"/>
  <c r="N371" i="3"/>
  <c r="G371" i="3"/>
  <c r="N370" i="3"/>
  <c r="G370" i="3"/>
  <c r="N369" i="3"/>
  <c r="G369" i="3"/>
  <c r="N368" i="3"/>
  <c r="G368" i="3"/>
  <c r="N367" i="3"/>
  <c r="G367" i="3"/>
  <c r="N366" i="3"/>
  <c r="G366" i="3"/>
  <c r="N365" i="3"/>
  <c r="G365" i="3"/>
  <c r="N364" i="3"/>
  <c r="G364" i="3"/>
  <c r="N363" i="3"/>
  <c r="G363" i="3"/>
  <c r="N362" i="3"/>
  <c r="G362" i="3"/>
  <c r="N361" i="3"/>
  <c r="G361" i="3"/>
  <c r="N360" i="3"/>
  <c r="G360" i="3"/>
  <c r="N359" i="3"/>
  <c r="G359" i="3"/>
  <c r="N358" i="3"/>
  <c r="N357" i="3"/>
  <c r="G357" i="3"/>
  <c r="N356" i="3"/>
  <c r="G356" i="3"/>
  <c r="N355" i="3"/>
  <c r="G355" i="3"/>
  <c r="N354" i="3"/>
  <c r="G354" i="3"/>
  <c r="N353" i="3"/>
  <c r="G353" i="3"/>
  <c r="N352" i="3"/>
  <c r="G352" i="3"/>
  <c r="N351" i="3"/>
  <c r="G351" i="3"/>
  <c r="N350" i="3"/>
  <c r="G350" i="3"/>
  <c r="N349" i="3"/>
  <c r="G349" i="3"/>
  <c r="N348" i="3"/>
  <c r="G348" i="3"/>
  <c r="N347" i="3"/>
  <c r="G347" i="3"/>
  <c r="N346" i="3"/>
  <c r="G346" i="3"/>
  <c r="N345" i="3"/>
  <c r="G345" i="3"/>
  <c r="N344" i="3"/>
  <c r="G344" i="3"/>
  <c r="N343" i="3"/>
  <c r="G343" i="3"/>
  <c r="N342" i="3"/>
  <c r="G342" i="3"/>
  <c r="N341" i="3"/>
  <c r="G341" i="3"/>
  <c r="N340" i="3"/>
  <c r="G340" i="3"/>
  <c r="N339" i="3"/>
  <c r="G339" i="3"/>
  <c r="N338" i="3"/>
  <c r="G338" i="3"/>
  <c r="N337" i="3"/>
  <c r="G337" i="3"/>
  <c r="N336" i="3"/>
  <c r="G336" i="3"/>
  <c r="N335" i="3"/>
  <c r="G335" i="3"/>
  <c r="N334" i="3"/>
  <c r="G334" i="3"/>
  <c r="N333" i="3"/>
  <c r="G333" i="3"/>
  <c r="N332" i="3"/>
  <c r="G332" i="3"/>
  <c r="N331" i="3"/>
  <c r="G331" i="3"/>
  <c r="N330" i="3"/>
  <c r="G330" i="3"/>
  <c r="N329" i="3"/>
  <c r="G329" i="3"/>
  <c r="N328" i="3"/>
  <c r="G328" i="3"/>
  <c r="N327" i="3"/>
  <c r="G327" i="3"/>
  <c r="N326" i="3"/>
  <c r="G326" i="3"/>
  <c r="N325" i="3"/>
  <c r="G325" i="3"/>
  <c r="N324" i="3"/>
  <c r="G324" i="3"/>
  <c r="N323" i="3"/>
  <c r="G323" i="3"/>
  <c r="N322" i="3"/>
  <c r="G322" i="3"/>
  <c r="N321" i="3"/>
  <c r="G321" i="3"/>
  <c r="N320" i="3"/>
  <c r="G320" i="3"/>
  <c r="N319" i="3"/>
  <c r="N318" i="3"/>
  <c r="G318" i="3"/>
  <c r="N317" i="3"/>
  <c r="G317" i="3"/>
  <c r="N316" i="3"/>
  <c r="G316" i="3"/>
  <c r="N315" i="3"/>
  <c r="G315" i="3"/>
  <c r="N314" i="3"/>
  <c r="G314" i="3"/>
  <c r="N313" i="3"/>
  <c r="G313" i="3"/>
  <c r="N312" i="3"/>
  <c r="G312" i="3"/>
  <c r="N311" i="3"/>
  <c r="G311" i="3"/>
  <c r="N310" i="3"/>
  <c r="G310" i="3"/>
  <c r="N309" i="3"/>
  <c r="G309" i="3"/>
  <c r="N308" i="3"/>
  <c r="G308" i="3"/>
  <c r="N307" i="3"/>
  <c r="G307" i="3"/>
  <c r="N306" i="3"/>
  <c r="G306" i="3"/>
  <c r="N305" i="3"/>
  <c r="G305" i="3"/>
  <c r="N304" i="3"/>
  <c r="G304" i="3"/>
  <c r="N303" i="3"/>
  <c r="G303" i="3"/>
  <c r="N302" i="3"/>
  <c r="G302" i="3"/>
  <c r="N301" i="3"/>
  <c r="G301" i="3"/>
  <c r="N300" i="3"/>
  <c r="G300" i="3"/>
  <c r="N299" i="3"/>
  <c r="G299" i="3"/>
  <c r="N298" i="3"/>
  <c r="G298" i="3"/>
  <c r="N297" i="3"/>
  <c r="G297" i="3"/>
  <c r="N296" i="3"/>
  <c r="G296" i="3"/>
  <c r="N295" i="3"/>
  <c r="N294" i="3"/>
  <c r="N293" i="3"/>
  <c r="G293" i="3"/>
  <c r="N292" i="3"/>
  <c r="G292" i="3"/>
  <c r="N291" i="3"/>
  <c r="G291" i="3"/>
  <c r="N290" i="3"/>
  <c r="N289" i="3"/>
  <c r="G289" i="3"/>
  <c r="N288" i="3"/>
  <c r="G288" i="3"/>
  <c r="N287" i="3"/>
  <c r="G287" i="3"/>
  <c r="N286" i="3"/>
  <c r="G286" i="3"/>
  <c r="N285" i="3"/>
  <c r="G285" i="3"/>
  <c r="N284" i="3"/>
  <c r="G284" i="3"/>
  <c r="N283" i="3"/>
  <c r="G283" i="3"/>
  <c r="N282" i="3"/>
  <c r="G282" i="3"/>
  <c r="N281" i="3"/>
  <c r="G281" i="3"/>
  <c r="N280" i="3"/>
  <c r="G280" i="3"/>
  <c r="N279" i="3"/>
  <c r="G279" i="3"/>
  <c r="N278" i="3"/>
  <c r="G278" i="3"/>
  <c r="N277" i="3"/>
  <c r="G277" i="3"/>
  <c r="N276" i="3"/>
  <c r="G276" i="3"/>
  <c r="N275" i="3"/>
  <c r="G275" i="3"/>
  <c r="N274" i="3"/>
  <c r="G274" i="3"/>
  <c r="N273" i="3"/>
  <c r="G273" i="3"/>
  <c r="N272" i="3"/>
  <c r="G272" i="3"/>
  <c r="N271" i="3"/>
  <c r="G271" i="3"/>
  <c r="N270" i="3"/>
  <c r="G270" i="3"/>
  <c r="N269" i="3"/>
  <c r="G269" i="3"/>
  <c r="N268" i="3"/>
  <c r="G268" i="3"/>
  <c r="N267" i="3"/>
  <c r="G267" i="3"/>
  <c r="N266" i="3"/>
  <c r="G266" i="3"/>
  <c r="N265" i="3"/>
  <c r="G265" i="3"/>
  <c r="N264" i="3"/>
  <c r="G264" i="3"/>
  <c r="N263" i="3"/>
  <c r="G263" i="3"/>
  <c r="N262" i="3"/>
  <c r="G262" i="3"/>
  <c r="N261" i="3"/>
  <c r="G261" i="3"/>
  <c r="N260" i="3"/>
  <c r="G260" i="3"/>
  <c r="N259" i="3"/>
  <c r="G259" i="3"/>
  <c r="N258" i="3"/>
  <c r="G258" i="3"/>
  <c r="N257" i="3"/>
  <c r="G257" i="3"/>
  <c r="N256" i="3"/>
  <c r="G256" i="3"/>
  <c r="N255" i="3"/>
  <c r="G255" i="3"/>
  <c r="N254" i="3"/>
  <c r="G254" i="3"/>
  <c r="N253" i="3"/>
  <c r="G253" i="3"/>
  <c r="N252" i="3"/>
  <c r="G252" i="3"/>
  <c r="N251" i="3"/>
  <c r="G251" i="3"/>
  <c r="N250" i="3"/>
  <c r="G250" i="3"/>
  <c r="N249" i="3"/>
  <c r="G249" i="3"/>
  <c r="N248" i="3"/>
  <c r="N247" i="3"/>
  <c r="G247" i="3"/>
  <c r="N246" i="3"/>
  <c r="G246" i="3"/>
  <c r="N245" i="3"/>
  <c r="G245" i="3"/>
  <c r="N244" i="3"/>
  <c r="G244" i="3"/>
  <c r="N243" i="3"/>
  <c r="G243" i="3"/>
  <c r="N242" i="3"/>
  <c r="G242" i="3"/>
  <c r="N241" i="3"/>
  <c r="G241" i="3"/>
  <c r="N240" i="3"/>
  <c r="G240" i="3"/>
  <c r="N239" i="3"/>
  <c r="G239" i="3"/>
  <c r="N238" i="3"/>
  <c r="G238" i="3"/>
  <c r="N237" i="3"/>
  <c r="G237" i="3"/>
  <c r="N236" i="3"/>
  <c r="G236" i="3"/>
  <c r="N235" i="3"/>
  <c r="G235" i="3"/>
  <c r="N234" i="3"/>
  <c r="G234" i="3"/>
  <c r="N233" i="3"/>
  <c r="G233" i="3"/>
  <c r="N232" i="3"/>
  <c r="G232" i="3"/>
  <c r="N231" i="3"/>
  <c r="G231" i="3"/>
  <c r="N230" i="3"/>
  <c r="G230" i="3"/>
  <c r="N229" i="3"/>
  <c r="G229" i="3"/>
  <c r="N228" i="3"/>
  <c r="G228" i="3"/>
  <c r="N227" i="3"/>
  <c r="G227" i="3"/>
  <c r="N226" i="3"/>
  <c r="G226" i="3"/>
  <c r="N225" i="3"/>
  <c r="N224" i="3"/>
  <c r="G224" i="3"/>
  <c r="N223" i="3"/>
  <c r="N222" i="3"/>
  <c r="N221" i="3"/>
  <c r="G221" i="3"/>
  <c r="N220" i="3"/>
  <c r="G220" i="3"/>
  <c r="N219" i="3"/>
  <c r="G219" i="3"/>
  <c r="N218" i="3"/>
  <c r="G218" i="3"/>
  <c r="N217" i="3"/>
  <c r="G217" i="3"/>
  <c r="N216" i="3"/>
  <c r="G216" i="3"/>
  <c r="N215" i="3"/>
  <c r="G215" i="3"/>
  <c r="N214" i="3"/>
  <c r="N213" i="3"/>
  <c r="N212" i="3"/>
  <c r="N211" i="3"/>
  <c r="G211" i="3"/>
  <c r="N210" i="3"/>
  <c r="N209" i="3"/>
  <c r="N208" i="3"/>
  <c r="G208" i="3"/>
  <c r="N207" i="3"/>
  <c r="G207" i="3"/>
  <c r="N206" i="3"/>
  <c r="N205" i="3"/>
  <c r="G205" i="3"/>
  <c r="N204" i="3"/>
  <c r="G204" i="3"/>
  <c r="N203" i="3"/>
  <c r="G203" i="3"/>
  <c r="N202" i="3"/>
  <c r="G202" i="3"/>
  <c r="N201" i="3"/>
  <c r="N200" i="3"/>
  <c r="N199" i="3"/>
  <c r="N198" i="3"/>
  <c r="N197" i="3"/>
  <c r="G197" i="3"/>
  <c r="N196" i="3"/>
  <c r="G196" i="3"/>
  <c r="N195" i="3"/>
  <c r="G195" i="3"/>
  <c r="N194" i="3"/>
  <c r="G194" i="3"/>
  <c r="N193" i="3"/>
  <c r="G193" i="3"/>
  <c r="N192" i="3"/>
  <c r="G192" i="3"/>
  <c r="N191" i="3"/>
  <c r="G191" i="3"/>
  <c r="N190" i="3"/>
  <c r="G190" i="3"/>
  <c r="N189" i="3"/>
  <c r="G189" i="3"/>
  <c r="N188" i="3"/>
  <c r="G188" i="3"/>
  <c r="N187" i="3"/>
  <c r="G187" i="3"/>
  <c r="N186" i="3"/>
  <c r="G186" i="3"/>
  <c r="N185" i="3"/>
  <c r="G185" i="3"/>
  <c r="N184" i="3"/>
  <c r="G184" i="3"/>
  <c r="N183" i="3"/>
  <c r="G183" i="3"/>
  <c r="N182" i="3"/>
  <c r="N181" i="3"/>
  <c r="G181" i="3"/>
  <c r="N180" i="3"/>
  <c r="N179" i="3"/>
  <c r="N178" i="3"/>
  <c r="G178" i="3"/>
  <c r="N177" i="3"/>
  <c r="N176" i="3"/>
  <c r="G176" i="3"/>
  <c r="N175" i="3"/>
  <c r="G175" i="3"/>
  <c r="N174" i="3"/>
  <c r="G174" i="3"/>
  <c r="N173" i="3"/>
  <c r="N172" i="3"/>
  <c r="N171" i="3"/>
  <c r="G171" i="3"/>
  <c r="N170" i="3"/>
  <c r="N169" i="3"/>
  <c r="G169" i="3"/>
  <c r="N168" i="3"/>
  <c r="G168" i="3"/>
  <c r="N167" i="3"/>
  <c r="G167" i="3"/>
  <c r="N166" i="3"/>
  <c r="G166" i="3"/>
  <c r="N165" i="3"/>
  <c r="G165" i="3"/>
  <c r="N164" i="3"/>
  <c r="G164" i="3"/>
  <c r="N163" i="3"/>
  <c r="G163" i="3"/>
  <c r="N162" i="3"/>
  <c r="G162" i="3"/>
  <c r="N161" i="3"/>
  <c r="G161" i="3"/>
  <c r="N160" i="3"/>
  <c r="G160" i="3"/>
  <c r="N159" i="3"/>
  <c r="G159" i="3"/>
  <c r="N158" i="3"/>
  <c r="G158" i="3"/>
  <c r="N157" i="3"/>
  <c r="G157" i="3"/>
  <c r="N156" i="3"/>
  <c r="G156" i="3"/>
  <c r="N155" i="3"/>
  <c r="G155" i="3"/>
  <c r="N154" i="3"/>
  <c r="G154" i="3"/>
  <c r="N153" i="3"/>
  <c r="G153" i="3"/>
  <c r="N152" i="3"/>
  <c r="G152" i="3"/>
  <c r="N151" i="3"/>
  <c r="G151" i="3"/>
  <c r="N150" i="3"/>
  <c r="G150" i="3"/>
  <c r="N149" i="3"/>
  <c r="G149" i="3"/>
  <c r="N148" i="3"/>
  <c r="G148" i="3"/>
  <c r="N147" i="3"/>
  <c r="G147" i="3"/>
  <c r="N146" i="3"/>
  <c r="G146" i="3"/>
  <c r="N145" i="3"/>
  <c r="G145" i="3"/>
  <c r="N144" i="3"/>
  <c r="G144" i="3"/>
  <c r="N143" i="3"/>
  <c r="G143" i="3"/>
  <c r="N142" i="3"/>
  <c r="G142" i="3"/>
  <c r="N141" i="3"/>
  <c r="G141" i="3"/>
  <c r="N140" i="3"/>
  <c r="G140" i="3"/>
  <c r="N139" i="3"/>
  <c r="G139" i="3"/>
  <c r="N138" i="3"/>
  <c r="G138" i="3"/>
  <c r="N137" i="3"/>
  <c r="G137" i="3"/>
  <c r="N136" i="3"/>
  <c r="G136" i="3"/>
  <c r="N135" i="3"/>
  <c r="G135" i="3"/>
  <c r="N134" i="3"/>
  <c r="G134" i="3"/>
  <c r="N133" i="3"/>
  <c r="G133" i="3"/>
  <c r="N132" i="3"/>
  <c r="G132" i="3"/>
  <c r="N131" i="3"/>
  <c r="G131" i="3"/>
  <c r="N130" i="3"/>
  <c r="G130" i="3"/>
  <c r="N129" i="3"/>
  <c r="G129" i="3"/>
  <c r="N128" i="3"/>
  <c r="G128" i="3"/>
  <c r="N127" i="3"/>
  <c r="G127" i="3"/>
  <c r="N126" i="3"/>
  <c r="G126" i="3"/>
  <c r="N125" i="3"/>
  <c r="G125" i="3"/>
  <c r="N124" i="3"/>
  <c r="G124" i="3"/>
  <c r="N123" i="3"/>
  <c r="G123" i="3"/>
  <c r="N122" i="3"/>
  <c r="G122" i="3"/>
  <c r="N121" i="3"/>
  <c r="G121" i="3"/>
  <c r="N120" i="3"/>
  <c r="G120" i="3"/>
  <c r="N119" i="3"/>
  <c r="G119" i="3"/>
  <c r="N118" i="3"/>
  <c r="G118" i="3"/>
  <c r="N117" i="3"/>
  <c r="G117" i="3"/>
  <c r="N116" i="3"/>
  <c r="G116" i="3"/>
  <c r="N115" i="3"/>
  <c r="G115" i="3"/>
  <c r="N114" i="3"/>
  <c r="G114" i="3"/>
  <c r="N113" i="3"/>
  <c r="G113" i="3"/>
  <c r="N112" i="3"/>
  <c r="G112" i="3"/>
  <c r="N111" i="3"/>
  <c r="G111" i="3"/>
  <c r="N110" i="3"/>
  <c r="G110" i="3"/>
  <c r="N109" i="3"/>
  <c r="G109" i="3"/>
  <c r="N108" i="3"/>
  <c r="G108" i="3"/>
  <c r="N107" i="3"/>
  <c r="G107" i="3"/>
  <c r="N106" i="3"/>
  <c r="G106" i="3"/>
  <c r="N105" i="3"/>
  <c r="G105" i="3"/>
  <c r="N104" i="3"/>
  <c r="G104" i="3"/>
  <c r="N103" i="3"/>
  <c r="G103" i="3"/>
  <c r="N102" i="3"/>
  <c r="G102" i="3"/>
  <c r="N101" i="3"/>
  <c r="G101" i="3"/>
  <c r="N100" i="3"/>
  <c r="G100" i="3"/>
  <c r="N99" i="3"/>
  <c r="G99" i="3"/>
  <c r="N98" i="3"/>
  <c r="G98" i="3"/>
  <c r="N97" i="3"/>
  <c r="G97" i="3"/>
  <c r="N96" i="3"/>
  <c r="G96" i="3"/>
  <c r="N95" i="3"/>
  <c r="G95" i="3"/>
  <c r="N94" i="3"/>
  <c r="G94" i="3"/>
  <c r="N93" i="3"/>
  <c r="G93" i="3"/>
  <c r="N92" i="3"/>
  <c r="G92" i="3"/>
  <c r="N91" i="3"/>
  <c r="G91" i="3"/>
  <c r="N90" i="3"/>
  <c r="G90" i="3"/>
  <c r="N89" i="3"/>
  <c r="G89" i="3"/>
  <c r="N88" i="3"/>
  <c r="G88" i="3"/>
  <c r="N87" i="3"/>
  <c r="G87" i="3"/>
  <c r="N86" i="3"/>
  <c r="G86" i="3"/>
  <c r="N85" i="3"/>
  <c r="G85" i="3"/>
  <c r="N84" i="3"/>
  <c r="G84" i="3"/>
  <c r="N83" i="3"/>
  <c r="G83" i="3"/>
  <c r="N82" i="3"/>
  <c r="G82" i="3"/>
  <c r="N81" i="3"/>
  <c r="G81" i="3"/>
  <c r="N80" i="3"/>
  <c r="G80" i="3"/>
  <c r="N79" i="3"/>
  <c r="N78" i="3"/>
  <c r="G78" i="3"/>
  <c r="N77" i="3"/>
  <c r="G77" i="3"/>
  <c r="N76" i="3"/>
  <c r="G76" i="3"/>
  <c r="N75" i="3"/>
  <c r="G75" i="3"/>
  <c r="N74" i="3"/>
  <c r="G74" i="3"/>
  <c r="N73" i="3"/>
  <c r="G73" i="3"/>
  <c r="N72" i="3"/>
  <c r="G72" i="3"/>
  <c r="N71" i="3"/>
  <c r="G71" i="3"/>
  <c r="N70" i="3"/>
  <c r="G70" i="3"/>
  <c r="N69" i="3"/>
  <c r="G69" i="3"/>
  <c r="N68" i="3"/>
  <c r="G68" i="3"/>
  <c r="N67" i="3"/>
  <c r="G67" i="3"/>
  <c r="N66" i="3"/>
  <c r="G66" i="3"/>
  <c r="N65" i="3"/>
  <c r="G65" i="3"/>
  <c r="N64" i="3"/>
  <c r="G64" i="3"/>
  <c r="N63" i="3"/>
  <c r="G63" i="3"/>
  <c r="N62" i="3"/>
  <c r="N61" i="3"/>
  <c r="G61" i="3"/>
  <c r="N60" i="3"/>
  <c r="N59" i="3"/>
  <c r="G59" i="3"/>
  <c r="N58" i="3"/>
  <c r="G58" i="3"/>
  <c r="N57" i="3"/>
  <c r="G57" i="3"/>
  <c r="N56" i="3"/>
  <c r="G56" i="3"/>
  <c r="N55" i="3"/>
  <c r="G55" i="3"/>
  <c r="N54" i="3"/>
  <c r="G54" i="3"/>
  <c r="N53" i="3"/>
  <c r="G53" i="3"/>
  <c r="N52" i="3"/>
  <c r="G52" i="3"/>
  <c r="N51" i="3"/>
  <c r="G51" i="3"/>
  <c r="N50" i="3"/>
  <c r="G50" i="3"/>
  <c r="N49" i="3"/>
  <c r="G49" i="3"/>
  <c r="N48" i="3"/>
  <c r="G48" i="3"/>
  <c r="N47" i="3"/>
  <c r="G47" i="3"/>
  <c r="N46" i="3"/>
  <c r="G46" i="3"/>
  <c r="N45" i="3"/>
  <c r="G45" i="3"/>
  <c r="N44" i="3"/>
  <c r="G44" i="3"/>
  <c r="N43" i="3"/>
  <c r="G43" i="3"/>
  <c r="N42" i="3"/>
  <c r="G42" i="3"/>
  <c r="N41" i="3"/>
  <c r="G41" i="3"/>
  <c r="N40" i="3"/>
  <c r="G40" i="3"/>
  <c r="N39" i="3"/>
  <c r="G39" i="3"/>
  <c r="N38" i="3"/>
  <c r="G38" i="3"/>
  <c r="N37" i="3"/>
  <c r="G37" i="3"/>
  <c r="N36" i="3"/>
  <c r="G36" i="3"/>
  <c r="N35" i="3"/>
  <c r="N34" i="3"/>
  <c r="G34" i="3"/>
  <c r="N33" i="3"/>
  <c r="G33" i="3"/>
  <c r="N32" i="3"/>
  <c r="G32" i="3"/>
  <c r="N31" i="3"/>
  <c r="G31" i="3"/>
  <c r="N30" i="3"/>
  <c r="G30" i="3"/>
  <c r="N29" i="3"/>
  <c r="G29" i="3"/>
  <c r="N28" i="3"/>
  <c r="G28" i="3"/>
  <c r="N27" i="3"/>
  <c r="G27" i="3"/>
  <c r="N26" i="3"/>
  <c r="G26" i="3"/>
  <c r="N25" i="3"/>
  <c r="G25" i="3"/>
  <c r="N2" i="3"/>
  <c r="G2" i="3"/>
  <c r="L19" i="4" l="1"/>
  <c r="F19" i="4"/>
  <c r="M19" i="4"/>
  <c r="K19" i="4"/>
  <c r="G19" i="4"/>
  <c r="E19" i="4"/>
  <c r="B18" i="2"/>
  <c r="C18" i="2" l="1"/>
  <c r="F1298" i="3" a="1"/>
  <c r="F1414" i="3" a="1"/>
  <c r="F1197" i="3" a="1"/>
  <c r="F1121" i="3" a="1"/>
  <c r="F1027" i="3" a="1"/>
  <c r="F1218" i="3" a="1"/>
  <c r="F1086" i="3" a="1"/>
  <c r="F1021" i="3" a="1"/>
  <c r="F1014" i="3" a="1"/>
  <c r="F758" i="3" a="1"/>
  <c r="F236" i="3" a="1"/>
  <c r="F241" i="3" a="1"/>
  <c r="F360" i="3" a="1"/>
  <c r="F132" i="3" a="1"/>
  <c r="F113" i="3" a="1"/>
  <c r="F48" i="3" a="1"/>
  <c r="F1416" i="3" a="1"/>
  <c r="F1359" i="3" a="1"/>
  <c r="F1217" i="3" a="1"/>
  <c r="F1015" i="3" a="1"/>
  <c r="F984" i="3" a="1"/>
  <c r="F873" i="3" a="1"/>
  <c r="F844" i="3" a="1"/>
  <c r="F709" i="3" a="1"/>
  <c r="F909" i="3" a="1"/>
  <c r="F493" i="3" a="1"/>
  <c r="F734" i="3" a="1"/>
  <c r="F515" i="3" a="1"/>
  <c r="F540" i="3" a="1"/>
  <c r="F96" i="3" a="1"/>
  <c r="F1290" i="3" a="1"/>
  <c r="F1394" i="3" a="1"/>
  <c r="F1295" i="3" a="1"/>
  <c r="F1409" i="3" a="1"/>
  <c r="F1407" i="3" a="1"/>
  <c r="F973" i="3" a="1"/>
  <c r="F1140" i="3" a="1"/>
  <c r="F699" i="3" a="1"/>
  <c r="F659" i="3" a="1"/>
  <c r="F648" i="3" a="1"/>
  <c r="F680" i="3" a="1"/>
  <c r="F346" i="3" a="1"/>
  <c r="F426" i="3" a="1"/>
  <c r="F1323" i="3" a="1"/>
  <c r="F1429" i="3" a="1"/>
  <c r="F1259" i="3" a="1"/>
  <c r="F1155" i="3" a="1"/>
  <c r="F1060" i="3" a="1"/>
  <c r="F981" i="3" a="1"/>
  <c r="F692" i="3" a="1"/>
  <c r="F685" i="3" a="1"/>
  <c r="F679" i="3" a="1"/>
  <c r="F649" i="3" a="1"/>
  <c r="F311" i="3" a="1"/>
  <c r="F367" i="3" a="1"/>
  <c r="F376" i="3" a="1"/>
  <c r="F148" i="3" a="1"/>
  <c r="F129" i="3" a="1"/>
  <c r="F537" i="3" a="1"/>
  <c r="F1285" i="3" a="1"/>
  <c r="F1400" i="3" a="1"/>
  <c r="F1309" i="3" a="1"/>
  <c r="F857" i="3" a="1"/>
  <c r="F1124" i="3" a="1"/>
  <c r="F665" i="3" a="1"/>
  <c r="F651" i="3" a="1"/>
  <c r="F640" i="3" a="1"/>
  <c r="F645" i="3" a="1"/>
  <c r="F338" i="3" a="1"/>
  <c r="F414" i="3" a="1"/>
  <c r="F407" i="3" a="1"/>
  <c r="F420" i="3" a="1"/>
  <c r="F550" i="3" a="1"/>
  <c r="F78" i="3" a="1"/>
  <c r="F103" i="3" a="1"/>
  <c r="F1365" i="3" a="1"/>
  <c r="F1227" i="3" a="1"/>
  <c r="F1162" i="3" a="1"/>
  <c r="F1023" i="3" a="1"/>
  <c r="F1180" i="3" a="1"/>
  <c r="F920" i="3" a="1"/>
  <c r="F878" i="3" a="1"/>
  <c r="F885" i="3" a="1"/>
  <c r="F641" i="3" a="1"/>
  <c r="F1362" i="3" a="1"/>
  <c r="F1221" i="3" a="1"/>
  <c r="F1326" i="3" a="1"/>
  <c r="F1019" i="3" a="1"/>
  <c r="F1174" i="3" a="1"/>
  <c r="F907" i="3" a="1"/>
  <c r="F874" i="3" a="1"/>
  <c r="F881" i="3" a="1"/>
  <c r="F653" i="3" a="1"/>
  <c r="F533" i="3" a="1"/>
  <c r="F559" i="3" a="1"/>
  <c r="F600" i="3" a="1"/>
  <c r="F239" i="3" a="1"/>
  <c r="F38" i="3" a="1"/>
  <c r="F150" i="3" a="1"/>
  <c r="F434" i="3" a="1"/>
  <c r="F238" i="3" a="1"/>
  <c r="F353" i="3" a="1"/>
  <c r="F705" i="3" a="1"/>
  <c r="F549" i="3" a="1"/>
  <c r="F566" i="3" a="1"/>
  <c r="F196" i="3" a="1"/>
  <c r="F642" i="3" a="1"/>
  <c r="F539" i="3" a="1"/>
  <c r="F192" i="3" a="1"/>
  <c r="F940" i="3" a="1"/>
  <c r="F54" i="3" a="1"/>
  <c r="F710" i="3" a="1"/>
  <c r="F122" i="3" a="1"/>
  <c r="F155" i="3" a="1"/>
  <c r="F404" i="3" a="1"/>
  <c r="F498" i="3" a="1"/>
  <c r="F982" i="3" a="1"/>
  <c r="F451" i="3" a="1"/>
  <c r="F55" i="3" a="1"/>
  <c r="F875" i="3" a="1"/>
  <c r="F134" i="3" a="1"/>
  <c r="F422" i="3" a="1"/>
  <c r="F1236" i="3" a="1"/>
  <c r="F110" i="3" a="1"/>
  <c r="F502" i="3" a="1"/>
  <c r="F101" i="3" a="1"/>
  <c r="F124" i="3" a="1"/>
  <c r="F1420" i="3" a="1"/>
  <c r="F1363" i="3" a="1"/>
  <c r="F1222" i="3" a="1"/>
  <c r="F1037" i="3" a="1"/>
  <c r="F988" i="3" a="1"/>
  <c r="F886" i="3" a="1"/>
  <c r="F863" i="3" a="1"/>
  <c r="F716" i="3" a="1"/>
  <c r="F1078" i="3" a="1"/>
  <c r="F496" i="3" a="1"/>
  <c r="F772" i="3" a="1"/>
  <c r="F528" i="3" a="1"/>
  <c r="F598" i="3" a="1"/>
  <c r="F100" i="3" a="1"/>
  <c r="F81" i="3" a="1"/>
  <c r="F158" i="3" a="1"/>
  <c r="F1307" i="3" a="1"/>
  <c r="F1415" i="3" a="1"/>
  <c r="F1158" i="3" a="1"/>
  <c r="F983" i="3" a="1"/>
  <c r="F1184" i="3" a="1"/>
  <c r="F707" i="3" a="1"/>
  <c r="F666" i="3" a="1"/>
  <c r="F656" i="3" a="1"/>
  <c r="F911" i="3" a="1"/>
  <c r="F354" i="3" a="1"/>
  <c r="F481" i="3" a="1"/>
  <c r="F429" i="3" a="1"/>
  <c r="F464" i="3" a="1"/>
  <c r="F186" i="3" a="1"/>
  <c r="F1344" i="3" a="1"/>
  <c r="F1353" i="3" a="1"/>
  <c r="F1428" i="3" a="1"/>
  <c r="F1360" i="3" a="1"/>
  <c r="F1368" i="3" a="1"/>
  <c r="F1229" i="3" a="1"/>
  <c r="F1020" i="3" a="1"/>
  <c r="F638" i="3" a="1"/>
  <c r="F624" i="3" a="1"/>
  <c r="F613" i="3" a="1"/>
  <c r="F915" i="3" a="1"/>
  <c r="F601" i="3" a="1"/>
  <c r="F339" i="3" a="1"/>
  <c r="F1278" i="3" a="1"/>
  <c r="F1387" i="3" a="1"/>
  <c r="F1245" i="3" a="1"/>
  <c r="F1068" i="3" a="1"/>
  <c r="F1005" i="3" a="1"/>
  <c r="F1241" i="3" a="1"/>
  <c r="F916" i="3" a="1"/>
  <c r="F859" i="3" a="1"/>
  <c r="F883" i="3" a="1"/>
  <c r="F571" i="3" a="1"/>
  <c r="F161" i="3" a="1"/>
  <c r="F575" i="3" a="1"/>
  <c r="F230" i="3" a="1"/>
  <c r="F116" i="3" a="1"/>
  <c r="F97" i="3" a="1"/>
  <c r="F369" i="3" a="1"/>
  <c r="F1421" i="3" a="1"/>
  <c r="F1348" i="3" a="1"/>
  <c r="F1322" i="3" a="1"/>
  <c r="F1208" i="3" a="1"/>
  <c r="F944" i="3" a="1"/>
  <c r="F630" i="3" a="1"/>
  <c r="F616" i="3" a="1"/>
  <c r="F1120" i="3" a="1"/>
  <c r="F823" i="3" a="1"/>
  <c r="F584" i="3" a="1"/>
  <c r="F323" i="3" a="1"/>
  <c r="F326" i="3" a="1"/>
  <c r="F345" i="3" a="1"/>
  <c r="F156" i="3" a="1"/>
  <c r="F43" i="3" a="1"/>
  <c r="F63" i="3" a="1"/>
  <c r="F1308" i="3" a="1"/>
  <c r="F1289" i="3" a="1"/>
  <c r="F1123" i="3" a="1"/>
  <c r="F913" i="3" a="1"/>
  <c r="F1118" i="3" a="1"/>
  <c r="F818" i="3" a="1"/>
  <c r="F807" i="3" a="1"/>
  <c r="F816" i="3" a="1"/>
  <c r="F607" i="3" a="1"/>
  <c r="F1300" i="3" a="1"/>
  <c r="F1274" i="3" a="1"/>
  <c r="F1109" i="3" a="1"/>
  <c r="F1297" i="3" a="1"/>
  <c r="F1100" i="3" a="1"/>
  <c r="F809" i="3" a="1"/>
  <c r="F803" i="3" a="1"/>
  <c r="F811" i="3" a="1"/>
  <c r="F1094" i="3" a="1"/>
  <c r="F465" i="3" a="1"/>
  <c r="F507" i="3" a="1"/>
  <c r="F545" i="3" a="1"/>
  <c r="F57" i="3" a="1"/>
  <c r="F361" i="3" a="1"/>
  <c r="F118" i="3" a="1"/>
  <c r="F637" i="3" a="1"/>
  <c r="F187" i="3" a="1"/>
  <c r="F842" i="3" a="1"/>
  <c r="F234" i="3" a="1"/>
  <c r="F1318" i="3" a="1"/>
  <c r="F1419" i="3" a="1"/>
  <c r="F1167" i="3" a="1"/>
  <c r="F987" i="3" a="1"/>
  <c r="F1198" i="3" a="1"/>
  <c r="F711" i="3" a="1"/>
  <c r="F696" i="3" a="1"/>
  <c r="F660" i="3" a="1"/>
  <c r="F657" i="3" a="1"/>
  <c r="F358" i="3" a="1"/>
  <c r="F484" i="3" a="1"/>
  <c r="F433" i="3" a="1"/>
  <c r="F489" i="3" a="1"/>
  <c r="F27" i="3" a="1"/>
  <c r="F79" i="3" a="1"/>
  <c r="F123" i="3" a="1"/>
  <c r="F1257" i="3" a="1"/>
  <c r="F1371" i="3" a="1"/>
  <c r="F1183" i="3" a="1"/>
  <c r="F1342" i="3" a="1"/>
  <c r="F1071" i="3" a="1"/>
  <c r="F646" i="3" a="1"/>
  <c r="F635" i="3" a="1"/>
  <c r="F621" i="3" a="1"/>
  <c r="F594" i="3" a="1"/>
  <c r="F266" i="3" a="1"/>
  <c r="F347" i="3" a="1"/>
  <c r="F348" i="3" a="1"/>
  <c r="F397" i="3" a="1"/>
  <c r="F387" i="3" a="1"/>
  <c r="F1299" i="3" a="1"/>
  <c r="F1412" i="3" a="1"/>
  <c r="F1384" i="3" a="1"/>
  <c r="F1244" i="3" a="1"/>
  <c r="F1175" i="3" a="1"/>
  <c r="F1095" i="3" a="1"/>
  <c r="F902" i="3" a="1"/>
  <c r="F1082" i="3" a="1"/>
  <c r="F990" i="3" a="1"/>
  <c r="F919" i="3" a="1"/>
  <c r="F812" i="3" a="1"/>
  <c r="F553" i="3" a="1"/>
  <c r="F713" i="3" a="1"/>
  <c r="F1337" i="3" a="1"/>
  <c r="F1250" i="3" a="1"/>
  <c r="F1200" i="3" a="1"/>
  <c r="F1004" i="3" a="1"/>
  <c r="F956" i="3" a="1"/>
  <c r="F729" i="3" a="1"/>
  <c r="F715" i="3" a="1"/>
  <c r="F697" i="3" a="1"/>
  <c r="F789" i="3" a="1"/>
  <c r="F431" i="3" a="1"/>
  <c r="F527" i="3" a="1"/>
  <c r="F488" i="3" a="1"/>
  <c r="F516" i="3" a="1"/>
  <c r="F84" i="3" a="1"/>
  <c r="F28" i="3" a="1"/>
  <c r="F139" i="3" a="1"/>
  <c r="F1369" i="3" a="1"/>
  <c r="F1232" i="3" a="1"/>
  <c r="F1165" i="3" a="1"/>
  <c r="F1064" i="3" a="1"/>
  <c r="F891" i="3" a="1"/>
  <c r="F934" i="3" a="1"/>
  <c r="F889" i="3" a="1"/>
  <c r="F900" i="3" a="1"/>
  <c r="F723" i="3" a="1"/>
  <c r="F541" i="3" a="1"/>
  <c r="F567" i="3" a="1"/>
  <c r="F189" i="3" a="1"/>
  <c r="F254" i="3" a="1"/>
  <c r="F46" i="3" a="1"/>
  <c r="F190" i="3" a="1"/>
  <c r="F1346" i="3" a="1"/>
  <c r="F1269" i="3" a="1"/>
  <c r="F1182" i="3" a="1"/>
  <c r="F946" i="3" a="1"/>
  <c r="F1091" i="3" a="1"/>
  <c r="F1010" i="3" a="1"/>
  <c r="F777" i="3" a="1"/>
  <c r="F774" i="3" a="1"/>
  <c r="F779" i="3" a="1"/>
  <c r="F1343" i="3" a="1"/>
  <c r="F1261" i="3" a="1"/>
  <c r="F1176" i="3" a="1"/>
  <c r="F942" i="3" a="1"/>
  <c r="F1085" i="3" a="1"/>
  <c r="F1006" i="3" a="1"/>
  <c r="F773" i="3" a="1"/>
  <c r="F770" i="3" a="1"/>
  <c r="F775" i="3" a="1"/>
  <c r="F888" i="3" a="1"/>
  <c r="F378" i="3" a="1"/>
  <c r="F436" i="3" a="1"/>
  <c r="F447" i="3" a="1"/>
  <c r="F373" i="3" a="1"/>
  <c r="F149" i="3" a="1"/>
  <c r="F86" i="3" a="1"/>
  <c r="F590" i="3" a="1"/>
  <c r="F109" i="3" a="1"/>
  <c r="F90" i="3" a="1"/>
  <c r="F728" i="3" a="1"/>
  <c r="F357" i="3" a="1"/>
  <c r="F102" i="3" a="1"/>
  <c r="F194" i="3" a="1"/>
  <c r="F617" i="3" a="1"/>
  <c r="F495" i="3" a="1"/>
  <c r="F59" i="3" a="1"/>
  <c r="F837" i="3" a="1"/>
  <c r="F51" i="3" a="1"/>
  <c r="F466" i="3" a="1"/>
  <c r="F1401" i="3" a="1"/>
  <c r="F526" i="3" a="1"/>
  <c r="F543" i="3" a="1"/>
  <c r="F188" i="3" a="1"/>
  <c r="F462" i="3" a="1"/>
  <c r="F271" i="3" a="1"/>
  <c r="F29" i="3" a="1"/>
  <c r="F500" i="3" a="1"/>
  <c r="F1219" i="3" a="1"/>
  <c r="F546" i="3" a="1"/>
  <c r="F754" i="3" a="1"/>
  <c r="F1349" i="3" a="1"/>
  <c r="F563" i="3" a="1"/>
  <c r="F1272" i="3" a="1"/>
  <c r="F1377" i="3" a="1"/>
  <c r="F1189" i="3" a="1"/>
  <c r="F841" i="3" a="1"/>
  <c r="F1077" i="3" a="1"/>
  <c r="F650" i="3" a="1"/>
  <c r="F639" i="3" a="1"/>
  <c r="F625" i="3" a="1"/>
  <c r="F602" i="3" a="1"/>
  <c r="F278" i="3" a="1"/>
  <c r="F351" i="3" a="1"/>
  <c r="F352" i="3" a="1"/>
  <c r="F405" i="3" a="1"/>
  <c r="F486" i="3" a="1"/>
  <c r="F66" i="3" a="1"/>
  <c r="F91" i="3" a="1"/>
  <c r="F1393" i="3" a="1"/>
  <c r="F1314" i="3" a="1"/>
  <c r="F1181" i="3" a="1"/>
  <c r="F1117" i="3" a="1"/>
  <c r="F910" i="3" a="1"/>
  <c r="F615" i="3" a="1"/>
  <c r="F1017" i="3" a="1"/>
  <c r="F1007" i="3" a="1"/>
  <c r="F599" i="3" a="1"/>
  <c r="F561" i="3" a="1"/>
  <c r="F202" i="3" a="1"/>
  <c r="F253" i="3" a="1"/>
  <c r="F321" i="3" a="1"/>
  <c r="F65" i="3" a="1"/>
  <c r="F1433" i="3" a="1"/>
  <c r="F1367" i="3" a="1"/>
  <c r="F1334" i="3" a="1"/>
  <c r="F1192" i="3" a="1"/>
  <c r="F1157" i="3" a="1"/>
  <c r="F932" i="3" a="1"/>
  <c r="F1145" i="3" a="1"/>
  <c r="F865" i="3" a="1"/>
  <c r="F827" i="3" a="1"/>
  <c r="F834" i="3" a="1"/>
  <c r="F580" i="3" a="1"/>
  <c r="F506" i="3" a="1"/>
  <c r="F534" i="3" a="1"/>
  <c r="F1291" i="3" a="1"/>
  <c r="F1406" i="3" a="1"/>
  <c r="F1380" i="3" a="1"/>
  <c r="F955" i="3" a="1"/>
  <c r="F1132" i="3" a="1"/>
  <c r="F695" i="3" a="1"/>
  <c r="F655" i="3" a="1"/>
  <c r="F644" i="3" a="1"/>
  <c r="F674" i="3" a="1"/>
  <c r="F342" i="3" a="1"/>
  <c r="F418" i="3" a="1"/>
  <c r="F415" i="3" a="1"/>
  <c r="F430" i="3" a="1"/>
  <c r="F555" i="3" a="1"/>
  <c r="F164" i="3" a="1"/>
  <c r="F107" i="3" a="1"/>
  <c r="F1319" i="3" a="1"/>
  <c r="F1383" i="3" a="1"/>
  <c r="F1131" i="3" a="1"/>
  <c r="F917" i="3" a="1"/>
  <c r="F1122" i="3" a="1"/>
  <c r="F826" i="3" a="1"/>
  <c r="F810" i="3" a="1"/>
  <c r="F822" i="3" a="1"/>
  <c r="F572" i="3" a="1"/>
  <c r="F490" i="3" a="1"/>
  <c r="F518" i="3" a="1"/>
  <c r="F552" i="3" a="1"/>
  <c r="F68" i="3" a="1"/>
  <c r="F438" i="3" a="1"/>
  <c r="F126" i="3" a="1"/>
  <c r="F1312" i="3" a="1"/>
  <c r="F1422" i="3" a="1"/>
  <c r="F1247" i="3" a="1"/>
  <c r="F1146" i="3" a="1"/>
  <c r="F1038" i="3" a="1"/>
  <c r="F967" i="3" a="1"/>
  <c r="F681" i="3" a="1"/>
  <c r="F1074" i="3" a="1"/>
  <c r="F1092" i="3" a="1"/>
  <c r="F1306" i="3" a="1"/>
  <c r="F1418" i="3" a="1"/>
  <c r="F1214" i="3" a="1"/>
  <c r="F1129" i="3" a="1"/>
  <c r="F1035" i="3" a="1"/>
  <c r="F953" i="3" a="1"/>
  <c r="F1116" i="3" a="1"/>
  <c r="F1072" i="3" a="1"/>
  <c r="F1034" i="3" a="1"/>
  <c r="F604" i="3" a="1"/>
  <c r="F240" i="3" a="1"/>
  <c r="F312" i="3" a="1"/>
  <c r="F364" i="3" a="1"/>
  <c r="F136" i="3" a="1"/>
  <c r="F117" i="3" a="1"/>
  <c r="F52" i="3" a="1"/>
  <c r="F44" i="3" a="1"/>
  <c r="F106" i="3" a="1"/>
  <c r="F1212" i="3" a="1"/>
  <c r="F582" i="3" a="1"/>
  <c r="F64" i="3" a="1"/>
  <c r="F558" i="3" a="1"/>
  <c r="F74" i="3" a="1"/>
  <c r="F618" i="3" a="1"/>
  <c r="F532" i="3" a="1"/>
  <c r="F142" i="3" a="1"/>
  <c r="F409" i="3" a="1"/>
  <c r="F25" i="3" a="1"/>
  <c r="F860" i="3" a="1"/>
  <c r="F1073" i="3" a="1"/>
  <c r="F127" i="3" a="1"/>
  <c r="F456" i="3" a="1"/>
  <c r="F1178" i="3" a="1"/>
  <c r="F514" i="3" a="1"/>
  <c r="F441" i="3" a="1"/>
  <c r="F147" i="3" a="1"/>
  <c r="F479" i="3" a="1"/>
  <c r="F1134" i="3" a="1"/>
  <c r="F154" i="3" a="1"/>
  <c r="F334" i="3" a="1"/>
  <c r="F994" i="3" a="1"/>
  <c r="F1154" i="3" a="1"/>
  <c r="F95" i="3" a="1"/>
  <c r="F133" i="3" a="1"/>
  <c r="F1398" i="3" a="1"/>
  <c r="F1361" i="3" a="1"/>
  <c r="F1196" i="3" a="1"/>
  <c r="F1144" i="3" a="1"/>
  <c r="F914" i="3" a="1"/>
  <c r="F619" i="3" a="1"/>
  <c r="F1143" i="3" a="1"/>
  <c r="F1025" i="3" a="1"/>
  <c r="F633" i="3" a="1"/>
  <c r="F564" i="3" a="1"/>
  <c r="F263" i="3" a="1"/>
  <c r="F260" i="3" a="1"/>
  <c r="F333" i="3" a="1"/>
  <c r="F69" i="3" a="1"/>
  <c r="F581" i="3" a="1"/>
  <c r="F36" i="3" a="1"/>
  <c r="F1352" i="3" a="1"/>
  <c r="F1211" i="3" a="1"/>
  <c r="F1234" i="3" a="1"/>
  <c r="F943" i="3" a="1"/>
  <c r="F1164" i="3" a="1"/>
  <c r="F884" i="3" a="1"/>
  <c r="F836" i="3" a="1"/>
  <c r="F866" i="3" a="1"/>
  <c r="F606" i="3" a="1"/>
  <c r="F517" i="3" a="1"/>
  <c r="F551" i="3" a="1"/>
  <c r="F578" i="3" a="1"/>
  <c r="F162" i="3" a="1"/>
  <c r="F56" i="3" a="1"/>
  <c r="F1390" i="3" a="1"/>
  <c r="F1267" i="3" a="1"/>
  <c r="F1280" i="3" a="1"/>
  <c r="F1209" i="3" a="1"/>
  <c r="F1026" i="3" a="1"/>
  <c r="F1115" i="3" a="1"/>
  <c r="F1036" i="3" a="1"/>
  <c r="F794" i="3" a="1"/>
  <c r="F787" i="3" a="1"/>
  <c r="F792" i="3" a="1"/>
  <c r="F719" i="3" a="1"/>
  <c r="F442" i="3" a="1"/>
  <c r="F454" i="3" a="1"/>
  <c r="F1424" i="3" a="1"/>
  <c r="F1354" i="3" a="1"/>
  <c r="F1357" i="3" a="1"/>
  <c r="F1215" i="3" a="1"/>
  <c r="F948" i="3" a="1"/>
  <c r="F634" i="3" a="1"/>
  <c r="F620" i="3" a="1"/>
  <c r="F609" i="3" a="1"/>
  <c r="F904" i="3" a="1"/>
  <c r="F593" i="3" a="1"/>
  <c r="F335" i="3" a="1"/>
  <c r="F336" i="3" a="1"/>
  <c r="F349" i="3" a="1"/>
  <c r="F163" i="3" a="1"/>
  <c r="F47" i="3" a="1"/>
  <c r="F26" i="3" a="1"/>
  <c r="F1273" i="3" a="1"/>
  <c r="F1185" i="3" a="1"/>
  <c r="F1018" i="3" a="1"/>
  <c r="F1104" i="3" a="1"/>
  <c r="F1028" i="3" a="1"/>
  <c r="F786" i="3" a="1"/>
  <c r="F778" i="3" a="1"/>
  <c r="F784" i="3" a="1"/>
  <c r="F675" i="3" a="1"/>
  <c r="F388" i="3" a="1"/>
  <c r="F446" i="3" a="1"/>
  <c r="F455" i="3" a="1"/>
  <c r="F448" i="3" a="1"/>
  <c r="F176" i="3" a="1"/>
  <c r="F94" i="3" a="1"/>
  <c r="F1265" i="3" a="1"/>
  <c r="F1370" i="3" a="1"/>
  <c r="F1233" i="3" a="1"/>
  <c r="F1059" i="3" a="1"/>
  <c r="F996" i="3" a="1"/>
  <c r="F1061" i="3" a="1"/>
  <c r="F880" i="3" a="1"/>
  <c r="F733" i="3" a="1"/>
  <c r="F785" i="3" a="1"/>
  <c r="F1427" i="3" a="1"/>
  <c r="F1366" i="3" a="1"/>
  <c r="F1228" i="3" a="1"/>
  <c r="F1052" i="3" a="1"/>
  <c r="F992" i="3" a="1"/>
  <c r="F954" i="3" a="1"/>
  <c r="F876" i="3" a="1"/>
  <c r="F722" i="3" a="1"/>
  <c r="F694" i="3" a="1"/>
  <c r="F509" i="3" a="1"/>
  <c r="F879" i="3" a="1"/>
  <c r="F531" i="3" a="1"/>
  <c r="F702" i="3" a="1"/>
  <c r="F104" i="3" a="1"/>
  <c r="F85" i="3" a="1"/>
  <c r="F175" i="3" a="1"/>
  <c r="F1013" i="3" a="1"/>
  <c r="F60" i="3" a="1"/>
  <c r="F1012" i="3" a="1"/>
  <c r="F244" i="3" a="1"/>
  <c r="F120" i="3" a="1"/>
  <c r="F115" i="3" a="1"/>
  <c r="F111" i="3" a="1"/>
  <c r="F520" i="3" a="1"/>
  <c r="F341" i="3" a="1"/>
  <c r="F32" i="3" a="1"/>
  <c r="F510" i="3" a="1"/>
  <c r="F87" i="3" a="1"/>
  <c r="F459" i="3" a="1"/>
  <c r="F749" i="3" a="1"/>
  <c r="F1101" i="3" a="1"/>
  <c r="F119" i="3" a="1"/>
  <c r="F1099" i="3" a="1"/>
  <c r="F629" i="3" a="1"/>
  <c r="F88" i="3" a="1"/>
  <c r="F392" i="3" a="1"/>
  <c r="F798" i="3" a="1"/>
  <c r="F443" i="3" a="1"/>
  <c r="F662" i="3" a="1"/>
  <c r="F1358" i="3" a="1"/>
  <c r="F1216" i="3" a="1"/>
  <c r="F1238" i="3" a="1"/>
  <c r="F947" i="3" a="1"/>
  <c r="F1168" i="3" a="1"/>
  <c r="F905" i="3" a="1"/>
  <c r="F851" i="3" a="1"/>
  <c r="F870" i="3" a="1"/>
  <c r="F626" i="3" a="1"/>
  <c r="F530" i="3" a="1"/>
  <c r="F554" i="3" a="1"/>
  <c r="F589" i="3" a="1"/>
  <c r="F215" i="3" a="1"/>
  <c r="F75" i="3" a="1"/>
  <c r="F146" i="3" a="1"/>
  <c r="F227" i="3" a="1"/>
  <c r="F1292" i="3" a="1"/>
  <c r="F1230" i="3" a="1"/>
  <c r="F1066" i="3" a="1"/>
  <c r="F1142" i="3" a="1"/>
  <c r="F1058" i="3" a="1"/>
  <c r="F802" i="3" a="1"/>
  <c r="F795" i="3" a="1"/>
  <c r="F800" i="3" a="1"/>
  <c r="F972" i="3" a="1"/>
  <c r="F453" i="3" a="1"/>
  <c r="F491" i="3" a="1"/>
  <c r="F522" i="3" a="1"/>
  <c r="F49" i="3" a="1"/>
  <c r="F141" i="3" a="1"/>
  <c r="F1341" i="3" a="1"/>
  <c r="F1327" i="3" a="1"/>
  <c r="F1434" i="3" a="1"/>
  <c r="F1335" i="3" a="1"/>
  <c r="F1187" i="3" a="1"/>
  <c r="F1069" i="3" a="1"/>
  <c r="F985" i="3" a="1"/>
  <c r="F748" i="3" a="1"/>
  <c r="F746" i="3" a="1"/>
  <c r="F690" i="3" a="1"/>
  <c r="F698" i="3" a="1"/>
  <c r="F362" i="3" a="1"/>
  <c r="F371" i="3" a="1"/>
  <c r="F1373" i="3" a="1"/>
  <c r="F1239" i="3" a="1"/>
  <c r="F1169" i="3" a="1"/>
  <c r="F1087" i="3" a="1"/>
  <c r="F899" i="3" a="1"/>
  <c r="F1056" i="3" a="1"/>
  <c r="F912" i="3" a="1"/>
  <c r="F908" i="3" a="1"/>
  <c r="F801" i="3" a="1"/>
  <c r="F544" i="3" a="1"/>
  <c r="F577" i="3" a="1"/>
  <c r="F193" i="3" a="1"/>
  <c r="F261" i="3" a="1"/>
  <c r="F50" i="3" a="1"/>
  <c r="F365" i="3" a="1"/>
  <c r="F1315" i="3" a="1"/>
  <c r="F1425" i="3" a="1"/>
  <c r="F1249" i="3" a="1"/>
  <c r="F1153" i="3" a="1"/>
  <c r="F1057" i="3" a="1"/>
  <c r="F977" i="3" a="1"/>
  <c r="F684" i="3" a="1"/>
  <c r="F682" i="3" a="1"/>
  <c r="F1152" i="3" a="1"/>
  <c r="F622" i="3" a="1"/>
  <c r="F291" i="3" a="1"/>
  <c r="F363" i="3" a="1"/>
  <c r="F372" i="3" a="1"/>
  <c r="F144" i="3" a="1"/>
  <c r="F125" i="3" a="1"/>
  <c r="F243" i="3" a="1"/>
  <c r="F1328" i="3" a="1"/>
  <c r="F1435" i="3" a="1"/>
  <c r="F1186" i="3" a="1"/>
  <c r="F995" i="3" a="1"/>
  <c r="F858" i="3" a="1"/>
  <c r="F720" i="3" a="1"/>
  <c r="F704" i="3" a="1"/>
  <c r="F667" i="3" a="1"/>
  <c r="F676" i="3" a="1"/>
  <c r="F1324" i="3" a="1"/>
  <c r="F1426" i="3" a="1"/>
  <c r="F1171" i="3" a="1"/>
  <c r="F991" i="3" a="1"/>
  <c r="F1264" i="3" a="1"/>
  <c r="F714" i="3" a="1"/>
  <c r="F700" i="3" a="1"/>
  <c r="F663" i="3" a="1"/>
  <c r="F664" i="3" a="1"/>
  <c r="F398" i="3" a="1"/>
  <c r="F497" i="3" a="1"/>
  <c r="F458" i="3" a="1"/>
  <c r="F492" i="3" a="1"/>
  <c r="F34" i="3" a="1"/>
  <c r="F483" i="3" a="1"/>
  <c r="F756" i="3" a="1"/>
  <c r="F887" i="3" a="1"/>
  <c r="F1147" i="3" a="1"/>
  <c r="F980" i="3" a="1"/>
  <c r="F279" i="3" a="1"/>
  <c r="F1296" i="3" a="1"/>
  <c r="F1242" i="3" a="1"/>
  <c r="F1103" i="3" a="1"/>
  <c r="F1149" i="3" a="1"/>
  <c r="F1088" i="3" a="1"/>
  <c r="F806" i="3" a="1"/>
  <c r="F799" i="3" a="1"/>
  <c r="F804" i="3" a="1"/>
  <c r="F1003" i="3" a="1"/>
  <c r="F457" i="3" a="1"/>
  <c r="F494" i="3" a="1"/>
  <c r="F525" i="3" a="1"/>
  <c r="F53" i="3" a="1"/>
  <c r="F231" i="3" a="1"/>
  <c r="F114" i="3" a="1"/>
  <c r="F1336" i="3" a="1"/>
  <c r="F1255" i="3" a="1"/>
  <c r="F1166" i="3" a="1"/>
  <c r="F931" i="3" a="1"/>
  <c r="F1079" i="3" a="1"/>
  <c r="F993" i="3" a="1"/>
  <c r="F759" i="3" a="1"/>
  <c r="F760" i="3" a="1"/>
  <c r="F766" i="3" a="1"/>
  <c r="F776" i="3" a="1"/>
  <c r="F370" i="3" a="1"/>
  <c r="F385" i="3" a="1"/>
  <c r="F437" i="3" a="1"/>
  <c r="F166" i="3" a="1"/>
  <c r="F62" i="3" a="1"/>
  <c r="F1286" i="3" a="1"/>
  <c r="F1284" i="3" a="1"/>
  <c r="F1391" i="3" a="1"/>
  <c r="F1270" i="3" a="1"/>
  <c r="F1097" i="3" a="1"/>
  <c r="F1009" i="3" a="1"/>
  <c r="F1135" i="3" a="1"/>
  <c r="F945" i="3" a="1"/>
  <c r="F872" i="3" a="1"/>
  <c r="F890" i="3" a="1"/>
  <c r="F579" i="3" a="1"/>
  <c r="F165" i="3" a="1"/>
  <c r="F229" i="3" a="1"/>
  <c r="F1325" i="3" a="1"/>
  <c r="F1410" i="3" a="1"/>
  <c r="F1148" i="3" a="1"/>
  <c r="F921" i="3" a="1"/>
  <c r="F1130" i="3" a="1"/>
  <c r="F832" i="3" a="1"/>
  <c r="F819" i="3" a="1"/>
  <c r="F828" i="3" a="1"/>
  <c r="F576" i="3" a="1"/>
  <c r="F503" i="3" a="1"/>
  <c r="F521" i="3" a="1"/>
  <c r="F557" i="3" a="1"/>
  <c r="F72" i="3" a="1"/>
  <c r="F452" i="3" a="1"/>
  <c r="F130" i="3" a="1"/>
  <c r="F1271" i="3" a="1"/>
  <c r="F1374" i="3" a="1"/>
  <c r="F1240" i="3" a="1"/>
  <c r="F1062" i="3" a="1"/>
  <c r="F999" i="3" a="1"/>
  <c r="F1096" i="3" a="1"/>
  <c r="F903" i="3" a="1"/>
  <c r="F856" i="3" a="1"/>
  <c r="F864" i="3" a="1"/>
  <c r="F523" i="3" a="1"/>
  <c r="F157" i="3" a="1"/>
  <c r="F570" i="3" a="1"/>
  <c r="F226" i="3" a="1"/>
  <c r="F112" i="3" a="1"/>
  <c r="F93" i="3" a="1"/>
  <c r="F195" i="3" a="1"/>
  <c r="F1282" i="3" a="1"/>
  <c r="F1388" i="3" a="1"/>
  <c r="F1277" i="3" a="1"/>
  <c r="F852" i="3" a="1"/>
  <c r="F1108" i="3" a="1"/>
  <c r="F658" i="3" a="1"/>
  <c r="F647" i="3" a="1"/>
  <c r="F636" i="3" a="1"/>
  <c r="F797" i="3" a="1"/>
  <c r="F1279" i="3" a="1"/>
  <c r="F1382" i="3" a="1"/>
  <c r="F1203" i="3" a="1"/>
  <c r="F845" i="3" a="1"/>
  <c r="F1102" i="3" a="1"/>
  <c r="F654" i="3" a="1"/>
  <c r="F643" i="3" a="1"/>
  <c r="F632" i="3" a="1"/>
  <c r="F605" i="3" a="1"/>
  <c r="F322" i="3" a="1"/>
  <c r="F355" i="3" a="1"/>
  <c r="F356" i="3" a="1"/>
  <c r="F408" i="3" a="1"/>
  <c r="F529" i="3" a="1"/>
  <c r="F70" i="3" a="1"/>
  <c r="F1339" i="3" a="1"/>
  <c r="F771" i="3" a="1"/>
  <c r="F1294" i="3" a="1"/>
  <c r="F978" i="3" a="1"/>
  <c r="F1340" i="3" a="1"/>
  <c r="F817" i="3" a="1"/>
  <c r="F1033" i="3" a="1"/>
  <c r="F37" i="3" a="1"/>
  <c r="F726" i="3" a="1"/>
  <c r="F80" i="3" a="1"/>
  <c r="F627" i="3" a="1"/>
  <c r="F918" i="3" a="1"/>
  <c r="F337" i="3" a="1"/>
  <c r="F233" i="3" a="1"/>
  <c r="F393" i="3" a="1"/>
  <c r="F631" i="3" a="1"/>
  <c r="F89" i="3" a="1"/>
  <c r="F137" i="3" a="1"/>
  <c r="F131" i="3" a="1"/>
  <c r="F416" i="3" a="1"/>
  <c r="F591" i="3" a="1"/>
  <c r="F138" i="3" a="1"/>
  <c r="F143" i="3" a="1"/>
  <c r="F989" i="3" a="1"/>
  <c r="F76" i="3" a="1"/>
  <c r="F1050" i="3" a="1"/>
  <c r="F979" i="3" a="1"/>
  <c r="F1159" i="3" a="1"/>
  <c r="F796" i="3" a="1"/>
  <c r="F573" i="3" a="1"/>
  <c r="F270" i="3" a="1"/>
  <c r="F121" i="3" a="1"/>
  <c r="F386" i="3" a="1"/>
  <c r="F1141" i="3" a="1"/>
  <c r="F92" i="3" a="1"/>
  <c r="F61" i="3" a="1"/>
  <c r="F701" i="3" a="1"/>
  <c r="F952" i="3" a="1"/>
  <c r="F1024" i="3" a="1"/>
  <c r="F35" i="3" a="1"/>
  <c r="F1258" i="3" a="1"/>
  <c r="F831" i="3" a="1"/>
  <c r="F1399" i="3" a="1"/>
  <c r="F610" i="3" a="1"/>
  <c r="F1253" i="3" a="1"/>
  <c r="F435" i="3" a="1"/>
  <c r="F790" i="3" a="1"/>
  <c r="F185" i="3" a="1"/>
  <c r="F708" i="3" a="1"/>
  <c r="F2" i="3" a="1"/>
  <c r="F612" i="3" a="1"/>
  <c r="F623" i="3" a="1"/>
  <c r="F73" i="3" a="1"/>
  <c r="F843" i="3" a="1"/>
  <c r="F40" i="3" a="1"/>
  <c r="F538" i="3" a="1"/>
  <c r="F151" i="3" a="1"/>
  <c r="F586" i="3" a="1"/>
  <c r="F542" i="3" a="1"/>
  <c r="F368" i="3" a="1"/>
  <c r="F833" i="3" a="1"/>
  <c r="F519" i="3" a="1"/>
  <c r="F906" i="3" a="1"/>
  <c r="F611" i="3" a="1"/>
  <c r="F1437" i="3" a="1"/>
  <c r="F508" i="3" a="1"/>
  <c r="F366" i="3" a="1"/>
  <c r="F1170" i="3" a="1"/>
  <c r="F374" i="3" a="1"/>
  <c r="F1389" i="3" a="1"/>
  <c r="F232" i="3" a="1"/>
  <c r="F1207" i="3" a="1"/>
  <c r="F569" i="3" a="1"/>
  <c r="F783" i="3" a="1"/>
  <c r="F98" i="3" a="1"/>
  <c r="F693" i="3" a="1"/>
  <c r="F135" i="3" a="1"/>
  <c r="F1045" i="3" a="1"/>
  <c r="F608" i="3" a="1"/>
  <c r="F71" i="3" a="1"/>
  <c r="F732" i="3" a="1"/>
  <c r="F703" i="3" a="1"/>
  <c r="F153" i="3" a="1"/>
  <c r="F99" i="3" a="1"/>
  <c r="F1043" i="3" a="1"/>
  <c r="F399" i="3" a="1"/>
  <c r="F652" i="3" a="1"/>
  <c r="F504" i="3" a="1"/>
  <c r="F1156" i="3" a="1"/>
  <c r="F350" i="3" a="1"/>
  <c r="F140" i="3" a="1"/>
  <c r="F556" i="3" a="1"/>
  <c r="F791" i="3" a="1"/>
  <c r="F228" i="3" a="1"/>
  <c r="F871" i="3" a="1"/>
  <c r="F432" i="3" a="1"/>
  <c r="F340" i="3" a="1"/>
  <c r="F419" i="3" a="1"/>
  <c r="F487" i="3" a="1"/>
  <c r="F58" i="3" a="1"/>
  <c r="F184" i="3" a="1"/>
  <c r="F160" i="3" a="1"/>
  <c r="F82" i="3" a="1"/>
  <c r="F793" i="3" a="1"/>
  <c r="F1011" i="3" a="1"/>
  <c r="F939" i="3" a="1"/>
  <c r="F389" i="3" a="1"/>
  <c r="F1107" i="3" a="1"/>
  <c r="F237" i="3" a="1"/>
  <c r="F1008" i="3" a="1"/>
  <c r="F501" i="3" a="1"/>
  <c r="F788" i="3" a="1"/>
  <c r="F1333" i="3" a="1"/>
  <c r="F755" i="3" a="1"/>
  <c r="F1417" i="3" a="1"/>
  <c r="F568" i="3" a="1"/>
  <c r="F1039" i="3" a="1"/>
  <c r="F384" i="3" a="1"/>
  <c r="F359" i="3" a="1"/>
  <c r="F603" i="3" a="1"/>
  <c r="F562" i="3" a="1"/>
  <c r="F1199" i="3" a="1"/>
  <c r="F565" i="3" a="1"/>
  <c r="F203" i="3" a="1"/>
  <c r="F614" i="3" a="1"/>
  <c r="F167" i="3" a="1"/>
  <c r="F108" i="3" a="1"/>
  <c r="F45" i="3" a="1"/>
  <c r="F265" i="3" a="1"/>
  <c r="F505" i="3" a="1"/>
  <c r="F67" i="3" a="1"/>
  <c r="F482" i="3" a="1"/>
  <c r="F1151" i="3" a="1"/>
  <c r="F77" i="3" a="1"/>
  <c r="F83" i="3" a="1"/>
  <c r="F1081" i="3" a="1"/>
  <c r="F444" i="3" a="1"/>
  <c r="F1016" i="3" a="1"/>
  <c r="F242" i="3" a="1"/>
  <c r="F974" i="3" a="1"/>
  <c r="F1276" i="3" a="1"/>
  <c r="F706" i="3" a="1"/>
  <c r="F1438" i="3" a="1"/>
  <c r="F417" i="3" a="1"/>
  <c r="F1251" i="3" a="1"/>
  <c r="F1402" i="3" a="1"/>
  <c r="F691" i="3" a="1"/>
  <c r="F344" i="3" a="1"/>
  <c r="F449" i="3" a="1"/>
  <c r="F33" i="3" a="1"/>
  <c r="F805" i="3" a="1"/>
  <c r="F1137" i="3" a="1"/>
  <c r="F343" i="3" a="1"/>
  <c r="F1110" i="3" a="1"/>
  <c r="F264" i="3" a="1"/>
  <c r="F159" i="3" a="1"/>
  <c r="F560" i="3" a="1"/>
  <c r="F1000" i="3" a="1"/>
  <c r="F191" i="3" a="1"/>
  <c r="F1150" i="3" a="1"/>
  <c r="F128" i="3" a="1"/>
  <c r="F735" i="3" a="1"/>
  <c r="F1202" i="3" a="1"/>
  <c r="F439" i="3" a="1"/>
  <c r="F1193" i="3" a="1"/>
  <c r="F524" i="3" a="1"/>
  <c r="F1293" i="3" a="1"/>
  <c r="F1372" i="3" a="1"/>
  <c r="F574" i="3" a="1"/>
  <c r="F262" i="3" a="1"/>
  <c r="F235" i="3" a="1"/>
  <c r="F1404" i="3" a="1"/>
  <c r="F41" i="3" a="1"/>
  <c r="F197" i="3" a="1"/>
  <c r="F152" i="3" a="1"/>
  <c r="F39" i="3" a="1"/>
  <c r="F765" i="3" a="1"/>
  <c r="F105" i="3" a="1"/>
  <c r="F31" i="3" a="1"/>
  <c r="F764" i="3" a="1"/>
  <c r="F145" i="3" a="1"/>
  <c r="F1084" i="3" a="1"/>
  <c r="F1332" i="3" a="1"/>
  <c r="F721" i="3" a="1"/>
  <c r="F1022" i="3" a="1"/>
  <c r="F450" i="3" a="1"/>
  <c r="F998" i="3" a="1"/>
  <c r="F485" i="3" a="1"/>
  <c r="F1201" i="3" a="1"/>
  <c r="F1204" i="3" a="1"/>
  <c r="F269" i="3" a="1"/>
  <c r="F375" i="3" a="1"/>
  <c r="F377" i="3" a="1"/>
  <c r="F1305" i="3" a="1"/>
  <c r="F42" i="3" a="1"/>
  <c r="F986" i="3" a="1"/>
  <c r="F933" i="3" a="1"/>
  <c r="F499" i="3" a="1"/>
  <c r="F499" i="3" l="1"/>
  <c r="F933" i="3"/>
  <c r="F986" i="3"/>
  <c r="F42" i="3"/>
  <c r="F1305" i="3"/>
  <c r="F377" i="3"/>
  <c r="F375" i="3"/>
  <c r="F269" i="3"/>
  <c r="F1204" i="3"/>
  <c r="F1201" i="3"/>
  <c r="F485" i="3"/>
  <c r="F998" i="3"/>
  <c r="F450" i="3"/>
  <c r="F1022" i="3"/>
  <c r="F721" i="3"/>
  <c r="F1332" i="3"/>
  <c r="F1084" i="3"/>
  <c r="F145" i="3"/>
  <c r="F764" i="3"/>
  <c r="F31" i="3"/>
  <c r="F105" i="3"/>
  <c r="F765" i="3"/>
  <c r="F39" i="3"/>
  <c r="F152" i="3"/>
  <c r="F197" i="3"/>
  <c r="F41" i="3"/>
  <c r="F1404" i="3"/>
  <c r="F235" i="3"/>
  <c r="F262" i="3"/>
  <c r="F574" i="3"/>
  <c r="F1372" i="3"/>
  <c r="F1293" i="3"/>
  <c r="F524" i="3"/>
  <c r="F1193" i="3"/>
  <c r="F439" i="3"/>
  <c r="F1202" i="3"/>
  <c r="F735" i="3"/>
  <c r="F128" i="3"/>
  <c r="F1150" i="3"/>
  <c r="F191" i="3"/>
  <c r="F1000" i="3"/>
  <c r="F560" i="3"/>
  <c r="F159" i="3"/>
  <c r="F264" i="3"/>
  <c r="F1110" i="3"/>
  <c r="F343" i="3"/>
  <c r="F1137" i="3"/>
  <c r="F805" i="3"/>
  <c r="F33" i="3"/>
  <c r="F449" i="3"/>
  <c r="F344" i="3"/>
  <c r="F691" i="3"/>
  <c r="F1402" i="3"/>
  <c r="F1251" i="3"/>
  <c r="F417" i="3"/>
  <c r="F1438" i="3"/>
  <c r="F706" i="3"/>
  <c r="F1276" i="3"/>
  <c r="F974" i="3"/>
  <c r="F242" i="3"/>
  <c r="F1016" i="3"/>
  <c r="F444" i="3"/>
  <c r="F1081" i="3"/>
  <c r="F83" i="3"/>
  <c r="F77" i="3"/>
  <c r="F1151" i="3"/>
  <c r="F482" i="3"/>
  <c r="F67" i="3"/>
  <c r="F505" i="3"/>
  <c r="F265" i="3"/>
  <c r="F45" i="3"/>
  <c r="F108" i="3"/>
  <c r="F167" i="3"/>
  <c r="F614" i="3"/>
  <c r="F203" i="3"/>
  <c r="F565" i="3"/>
  <c r="F1199" i="3"/>
  <c r="F562" i="3"/>
  <c r="F603" i="3"/>
  <c r="F359" i="3"/>
  <c r="F384" i="3"/>
  <c r="F1039" i="3"/>
  <c r="F568" i="3"/>
  <c r="F1417" i="3"/>
  <c r="F755" i="3"/>
  <c r="F1333" i="3"/>
  <c r="F788" i="3"/>
  <c r="F501" i="3"/>
  <c r="F1008" i="3"/>
  <c r="F237" i="3"/>
  <c r="F1107" i="3"/>
  <c r="F389" i="3"/>
  <c r="F939" i="3"/>
  <c r="F1011" i="3"/>
  <c r="F793" i="3"/>
  <c r="F82" i="3"/>
  <c r="F160" i="3"/>
  <c r="F184" i="3"/>
  <c r="F58" i="3"/>
  <c r="F487" i="3"/>
  <c r="F419" i="3"/>
  <c r="F340" i="3"/>
  <c r="F432" i="3"/>
  <c r="F871" i="3"/>
  <c r="F228" i="3"/>
  <c r="F791" i="3"/>
  <c r="F556" i="3"/>
  <c r="F140" i="3"/>
  <c r="F350" i="3"/>
  <c r="F1156" i="3"/>
  <c r="F504" i="3"/>
  <c r="F652" i="3"/>
  <c r="F399" i="3"/>
  <c r="F1043" i="3"/>
  <c r="F99" i="3"/>
  <c r="F153" i="3"/>
  <c r="F703" i="3"/>
  <c r="F732" i="3"/>
  <c r="F71" i="3"/>
  <c r="F608" i="3"/>
  <c r="F1045" i="3"/>
  <c r="F135" i="3"/>
  <c r="F693" i="3"/>
  <c r="F98" i="3"/>
  <c r="F783" i="3"/>
  <c r="F569" i="3"/>
  <c r="F1207" i="3"/>
  <c r="F232" i="3"/>
  <c r="F1389" i="3"/>
  <c r="F374" i="3"/>
  <c r="F1170" i="3"/>
  <c r="F366" i="3"/>
  <c r="F508" i="3"/>
  <c r="F1437" i="3"/>
  <c r="F611" i="3"/>
  <c r="F906" i="3"/>
  <c r="F519" i="3"/>
  <c r="F833" i="3"/>
  <c r="F368" i="3"/>
  <c r="F542" i="3"/>
  <c r="F586" i="3"/>
  <c r="F151" i="3"/>
  <c r="F538" i="3"/>
  <c r="F40" i="3"/>
  <c r="F843" i="3"/>
  <c r="F73" i="3"/>
  <c r="F623" i="3"/>
  <c r="F612" i="3"/>
  <c r="F2" i="3"/>
  <c r="F708" i="3"/>
  <c r="F185" i="3"/>
  <c r="F790" i="3"/>
  <c r="F435" i="3"/>
  <c r="F1253" i="3"/>
  <c r="F610" i="3"/>
  <c r="F1399" i="3"/>
  <c r="F831" i="3"/>
  <c r="F1258" i="3"/>
  <c r="F35" i="3"/>
  <c r="F1024" i="3"/>
  <c r="F952" i="3"/>
  <c r="F701" i="3"/>
  <c r="F61" i="3"/>
  <c r="F92" i="3"/>
  <c r="F1141" i="3"/>
  <c r="F386" i="3"/>
  <c r="F121" i="3"/>
  <c r="F270" i="3"/>
  <c r="F573" i="3"/>
  <c r="F796" i="3"/>
  <c r="F1159" i="3"/>
  <c r="F979" i="3"/>
  <c r="F1050" i="3"/>
  <c r="F76" i="3"/>
  <c r="F989" i="3"/>
  <c r="F143" i="3"/>
  <c r="F138" i="3"/>
  <c r="F591" i="3"/>
  <c r="F416" i="3"/>
  <c r="F131" i="3"/>
  <c r="F137" i="3"/>
  <c r="F89" i="3"/>
  <c r="F631" i="3"/>
  <c r="F393" i="3"/>
  <c r="F233" i="3"/>
  <c r="F337" i="3"/>
  <c r="F918" i="3"/>
  <c r="F627" i="3"/>
  <c r="F80" i="3"/>
  <c r="F726" i="3"/>
  <c r="F37" i="3"/>
  <c r="F1033" i="3"/>
  <c r="F817" i="3"/>
  <c r="F1340" i="3"/>
  <c r="F978" i="3"/>
  <c r="F1294" i="3"/>
  <c r="F771" i="3"/>
  <c r="F1339" i="3"/>
  <c r="F70" i="3"/>
  <c r="F529" i="3"/>
  <c r="F408" i="3"/>
  <c r="F356" i="3"/>
  <c r="F355" i="3"/>
  <c r="F322" i="3"/>
  <c r="F605" i="3"/>
  <c r="F632" i="3"/>
  <c r="F643" i="3"/>
  <c r="F654" i="3"/>
  <c r="F1102" i="3"/>
  <c r="F845" i="3"/>
  <c r="F1203" i="3"/>
  <c r="F1382" i="3"/>
  <c r="F1279" i="3"/>
  <c r="F797" i="3"/>
  <c r="F636" i="3"/>
  <c r="F647" i="3"/>
  <c r="F658" i="3"/>
  <c r="F1108" i="3"/>
  <c r="F852" i="3"/>
  <c r="F1277" i="3"/>
  <c r="F1388" i="3"/>
  <c r="F1282" i="3"/>
  <c r="F195" i="3"/>
  <c r="F93" i="3"/>
  <c r="F112" i="3"/>
  <c r="F226" i="3"/>
  <c r="F570" i="3"/>
  <c r="F157" i="3"/>
  <c r="F523" i="3"/>
  <c r="F864" i="3"/>
  <c r="F856" i="3"/>
  <c r="F903" i="3"/>
  <c r="F1096" i="3"/>
  <c r="F999" i="3"/>
  <c r="F1062" i="3"/>
  <c r="F1240" i="3"/>
  <c r="F1374" i="3"/>
  <c r="F1271" i="3"/>
  <c r="F130" i="3"/>
  <c r="F452" i="3"/>
  <c r="F72" i="3"/>
  <c r="F557" i="3"/>
  <c r="F521" i="3"/>
  <c r="F503" i="3"/>
  <c r="F576" i="3"/>
  <c r="F828" i="3"/>
  <c r="F819" i="3"/>
  <c r="F832" i="3"/>
  <c r="F1130" i="3"/>
  <c r="F921" i="3"/>
  <c r="F1148" i="3"/>
  <c r="F1410" i="3"/>
  <c r="F1325" i="3"/>
  <c r="F229" i="3"/>
  <c r="F165" i="3"/>
  <c r="F579" i="3"/>
  <c r="F890" i="3"/>
  <c r="F872" i="3"/>
  <c r="F945" i="3"/>
  <c r="F1135" i="3"/>
  <c r="F1009" i="3"/>
  <c r="F1097" i="3"/>
  <c r="F1270" i="3"/>
  <c r="F1391" i="3"/>
  <c r="F1284" i="3"/>
  <c r="F1286" i="3"/>
  <c r="F62" i="3"/>
  <c r="F166" i="3"/>
  <c r="F437" i="3"/>
  <c r="F385" i="3"/>
  <c r="F370" i="3"/>
  <c r="F776" i="3"/>
  <c r="F766" i="3"/>
  <c r="F760" i="3"/>
  <c r="F759" i="3"/>
  <c r="F993" i="3"/>
  <c r="F1079" i="3"/>
  <c r="F931" i="3"/>
  <c r="F1166" i="3"/>
  <c r="F1255" i="3"/>
  <c r="F1336" i="3"/>
  <c r="F114" i="3"/>
  <c r="F231" i="3"/>
  <c r="F53" i="3"/>
  <c r="F525" i="3"/>
  <c r="F494" i="3"/>
  <c r="F457" i="3"/>
  <c r="F1003" i="3"/>
  <c r="F804" i="3"/>
  <c r="F799" i="3"/>
  <c r="F806" i="3"/>
  <c r="F1088" i="3"/>
  <c r="F1149" i="3"/>
  <c r="F1103" i="3"/>
  <c r="F1242" i="3"/>
  <c r="F1296" i="3"/>
  <c r="F279" i="3"/>
  <c r="F980" i="3"/>
  <c r="F1147" i="3"/>
  <c r="F887" i="3"/>
  <c r="F756" i="3"/>
  <c r="F483" i="3"/>
  <c r="F34" i="3"/>
  <c r="F492" i="3"/>
  <c r="F458" i="3"/>
  <c r="F497" i="3"/>
  <c r="F398" i="3"/>
  <c r="F664" i="3"/>
  <c r="F663" i="3"/>
  <c r="F700" i="3"/>
  <c r="F714" i="3"/>
  <c r="F1264" i="3"/>
  <c r="F991" i="3"/>
  <c r="F1171" i="3"/>
  <c r="F1426" i="3"/>
  <c r="F1324" i="3"/>
  <c r="F676" i="3"/>
  <c r="F667" i="3"/>
  <c r="F704" i="3"/>
  <c r="F720" i="3"/>
  <c r="F858" i="3"/>
  <c r="F995" i="3"/>
  <c r="F1186" i="3"/>
  <c r="F1435" i="3"/>
  <c r="F1328" i="3"/>
  <c r="F243" i="3"/>
  <c r="F125" i="3"/>
  <c r="F144" i="3"/>
  <c r="F372" i="3"/>
  <c r="F363" i="3"/>
  <c r="F291" i="3"/>
  <c r="F622" i="3"/>
  <c r="F1152" i="3"/>
  <c r="F682" i="3"/>
  <c r="F684" i="3"/>
  <c r="F977" i="3"/>
  <c r="F1057" i="3"/>
  <c r="F1153" i="3"/>
  <c r="F1249" i="3"/>
  <c r="F1425" i="3"/>
  <c r="F1315" i="3"/>
  <c r="F365" i="3"/>
  <c r="F50" i="3"/>
  <c r="F261" i="3"/>
  <c r="F193" i="3"/>
  <c r="F577" i="3"/>
  <c r="F544" i="3"/>
  <c r="F801" i="3"/>
  <c r="F908" i="3"/>
  <c r="F912" i="3"/>
  <c r="F1056" i="3"/>
  <c r="F899" i="3"/>
  <c r="F1087" i="3"/>
  <c r="F1169" i="3"/>
  <c r="F1239" i="3"/>
  <c r="F1373" i="3"/>
  <c r="F371" i="3"/>
  <c r="F362" i="3"/>
  <c r="F698" i="3"/>
  <c r="F690" i="3"/>
  <c r="F746" i="3"/>
  <c r="F748" i="3"/>
  <c r="F985" i="3"/>
  <c r="F1069" i="3"/>
  <c r="F1187" i="3"/>
  <c r="F1335" i="3"/>
  <c r="F1434" i="3"/>
  <c r="F1327" i="3"/>
  <c r="F1341" i="3"/>
  <c r="F141" i="3"/>
  <c r="F49" i="3"/>
  <c r="F522" i="3"/>
  <c r="F491" i="3"/>
  <c r="F453" i="3"/>
  <c r="F972" i="3"/>
  <c r="F800" i="3"/>
  <c r="F795" i="3"/>
  <c r="F802" i="3"/>
  <c r="F1058" i="3"/>
  <c r="F1142" i="3"/>
  <c r="F1066" i="3"/>
  <c r="F1230" i="3"/>
  <c r="F1292" i="3"/>
  <c r="F227" i="3"/>
  <c r="F146" i="3"/>
  <c r="F75" i="3"/>
  <c r="F215" i="3"/>
  <c r="F589" i="3"/>
  <c r="F554" i="3"/>
  <c r="F530" i="3"/>
  <c r="F626" i="3"/>
  <c r="F870" i="3"/>
  <c r="F851" i="3"/>
  <c r="F905" i="3"/>
  <c r="F1168" i="3"/>
  <c r="F947" i="3"/>
  <c r="F1238" i="3"/>
  <c r="F1216" i="3"/>
  <c r="F1358" i="3"/>
  <c r="F662" i="3"/>
  <c r="F443" i="3"/>
  <c r="F798" i="3"/>
  <c r="F392" i="3"/>
  <c r="F88" i="3"/>
  <c r="F629" i="3"/>
  <c r="F1099" i="3"/>
  <c r="F119" i="3"/>
  <c r="F1101" i="3"/>
  <c r="F749" i="3"/>
  <c r="F459" i="3"/>
  <c r="F87" i="3"/>
  <c r="F510" i="3"/>
  <c r="F32" i="3"/>
  <c r="F341" i="3"/>
  <c r="F520" i="3"/>
  <c r="F111" i="3"/>
  <c r="F115" i="3"/>
  <c r="F120" i="3"/>
  <c r="F244" i="3"/>
  <c r="F1012" i="3"/>
  <c r="F60" i="3"/>
  <c r="F1013" i="3"/>
  <c r="F175" i="3"/>
  <c r="F85" i="3"/>
  <c r="F104" i="3"/>
  <c r="F702" i="3"/>
  <c r="F531" i="3"/>
  <c r="F879" i="3"/>
  <c r="F509" i="3"/>
  <c r="F694" i="3"/>
  <c r="F722" i="3"/>
  <c r="F876" i="3"/>
  <c r="F954" i="3"/>
  <c r="F992" i="3"/>
  <c r="F1052" i="3"/>
  <c r="F1228" i="3"/>
  <c r="F1366" i="3"/>
  <c r="F1427" i="3"/>
  <c r="F785" i="3"/>
  <c r="F733" i="3"/>
  <c r="F880" i="3"/>
  <c r="F1061" i="3"/>
  <c r="F996" i="3"/>
  <c r="F1059" i="3"/>
  <c r="F1233" i="3"/>
  <c r="F1370" i="3"/>
  <c r="F1265" i="3"/>
  <c r="F94" i="3"/>
  <c r="F176" i="3"/>
  <c r="F448" i="3"/>
  <c r="F455" i="3"/>
  <c r="F446" i="3"/>
  <c r="F388" i="3"/>
  <c r="F675" i="3"/>
  <c r="F784" i="3"/>
  <c r="F778" i="3"/>
  <c r="F786" i="3"/>
  <c r="F1028" i="3"/>
  <c r="F1104" i="3"/>
  <c r="F1018" i="3"/>
  <c r="F1185" i="3"/>
  <c r="F1273" i="3"/>
  <c r="F26" i="3"/>
  <c r="F47" i="3"/>
  <c r="F163" i="3"/>
  <c r="F349" i="3"/>
  <c r="F336" i="3"/>
  <c r="F335" i="3"/>
  <c r="F593" i="3"/>
  <c r="F904" i="3"/>
  <c r="F609" i="3"/>
  <c r="F620" i="3"/>
  <c r="F634" i="3"/>
  <c r="F948" i="3"/>
  <c r="F1215" i="3"/>
  <c r="F1357" i="3"/>
  <c r="F1354" i="3"/>
  <c r="F1424" i="3"/>
  <c r="F454" i="3"/>
  <c r="F442" i="3"/>
  <c r="F719" i="3"/>
  <c r="F792" i="3"/>
  <c r="F787" i="3"/>
  <c r="F794" i="3"/>
  <c r="F1036" i="3"/>
  <c r="F1115" i="3"/>
  <c r="F1026" i="3"/>
  <c r="F1209" i="3"/>
  <c r="F1280" i="3"/>
  <c r="F1267" i="3"/>
  <c r="F1390" i="3"/>
  <c r="F56" i="3"/>
  <c r="F162" i="3"/>
  <c r="F578" i="3"/>
  <c r="F551" i="3"/>
  <c r="F517" i="3"/>
  <c r="F606" i="3"/>
  <c r="F866" i="3"/>
  <c r="F836" i="3"/>
  <c r="F884" i="3"/>
  <c r="F1164" i="3"/>
  <c r="F943" i="3"/>
  <c r="F1234" i="3"/>
  <c r="F1211" i="3"/>
  <c r="F1352" i="3"/>
  <c r="F36" i="3"/>
  <c r="F581" i="3"/>
  <c r="F69" i="3"/>
  <c r="F333" i="3"/>
  <c r="F260" i="3"/>
  <c r="F263" i="3"/>
  <c r="F564" i="3"/>
  <c r="F633" i="3"/>
  <c r="F1025" i="3"/>
  <c r="F1143" i="3"/>
  <c r="F619" i="3"/>
  <c r="F914" i="3"/>
  <c r="F1144" i="3"/>
  <c r="F1196" i="3"/>
  <c r="F1361" i="3"/>
  <c r="F1398" i="3"/>
  <c r="F133" i="3"/>
  <c r="F95" i="3"/>
  <c r="F1154" i="3"/>
  <c r="F994" i="3"/>
  <c r="F334" i="3"/>
  <c r="F154" i="3"/>
  <c r="F1134" i="3"/>
  <c r="F479" i="3"/>
  <c r="F147" i="3"/>
  <c r="F441" i="3"/>
  <c r="F514" i="3"/>
  <c r="F1178" i="3"/>
  <c r="F456" i="3"/>
  <c r="F127" i="3"/>
  <c r="F1073" i="3"/>
  <c r="F860" i="3"/>
  <c r="F25" i="3"/>
  <c r="F409" i="3"/>
  <c r="F142" i="3"/>
  <c r="F532" i="3"/>
  <c r="F618" i="3"/>
  <c r="F74" i="3"/>
  <c r="F558" i="3"/>
  <c r="F64" i="3"/>
  <c r="F582" i="3"/>
  <c r="F1212" i="3"/>
  <c r="F106" i="3"/>
  <c r="F44" i="3"/>
  <c r="F52" i="3"/>
  <c r="F117" i="3"/>
  <c r="F136" i="3"/>
  <c r="F364" i="3"/>
  <c r="F312" i="3"/>
  <c r="F240" i="3"/>
  <c r="F604" i="3"/>
  <c r="F1034" i="3"/>
  <c r="F1072" i="3"/>
  <c r="F1116" i="3"/>
  <c r="F953" i="3"/>
  <c r="F1035" i="3"/>
  <c r="F1129" i="3"/>
  <c r="F1214" i="3"/>
  <c r="F1418" i="3"/>
  <c r="F1306" i="3"/>
  <c r="F1092" i="3"/>
  <c r="F1074" i="3"/>
  <c r="F681" i="3"/>
  <c r="F967" i="3"/>
  <c r="F1038" i="3"/>
  <c r="F1146" i="3"/>
  <c r="F1247" i="3"/>
  <c r="F1422" i="3"/>
  <c r="F1312" i="3"/>
  <c r="F126" i="3"/>
  <c r="F438" i="3"/>
  <c r="F68" i="3"/>
  <c r="F552" i="3"/>
  <c r="F518" i="3"/>
  <c r="F490" i="3"/>
  <c r="F572" i="3"/>
  <c r="F822" i="3"/>
  <c r="F810" i="3"/>
  <c r="F826" i="3"/>
  <c r="F1122" i="3"/>
  <c r="F917" i="3"/>
  <c r="F1131" i="3"/>
  <c r="F1383" i="3"/>
  <c r="F1319" i="3"/>
  <c r="F107" i="3"/>
  <c r="F164" i="3"/>
  <c r="F555" i="3"/>
  <c r="F430" i="3"/>
  <c r="F415" i="3"/>
  <c r="F418" i="3"/>
  <c r="F342" i="3"/>
  <c r="F674" i="3"/>
  <c r="F644" i="3"/>
  <c r="F655" i="3"/>
  <c r="F695" i="3"/>
  <c r="F1132" i="3"/>
  <c r="F955" i="3"/>
  <c r="F1380" i="3"/>
  <c r="F1406" i="3"/>
  <c r="F1291" i="3"/>
  <c r="F534" i="3"/>
  <c r="F506" i="3"/>
  <c r="F580" i="3"/>
  <c r="F834" i="3"/>
  <c r="F827" i="3"/>
  <c r="F865" i="3"/>
  <c r="F1145" i="3"/>
  <c r="F932" i="3"/>
  <c r="F1157" i="3"/>
  <c r="F1192" i="3"/>
  <c r="F1334" i="3"/>
  <c r="F1367" i="3"/>
  <c r="F1433" i="3"/>
  <c r="F65" i="3"/>
  <c r="F321" i="3"/>
  <c r="F253" i="3"/>
  <c r="F202" i="3"/>
  <c r="F561" i="3"/>
  <c r="F599" i="3"/>
  <c r="F1007" i="3"/>
  <c r="F1017" i="3"/>
  <c r="F615" i="3"/>
  <c r="F910" i="3"/>
  <c r="F1117" i="3"/>
  <c r="F1181" i="3"/>
  <c r="F1314" i="3"/>
  <c r="F1393" i="3"/>
  <c r="F91" i="3"/>
  <c r="F66" i="3"/>
  <c r="F486" i="3"/>
  <c r="F405" i="3"/>
  <c r="F352" i="3"/>
  <c r="F351" i="3"/>
  <c r="F278" i="3"/>
  <c r="F602" i="3"/>
  <c r="F625" i="3"/>
  <c r="F639" i="3"/>
  <c r="F650" i="3"/>
  <c r="F1077" i="3"/>
  <c r="F841" i="3"/>
  <c r="F1189" i="3"/>
  <c r="F1377" i="3"/>
  <c r="F1272" i="3"/>
  <c r="F563" i="3"/>
  <c r="F1349" i="3"/>
  <c r="F754" i="3"/>
  <c r="F546" i="3"/>
  <c r="F1219" i="3"/>
  <c r="F500" i="3"/>
  <c r="F29" i="3"/>
  <c r="F271" i="3"/>
  <c r="F462" i="3"/>
  <c r="F188" i="3"/>
  <c r="F543" i="3"/>
  <c r="F526" i="3"/>
  <c r="F1401" i="3"/>
  <c r="F466" i="3"/>
  <c r="F51" i="3"/>
  <c r="F837" i="3"/>
  <c r="F59" i="3"/>
  <c r="F495" i="3"/>
  <c r="F617" i="3"/>
  <c r="F194" i="3"/>
  <c r="F102" i="3"/>
  <c r="F357" i="3"/>
  <c r="F728" i="3"/>
  <c r="F90" i="3"/>
  <c r="F109" i="3"/>
  <c r="F590" i="3"/>
  <c r="F86" i="3"/>
  <c r="F149" i="3"/>
  <c r="F373" i="3"/>
  <c r="F447" i="3"/>
  <c r="F436" i="3"/>
  <c r="F378" i="3"/>
  <c r="F888" i="3"/>
  <c r="F775" i="3"/>
  <c r="F770" i="3"/>
  <c r="F773" i="3"/>
  <c r="F1006" i="3"/>
  <c r="F1085" i="3"/>
  <c r="F942" i="3"/>
  <c r="F1176" i="3"/>
  <c r="F1261" i="3"/>
  <c r="F1343" i="3"/>
  <c r="F779" i="3"/>
  <c r="F774" i="3"/>
  <c r="F777" i="3"/>
  <c r="F1010" i="3"/>
  <c r="F1091" i="3"/>
  <c r="F946" i="3"/>
  <c r="F1182" i="3"/>
  <c r="F1269" i="3"/>
  <c r="F1346" i="3"/>
  <c r="F190" i="3"/>
  <c r="F46" i="3"/>
  <c r="F254" i="3"/>
  <c r="F189" i="3"/>
  <c r="F567" i="3"/>
  <c r="F541" i="3"/>
  <c r="F723" i="3"/>
  <c r="F900" i="3"/>
  <c r="F889" i="3"/>
  <c r="F934" i="3"/>
  <c r="F891" i="3"/>
  <c r="F1064" i="3"/>
  <c r="F1165" i="3"/>
  <c r="F1232" i="3"/>
  <c r="F1369" i="3"/>
  <c r="F139" i="3"/>
  <c r="F28" i="3"/>
  <c r="F84" i="3"/>
  <c r="F516" i="3"/>
  <c r="F488" i="3"/>
  <c r="F527" i="3"/>
  <c r="F431" i="3"/>
  <c r="F789" i="3"/>
  <c r="F697" i="3"/>
  <c r="F715" i="3"/>
  <c r="F729" i="3"/>
  <c r="F956" i="3"/>
  <c r="F1004" i="3"/>
  <c r="F1200" i="3"/>
  <c r="F1250" i="3"/>
  <c r="F1337" i="3"/>
  <c r="F713" i="3"/>
  <c r="F553" i="3"/>
  <c r="F812" i="3"/>
  <c r="F919" i="3"/>
  <c r="F990" i="3"/>
  <c r="F1082" i="3"/>
  <c r="F902" i="3"/>
  <c r="F1095" i="3"/>
  <c r="F1175" i="3"/>
  <c r="F1244" i="3"/>
  <c r="F1384" i="3"/>
  <c r="F1412" i="3"/>
  <c r="F1299" i="3"/>
  <c r="F387" i="3"/>
  <c r="F397" i="3"/>
  <c r="F348" i="3"/>
  <c r="F347" i="3"/>
  <c r="F266" i="3"/>
  <c r="F594" i="3"/>
  <c r="F621" i="3"/>
  <c r="F635" i="3"/>
  <c r="F646" i="3"/>
  <c r="F1071" i="3"/>
  <c r="F1342" i="3"/>
  <c r="F1183" i="3"/>
  <c r="F1371" i="3"/>
  <c r="F1257" i="3"/>
  <c r="F123" i="3"/>
  <c r="F79" i="3"/>
  <c r="F27" i="3"/>
  <c r="F489" i="3"/>
  <c r="F433" i="3"/>
  <c r="F484" i="3"/>
  <c r="F358" i="3"/>
  <c r="F657" i="3"/>
  <c r="F660" i="3"/>
  <c r="F696" i="3"/>
  <c r="F711" i="3"/>
  <c r="F1198" i="3"/>
  <c r="F987" i="3"/>
  <c r="F1167" i="3"/>
  <c r="F1419" i="3"/>
  <c r="F1318" i="3"/>
  <c r="F234" i="3"/>
  <c r="F842" i="3"/>
  <c r="F187" i="3"/>
  <c r="F637" i="3"/>
  <c r="F118" i="3"/>
  <c r="F361" i="3"/>
  <c r="F57" i="3"/>
  <c r="F545" i="3"/>
  <c r="F507" i="3"/>
  <c r="F465" i="3"/>
  <c r="F1094" i="3"/>
  <c r="F811" i="3"/>
  <c r="F803" i="3"/>
  <c r="F809" i="3"/>
  <c r="F1100" i="3"/>
  <c r="F1297" i="3"/>
  <c r="F1109" i="3"/>
  <c r="F1274" i="3"/>
  <c r="F1300" i="3"/>
  <c r="F607" i="3"/>
  <c r="F816" i="3"/>
  <c r="F807" i="3"/>
  <c r="F818" i="3"/>
  <c r="F1118" i="3"/>
  <c r="F913" i="3"/>
  <c r="F1123" i="3"/>
  <c r="F1289" i="3"/>
  <c r="F1308" i="3"/>
  <c r="F63" i="3"/>
  <c r="F43" i="3"/>
  <c r="F156" i="3"/>
  <c r="F345" i="3"/>
  <c r="F326" i="3"/>
  <c r="F323" i="3"/>
  <c r="F584" i="3"/>
  <c r="F823" i="3"/>
  <c r="F1120" i="3"/>
  <c r="F616" i="3"/>
  <c r="F630" i="3"/>
  <c r="F944" i="3"/>
  <c r="F1208" i="3"/>
  <c r="F1322" i="3"/>
  <c r="F1348" i="3"/>
  <c r="F1421" i="3"/>
  <c r="F369" i="3"/>
  <c r="F97" i="3"/>
  <c r="F116" i="3"/>
  <c r="F230" i="3"/>
  <c r="F575" i="3"/>
  <c r="F161" i="3"/>
  <c r="F571" i="3"/>
  <c r="F883" i="3"/>
  <c r="F859" i="3"/>
  <c r="F916" i="3"/>
  <c r="F1241" i="3"/>
  <c r="F1005" i="3"/>
  <c r="F1068" i="3"/>
  <c r="F1245" i="3"/>
  <c r="F1387" i="3"/>
  <c r="F1278" i="3"/>
  <c r="F339" i="3"/>
  <c r="F601" i="3"/>
  <c r="F915" i="3"/>
  <c r="F613" i="3"/>
  <c r="F624" i="3"/>
  <c r="F638" i="3"/>
  <c r="F1020" i="3"/>
  <c r="F1229" i="3"/>
  <c r="F1368" i="3"/>
  <c r="F1360" i="3"/>
  <c r="F1428" i="3"/>
  <c r="F1353" i="3"/>
  <c r="F1344" i="3"/>
  <c r="F186" i="3"/>
  <c r="F464" i="3"/>
  <c r="F429" i="3"/>
  <c r="F481" i="3"/>
  <c r="F354" i="3"/>
  <c r="F911" i="3"/>
  <c r="F656" i="3"/>
  <c r="F666" i="3"/>
  <c r="F707" i="3"/>
  <c r="F1184" i="3"/>
  <c r="F983" i="3"/>
  <c r="F1158" i="3"/>
  <c r="F1415" i="3"/>
  <c r="F1307" i="3"/>
  <c r="F158" i="3"/>
  <c r="F81" i="3"/>
  <c r="F100" i="3"/>
  <c r="F598" i="3"/>
  <c r="F528" i="3"/>
  <c r="F772" i="3"/>
  <c r="F496" i="3"/>
  <c r="F1078" i="3"/>
  <c r="F716" i="3"/>
  <c r="F863" i="3"/>
  <c r="F886" i="3"/>
  <c r="F988" i="3"/>
  <c r="F1037" i="3"/>
  <c r="F1222" i="3"/>
  <c r="F1363" i="3"/>
  <c r="F1420" i="3"/>
  <c r="F124" i="3"/>
  <c r="F101" i="3"/>
  <c r="F502" i="3"/>
  <c r="F110" i="3"/>
  <c r="F1236" i="3"/>
  <c r="F422" i="3"/>
  <c r="F134" i="3"/>
  <c r="F875" i="3"/>
  <c r="F55" i="3"/>
  <c r="F451" i="3"/>
  <c r="F982" i="3"/>
  <c r="F498" i="3"/>
  <c r="F404" i="3"/>
  <c r="F155" i="3"/>
  <c r="F122" i="3"/>
  <c r="F710" i="3"/>
  <c r="F54" i="3"/>
  <c r="F940" i="3"/>
  <c r="F192" i="3"/>
  <c r="F539" i="3"/>
  <c r="F642" i="3"/>
  <c r="F196" i="3"/>
  <c r="F566" i="3"/>
  <c r="F549" i="3"/>
  <c r="F705" i="3"/>
  <c r="F353" i="3"/>
  <c r="F238" i="3"/>
  <c r="F434" i="3"/>
  <c r="F150" i="3"/>
  <c r="F38" i="3"/>
  <c r="F239" i="3"/>
  <c r="F600" i="3"/>
  <c r="F559" i="3"/>
  <c r="F533" i="3"/>
  <c r="F653" i="3"/>
  <c r="F881" i="3"/>
  <c r="F874" i="3"/>
  <c r="F907" i="3"/>
  <c r="F1174" i="3"/>
  <c r="F1019" i="3"/>
  <c r="F1326" i="3"/>
  <c r="F1221" i="3"/>
  <c r="F1362" i="3"/>
  <c r="F641" i="3"/>
  <c r="F885" i="3"/>
  <c r="F878" i="3"/>
  <c r="F920" i="3"/>
  <c r="F1180" i="3"/>
  <c r="F1023" i="3"/>
  <c r="F1162" i="3"/>
  <c r="F1227" i="3"/>
  <c r="F1365" i="3"/>
  <c r="F103" i="3"/>
  <c r="F78" i="3"/>
  <c r="F550" i="3"/>
  <c r="F420" i="3"/>
  <c r="F407" i="3"/>
  <c r="F414" i="3"/>
  <c r="F338" i="3"/>
  <c r="F645" i="3"/>
  <c r="F640" i="3"/>
  <c r="F651" i="3"/>
  <c r="F665" i="3"/>
  <c r="F1124" i="3"/>
  <c r="F857" i="3"/>
  <c r="F1309" i="3"/>
  <c r="F1400" i="3"/>
  <c r="F1285" i="3"/>
  <c r="F537" i="3"/>
  <c r="F129" i="3"/>
  <c r="F148" i="3"/>
  <c r="F376" i="3"/>
  <c r="F367" i="3"/>
  <c r="F311" i="3"/>
  <c r="F649" i="3"/>
  <c r="F679" i="3"/>
  <c r="F685" i="3"/>
  <c r="F692" i="3"/>
  <c r="F981" i="3"/>
  <c r="F1060" i="3"/>
  <c r="F1155" i="3"/>
  <c r="F1259" i="3"/>
  <c r="F1429" i="3"/>
  <c r="F1323" i="3"/>
  <c r="F426" i="3"/>
  <c r="F346" i="3"/>
  <c r="F680" i="3"/>
  <c r="F648" i="3"/>
  <c r="F659" i="3"/>
  <c r="F699" i="3"/>
  <c r="F1140" i="3"/>
  <c r="F973" i="3"/>
  <c r="F1407" i="3"/>
  <c r="F1409" i="3"/>
  <c r="F1295" i="3"/>
  <c r="F1394" i="3"/>
  <c r="F1290" i="3"/>
  <c r="F96" i="3"/>
  <c r="F540" i="3"/>
  <c r="F515" i="3"/>
  <c r="F734" i="3"/>
  <c r="F493" i="3"/>
  <c r="F909" i="3"/>
  <c r="F709" i="3"/>
  <c r="F844" i="3"/>
  <c r="F873" i="3"/>
  <c r="F984" i="3"/>
  <c r="F1015" i="3"/>
  <c r="F1217" i="3"/>
  <c r="F1359" i="3"/>
  <c r="F1416" i="3"/>
  <c r="F48" i="3"/>
  <c r="F113" i="3"/>
  <c r="F132" i="3"/>
  <c r="F360" i="3"/>
  <c r="F241" i="3"/>
  <c r="F236" i="3"/>
  <c r="F758" i="3"/>
  <c r="F1014" i="3"/>
  <c r="F1021" i="3"/>
  <c r="F1086" i="3"/>
  <c r="F1218" i="3"/>
  <c r="F1027" i="3"/>
  <c r="F1121" i="3"/>
  <c r="F1197" i="3"/>
  <c r="F1414" i="3"/>
  <c r="F129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tc={57A094F2-8F95-483C-A527-0934067316F6}</author>
    <author>tc={34CBD6DE-8857-48AE-8EAD-CCE9E3126FEA}</author>
  </authors>
  <commentList>
    <comment ref="B6" authorId="0" shapeId="0" xr:uid="{57A094F2-8F95-483C-A527-0934067316F6}">
      <text>
        <t>[Threaded comment]
Your version of Excel allows you to read this threaded comment; however, any edits to it will get removed if the file is opened in a newer version of Excel. Learn more: https://go.microsoft.com/fwlink/?linkid=870924
Comment:
    'old - 120A until 12/18/20</t>
      </text>
    </comment>
    <comment ref="B37" authorId="1" shapeId="0" xr:uid="{34CBD6DE-8857-48AE-8EAD-CCE9E3126FEA}">
      <text>
        <t>[Threaded comment]
Your version of Excel allows you to read this threaded comment; however, any edits to it will get removed if the file is opened in a newer version of Excel. Learn more: https://go.microsoft.com/fwlink/?linkid=870924
Comment:
    'formerly 197L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<sst xmlns="http://schemas.openxmlformats.org/spreadsheetml/2006/main" count="19528" uniqueCount="6978">
  <si>
    <t>Location 
(drop-down)</t>
  </si>
  <si>
    <t>Location ID</t>
  </si>
  <si>
    <t>#</t>
  </si>
  <si>
    <t>CAR #</t>
  </si>
  <si>
    <t>CAR Type</t>
  </si>
  <si>
    <t>ASSOCIATED ORGANIZATION
(required for Complaints, Customer audits/alerts, 
3rd party audits)</t>
  </si>
  <si>
    <r>
      <t xml:space="preserve">BRIEF DESCRIPTION OF NC
</t>
    </r>
    <r>
      <rPr>
        <i/>
        <sz val="11"/>
        <color theme="1"/>
        <rFont val="Aptos Narrow"/>
        <family val="2"/>
        <scheme val="minor"/>
      </rPr>
      <t>if VOID:  "VOID, Location, type, 
details (initials, date)"</t>
    </r>
  </si>
  <si>
    <r>
      <t xml:space="preserve">Area 
(Lab, Ops, Misc.)
</t>
    </r>
    <r>
      <rPr>
        <i/>
        <sz val="11"/>
        <color theme="1"/>
        <rFont val="Aptos Narrow"/>
        <family val="2"/>
        <scheme val="minor"/>
      </rPr>
      <t>(drop-down)</t>
    </r>
  </si>
  <si>
    <t>QA team member initials</t>
  </si>
  <si>
    <t>CAR initialized date</t>
  </si>
  <si>
    <t>Effectiveness Review &amp; date deemed effective</t>
  </si>
  <si>
    <t>Days open if not closed</t>
  </si>
  <si>
    <t>Status</t>
  </si>
  <si>
    <t>Days to close</t>
  </si>
  <si>
    <t xml:space="preserve">Data as of 02.24.2026 </t>
  </si>
  <si>
    <t>Montreal, QC</t>
  </si>
  <si>
    <t>380</t>
  </si>
  <si>
    <t>C380-197-24</t>
  </si>
  <si>
    <t>Internal assessment (9001 &amp; 17025)</t>
  </si>
  <si>
    <t>IA:  Clause 6.4.10</t>
  </si>
  <si>
    <t>Lab</t>
  </si>
  <si>
    <t>KA</t>
  </si>
  <si>
    <t>CLOSED</t>
  </si>
  <si>
    <t>Puerto Rico</t>
  </si>
  <si>
    <t>415</t>
  </si>
  <si>
    <t>C415-192-24</t>
  </si>
  <si>
    <t>3rd party audit (DNV, A2LA, AASHTO…)</t>
  </si>
  <si>
    <t>USCBP</t>
  </si>
  <si>
    <t>Laboratory Analysis Records</t>
  </si>
  <si>
    <t>Eco</t>
  </si>
  <si>
    <t>Bellingham (Ferndale), WA</t>
  </si>
  <si>
    <t>004</t>
  </si>
  <si>
    <t>PT</t>
  </si>
  <si>
    <t>PT: D-1187; D445 - Viscosity at 40°C, Z-Score = -6.54</t>
  </si>
  <si>
    <t>JN</t>
  </si>
  <si>
    <t>003</t>
  </si>
  <si>
    <t>PT: CO2207; D4294 - Sulfur, by EDXRF, Z-Score = 3.18</t>
  </si>
  <si>
    <t>368</t>
  </si>
  <si>
    <t>PT: R-1331; D2699 - Research Octane Number, Z-Score = -21.48</t>
  </si>
  <si>
    <t xml:space="preserve">Houston (HTC), TX </t>
  </si>
  <si>
    <t>267</t>
  </si>
  <si>
    <t>C267-120-24</t>
  </si>
  <si>
    <t>IA: Clause 6.4.9</t>
  </si>
  <si>
    <t>St Croix, USVI</t>
  </si>
  <si>
    <t>506</t>
  </si>
  <si>
    <t>C506-210-24</t>
  </si>
  <si>
    <t>Clause 6.4.13 Software/Firmware</t>
  </si>
  <si>
    <t>MT</t>
  </si>
  <si>
    <t>510</t>
  </si>
  <si>
    <t>C510-210-24</t>
  </si>
  <si>
    <t>Clause 7.8.3.1 a Reporting</t>
  </si>
  <si>
    <t>370</t>
  </si>
  <si>
    <t>PT: R-1334; Sulfur, Z-Score = -4.65</t>
  </si>
  <si>
    <t>Brownsville, TX</t>
  </si>
  <si>
    <t>026</t>
  </si>
  <si>
    <t>C026-158-24</t>
  </si>
  <si>
    <t>IA - Clause 7.7</t>
  </si>
  <si>
    <t>RB</t>
  </si>
  <si>
    <t>266</t>
  </si>
  <si>
    <t>C266-120-24</t>
  </si>
  <si>
    <t>IA: Clause 6.4.4</t>
  </si>
  <si>
    <t>269</t>
  </si>
  <si>
    <t>C269-120-24</t>
  </si>
  <si>
    <t>IA: Clause 6.5.1</t>
  </si>
  <si>
    <t>New Haven, CT</t>
  </si>
  <si>
    <t>187</t>
  </si>
  <si>
    <t>C187-145-24</t>
  </si>
  <si>
    <t>IA: Inspector Training records</t>
  </si>
  <si>
    <t>Operations</t>
  </si>
  <si>
    <t>AH</t>
  </si>
  <si>
    <t>188</t>
  </si>
  <si>
    <t>C188-145-24</t>
  </si>
  <si>
    <t xml:space="preserve">IA: Corporate documents </t>
  </si>
  <si>
    <t>Port Arthur (Beaumont), TX</t>
  </si>
  <si>
    <t>299</t>
  </si>
  <si>
    <t>C299-160-24</t>
  </si>
  <si>
    <t>ISO 17025 Clause 6.4.4 Lab equipment</t>
  </si>
  <si>
    <t>511</t>
  </si>
  <si>
    <t>C511-210-24</t>
  </si>
  <si>
    <t>Clause 8.9.1 Management review</t>
  </si>
  <si>
    <t>Boston (Everett), MA</t>
  </si>
  <si>
    <t>Complaint</t>
  </si>
  <si>
    <t>Irving</t>
  </si>
  <si>
    <t>Failing to send email to correct distribution</t>
  </si>
  <si>
    <t>437</t>
  </si>
  <si>
    <t>C437-120-24</t>
  </si>
  <si>
    <t>Customer audit   </t>
  </si>
  <si>
    <t>Daily temp checks not recorded on gauge tickets or in a log.</t>
  </si>
  <si>
    <t>439</t>
  </si>
  <si>
    <t>C439-120-24</t>
  </si>
  <si>
    <t>Vessels not measured to the nearest tape graduation (mm or 1/8”).</t>
  </si>
  <si>
    <t>440</t>
  </si>
  <si>
    <t>C440-120-24</t>
  </si>
  <si>
    <t>Calibration certificates were not provided for several pieces of equipment.</t>
  </si>
  <si>
    <t>436</t>
  </si>
  <si>
    <t>C436-120-24</t>
  </si>
  <si>
    <t>Raw data very hard to understand and not labelled well in the inspector field books.</t>
  </si>
  <si>
    <t>438</t>
  </si>
  <si>
    <t>C438-120-24</t>
  </si>
  <si>
    <t>Monthly equipment checks for numerous pieces of equipment not provided.</t>
  </si>
  <si>
    <t>441</t>
  </si>
  <si>
    <t>C441-120-24</t>
  </si>
  <si>
    <t>Deficient gauge tickets. No space for 2nd gauge.</t>
  </si>
  <si>
    <t>Chicago, IL</t>
  </si>
  <si>
    <t>355</t>
  </si>
  <si>
    <t>C355-136-24</t>
  </si>
  <si>
    <t>Marathon</t>
  </si>
  <si>
    <t>Inspector Instrument/Record</t>
  </si>
  <si>
    <t>JP</t>
  </si>
  <si>
    <t>505</t>
  </si>
  <si>
    <t>PT: DF22302; D4530 - Carbon Residue, Micro, 10% btm, Z-Score = 14.78</t>
  </si>
  <si>
    <t>HM</t>
  </si>
  <si>
    <t>C505-210-24</t>
  </si>
  <si>
    <t>Clause 6.2.5 Training record</t>
  </si>
  <si>
    <t>Hamilton (Burlington), ON</t>
  </si>
  <si>
    <t>454</t>
  </si>
  <si>
    <t>C454-189-24</t>
  </si>
  <si>
    <t>Job File not complete</t>
  </si>
  <si>
    <t>GF</t>
  </si>
  <si>
    <t>San Francisco (Concord), CA</t>
  </si>
  <si>
    <t>Other (QC, customer alert, improper procedure)</t>
  </si>
  <si>
    <t>Amspec</t>
  </si>
  <si>
    <t>CQI Reporting</t>
  </si>
  <si>
    <t>504</t>
  </si>
  <si>
    <t>PT: DF22302; D664 - Acid Number, A, 125 mL, inflection EP, Z-Score = 13.43</t>
  </si>
  <si>
    <t>Los Angeles (Signal Hill), CA</t>
  </si>
  <si>
    <t>469</t>
  </si>
  <si>
    <t>C469-130-24</t>
  </si>
  <si>
    <t xml:space="preserve">Chevron  </t>
  </si>
  <si>
    <t>Chevron - D5191 / D5188 Discrepancies</t>
  </si>
  <si>
    <t>Ecu</t>
  </si>
  <si>
    <t>612</t>
  </si>
  <si>
    <t>ISO 17025 Clause 6.4.1 Equipment</t>
  </si>
  <si>
    <t>615</t>
  </si>
  <si>
    <t>ISO 17025 Clause 6.4.13 Equipment</t>
  </si>
  <si>
    <t>Marcus Hook, PA</t>
  </si>
  <si>
    <t>515</t>
  </si>
  <si>
    <t>C515-179-24</t>
  </si>
  <si>
    <t>IA: chemical inventory</t>
  </si>
  <si>
    <t>Memphis, TN</t>
  </si>
  <si>
    <t>473</t>
  </si>
  <si>
    <t>C473-191-24</t>
  </si>
  <si>
    <t>Sample management - SOP for prep composite</t>
  </si>
  <si>
    <t>478</t>
  </si>
  <si>
    <t>C478-191-24</t>
  </si>
  <si>
    <t>Clause 6.4.13 (e) Acceptance criter</t>
  </si>
  <si>
    <t>480</t>
  </si>
  <si>
    <t>C480-191-24</t>
  </si>
  <si>
    <t>Clause 7.7.1 Validity of Results</t>
  </si>
  <si>
    <t>493</t>
  </si>
  <si>
    <t>C493-191-24</t>
  </si>
  <si>
    <t>A2LA</t>
  </si>
  <si>
    <t>ISO 17025 Clause 8.3.2</t>
  </si>
  <si>
    <t>302</t>
  </si>
  <si>
    <t>C302-160-24</t>
  </si>
  <si>
    <t>ISO 17025 Clause 7.5.1 Technical record</t>
  </si>
  <si>
    <t>Avenel (NYH), NJ</t>
  </si>
  <si>
    <t>023</t>
  </si>
  <si>
    <t>Irving Oil</t>
  </si>
  <si>
    <t>Irving - using additives not registered with EPA</t>
  </si>
  <si>
    <t>HOFTI / Channelview, TX</t>
  </si>
  <si>
    <t>081</t>
  </si>
  <si>
    <t>C081-128-24</t>
  </si>
  <si>
    <t>IA: QC</t>
  </si>
  <si>
    <t>494</t>
  </si>
  <si>
    <t>C494-191-24</t>
  </si>
  <si>
    <t>ISO 17025 Clause 7.7.1</t>
  </si>
  <si>
    <t>Mobile, AL</t>
  </si>
  <si>
    <t>445</t>
  </si>
  <si>
    <t>C445-146-24</t>
  </si>
  <si>
    <t>ISO 17025: Clause 6.2 Lab training records</t>
  </si>
  <si>
    <t>449</t>
  </si>
  <si>
    <t>C449-146-24</t>
  </si>
  <si>
    <t>ISO 17025 Clause 7.2 Method deviations</t>
  </si>
  <si>
    <t>618</t>
  </si>
  <si>
    <t>ISO 17025 Clause 7.7.1 Validity of results</t>
  </si>
  <si>
    <t>105</t>
  </si>
  <si>
    <t>C105-132-24</t>
  </si>
  <si>
    <t>D4928 - Water Content Chart Range Discrepancy Identified</t>
  </si>
  <si>
    <t>481</t>
  </si>
  <si>
    <t>C481-191-24</t>
  </si>
  <si>
    <t>Clause 7.8.1.2 Reporting</t>
  </si>
  <si>
    <t>186</t>
  </si>
  <si>
    <t>C186-145-24</t>
  </si>
  <si>
    <t>IA: Test Witnessing</t>
  </si>
  <si>
    <t>Savannah, GA / Charleston, SC</t>
  </si>
  <si>
    <t>363</t>
  </si>
  <si>
    <t>C363-144-24</t>
  </si>
  <si>
    <t>IA:  FIT test</t>
  </si>
  <si>
    <t>479</t>
  </si>
  <si>
    <t>C479-191-24</t>
  </si>
  <si>
    <t>Clause 7.5.1 Technical record</t>
  </si>
  <si>
    <t>275</t>
  </si>
  <si>
    <t>C275-120-24</t>
  </si>
  <si>
    <t>IA: Clause 8.3.2</t>
  </si>
  <si>
    <t>514</t>
  </si>
  <si>
    <t>C514-179-24</t>
  </si>
  <si>
    <t>IA:  File review</t>
  </si>
  <si>
    <t>314</t>
  </si>
  <si>
    <t>C314-132-24</t>
  </si>
  <si>
    <t>Action plan to Resolve the high number of overdue CARs</t>
  </si>
  <si>
    <t>Lab &amp; Ops</t>
  </si>
  <si>
    <t xml:space="preserve">Mickleton (Philly), NJ </t>
  </si>
  <si>
    <t>405</t>
  </si>
  <si>
    <t>C405-180-24</t>
  </si>
  <si>
    <t>IA - Clause 6.4.4 and 6.4.13 Equipment Conforms to Requirements / Records</t>
  </si>
  <si>
    <t>005</t>
  </si>
  <si>
    <t>Chevron</t>
  </si>
  <si>
    <t>D6299: Chilling of the Toluene Standard Fuel</t>
  </si>
  <si>
    <t>CORPORATE, NJ</t>
  </si>
  <si>
    <t>012</t>
  </si>
  <si>
    <t>Methanex</t>
  </si>
  <si>
    <t>Delay in investigating PT outlier</t>
  </si>
  <si>
    <t>Providence, RI</t>
  </si>
  <si>
    <t>503</t>
  </si>
  <si>
    <t>C503-140-24</t>
  </si>
  <si>
    <t>Sample and internal STD weights not documented for applicable GC methods</t>
  </si>
  <si>
    <t>C504-140-24</t>
  </si>
  <si>
    <t>Retain status for samples not documented</t>
  </si>
  <si>
    <t>328</t>
  </si>
  <si>
    <t>C328-132-24</t>
  </si>
  <si>
    <t>Safety - gas cylinders and waste manifest</t>
  </si>
  <si>
    <t>320</t>
  </si>
  <si>
    <t>C320-132-24</t>
  </si>
  <si>
    <t>Clasue 6.5 metrological traceability</t>
  </si>
  <si>
    <t>455</t>
  </si>
  <si>
    <t>C455-189-24</t>
  </si>
  <si>
    <t>Training binders not up to date</t>
  </si>
  <si>
    <t>476</t>
  </si>
  <si>
    <t>C476-191-24</t>
  </si>
  <si>
    <t>Clause 6.4.8 Equipment status / labeling</t>
  </si>
  <si>
    <t>189</t>
  </si>
  <si>
    <t>C189-145-24</t>
  </si>
  <si>
    <t>IA: Job File review</t>
  </si>
  <si>
    <t>303</t>
  </si>
  <si>
    <t>C303-160-24</t>
  </si>
  <si>
    <t>ISO 17025 Clause 7.7 Validity of results</t>
  </si>
  <si>
    <t>027</t>
  </si>
  <si>
    <t>Incomplete / missing MOCs</t>
  </si>
  <si>
    <t>ECu</t>
  </si>
  <si>
    <t>006</t>
  </si>
  <si>
    <t>D445: Incorrect Determinability</t>
  </si>
  <si>
    <t>325</t>
  </si>
  <si>
    <t>C325-132-24</t>
  </si>
  <si>
    <t>323</t>
  </si>
  <si>
    <t>C323-132-24</t>
  </si>
  <si>
    <t>Clause 6.4.13 Equipment firmware &amp; software</t>
  </si>
  <si>
    <t>322</t>
  </si>
  <si>
    <t>C322-132-24</t>
  </si>
  <si>
    <t>Clause 6.4.10 Equipment verifications</t>
  </si>
  <si>
    <t>451</t>
  </si>
  <si>
    <t>C451-146-24</t>
  </si>
  <si>
    <t>ISO Clause 7.5 Technical records / Job file review</t>
  </si>
  <si>
    <t>Pittsburgh, PA</t>
  </si>
  <si>
    <t>046</t>
  </si>
  <si>
    <t>SQC</t>
  </si>
  <si>
    <t>316</t>
  </si>
  <si>
    <t>C316-132-24</t>
  </si>
  <si>
    <t>Inspector TRB</t>
  </si>
  <si>
    <t>317</t>
  </si>
  <si>
    <t>C317-132-24</t>
  </si>
  <si>
    <t>File Review</t>
  </si>
  <si>
    <t>327</t>
  </si>
  <si>
    <t>C327-132-24</t>
  </si>
  <si>
    <t>Portland, ME</t>
  </si>
  <si>
    <t>462</t>
  </si>
  <si>
    <t>C462-142-24</t>
  </si>
  <si>
    <t>Test Witnessing - D3242, D1322</t>
  </si>
  <si>
    <t>099</t>
  </si>
  <si>
    <t>Valero</t>
  </si>
  <si>
    <t>D613 - Lab did not follow nonconformance policy when rechecking results.</t>
  </si>
  <si>
    <t>516</t>
  </si>
  <si>
    <t>C516-179-24</t>
  </si>
  <si>
    <t xml:space="preserve">IA:  Lab training  </t>
  </si>
  <si>
    <t>270</t>
  </si>
  <si>
    <t>C270-120-24</t>
  </si>
  <si>
    <t>IA: Clause 7.5.1</t>
  </si>
  <si>
    <t>274</t>
  </si>
  <si>
    <t>C274-120-24</t>
  </si>
  <si>
    <t>IA: Clause 7.10.2</t>
  </si>
  <si>
    <t>512</t>
  </si>
  <si>
    <t>C512-179-24</t>
  </si>
  <si>
    <t>IA:  Thermometer ice point</t>
  </si>
  <si>
    <t>018</t>
  </si>
  <si>
    <t>ISO 17025 Clause 6.4 Solutions prep records</t>
  </si>
  <si>
    <t>272</t>
  </si>
  <si>
    <t>C272-120-24</t>
  </si>
  <si>
    <t>IA: Clause 7.8.3.1</t>
  </si>
  <si>
    <t>054</t>
  </si>
  <si>
    <t>A2LA: ISO 17025 Clause 6.4.1</t>
  </si>
  <si>
    <t>045</t>
  </si>
  <si>
    <t>Test Witnessing</t>
  </si>
  <si>
    <t>008</t>
  </si>
  <si>
    <t>D445: Inconsistent Bath Temperature</t>
  </si>
  <si>
    <t>Corpus Christi, TX</t>
  </si>
  <si>
    <t>070</t>
  </si>
  <si>
    <t>IA: Clause 6.2.5</t>
  </si>
  <si>
    <t>090</t>
  </si>
  <si>
    <t>ISO 9001: Calibration certs not reviewed by lab staff</t>
  </si>
  <si>
    <t>096</t>
  </si>
  <si>
    <t>ISO 9001: MOC / Equipment management</t>
  </si>
  <si>
    <t>097</t>
  </si>
  <si>
    <t>ISO 9001: Document control</t>
  </si>
  <si>
    <t>Mont Belvieu, TX</t>
  </si>
  <si>
    <t>009</t>
  </si>
  <si>
    <t>Technical Record</t>
  </si>
  <si>
    <t>Decatur, AL</t>
  </si>
  <si>
    <t>086</t>
  </si>
  <si>
    <t>Citgo</t>
  </si>
  <si>
    <t>Citgo - Equipment/Probe Checks and In-Transit Difference Comparisons.</t>
  </si>
  <si>
    <t>DA</t>
  </si>
  <si>
    <t>St Louis, MO</t>
  </si>
  <si>
    <t>048</t>
  </si>
  <si>
    <t>Inspection Equipment / Records</t>
  </si>
  <si>
    <t>Texas City, TX</t>
  </si>
  <si>
    <t>435</t>
  </si>
  <si>
    <t>C435-150-24</t>
  </si>
  <si>
    <t>Clause 7.10.1 Impact analysis</t>
  </si>
  <si>
    <t>088</t>
  </si>
  <si>
    <t>ISO 9001: Inspector field equipment records</t>
  </si>
  <si>
    <t>010</t>
  </si>
  <si>
    <t>TMA</t>
  </si>
  <si>
    <t>011</t>
  </si>
  <si>
    <t>Pecos (West Texas), TX</t>
  </si>
  <si>
    <t>491</t>
  </si>
  <si>
    <t>C491-156-24</t>
  </si>
  <si>
    <t>Method findings</t>
  </si>
  <si>
    <t>HB</t>
  </si>
  <si>
    <t>044</t>
  </si>
  <si>
    <t>Lab Equipment</t>
  </si>
  <si>
    <t>041</t>
  </si>
  <si>
    <t>Purchase Order</t>
  </si>
  <si>
    <t>089</t>
  </si>
  <si>
    <t>ISO 9001: Inspector training records</t>
  </si>
  <si>
    <t>448</t>
  </si>
  <si>
    <t>C448-146-24</t>
  </si>
  <si>
    <t>ISO 17025 Clause 6.5 Metrological traceability</t>
  </si>
  <si>
    <t>107</t>
  </si>
  <si>
    <t>Citgo findings for D2699 and D2700</t>
  </si>
  <si>
    <t>047</t>
  </si>
  <si>
    <t>049</t>
  </si>
  <si>
    <t>050</t>
  </si>
  <si>
    <t>051</t>
  </si>
  <si>
    <t>Training Records</t>
  </si>
  <si>
    <t>Freeport, TX</t>
  </si>
  <si>
    <t>080</t>
  </si>
  <si>
    <t>IA: Incomplete / missing MOCs</t>
  </si>
  <si>
    <t>IA: QCs</t>
  </si>
  <si>
    <t>082</t>
  </si>
  <si>
    <t>IA: Lab training records</t>
  </si>
  <si>
    <t>083</t>
  </si>
  <si>
    <t>IA: File review</t>
  </si>
  <si>
    <t>085</t>
  </si>
  <si>
    <t>IA: Lab equipment</t>
  </si>
  <si>
    <t>084</t>
  </si>
  <si>
    <t>IA: Certificates not being signed / dated for review</t>
  </si>
  <si>
    <t>055</t>
  </si>
  <si>
    <t>A2LA: ISO 17025 Clause 7.8.3.1 / 7.8.3.1.e</t>
  </si>
  <si>
    <t>Baton Rouge (Gonzales), LA</t>
  </si>
  <si>
    <t>128</t>
  </si>
  <si>
    <t>Clause 7.5 Technical Records</t>
  </si>
  <si>
    <t>131</t>
  </si>
  <si>
    <t xml:space="preserve">Clause 8.3 Document Control </t>
  </si>
  <si>
    <t>108</t>
  </si>
  <si>
    <t>IA: D445 bath temp record on LW</t>
  </si>
  <si>
    <t>111</t>
  </si>
  <si>
    <t>IA: Flash unit FL 15.3 - no record of thermometer</t>
  </si>
  <si>
    <t>112</t>
  </si>
  <si>
    <t>IA: D5453 training records</t>
  </si>
  <si>
    <t>404</t>
  </si>
  <si>
    <t>C404-180-24</t>
  </si>
  <si>
    <t>IA - Clause 7.7.1 and 7.7.3 Validity of Results</t>
  </si>
  <si>
    <t>407</t>
  </si>
  <si>
    <t>C407-180-24</t>
  </si>
  <si>
    <t>IA - Clause 6.5 Traceability</t>
  </si>
  <si>
    <t>024</t>
  </si>
  <si>
    <t>Technical Bulletin Review</t>
  </si>
  <si>
    <t>025</t>
  </si>
  <si>
    <t>Inspector Training Records</t>
  </si>
  <si>
    <t>039</t>
  </si>
  <si>
    <t>ISO 17025 Clause 8.3 Document control</t>
  </si>
  <si>
    <t>017</t>
  </si>
  <si>
    <t>ISO 17025 Clause 8.2, 8.3 Document control</t>
  </si>
  <si>
    <t>141</t>
  </si>
  <si>
    <t>Unipec/ATMI/Aramco</t>
  </si>
  <si>
    <t>LD descripencies</t>
  </si>
  <si>
    <t>142</t>
  </si>
  <si>
    <t>Unipec/ATMI</t>
  </si>
  <si>
    <t>ILS Documentation</t>
  </si>
  <si>
    <t>140</t>
  </si>
  <si>
    <t>P66</t>
  </si>
  <si>
    <t>Web 331; Web 351 - barges overloaded</t>
  </si>
  <si>
    <t>053</t>
  </si>
  <si>
    <t>A2LA: ISO 17025 Clause 6.4.5</t>
  </si>
  <si>
    <t>444</t>
  </si>
  <si>
    <t>C444-146-24</t>
  </si>
  <si>
    <t>ISO 9001: Job file review</t>
  </si>
  <si>
    <t>308</t>
  </si>
  <si>
    <t>C308-160-24</t>
  </si>
  <si>
    <t>Halifax (Dartmouth), NS</t>
  </si>
  <si>
    <t>358</t>
  </si>
  <si>
    <t>C358-198-24</t>
  </si>
  <si>
    <t>315</t>
  </si>
  <si>
    <t>C315-132-24</t>
  </si>
  <si>
    <t>Daily probe check</t>
  </si>
  <si>
    <t>066</t>
  </si>
  <si>
    <t>IA: Daily probe check records</t>
  </si>
  <si>
    <t>492</t>
  </si>
  <si>
    <t>C492-191-24</t>
  </si>
  <si>
    <t>ISO 17025 A2LA Policy P102, Sec T5</t>
  </si>
  <si>
    <t>042</t>
  </si>
  <si>
    <t>Inspection Raw Data</t>
  </si>
  <si>
    <t>043</t>
  </si>
  <si>
    <t>Inspection Equipment</t>
  </si>
  <si>
    <t>319</t>
  </si>
  <si>
    <t>C319-132-24</t>
  </si>
  <si>
    <t>Clause 6.4.4 Lab equipment</t>
  </si>
  <si>
    <t>118</t>
  </si>
  <si>
    <t xml:space="preserve">D5191- Equipment log for in/out of service was not filled in for most recent unit taken out of service. </t>
  </si>
  <si>
    <t>119</t>
  </si>
  <si>
    <t xml:space="preserve">Thermometer verification - document had improper value for calibrated thermometer temperature on  one of the rows. </t>
  </si>
  <si>
    <t>094</t>
  </si>
  <si>
    <t>ISO 9001: Lab equipment</t>
  </si>
  <si>
    <t>117</t>
  </si>
  <si>
    <t>BQ 9000</t>
  </si>
  <si>
    <t>BQ 9000: Outsourcing of Tests</t>
  </si>
  <si>
    <t>450</t>
  </si>
  <si>
    <t>C450-146-24</t>
  </si>
  <si>
    <t>028</t>
  </si>
  <si>
    <t>Chemical inventory</t>
  </si>
  <si>
    <t>031</t>
  </si>
  <si>
    <t>ISO 17025 Clause 6.4.9 and 7.10  Deviation</t>
  </si>
  <si>
    <t>Ft Lauderdale (Davie), FL</t>
  </si>
  <si>
    <t>137</t>
  </si>
  <si>
    <t>Laboratory Equipment</t>
  </si>
  <si>
    <t>116</t>
  </si>
  <si>
    <t>BQ 9000: Data and Record Management</t>
  </si>
  <si>
    <t>385</t>
  </si>
  <si>
    <t>C385-197-24</t>
  </si>
  <si>
    <t>IA:  Clause 7.8.3</t>
  </si>
  <si>
    <t>357</t>
  </si>
  <si>
    <t>C357-198-24</t>
  </si>
  <si>
    <t>326</t>
  </si>
  <si>
    <t>C326-132-24</t>
  </si>
  <si>
    <t>Clasue 7.7.3 QC charts</t>
  </si>
  <si>
    <t>079</t>
  </si>
  <si>
    <t>INSCAL forms not being used according to QSM requirements</t>
  </si>
  <si>
    <t>135</t>
  </si>
  <si>
    <t>Document Control</t>
  </si>
  <si>
    <t>014</t>
  </si>
  <si>
    <t>ISO 17025 Clause 7.2.1 Test witnessing</t>
  </si>
  <si>
    <t>016</t>
  </si>
  <si>
    <t>ISO 17025 Clause 7.8 Reporting results</t>
  </si>
  <si>
    <t>Cincinnati (Erlanger), OH</t>
  </si>
  <si>
    <t>100</t>
  </si>
  <si>
    <t>CQI - Failed to meet TMA two consecutive years &amp; PT asphalt not reported</t>
  </si>
  <si>
    <t>103</t>
  </si>
  <si>
    <t>lab raw data</t>
  </si>
  <si>
    <t>091</t>
  </si>
  <si>
    <t>ISO 9001: Lab training records</t>
  </si>
  <si>
    <t>095</t>
  </si>
  <si>
    <t>ISO 9001: Technical / Quality Bulletins</t>
  </si>
  <si>
    <t>Tampa, FL</t>
  </si>
  <si>
    <t>184</t>
  </si>
  <si>
    <t>C184-126-24</t>
  </si>
  <si>
    <t>IA - Training Records</t>
  </si>
  <si>
    <t>466</t>
  </si>
  <si>
    <t>C466-132-24</t>
  </si>
  <si>
    <t>BP</t>
  </si>
  <si>
    <t>#8.4 Houskeeping</t>
  </si>
  <si>
    <t>013</t>
  </si>
  <si>
    <t>Cal certs for field inspection equipment not reviewed</t>
  </si>
  <si>
    <t>065</t>
  </si>
  <si>
    <t>183</t>
  </si>
  <si>
    <t>C183-126-24</t>
  </si>
  <si>
    <t>IA - Original observed data recorded on uncontrolled datasheets</t>
  </si>
  <si>
    <t>104</t>
  </si>
  <si>
    <t>179</t>
  </si>
  <si>
    <t>Oxygenates samples tested using out of service equipment</t>
  </si>
  <si>
    <t>268</t>
  </si>
  <si>
    <t>C268-120-24</t>
  </si>
  <si>
    <t>IA: Clause 6.4.13</t>
  </si>
  <si>
    <t>467</t>
  </si>
  <si>
    <t>C467-132-24</t>
  </si>
  <si>
    <t>#8.5 Odors in lab &amp; retain, octane room temp</t>
  </si>
  <si>
    <t xml:space="preserve">Lake Charles (Sulfur), LA  </t>
  </si>
  <si>
    <t>132</t>
  </si>
  <si>
    <t>Lotte</t>
  </si>
  <si>
    <t>Gauging - improper procedure</t>
  </si>
  <si>
    <t>040</t>
  </si>
  <si>
    <t>PBF</t>
  </si>
  <si>
    <t xml:space="preserve"> Inspector compiling/providing an incorrect VEF</t>
  </si>
  <si>
    <t>465</t>
  </si>
  <si>
    <t>C465-132-24</t>
  </si>
  <si>
    <t>#1.2 No fire alarm systen</t>
  </si>
  <si>
    <t>Levis (Quebec City), Quebec</t>
  </si>
  <si>
    <t>177</t>
  </si>
  <si>
    <t>IA: Cluase 7.4</t>
  </si>
  <si>
    <t>178</t>
  </si>
  <si>
    <t>IA: Clause 8.3</t>
  </si>
  <si>
    <t>New Orleans (Destrehan), LA</t>
  </si>
  <si>
    <t>120</t>
  </si>
  <si>
    <t>NOLA SimDist bias result for heavy crude oil.</t>
  </si>
  <si>
    <t>Job File Review</t>
  </si>
  <si>
    <t>034</t>
  </si>
  <si>
    <t>ISO 17025 Clause 7.1 Contract Review</t>
  </si>
  <si>
    <t>036</t>
  </si>
  <si>
    <t>ISO 17025 Clause 7.5 Technical records</t>
  </si>
  <si>
    <t>038</t>
  </si>
  <si>
    <t>162</t>
  </si>
  <si>
    <t xml:space="preserve"> Incorrect tube used on two separate loads from the Webb Moffett.</t>
  </si>
  <si>
    <t>127</t>
  </si>
  <si>
    <t>Clause 7.2.1.7 Method Deviations</t>
  </si>
  <si>
    <t>ATA</t>
  </si>
  <si>
    <t>Transcription error on D1160</t>
  </si>
  <si>
    <t>163</t>
  </si>
  <si>
    <t>Transcription error on metal result</t>
  </si>
  <si>
    <t>166</t>
  </si>
  <si>
    <t>Yorktown (Norfolk), VA</t>
  </si>
  <si>
    <t>058</t>
  </si>
  <si>
    <t>ISO 9001: Lab equipment status</t>
  </si>
  <si>
    <t>496</t>
  </si>
  <si>
    <t>C496-132-24</t>
  </si>
  <si>
    <t>Shell</t>
  </si>
  <si>
    <t xml:space="preserve">Records retention is shorter than Shell’s
requirements.
</t>
  </si>
  <si>
    <t>500</t>
  </si>
  <si>
    <t>C500-132-24</t>
  </si>
  <si>
    <t>Training records for laboratory personnel were not complete.</t>
  </si>
  <si>
    <t>498</t>
  </si>
  <si>
    <t>C498-132-24</t>
  </si>
  <si>
    <t xml:space="preserve">Non-compliance with the ASTM D86
Distillation test condenser temperature for jet fuel.
</t>
  </si>
  <si>
    <t>121</t>
  </si>
  <si>
    <t>Inspection equipment and TRB</t>
  </si>
  <si>
    <t>125</t>
  </si>
  <si>
    <t>497</t>
  </si>
  <si>
    <t>C497-132-24</t>
  </si>
  <si>
    <t>Jet fuel COAs  lack statements for traceability  or conformance to specifications.</t>
  </si>
  <si>
    <t>175</t>
  </si>
  <si>
    <t>IA: Clause 6.4.1 and 6.4.5</t>
  </si>
  <si>
    <t>161</t>
  </si>
  <si>
    <t xml:space="preserve">Incorrect S&amp;W results </t>
  </si>
  <si>
    <t>060</t>
  </si>
  <si>
    <t>122</t>
  </si>
  <si>
    <t>Job files</t>
  </si>
  <si>
    <t>123</t>
  </si>
  <si>
    <t>Ops not review TB/QB</t>
  </si>
  <si>
    <t>204</t>
  </si>
  <si>
    <t>D7754 - The laboratory control sample must be prepared like regular samples.</t>
  </si>
  <si>
    <t>470</t>
  </si>
  <si>
    <t>C470-191-24</t>
  </si>
  <si>
    <t>Job files (ops)</t>
  </si>
  <si>
    <t>106</t>
  </si>
  <si>
    <t>Training Records for Lab staff</t>
  </si>
  <si>
    <t>KA / LJ</t>
  </si>
  <si>
    <t>129</t>
  </si>
  <si>
    <t>Clause 7.7.1 Validity Check</t>
  </si>
  <si>
    <t>110</t>
  </si>
  <si>
    <t>IA: H2S cylinder expired</t>
  </si>
  <si>
    <t>472</t>
  </si>
  <si>
    <t>C472-191-24</t>
  </si>
  <si>
    <t>Field Equipment</t>
  </si>
  <si>
    <t>152</t>
  </si>
  <si>
    <t>IA: Clause  6.4.5</t>
  </si>
  <si>
    <t>519</t>
  </si>
  <si>
    <t>C519-158-24</t>
  </si>
  <si>
    <t>QC - control of nonconforming work</t>
  </si>
  <si>
    <t>Kenai, AK</t>
  </si>
  <si>
    <t>422</t>
  </si>
  <si>
    <t>IA - QC</t>
  </si>
  <si>
    <t>007</t>
  </si>
  <si>
    <t>D3948: QA chart  failing TPI.</t>
  </si>
  <si>
    <t>517</t>
  </si>
  <si>
    <t>C517-158-24</t>
  </si>
  <si>
    <t>QC Data Evaluation</t>
  </si>
  <si>
    <t>518</t>
  </si>
  <si>
    <t>C518-158-24</t>
  </si>
  <si>
    <t>QC chart corrupted</t>
  </si>
  <si>
    <t>087</t>
  </si>
  <si>
    <t xml:space="preserve">Inspectors sampler tape and tube fell into vessels tank. </t>
  </si>
  <si>
    <t>191</t>
  </si>
  <si>
    <t>Irving -not gauging to nearestmm</t>
  </si>
  <si>
    <t>130</t>
  </si>
  <si>
    <t>Clause 7.8 Reporting</t>
  </si>
  <si>
    <t>165</t>
  </si>
  <si>
    <t>Reports</t>
  </si>
  <si>
    <t>160</t>
  </si>
  <si>
    <t>Delay in requesting the initiation of CARs</t>
  </si>
  <si>
    <t>059</t>
  </si>
  <si>
    <t>ISO 9001: Master thermometer not within expiry dates during last verification period</t>
  </si>
  <si>
    <t>124</t>
  </si>
  <si>
    <t>Clause 7.4.1 Sample management</t>
  </si>
  <si>
    <t>Cape Canaveral, FL</t>
  </si>
  <si>
    <t>143</t>
  </si>
  <si>
    <t>093</t>
  </si>
  <si>
    <t>ISO 9001: Test witnessing</t>
  </si>
  <si>
    <t>482</t>
  </si>
  <si>
    <t>C482-110-24</t>
  </si>
  <si>
    <t>No record of biennial document review</t>
  </si>
  <si>
    <t>483</t>
  </si>
  <si>
    <t>C483-110-24</t>
  </si>
  <si>
    <t>Overdue TMAs</t>
  </si>
  <si>
    <t>486</t>
  </si>
  <si>
    <t>C486-110-24</t>
  </si>
  <si>
    <t>Reporting - COAs</t>
  </si>
  <si>
    <t>035</t>
  </si>
  <si>
    <t>C035-146-24</t>
  </si>
  <si>
    <t>Equipment OOS - D3606, D5599, D4815 and D1840</t>
  </si>
  <si>
    <t>030</t>
  </si>
  <si>
    <t>ISO 17025 Clause 6.4 Equipment Records</t>
  </si>
  <si>
    <t>033</t>
  </si>
  <si>
    <t>ISO 17025 Clause 6.6.2c Ext. Products</t>
  </si>
  <si>
    <t>067</t>
  </si>
  <si>
    <t>IA: Chemical/Reference stds inventory lists</t>
  </si>
  <si>
    <t>074</t>
  </si>
  <si>
    <t>IA: Clause 7.5</t>
  </si>
  <si>
    <t>092</t>
  </si>
  <si>
    <t>ISO 9001: Quality control + charts</t>
  </si>
  <si>
    <t>171</t>
  </si>
  <si>
    <t>IA: D6079 QC</t>
  </si>
  <si>
    <t>C370-144-24</t>
  </si>
  <si>
    <t>IA:  Lab training binders</t>
  </si>
  <si>
    <t>St James, LA</t>
  </si>
  <si>
    <t>283</t>
  </si>
  <si>
    <t>C283-171-24</t>
  </si>
  <si>
    <t>IA:  RFA overdue</t>
  </si>
  <si>
    <t>153</t>
  </si>
  <si>
    <t>IA: Clause 6.5.3</t>
  </si>
  <si>
    <t>155</t>
  </si>
  <si>
    <t>168</t>
  </si>
  <si>
    <t>D4052 method deviation.</t>
  </si>
  <si>
    <t>367</t>
  </si>
  <si>
    <t>C367-144-24</t>
  </si>
  <si>
    <t>IA:  TMAs</t>
  </si>
  <si>
    <t>273</t>
  </si>
  <si>
    <t>C273-120-24</t>
  </si>
  <si>
    <t>IA: Clause 7.8.8.1</t>
  </si>
  <si>
    <t>C121-170-24</t>
  </si>
  <si>
    <t>IA:  Clause 6.4.4</t>
  </si>
  <si>
    <t>029</t>
  </si>
  <si>
    <t>ISO 17025 Clause 6.2.5 Training records</t>
  </si>
  <si>
    <t>501</t>
  </si>
  <si>
    <t>C501-132-24</t>
  </si>
  <si>
    <t>The laboratory  is not effectively managing the root cause analysis (RCA)  process for proficiency testing schemes.</t>
  </si>
  <si>
    <t>019</t>
  </si>
  <si>
    <t>ISO 17025 Clause 6.2 Training records</t>
  </si>
  <si>
    <t>068</t>
  </si>
  <si>
    <t>IA: Clause 5.7.a</t>
  </si>
  <si>
    <t>073</t>
  </si>
  <si>
    <t>IA: Clause 7.1.5</t>
  </si>
  <si>
    <t>C097-150-24</t>
  </si>
  <si>
    <t>IA Clause 6.4.13</t>
  </si>
  <si>
    <t>061</t>
  </si>
  <si>
    <t>109</t>
  </si>
  <si>
    <t>IA: Inspector draft marks and safety quizzes</t>
  </si>
  <si>
    <t>203</t>
  </si>
  <si>
    <t>PBF - Not notify product contamination and wrong sample</t>
  </si>
  <si>
    <t>176</t>
  </si>
  <si>
    <t>IA: Clause 6.5.2</t>
  </si>
  <si>
    <t>214</t>
  </si>
  <si>
    <t>IA: Clause 6.6.2</t>
  </si>
  <si>
    <t>217</t>
  </si>
  <si>
    <t>IA: Clause 7.5.2</t>
  </si>
  <si>
    <t>219</t>
  </si>
  <si>
    <t>IA: Clause 7.81.2 and 7.8.2</t>
  </si>
  <si>
    <t>221</t>
  </si>
  <si>
    <t>IA: Biodiesel Test  Witnessing</t>
  </si>
  <si>
    <t>222</t>
  </si>
  <si>
    <t>IA: Biodiesel Training Records</t>
  </si>
  <si>
    <t>255</t>
  </si>
  <si>
    <t>USCBP- signatory list</t>
  </si>
  <si>
    <t>062</t>
  </si>
  <si>
    <t>ISO 9001: Solutions prep + records</t>
  </si>
  <si>
    <t>015</t>
  </si>
  <si>
    <t>262</t>
  </si>
  <si>
    <t>Clause 6.5.2: D1319 - ISO 17034 accreditation missing from steel ruler</t>
  </si>
  <si>
    <t>063</t>
  </si>
  <si>
    <t>ISO 9001: No maintenance records for D6463 pH probe</t>
  </si>
  <si>
    <t>241</t>
  </si>
  <si>
    <t>Valero - Jet fuel flash point off spec and recheck was on spec</t>
  </si>
  <si>
    <t>485</t>
  </si>
  <si>
    <t>C485-110-24</t>
  </si>
  <si>
    <t>Calibrations / Verifications</t>
  </si>
  <si>
    <t>446</t>
  </si>
  <si>
    <t>C446-146-24</t>
  </si>
  <si>
    <t>ISO 17025: Clause 6.4 Lab equipment</t>
  </si>
  <si>
    <t>020</t>
  </si>
  <si>
    <t>CAR and PTO are not closed in timely manner</t>
  </si>
  <si>
    <t>223</t>
  </si>
  <si>
    <t>Tricon</t>
  </si>
  <si>
    <t>Tricon - sampling issue</t>
  </si>
  <si>
    <t>CS</t>
  </si>
  <si>
    <t>098</t>
  </si>
  <si>
    <t>228</t>
  </si>
  <si>
    <t>Lab Reporting</t>
  </si>
  <si>
    <t>230</t>
  </si>
  <si>
    <t>Lab Witnessing</t>
  </si>
  <si>
    <t>227</t>
  </si>
  <si>
    <t>229</t>
  </si>
  <si>
    <t xml:space="preserve"> Lab Equipment</t>
  </si>
  <si>
    <t>280</t>
  </si>
  <si>
    <t>Clause 6.4.13a Equipment software and Firmware versions</t>
  </si>
  <si>
    <t>Port Arthur (Sabine Blending Lab), TX</t>
  </si>
  <si>
    <t>202</t>
  </si>
  <si>
    <t>Miscellaneous</t>
  </si>
  <si>
    <t>C024-158-24</t>
  </si>
  <si>
    <t>IA - Clause 6.4.10 &amp; 6.4.13</t>
  </si>
  <si>
    <t>213</t>
  </si>
  <si>
    <t>215</t>
  </si>
  <si>
    <t>IA: Clause 7.2.1.7</t>
  </si>
  <si>
    <t>220</t>
  </si>
  <si>
    <t>IA: Biodiesel Equipment</t>
  </si>
  <si>
    <t>AGRI (HTC)</t>
  </si>
  <si>
    <t>205</t>
  </si>
  <si>
    <t>H2S Cylinder</t>
  </si>
  <si>
    <t>Bahamas (Freeport), GBI</t>
  </si>
  <si>
    <t>145</t>
  </si>
  <si>
    <t>IA: TMA schedule</t>
  </si>
  <si>
    <t>146</t>
  </si>
  <si>
    <t>IA: QC charts (delays in entries)</t>
  </si>
  <si>
    <t>144</t>
  </si>
  <si>
    <t>ISO 9001: Job File review</t>
  </si>
  <si>
    <t>072</t>
  </si>
  <si>
    <t>IA: Clause 6.5.2.a, b</t>
  </si>
  <si>
    <t>076</t>
  </si>
  <si>
    <t>IA: Clause 7.8, 7.8.3.1.e</t>
  </si>
  <si>
    <t>212</t>
  </si>
  <si>
    <t>IA: Clause 6.4.5 and 6.4.13</t>
  </si>
  <si>
    <t>IA: Clause 6.6 Externally provided products + services</t>
  </si>
  <si>
    <t>244</t>
  </si>
  <si>
    <t>Clause 6.4 Lab Equipment</t>
  </si>
  <si>
    <t>251</t>
  </si>
  <si>
    <t>QC + Control Charts</t>
  </si>
  <si>
    <t>477</t>
  </si>
  <si>
    <t>C477-191-24</t>
  </si>
  <si>
    <t>Clause 6.4.9 Expired chemicals/reagents</t>
  </si>
  <si>
    <t>245</t>
  </si>
  <si>
    <t>Clause 7.2.1.7 Test witnessing</t>
  </si>
  <si>
    <t>246</t>
  </si>
  <si>
    <t>Clause 7.5 Technical records</t>
  </si>
  <si>
    <t>397</t>
  </si>
  <si>
    <t>Clause 7.7.1 - Validity of results (D3831, D3237, D3241, D130, D2386, D3948/D7724, TM-0172, CGSB-3.0 No 60.32, CGSB-3.0 No 14.3)</t>
  </si>
  <si>
    <t>377</t>
  </si>
  <si>
    <t>C377-197-24</t>
  </si>
  <si>
    <t>IA:  Clause 5.7a, b</t>
  </si>
  <si>
    <t>474</t>
  </si>
  <si>
    <t>C474-191-24</t>
  </si>
  <si>
    <t>Clause 6.2.3 &amp; 6.2.5 f Competency</t>
  </si>
  <si>
    <t>181</t>
  </si>
  <si>
    <t>IA: Clause 6.4 Lab Equipment</t>
  </si>
  <si>
    <t>225</t>
  </si>
  <si>
    <t xml:space="preserve">USCBP - #4: 19 CFR §151.12 (f)(3)(iv)(A)-Equipment </t>
  </si>
  <si>
    <t>226</t>
  </si>
  <si>
    <t xml:space="preserve">USCBP - #1: 19 CFR §151.13 (h)(2)(iv)-Gauging records 
</t>
  </si>
  <si>
    <t>271</t>
  </si>
  <si>
    <t>USCBP - #2: 19 CFR §151.13 (h) (2)-Recordkeeping requirements</t>
  </si>
  <si>
    <t>USCBP - #5: 19 CFR §151.12 (f)(3)(iii)- Determination of competence</t>
  </si>
  <si>
    <t>276</t>
  </si>
  <si>
    <t>USCBP - #3: 19 CFR §151.12(j)(3)-Recordkeeping requirements</t>
  </si>
  <si>
    <t>277</t>
  </si>
  <si>
    <t xml:space="preserve">USCBP - #6: 19 CFR §151.12 (j)(3)(iv)-Laboratory analysis records </t>
  </si>
  <si>
    <t>499</t>
  </si>
  <si>
    <t>C499-132-24</t>
  </si>
  <si>
    <t>SQC  procedures and corrective actions are not imbedded into the laboratory  and current processes are inconsistent with ASTM D6299.</t>
  </si>
  <si>
    <t>002</t>
  </si>
  <si>
    <t>CQI reporting</t>
  </si>
  <si>
    <t>Seabrook (Chemicals), TX</t>
  </si>
  <si>
    <t>279</t>
  </si>
  <si>
    <t xml:space="preserve">Field Data Control: Only one temp taken, data writeovers, no UTI ID, initials and date on raw data. </t>
  </si>
  <si>
    <t>VV</t>
  </si>
  <si>
    <t>263</t>
  </si>
  <si>
    <t>C263-131-24</t>
  </si>
  <si>
    <t>Discrepancy in applied and reported test method</t>
  </si>
  <si>
    <t>CITGO</t>
  </si>
  <si>
    <t>Clause 6.1.4.1 - D5191 QC test result of 4-19-25 Unit CHI-056 was not input in the sqc</t>
  </si>
  <si>
    <t>192</t>
  </si>
  <si>
    <t>Pilot</t>
  </si>
  <si>
    <t>Pilot - D5453 Non confirming test results</t>
  </si>
  <si>
    <t>St John, NB</t>
  </si>
  <si>
    <t>261</t>
  </si>
  <si>
    <t>Inspector did not take sufficient temperatures on a stratified shore tank</t>
  </si>
  <si>
    <t>243</t>
  </si>
  <si>
    <t>Clause 6.2 Lab Training records</t>
  </si>
  <si>
    <t>IA: Expired Chemicals / Reagents</t>
  </si>
  <si>
    <t>157</t>
  </si>
  <si>
    <t>IA: Clause 7.8.1 and 7.8.2</t>
  </si>
  <si>
    <t>158</t>
  </si>
  <si>
    <t>257</t>
  </si>
  <si>
    <t>MPC- D4530, Test witnessing .The technician did not visually check the nitrogen flow on instrument</t>
  </si>
  <si>
    <t>292</t>
  </si>
  <si>
    <t>Inspector gauged the wrong shore tank</t>
  </si>
  <si>
    <t>numerous “after discharge” COA’s revisions due to incorrect tagging by inspector</t>
  </si>
  <si>
    <t>182</t>
  </si>
  <si>
    <t>IA: Clause 6.5 Metrological traceability</t>
  </si>
  <si>
    <t>248</t>
  </si>
  <si>
    <t>QB/TBs not reviewed within 30 days</t>
  </si>
  <si>
    <t>064</t>
  </si>
  <si>
    <t>419</t>
  </si>
  <si>
    <t>IA - Document Control</t>
  </si>
  <si>
    <t>253</t>
  </si>
  <si>
    <t>CHESM - Inspection field equipment</t>
  </si>
  <si>
    <t>254</t>
  </si>
  <si>
    <t>CHESM - Inspector safety equipment</t>
  </si>
  <si>
    <t>IA: Clause 7.2.1.7 Test witnessing</t>
  </si>
  <si>
    <t>361</t>
  </si>
  <si>
    <t>C361-144-24</t>
  </si>
  <si>
    <t>IA: Monthly probe check thermometer</t>
  </si>
  <si>
    <t>362</t>
  </si>
  <si>
    <t>C362-144-24</t>
  </si>
  <si>
    <t>IA:  Daily probe checks</t>
  </si>
  <si>
    <t>071</t>
  </si>
  <si>
    <t>IA: Clause 6.4.9, 6.4.10, 6.4.13.a</t>
  </si>
  <si>
    <t>233</t>
  </si>
  <si>
    <t>IA: Clause 6.2.5c</t>
  </si>
  <si>
    <t>234</t>
  </si>
  <si>
    <t>IA: Clause 6.4.1 / 6.4.4</t>
  </si>
  <si>
    <t>381</t>
  </si>
  <si>
    <t>C381-197-24</t>
  </si>
  <si>
    <t>IA:  Clause 6.4.13</t>
  </si>
  <si>
    <t>IA: Clause 7.7 Validity of results</t>
  </si>
  <si>
    <t>037</t>
  </si>
  <si>
    <t>ISO 17025 Clause 7.7.1 Validity of Results</t>
  </si>
  <si>
    <t>373</t>
  </si>
  <si>
    <t>C373-144-24</t>
  </si>
  <si>
    <t>IA:  QC &amp; QC charts</t>
  </si>
  <si>
    <t>278</t>
  </si>
  <si>
    <t>Communication and Reporting: Nom, acceptance, and records of communication missing.</t>
  </si>
  <si>
    <t>324</t>
  </si>
  <si>
    <t>Antilles Trading Company</t>
  </si>
  <si>
    <t xml:space="preserve">Loss of confidence in analytical results after multiple amendments to same job. Octane and RVP results had to be amended after rechecks and raw data review. </t>
  </si>
  <si>
    <t>343</t>
  </si>
  <si>
    <t>Valero - Inspection Communication</t>
  </si>
  <si>
    <t>344</t>
  </si>
  <si>
    <t>Valero - Sampling</t>
  </si>
  <si>
    <t>311</t>
  </si>
  <si>
    <t>use of closed system sampling on barges equipped with non-slotted standpipes resulted in incorrect sulfur result</t>
  </si>
  <si>
    <t>346</t>
  </si>
  <si>
    <t>MEGlobal</t>
  </si>
  <si>
    <t>MEGlobal - Wall wash using incorrect medium</t>
  </si>
  <si>
    <t>345</t>
  </si>
  <si>
    <t>XOM</t>
  </si>
  <si>
    <t xml:space="preserve">Crude Assay </t>
  </si>
  <si>
    <t>156</t>
  </si>
  <si>
    <t>IA: Clause 7.7.1</t>
  </si>
  <si>
    <t>D4007 method  is  not  part  of  HTC  Customs Accreditation. No instrument record available during the audit.</t>
  </si>
  <si>
    <t>321</t>
  </si>
  <si>
    <t xml:space="preserve">Eric Doan has less than 2 years of experience in an analytical laboratory </t>
  </si>
  <si>
    <t>Signatory discrepancy</t>
  </si>
  <si>
    <t>Signatory for Estela Reyes</t>
  </si>
  <si>
    <t>No data, date, and initials records for ASTM D445, and ASTM D4807 analysis completed at aother lab.</t>
  </si>
  <si>
    <t>318</t>
  </si>
  <si>
    <t>No Custom statement is available in each original CoA report.</t>
  </si>
  <si>
    <t>260</t>
  </si>
  <si>
    <t>Inspector did not witness lab testing as required</t>
  </si>
  <si>
    <t>Newfoundland (Arnold's Cove)</t>
  </si>
  <si>
    <t>336</t>
  </si>
  <si>
    <t>Lab training records no raw data available</t>
  </si>
  <si>
    <t>312</t>
  </si>
  <si>
    <t>19 CFR 151.13 (d) - Field equipment</t>
  </si>
  <si>
    <t>313</t>
  </si>
  <si>
    <t>19 CFR 151.13 (h) - Equipment serial numbers</t>
  </si>
  <si>
    <t>19 CFR 151.12 (f) - Qualified lab analyst</t>
  </si>
  <si>
    <t>354</t>
  </si>
  <si>
    <t>The Shore Tank analysis was performed using an incorrect test method</t>
  </si>
  <si>
    <t>LAb</t>
  </si>
  <si>
    <t>The field inspectors failure to gauge and quantify the volumes received into the ROT tank(s)
-The operations group failure to catch the missing ~500 bbls prior to releasing the report</t>
  </si>
  <si>
    <t>P66 - Discrepancy in Barge composite results: after load in SF vs before discharge in LA.</t>
  </si>
  <si>
    <t>Clause 6.1.4.7.1 - SQC violations for D5599 + D5191 not addressed</t>
  </si>
  <si>
    <t>231</t>
  </si>
  <si>
    <t xml:space="preserve">QC Chart </t>
  </si>
  <si>
    <t>232</t>
  </si>
  <si>
    <t>IA: Ops file review</t>
  </si>
  <si>
    <t>Inspector compiling/providing an incorrect VEF.</t>
  </si>
  <si>
    <t>337</t>
  </si>
  <si>
    <t>ASTM D5002 - Air water checks not being completed / documented weekly as per Appendux 16A</t>
  </si>
  <si>
    <t>338</t>
  </si>
  <si>
    <t xml:space="preserve">ASTM D4807 - Unable to maintain hot plate temperature as per method. </t>
  </si>
  <si>
    <t>339</t>
  </si>
  <si>
    <t>No work station binders in use</t>
  </si>
  <si>
    <t>235</t>
  </si>
  <si>
    <t>IA: Clause 6.4.8</t>
  </si>
  <si>
    <t>236</t>
  </si>
  <si>
    <t>IA: Clause 6.5.1 / 6.5.3a</t>
  </si>
  <si>
    <t>151</t>
  </si>
  <si>
    <t>218</t>
  </si>
  <si>
    <t>335</t>
  </si>
  <si>
    <t>Job file - Raw data missinf, SR1 defiecencie and job acceptancwe confirmation missing</t>
  </si>
  <si>
    <t>378</t>
  </si>
  <si>
    <t>Use expired gauge tape</t>
  </si>
  <si>
    <t>238</t>
  </si>
  <si>
    <t>Clause 7.5.1 - No evidence of intermediate reference material preparation for D5863, D5185. No evidence of pipettes recorded in worksbooks for D3237, D3831</t>
  </si>
  <si>
    <t>Bostco, TX</t>
  </si>
  <si>
    <t>359</t>
  </si>
  <si>
    <t>IA: Inspector TRBs</t>
  </si>
  <si>
    <t>360</t>
  </si>
  <si>
    <t>IA: Lab Equipment</t>
  </si>
  <si>
    <t>294</t>
  </si>
  <si>
    <t>C294-210-24</t>
  </si>
  <si>
    <t>IA - Operations review of QB / TB</t>
  </si>
  <si>
    <t>391</t>
  </si>
  <si>
    <t>C391-210-24</t>
  </si>
  <si>
    <t>IA - QC Charts</t>
  </si>
  <si>
    <t>394</t>
  </si>
  <si>
    <t>C394-210-24</t>
  </si>
  <si>
    <t>IA - TMA Schedule</t>
  </si>
  <si>
    <t>395</t>
  </si>
  <si>
    <t>C395-210-24</t>
  </si>
  <si>
    <t>IA - Lab Equipment Management</t>
  </si>
  <si>
    <t>507</t>
  </si>
  <si>
    <t>C507-210-24</t>
  </si>
  <si>
    <t>Clause 7.4.2 Sample ID</t>
  </si>
  <si>
    <t>508</t>
  </si>
  <si>
    <t>C508-210-24</t>
  </si>
  <si>
    <t>509</t>
  </si>
  <si>
    <t>C509-210-24</t>
  </si>
  <si>
    <t>Clause 7.7.3 QC charts</t>
  </si>
  <si>
    <t>352</t>
  </si>
  <si>
    <t>Quality and Technical bulleting not porperly reviewed</t>
  </si>
  <si>
    <t>Baytown, TX</t>
  </si>
  <si>
    <t>379</t>
  </si>
  <si>
    <t>ExxonMobil</t>
  </si>
  <si>
    <t>ExxonMobil - Baytown, Chem 3247 was overloaded by 3,999 bbls due to incorrect job orders</t>
  </si>
  <si>
    <t>353</t>
  </si>
  <si>
    <t>SRI BOL not completed</t>
  </si>
  <si>
    <t>375</t>
  </si>
  <si>
    <t>C375-131-24</t>
  </si>
  <si>
    <t>Valero - D86 unit not in compliance for EPA gasoline testing</t>
  </si>
  <si>
    <t>052</t>
  </si>
  <si>
    <t>A2LA: ISO 17025 Clause 7.2.1.1</t>
  </si>
  <si>
    <t>C158-185-24</t>
  </si>
  <si>
    <t>IA:  Random field audits overdue</t>
  </si>
  <si>
    <t>487</t>
  </si>
  <si>
    <t>C487-110-24</t>
  </si>
  <si>
    <t>Biodiesel PT Z score Charts</t>
  </si>
  <si>
    <t>522</t>
  </si>
  <si>
    <t>C522-133-24</t>
  </si>
  <si>
    <t>IA:  Training records</t>
  </si>
  <si>
    <t>216</t>
  </si>
  <si>
    <t>IA: Cluase 7.5.1</t>
  </si>
  <si>
    <t>032</t>
  </si>
  <si>
    <t>ISO 17025 Clause 6.5.1 Metrological Traceability</t>
  </si>
  <si>
    <t>399</t>
  </si>
  <si>
    <t>Citgo - Inspector late arrival resulting in reschedule of vessel pilot for departure</t>
  </si>
  <si>
    <t>170</t>
  </si>
  <si>
    <t>IA: Chemicals</t>
  </si>
  <si>
    <t>172</t>
  </si>
  <si>
    <t>356</t>
  </si>
  <si>
    <t>Clause 8.3 and 8.3.2 - No objective evidence of periodic review of local controlled documents</t>
  </si>
  <si>
    <t>150</t>
  </si>
  <si>
    <t>371</t>
  </si>
  <si>
    <t>C371-144-24</t>
  </si>
  <si>
    <t xml:space="preserve">IA:  Lab equipment </t>
  </si>
  <si>
    <t>382</t>
  </si>
  <si>
    <t>Incorrect gauge tape SN recorded</t>
  </si>
  <si>
    <t>383</t>
  </si>
  <si>
    <t>Clause 7.1.1 Contract - no details of method</t>
  </si>
  <si>
    <t>384</t>
  </si>
  <si>
    <t xml:space="preserve">Clause 7.2.1.7 Method Deviation </t>
  </si>
  <si>
    <t>001</t>
  </si>
  <si>
    <t>The client was not informed of the vessel's short loading due to draft restrictions</t>
  </si>
  <si>
    <t>210</t>
  </si>
  <si>
    <t>193</t>
  </si>
  <si>
    <t>Inspection equipment and inspector TRB</t>
  </si>
  <si>
    <t>154</t>
  </si>
  <si>
    <t>520</t>
  </si>
  <si>
    <t>C520-133-24</t>
  </si>
  <si>
    <t>IA: Procurement</t>
  </si>
  <si>
    <t>475</t>
  </si>
  <si>
    <t>C475-191-24</t>
  </si>
  <si>
    <t>Clause 6.4.4 Equipment conformance</t>
  </si>
  <si>
    <t>Valdez, AK</t>
  </si>
  <si>
    <t>423</t>
  </si>
  <si>
    <t>IA - MFDB not signed for review</t>
  </si>
  <si>
    <t>424</t>
  </si>
  <si>
    <t>426</t>
  </si>
  <si>
    <t>148</t>
  </si>
  <si>
    <t>IA: equipment (D4815 &amp; D86)</t>
  </si>
  <si>
    <t>Valero nomination stated "Additive: In-Line Blend ~68 Gallons of CorrPro PHE @ 40ppm." Amspec Additives was not copied on the original nomination.</t>
  </si>
  <si>
    <t>237</t>
  </si>
  <si>
    <t>239</t>
  </si>
  <si>
    <t>IA: Clause 7.8.1.2 / 7.8.2.1</t>
  </si>
  <si>
    <t>Potential NC - D1319 Nitrogen not flowing</t>
  </si>
  <si>
    <t>A2LA Policy P102</t>
  </si>
  <si>
    <t>A2LA: Clause 6.4.4</t>
  </si>
  <si>
    <t>IA: Clause 7.8 Reporting of results</t>
  </si>
  <si>
    <t>167</t>
  </si>
  <si>
    <t>386</t>
  </si>
  <si>
    <t>Clause 7.11.2</t>
  </si>
  <si>
    <t>376</t>
  </si>
  <si>
    <t>A2LA: Clause 7.7.1</t>
  </si>
  <si>
    <t>240</t>
  </si>
  <si>
    <t>IA: Clause 7.10.1b</t>
  </si>
  <si>
    <t>211</t>
  </si>
  <si>
    <t>180</t>
  </si>
  <si>
    <t>IA: Clause 6.2 Personnel + Training</t>
  </si>
  <si>
    <t>425</t>
  </si>
  <si>
    <t>IA - Lab Equipment</t>
  </si>
  <si>
    <t>389</t>
  </si>
  <si>
    <t>Inspectors using arrival temperatures on ROB survey instead of 60°F per API</t>
  </si>
  <si>
    <t>390</t>
  </si>
  <si>
    <t>Departure temperatures mirrored arrival temperatures on tanks that did not discharge - departure temps not performed</t>
  </si>
  <si>
    <t>021</t>
  </si>
  <si>
    <t>AmSpec</t>
  </si>
  <si>
    <t xml:space="preserve">The API used for volumetric calculations in the final report was incorrect </t>
  </si>
  <si>
    <t>C523-129-24</t>
  </si>
  <si>
    <t>IA:  MFDBs</t>
  </si>
  <si>
    <t>EC</t>
  </si>
  <si>
    <t>022</t>
  </si>
  <si>
    <t>Customer Recheck Request for D2624 Result on Job #132-24-01470 (Sample-072) Due to Discrepancy in Conductivity Test</t>
  </si>
  <si>
    <t>Job File review</t>
  </si>
  <si>
    <t>PBF - IP501 - Significant discrepancy in Al+Si results reported for CSO tank. 117mg/kg  vs. 198 mg/kg</t>
  </si>
  <si>
    <t>C526-129-24</t>
  </si>
  <si>
    <t>IA: Field Equipment</t>
  </si>
  <si>
    <t>Ops</t>
  </si>
  <si>
    <t>077</t>
  </si>
  <si>
    <t>406</t>
  </si>
  <si>
    <t>Off spec lubricity result due to improper sampling.</t>
  </si>
  <si>
    <t>IA: Clause 6.5</t>
  </si>
  <si>
    <t>484</t>
  </si>
  <si>
    <t>C484-110-24</t>
  </si>
  <si>
    <t>Musket</t>
  </si>
  <si>
    <t>Poor operations communication and lab turnaround time</t>
  </si>
  <si>
    <t xml:space="preserve">Inspector did not properly measure and document material in a slop tank on the vessel. </t>
  </si>
  <si>
    <t>411</t>
  </si>
  <si>
    <t xml:space="preserve">Shell </t>
  </si>
  <si>
    <t xml:space="preserve">Job File Review: D86 time to 5% below threshold </t>
  </si>
  <si>
    <t>412</t>
  </si>
  <si>
    <t>Test Witnessing: D5769 aliquot volume &lt; 10 mL</t>
  </si>
  <si>
    <t>413</t>
  </si>
  <si>
    <t>387</t>
  </si>
  <si>
    <t>PBF-D56 discrepancy in reported flash point. Composite vs. individual compartments.</t>
  </si>
  <si>
    <t>301</t>
  </si>
  <si>
    <t xml:space="preserve">IA:Ops POs no quality statement </t>
  </si>
  <si>
    <t>305</t>
  </si>
  <si>
    <t>309</t>
  </si>
  <si>
    <t>075</t>
  </si>
  <si>
    <t>Equipment Traceability</t>
  </si>
  <si>
    <t>Vessel gauging</t>
  </si>
  <si>
    <t>HST Weights &amp; Measures</t>
  </si>
  <si>
    <t>374</t>
  </si>
  <si>
    <t>IA: Clause 8.9.2</t>
  </si>
  <si>
    <t>256</t>
  </si>
  <si>
    <t>MPC- Job File Review - Raw data do not match reports.</t>
  </si>
  <si>
    <t>285</t>
  </si>
  <si>
    <t>IA: Clause 7.1.1</t>
  </si>
  <si>
    <t>169</t>
  </si>
  <si>
    <t>206</t>
  </si>
  <si>
    <t>388</t>
  </si>
  <si>
    <t xml:space="preserve"> Job 120-25-04562-Mexico Gasoline received with 
13% MTBE.  Sulfur reported using neat calibration curve 
without correcting for oxygen.  This will generate artificially 
low values (D2622 section 12). Test witnessing finding.</t>
  </si>
  <si>
    <t>RVP Equipment missing status tag (green/yellow/red)</t>
  </si>
  <si>
    <t>456</t>
  </si>
  <si>
    <t xml:space="preserve">Failure to gauge to nearest mm
</t>
  </si>
  <si>
    <t>457</t>
  </si>
  <si>
    <t>Improper recording of observed gauge heights</t>
  </si>
  <si>
    <t>ECU</t>
  </si>
  <si>
    <t xml:space="preserve">Nonconformity #1: 19 CFR 151.13(h)(2)(v): Gauging reports &amp; 19 CFR 151.12(j)(3)(v): Laboratory analysis reports </t>
  </si>
  <si>
    <t>408</t>
  </si>
  <si>
    <t>Nonconformity #2: 19 CFR 151.13(b)(6): Notification</t>
  </si>
  <si>
    <t>409</t>
  </si>
  <si>
    <t>Nonconformity #3: 19 CFR §151.12(j)(3)(ii)-Major equipment records</t>
  </si>
  <si>
    <t>410</t>
  </si>
  <si>
    <t xml:space="preserve">Nonconformity #4: 19 CFR §151.12(f)(3)(iv)(A)-Equipment </t>
  </si>
  <si>
    <t>414</t>
  </si>
  <si>
    <t>Bureau of X-Ray Compliance, NJ</t>
  </si>
  <si>
    <t>Wrist/finger (X-ray) monitoring equipment not provided</t>
  </si>
  <si>
    <t>400</t>
  </si>
  <si>
    <t>IA: Lab Eqt - Appendix 15B, Clauses 6.4.4, 6.4.6</t>
  </si>
  <si>
    <t>347</t>
  </si>
  <si>
    <t>IA: D3831 reporting</t>
  </si>
  <si>
    <t>C524-129-24</t>
  </si>
  <si>
    <t>433</t>
  </si>
  <si>
    <t>Vitol</t>
  </si>
  <si>
    <t>Off spec asphalt due to sampling</t>
  </si>
  <si>
    <t>468</t>
  </si>
  <si>
    <t>Clause 7.5.2 - Inappropriate data corrections</t>
  </si>
  <si>
    <t>307</t>
  </si>
  <si>
    <t>IA: Clause 6.4.13e, g</t>
  </si>
  <si>
    <t>265</t>
  </si>
  <si>
    <t xml:space="preserve">Report Requirements Lab - QSM Section 15, 20 and LQSM Section 14, 17 </t>
  </si>
  <si>
    <t>D130 – QSM Section 16, 18 and LQSM Section 14, 15</t>
  </si>
  <si>
    <t>C525-129-24</t>
  </si>
  <si>
    <t>IA:  File Review</t>
  </si>
  <si>
    <t>Test Witnessing: Technician did not mix sample for D1840</t>
  </si>
  <si>
    <t>Cushing, OK</t>
  </si>
  <si>
    <t>398</t>
  </si>
  <si>
    <t>Criteria: LQSM S7 Part 7</t>
  </si>
  <si>
    <t>369</t>
  </si>
  <si>
    <t>Grounding system, emetgency lighting and evacuation plan</t>
  </si>
  <si>
    <t>Inspector failed to confirm if the railcar numbers at the loading rack matched Marathon’s nomination prior to sampling</t>
  </si>
  <si>
    <t>403</t>
  </si>
  <si>
    <t>Ineos</t>
  </si>
  <si>
    <t>INEOS -160-25-04525; Port Arthur sent 4 brand new cylinders to HTC lab to be prepped by method QA3-MT-16 for residue testing but cylinders not cleaned properly.</t>
  </si>
  <si>
    <t xml:space="preserve">INC Nautical, who represented Chevron, noted the AmSpec inspector gauging the EMS 363 &amp; 372 with a UTI that didn’t have a grounding cable attached. (UTI SN# G21577)
</t>
  </si>
  <si>
    <t xml:space="preserve">File Number: 160-25-04202-001,002,003,013 ST 150-1 Seal # 0014414
Running compliance (NSTOP) sample on uncontrolled instrument and reporting results off that instrument
</t>
  </si>
  <si>
    <t>428</t>
  </si>
  <si>
    <t>Tally book missing information / is incorrect</t>
  </si>
  <si>
    <t>429</t>
  </si>
  <si>
    <t>Ullage report not signed by coordinator</t>
  </si>
  <si>
    <t>D5453 -  laboratory quality control sample analysis lacked traceability to the material lot.</t>
  </si>
  <si>
    <t xml:space="preserve">Lab Data Control - QSM Section 20 and LQSM Section 7, 17 </t>
  </si>
  <si>
    <t>Sample Cradle to Grave – QSM Section 15 and LQSM Section 7</t>
  </si>
  <si>
    <t>434</t>
  </si>
  <si>
    <t>Dispatching error - no sampler assigned for Webb Moffett Vessel</t>
  </si>
  <si>
    <t>147</t>
  </si>
  <si>
    <t>IA: file review</t>
  </si>
  <si>
    <t>521</t>
  </si>
  <si>
    <t>C521-133-24</t>
  </si>
  <si>
    <t>IA: File Review</t>
  </si>
  <si>
    <t>IA: Clause 7.8.1.2</t>
  </si>
  <si>
    <t>No manual gauge obtained on Barge after discharge - Webb Moffett</t>
  </si>
  <si>
    <t>463</t>
  </si>
  <si>
    <t>ASTM Method D6079 section 10.2 - Ssamples were performed on days in between the 2 fluids checks</t>
  </si>
  <si>
    <t>IA: Daily probe check sheets not being completed</t>
  </si>
  <si>
    <t>OPEN</t>
  </si>
  <si>
    <t>430</t>
  </si>
  <si>
    <t>QC data not being evaluated in a timely manner</t>
  </si>
  <si>
    <t>431</t>
  </si>
  <si>
    <t>Use of appropriate QC control chart techniques can be improved.</t>
  </si>
  <si>
    <t>432</t>
  </si>
  <si>
    <t>Data Release Process failed to identify incorrect data on at least 3 Shell jobs.</t>
  </si>
  <si>
    <t>304</t>
  </si>
  <si>
    <t>Communication and Reporting - QSM Section 13, 15, 20 and C454-189-24 REPEAT</t>
  </si>
  <si>
    <t>264</t>
  </si>
  <si>
    <t xml:space="preserve">Field Data Control - QSM Section 15, 20 </t>
  </si>
  <si>
    <t>D5191 - nonconformance to D6299.</t>
  </si>
  <si>
    <t>194</t>
  </si>
  <si>
    <t>Technical and Quality Bulletins</t>
  </si>
  <si>
    <t>348</t>
  </si>
  <si>
    <t>IA: S. Sahron initial training for D3231</t>
  </si>
  <si>
    <t>349</t>
  </si>
  <si>
    <t>IA: No prep records for D3231 solutions</t>
  </si>
  <si>
    <t>350</t>
  </si>
  <si>
    <t>IA: Test witnessing - D5191 volume verification step</t>
  </si>
  <si>
    <t>351</t>
  </si>
  <si>
    <t>IA: D6079 and IP501 reporting on COA</t>
  </si>
  <si>
    <t>133</t>
  </si>
  <si>
    <t>Inspection equipment</t>
  </si>
  <si>
    <t>134</t>
  </si>
  <si>
    <t>136</t>
  </si>
  <si>
    <t>Test Methods</t>
  </si>
  <si>
    <t>139</t>
  </si>
  <si>
    <t>Ingleside, TX</t>
  </si>
  <si>
    <t>IA: QSM Section 15 - MFDB not signed / inspector writeovers</t>
  </si>
  <si>
    <t>416</t>
  </si>
  <si>
    <t>IA: QSM Section 7 - SR-1s do not include unique sample ID / not signed for deposit of samples</t>
  </si>
  <si>
    <t>417</t>
  </si>
  <si>
    <t>IA: LQSM Section 14 - Method Deviations</t>
  </si>
  <si>
    <t>418</t>
  </si>
  <si>
    <t>IA: LQSM Section 16 - QCs</t>
  </si>
  <si>
    <t>471</t>
  </si>
  <si>
    <t>C471-191-24</t>
  </si>
  <si>
    <t>Inspector training record</t>
  </si>
  <si>
    <t>C181-126-24</t>
  </si>
  <si>
    <t>IA - Instrument Calibration/Verification</t>
  </si>
  <si>
    <t>C182-126-24</t>
  </si>
  <si>
    <t>IA - Testing</t>
  </si>
  <si>
    <t>185</t>
  </si>
  <si>
    <t>C185-126-24</t>
  </si>
  <si>
    <t>Non-compliance with 19 CFR 151.12(j)(3)(v) and 151.12(f)(3)(iv)(C): Laboratory report signed and testing performed by personnel not on approved signatory list and lacking required qualifications.</t>
  </si>
  <si>
    <t>113</t>
  </si>
  <si>
    <t>IA: No record of review of locally controlled docs</t>
  </si>
  <si>
    <t>489</t>
  </si>
  <si>
    <t>IA: UOP163 test witnessing</t>
  </si>
  <si>
    <t>Tacoma, WA</t>
  </si>
  <si>
    <t>683</t>
  </si>
  <si>
    <t>Quality Control/Validity of results</t>
  </si>
  <si>
    <t>684</t>
  </si>
  <si>
    <t>Lab equipment (calibration/verification/maintenance)</t>
  </si>
  <si>
    <t>685</t>
  </si>
  <si>
    <t>Quality Management System</t>
  </si>
  <si>
    <t>C527-129-24</t>
  </si>
  <si>
    <t>IA: MOCs</t>
  </si>
  <si>
    <t>C528-129-24</t>
  </si>
  <si>
    <t>IA: Equipment Management</t>
  </si>
  <si>
    <t>Energy Transfer</t>
  </si>
  <si>
    <t xml:space="preserve">Precision - Instrument Reproducibility - failed GPA 2177-24 reproducibility </t>
  </si>
  <si>
    <t>513</t>
  </si>
  <si>
    <t xml:space="preserve">Precision - Instrument Repeatability - FID passed, TCD failed repeatability. </t>
  </si>
  <si>
    <t xml:space="preserve">Method Noncompliance - Procedure - does not run GPA 2177 before running GPA 2186 method. </t>
  </si>
  <si>
    <t>Method noncompliance - Calibration - does not have proper calibration standards for the method.</t>
  </si>
  <si>
    <t>IA: Clause 7.5 Technical records</t>
  </si>
  <si>
    <t>114</t>
  </si>
  <si>
    <t>IA: D5501 RTs changed without verification</t>
  </si>
  <si>
    <t>C378-197-24</t>
  </si>
  <si>
    <t>IA:  Clause 6.2.5</t>
  </si>
  <si>
    <t>C384-197-24</t>
  </si>
  <si>
    <t>IA:  Clause 7.7.1, 7.7.3</t>
  </si>
  <si>
    <t>115</t>
  </si>
  <si>
    <t>IA: QCs - D5501 chart OOC, delays in data entry</t>
  </si>
  <si>
    <t>C148-125-24</t>
  </si>
  <si>
    <t>Test witnessing</t>
  </si>
  <si>
    <t>420</t>
  </si>
  <si>
    <t>C420-125-24</t>
  </si>
  <si>
    <t>PT Outliers Observed as a Result of Multiple Transcription Errors During Data Entry</t>
  </si>
  <si>
    <t>101</t>
  </si>
  <si>
    <t>C101-150-24</t>
  </si>
  <si>
    <t>Inspector training records</t>
  </si>
  <si>
    <t>102</t>
  </si>
  <si>
    <t>C102-150-24</t>
  </si>
  <si>
    <t>Job File review - traceability of field inspector raw data and final inspection reports, missing JSAs, write overs on field raw data</t>
  </si>
  <si>
    <t>330</t>
  </si>
  <si>
    <t>C330-137-24</t>
  </si>
  <si>
    <t>IA - Safety</t>
  </si>
  <si>
    <t>306</t>
  </si>
  <si>
    <t>IA: Clause 6.4.9, 6.4.10</t>
  </si>
  <si>
    <t>Clause 7.10, No evidence a nonconformance evaluation was performed after balance CA323 was adjusted during re-calibration.</t>
  </si>
  <si>
    <t>Non-compliance with 19 CFR 151.12(f)(3)(iv)( C): Laboratory testing performed by personnel not on approved signatory list and lacking required qualifications.</t>
  </si>
  <si>
    <t>ExxonMobil - Delay release of barges</t>
  </si>
  <si>
    <t>P66 - Lab incorrectly reported freeze point result</t>
  </si>
  <si>
    <t>P66 - Lab failed to timely identify a typo in freeze results despite client requesting recheck. (5 hours delay)</t>
  </si>
  <si>
    <t>IA: Gap in daily probe check thermometer calibration</t>
  </si>
  <si>
    <t>IA: Inspector does not have FIT test</t>
  </si>
  <si>
    <t>488</t>
  </si>
  <si>
    <t>IA: S/Ns for probes listed on tally books do not match final reports</t>
  </si>
  <si>
    <t>C336-137-24</t>
  </si>
  <si>
    <t>331</t>
  </si>
  <si>
    <t>C331-137-24</t>
  </si>
  <si>
    <t>IA - Field Equipment</t>
  </si>
  <si>
    <t>332</t>
  </si>
  <si>
    <t>C332-137-24</t>
  </si>
  <si>
    <t>IA - File Review</t>
  </si>
  <si>
    <t>333</t>
  </si>
  <si>
    <t>C333-137-24</t>
  </si>
  <si>
    <t>IA - Technicial Records</t>
  </si>
  <si>
    <t>C335-137-24</t>
  </si>
  <si>
    <t>IA - QC Chart</t>
  </si>
  <si>
    <t>Lyondell</t>
  </si>
  <si>
    <t>Lyondell - Incorrect dose of inhibitor</t>
  </si>
  <si>
    <t>IA: LQSM Section 10 NCR Procedure</t>
  </si>
  <si>
    <t>282</t>
  </si>
  <si>
    <t>173</t>
  </si>
  <si>
    <t>174</t>
  </si>
  <si>
    <t>IA: LQSM Section 14 and 17</t>
  </si>
  <si>
    <t>442</t>
  </si>
  <si>
    <t>IA: Clause 7.5.2 and 7.8.8</t>
  </si>
  <si>
    <t>Clause 8.5 Management review</t>
  </si>
  <si>
    <t>396</t>
  </si>
  <si>
    <t>Reporting - Criteria: QSM S15 Part 4; LQSM S13 Part 3</t>
  </si>
  <si>
    <t xml:space="preserve">PBF D97 - Discrepancy in load port Barge results vs. barge result at arrival in Los Angeles </t>
  </si>
  <si>
    <t>195</t>
  </si>
  <si>
    <t>Sample Management</t>
  </si>
  <si>
    <t>196</t>
  </si>
  <si>
    <t>Lab Equipment/Reagent status</t>
  </si>
  <si>
    <t>197</t>
  </si>
  <si>
    <t>Lab equipment calibration and verification</t>
  </si>
  <si>
    <t>198</t>
  </si>
  <si>
    <t>Lab reporting</t>
  </si>
  <si>
    <t>199</t>
  </si>
  <si>
    <t>Lab raw data</t>
  </si>
  <si>
    <t>200</t>
  </si>
  <si>
    <t>201</t>
  </si>
  <si>
    <t>MOC</t>
  </si>
  <si>
    <t>Shell - investigate discrepancy between initial and recheck of octane results. D2699/D2700</t>
  </si>
  <si>
    <t>Inspection raw data</t>
  </si>
  <si>
    <t>Belle Chasse, LA</t>
  </si>
  <si>
    <t>490</t>
  </si>
  <si>
    <t>IA: Lab training binders</t>
  </si>
  <si>
    <t>IA: D473 thimble</t>
  </si>
  <si>
    <t>334</t>
  </si>
  <si>
    <t>159</t>
  </si>
  <si>
    <t>IA: Clause 8.7 and 8.8.2</t>
  </si>
  <si>
    <t>C337-137-24</t>
  </si>
  <si>
    <t>IA - Corrective Actions</t>
  </si>
  <si>
    <t>C334-137-24</t>
  </si>
  <si>
    <t>IA - Laboratory Equipment</t>
  </si>
  <si>
    <t>C271-120-24</t>
  </si>
  <si>
    <t>Wrong sampler tube used affecting water content results (Repeat)</t>
  </si>
  <si>
    <t>281</t>
  </si>
  <si>
    <t>IA: No review of QBs by Ops</t>
  </si>
  <si>
    <t>Irving - Missed temp measurements and not gauge to nearest mm</t>
  </si>
  <si>
    <t>310</t>
  </si>
  <si>
    <t>IA: Clause 7.10.1</t>
  </si>
  <si>
    <t>464</t>
  </si>
  <si>
    <t>Clause 7.8.1.2 - Report  included designation (*, !) and
outdated version numbers with no footnotes.</t>
  </si>
  <si>
    <t>Clause 7.5.1 There was no objective evidence of
records associated with method ASTM D5863</t>
  </si>
  <si>
    <t>A2LA P102 T3 Reference Materials when possible - no
evidence of accredited CRM for the most recent calibration for D4815</t>
  </si>
  <si>
    <t>Amended Reports</t>
  </si>
  <si>
    <t>Clause 6.5 Metrological traceability</t>
  </si>
  <si>
    <t>IA: LQSM Section 7 Sample Management (FL 104)</t>
  </si>
  <si>
    <t>Chevron - Quantity deviation from nomination not communicated to client until report was issued</t>
  </si>
  <si>
    <t>IA: QSM Section 14 Purchase Orders missing quality statement</t>
  </si>
  <si>
    <t>IA: LQSM Section 18 LSOP-1 not signed, Section 13 Training Records</t>
  </si>
  <si>
    <t>IA: LQSM Section 15 Lab equipment calibration records</t>
  </si>
  <si>
    <t>Delay in investigating EPA Outliers</t>
  </si>
  <si>
    <t>IA: Clause: 6.4.4</t>
  </si>
  <si>
    <t>IA: Clause 7.4.1 and 7.4.2</t>
  </si>
  <si>
    <t>443</t>
  </si>
  <si>
    <t>207</t>
  </si>
  <si>
    <t>Job file review</t>
  </si>
  <si>
    <t>Albany, NY</t>
  </si>
  <si>
    <t>056</t>
  </si>
  <si>
    <t>IA: No record of FL 103 weekly waste checklist being completed</t>
  </si>
  <si>
    <t>057</t>
  </si>
  <si>
    <t>421</t>
  </si>
  <si>
    <t>IA: QSM Section 15 Ops ranscription errors and writeovers</t>
  </si>
  <si>
    <t>502</t>
  </si>
  <si>
    <t>IA: LQSM Section 14 TMAs</t>
  </si>
  <si>
    <t>IA: LQSM Section 17 Reference material / raw data traceability</t>
  </si>
  <si>
    <t>IA: QSM Section 27 Inspection equipment</t>
  </si>
  <si>
    <t>IA: LQSM Section 15 Calibrations / Veriifications</t>
  </si>
  <si>
    <t>IA: LQSM Section 14 Method Deviations</t>
  </si>
  <si>
    <t>IA: LQSM Section 16 SQCs</t>
  </si>
  <si>
    <t>126</t>
  </si>
  <si>
    <t>IA: QSM Section 15 Writeovers and no review of QBs</t>
  </si>
  <si>
    <t>495</t>
  </si>
  <si>
    <t>IA: QSM Section 27 Inspection Equipment</t>
  </si>
  <si>
    <t>IA: QSM Section 28 Inspector TRBs</t>
  </si>
  <si>
    <t>IA: Expired checmical</t>
  </si>
  <si>
    <t>Clause 6.5.2 - D6550 Reference material used was not accredited</t>
  </si>
  <si>
    <t>A2LA Policy R103 Section PT8 - No evidencec of a corrective action developed for the D1500 result in DF22506 program (0.28% agree)</t>
  </si>
  <si>
    <t>Clause 7.8.3.1 - Report do not include procedure used for D86</t>
  </si>
  <si>
    <t>Clause 7.5.1 - No evidence of technical records for Time specifications and temperature (D6560, D3279, D381, D1319, D4815, D5580)</t>
  </si>
  <si>
    <t>Clause 6.4.4 - D93 temperature probe was expired</t>
  </si>
  <si>
    <t>Clause 6.2.3 and 6.2.5</t>
  </si>
  <si>
    <t>Clause 6.4.4 and 6.4.5</t>
  </si>
  <si>
    <t>Clause 6.4.10</t>
  </si>
  <si>
    <t>Clause 6.5.2</t>
  </si>
  <si>
    <t>Clause 7.2.1.7</t>
  </si>
  <si>
    <t>Clause 7.4.2</t>
  </si>
  <si>
    <t>Clause 7.5.1</t>
  </si>
  <si>
    <t>Clause 7.8.1.2</t>
  </si>
  <si>
    <t>Clause 8.3.2f and QSM Section 22</t>
  </si>
  <si>
    <t>IA: Quality Bulletin QB-00028 (INSCAL-06 Rev 4.5)</t>
  </si>
  <si>
    <t>IA: QSM Section 27 Inspection Equipment (H2S Cylinder)</t>
  </si>
  <si>
    <t>IA: QSM Section 28 Inspector training records</t>
  </si>
  <si>
    <t>IA: APP-NAM-015A AmSpec SPC QC schedule</t>
  </si>
  <si>
    <t>523</t>
  </si>
  <si>
    <t>IA: LQSM Section 16 QC violations</t>
  </si>
  <si>
    <t>524</t>
  </si>
  <si>
    <t>IA: QSM Section 15 Reporting</t>
  </si>
  <si>
    <t>WI-GLB-001-01 - CQI not submitted</t>
  </si>
  <si>
    <t>QSM Section 15 - Process control</t>
  </si>
  <si>
    <t>CQP 002 - Controlled documents</t>
  </si>
  <si>
    <t>LQSM Section 7 - SR1s</t>
  </si>
  <si>
    <t>WI-NAM-014-01 - Inspection Equipment</t>
  </si>
  <si>
    <t>Collins (Purvis), MS</t>
  </si>
  <si>
    <t>458</t>
  </si>
  <si>
    <t>459</t>
  </si>
  <si>
    <t>IA: LQSM Section 15 - Equipment Calibrations</t>
  </si>
  <si>
    <t>460</t>
  </si>
  <si>
    <t>IA: LQSM Section 17 - Reference Material Traceability</t>
  </si>
  <si>
    <t>461</t>
  </si>
  <si>
    <t>069</t>
  </si>
  <si>
    <t>IA: Clause 6.2.3</t>
  </si>
  <si>
    <t>078</t>
  </si>
  <si>
    <t>IA: Clause 8.7.1.a</t>
  </si>
  <si>
    <t>Review - Criteria: QSM S17 Part 5</t>
  </si>
  <si>
    <t xml:space="preserve">IA: No record of review of QB-00027, -00028, -00029, -00029a, -00030 and TB-00114 (gauging). </t>
  </si>
  <si>
    <t>Ka</t>
  </si>
  <si>
    <t>392</t>
  </si>
  <si>
    <t>IA: Standard not being recorded on gauge tickets for probe check</t>
  </si>
  <si>
    <t>393</t>
  </si>
  <si>
    <t>IA: Branch using obsolete versions of forms</t>
  </si>
  <si>
    <t>138</t>
  </si>
  <si>
    <t>QC</t>
  </si>
  <si>
    <t>525</t>
  </si>
  <si>
    <t>IA: Controlled documents</t>
  </si>
  <si>
    <t>526</t>
  </si>
  <si>
    <t>IA: Test method witnessing for D5191</t>
  </si>
  <si>
    <t>527</t>
  </si>
  <si>
    <t>IA: QC charts</t>
  </si>
  <si>
    <t>288</t>
  </si>
  <si>
    <t>IA: Clause 6.4.5</t>
  </si>
  <si>
    <t>290</t>
  </si>
  <si>
    <t>291</t>
  </si>
  <si>
    <t xml:space="preserve">IA: Clause 6.2.2 and 6.2.5 </t>
  </si>
  <si>
    <t>IA: Clause 7.6</t>
  </si>
  <si>
    <t>372</t>
  </si>
  <si>
    <t>IA: Clause 7.7.2a</t>
  </si>
  <si>
    <t>IA: Clause 7.8.2</t>
  </si>
  <si>
    <t>340</t>
  </si>
  <si>
    <t>Vendor in use is not approved for the QAVL</t>
  </si>
  <si>
    <t>341</t>
  </si>
  <si>
    <t>Laboratory Training records not properly documented</t>
  </si>
  <si>
    <t>208</t>
  </si>
  <si>
    <t>209</t>
  </si>
  <si>
    <t>Shell - SQC - No procedure provided covering the validation of released data between in-control and out of control Accuracy/Precision charts.</t>
  </si>
  <si>
    <t>Shell - Proficiency Testing Zscore monitoring, Site has 10 
Site has 10, 3 Z-Score failures in the ASTM RFG program for 2025.</t>
  </si>
  <si>
    <t>Shell - Specification Management - Spec limit missing, tests substituted with no documentation, and incompatible spec on
CoA.</t>
  </si>
  <si>
    <t xml:space="preserve">Shell - Training and Competence -Training is not well documented. </t>
  </si>
  <si>
    <t>Shell - Technical records D86, D5580, D5453, D4815, D5769 corr.</t>
  </si>
  <si>
    <t>Shell - Job file review - No EPA Homogeneity sheet in the file</t>
  </si>
  <si>
    <t>Shell - Sampling and sample management - Inspector sampling witnessing</t>
  </si>
  <si>
    <t>PBF - D445 and D4052 discrepancy between ST and VTC results</t>
  </si>
  <si>
    <t>IA: Method Deviation ASTM D1838</t>
  </si>
  <si>
    <t>IA: Method deviation ASTM D6667</t>
  </si>
  <si>
    <t>224</t>
  </si>
  <si>
    <t>Valero - Reported off spec drivability index without notifying the client.</t>
  </si>
  <si>
    <t>IA: QSM Section 15 - MFDB not signed / inspector writeovers, JSA not completed</t>
  </si>
  <si>
    <t>IA: QSM Section 28 - RFA not completed</t>
  </si>
  <si>
    <t>401</t>
  </si>
  <si>
    <t>IA: Clause 7.5.1 and LQSM Sec 8.8</t>
  </si>
  <si>
    <t>402</t>
  </si>
  <si>
    <t>IA: File review (Ops eqt S/Ns on raw data do not match final reports)</t>
  </si>
  <si>
    <t>Clause 7.4.4 and 7.5.1 - D1319, D5599/D5769, D3241, D3237</t>
  </si>
  <si>
    <t>Minot, ND</t>
  </si>
  <si>
    <t>Missing Sample ID and incomplete job file</t>
  </si>
  <si>
    <t>Samples not tagged, no FL 103</t>
  </si>
  <si>
    <t>447</t>
  </si>
  <si>
    <t>No review of QB and TB</t>
  </si>
  <si>
    <t>Non equipmnety MOC, FL15.1 not updated</t>
  </si>
  <si>
    <t>Test method deviation</t>
  </si>
  <si>
    <t>Checmical expired, no expiration date</t>
  </si>
  <si>
    <t>lab</t>
  </si>
  <si>
    <t>452</t>
  </si>
  <si>
    <t>453</t>
  </si>
  <si>
    <t>Lab Training</t>
  </si>
  <si>
    <t>IA: Clauses 6.4.6, 6.4.7, 6.4.11 - Lab Equipment</t>
  </si>
  <si>
    <t>Clause 6.4 Lab equipment</t>
  </si>
  <si>
    <t>329</t>
  </si>
  <si>
    <t>Clause 7.7 Validity of results</t>
  </si>
  <si>
    <t>Clause 7.10 Nonconforming results</t>
  </si>
  <si>
    <t>342</t>
  </si>
  <si>
    <t>PBF - Wrong submitted sample</t>
  </si>
  <si>
    <t>PBF - Transcription error</t>
  </si>
  <si>
    <t>PBF - Difference in reporting</t>
  </si>
  <si>
    <t>242</t>
  </si>
  <si>
    <t>247</t>
  </si>
  <si>
    <t>164</t>
  </si>
  <si>
    <t>PO</t>
  </si>
  <si>
    <t>Misc</t>
  </si>
  <si>
    <t>QB-00019A</t>
  </si>
  <si>
    <t>QSM S27.3.e.i</t>
  </si>
  <si>
    <t>QSM S28.5</t>
  </si>
  <si>
    <t>ISO 17025 Clause 7.11.6</t>
  </si>
  <si>
    <t>ISO 17025 Clause 6.5</t>
  </si>
  <si>
    <t>ISO 17025 Clause 6.4.13</t>
  </si>
  <si>
    <t>ISO 17025 Clause 7.7</t>
  </si>
  <si>
    <t>ISO 17025 Clause 6.4.9</t>
  </si>
  <si>
    <t>ISO 17025 Clause 7.5</t>
  </si>
  <si>
    <t>C372-144-24</t>
  </si>
  <si>
    <t>259</t>
  </si>
  <si>
    <t>During an external assessment of PBMS related requirements, it was observed that QC chart maintenance and response practices did not fully align with the expectations and best practices outlined in AmSpec LQSM Section 16, ASTM D6299 or 40 CFR Part 1090.</t>
  </si>
  <si>
    <t>IA: Test witnessing (D2622, D6423)</t>
  </si>
  <si>
    <t>364</t>
  </si>
  <si>
    <t>365</t>
  </si>
  <si>
    <t>IA: Lab equipment records</t>
  </si>
  <si>
    <t>366</t>
  </si>
  <si>
    <t>IA: Amended COAs</t>
  </si>
  <si>
    <t>IA: Job file review</t>
  </si>
  <si>
    <t>Wrong tank samples on vessel</t>
  </si>
  <si>
    <t>Inspector did not sample crude oil tanks on open guage</t>
  </si>
  <si>
    <t>Irving Oil - Sampler tape failed resulting in tape and sample tube being lost in the vessels tank</t>
  </si>
  <si>
    <t xml:space="preserve">Irving Oil requirement to have a shore tank gauged Sunday mid-night. This was not completed. </t>
  </si>
  <si>
    <t>IA: Appendix 15B balance verifications</t>
  </si>
  <si>
    <t>IA: LQSM S17 - raw data records</t>
  </si>
  <si>
    <t>IA: LQSM S14 - Test method deviations</t>
  </si>
  <si>
    <t>IA: LQSM S16 - QC and QC charts</t>
  </si>
  <si>
    <t>IA: LQSM S13 - training for D2699/D2700</t>
  </si>
  <si>
    <t xml:space="preserve">IA: QSM S15 - file review </t>
  </si>
  <si>
    <t>295</t>
  </si>
  <si>
    <t>IA: TMAs not completed, no schedule</t>
  </si>
  <si>
    <t>293</t>
  </si>
  <si>
    <t>IA: CARs from 2023 and 2024 IA not completed</t>
  </si>
  <si>
    <t>IA: MOC not completed</t>
  </si>
  <si>
    <t>296</t>
  </si>
  <si>
    <t>297</t>
  </si>
  <si>
    <t>IA: Equipment calibrations / verifications</t>
  </si>
  <si>
    <t>298</t>
  </si>
  <si>
    <t xml:space="preserve">IA: Expired chemical  </t>
  </si>
  <si>
    <t>IA: D445 wrong constant used</t>
  </si>
  <si>
    <t>300</t>
  </si>
  <si>
    <t>IA: QC charts not done (D5453 &amp; D93)</t>
  </si>
  <si>
    <t>249</t>
  </si>
  <si>
    <t>Lab Equipment - Cal/Ver/Main</t>
  </si>
  <si>
    <t>250</t>
  </si>
  <si>
    <t>In-house solutions and prep records</t>
  </si>
  <si>
    <t>252</t>
  </si>
  <si>
    <t>Inspector training binders</t>
  </si>
  <si>
    <t>149</t>
  </si>
  <si>
    <t>C529-129-24</t>
  </si>
  <si>
    <t>C530-129-24</t>
  </si>
  <si>
    <t>IA: Training Records</t>
  </si>
  <si>
    <t>IA: AMCS not on QAVL</t>
  </si>
  <si>
    <t>IA: Traning records for D. Drew not properly documented</t>
  </si>
  <si>
    <t>258</t>
  </si>
  <si>
    <t>CARs more than 90 days overdue at end of each month</t>
  </si>
  <si>
    <t>(Multiple Items)</t>
  </si>
  <si>
    <t>(All)</t>
  </si>
  <si>
    <t>Row Labels</t>
  </si>
  <si>
    <t>Average of Days open if not closed</t>
  </si>
  <si>
    <t>Average of Days to close</t>
  </si>
  <si>
    <t>Count of CAR #</t>
  </si>
  <si>
    <t>Grand Total</t>
  </si>
  <si>
    <t>Using data as of Feb 24, 2026</t>
  </si>
  <si>
    <t>Los Angeles, CA</t>
  </si>
  <si>
    <t>San Francisco, CA</t>
  </si>
  <si>
    <t>Bellingham, WA</t>
  </si>
  <si>
    <t>PTOs</t>
  </si>
  <si>
    <t>CARs</t>
  </si>
  <si>
    <t>Combined PTO &amp; CAR</t>
  </si>
  <si>
    <t># Closed</t>
  </si>
  <si>
    <t>Average days to close</t>
  </si>
  <si>
    <t># open past 90 days</t>
  </si>
  <si>
    <t>-</t>
  </si>
  <si>
    <t>Totals</t>
  </si>
  <si>
    <t>PTO #</t>
  </si>
  <si>
    <r>
      <t xml:space="preserve">BRIEF DESCRIPTION OF NC
</t>
    </r>
    <r>
      <rPr>
        <i/>
        <sz val="11"/>
        <color theme="1"/>
        <rFont val="Aptos Narrow"/>
        <family val="2"/>
        <scheme val="minor"/>
      </rPr>
      <t>if VOID:  "VOID, Location,  
details (initials, date)"</t>
    </r>
  </si>
  <si>
    <t>PT Program</t>
  </si>
  <si>
    <t>Parameter (s)</t>
  </si>
  <si>
    <t>Z-score (s)</t>
  </si>
  <si>
    <t>PTO initialized date</t>
  </si>
  <si>
    <t>Notes</t>
  </si>
  <si>
    <t>Number (for sorting)</t>
  </si>
  <si>
    <t>1191</t>
  </si>
  <si>
    <t>PT: RFG2410; D8071 - HC Type, Naphthalene, GC-VUV, Z-Score = 2783.33</t>
  </si>
  <si>
    <t>Confirmed Transcription Error.</t>
  </si>
  <si>
    <t>PT: CO2303; D4928 - Water, Coulometric KF, Z-Score = -5.41</t>
  </si>
  <si>
    <t>CO</t>
  </si>
  <si>
    <t>D4928 - Water, Coulometric KF</t>
  </si>
  <si>
    <t>PT: RFG2306; D4052 - Density, Digital, 15 °C, Z-Score = 6.89</t>
  </si>
  <si>
    <t>RFG</t>
  </si>
  <si>
    <t>D4052 - Density</t>
  </si>
  <si>
    <t>ECo</t>
  </si>
  <si>
    <t>PT: RFG2306; D5769 - Benzene &amp; Toluene, by GC/MS (EPA), Z-Scores = 2.34 &amp; 3.06</t>
  </si>
  <si>
    <t>D5769 - GC/MS</t>
  </si>
  <si>
    <t>2.34 &amp; 3.06</t>
  </si>
  <si>
    <t>PT: JF2303; D4294 - Sulfur, by EDXRF, Z-Score = 4.90</t>
  </si>
  <si>
    <t>JF</t>
  </si>
  <si>
    <t>D4294 - Sulfur</t>
  </si>
  <si>
    <t>PT: DF22306; D5186 - HC Type, by SFC, Mono Aromatics &amp; PAH, Z-Scores = -6.86 &amp; 4.61</t>
  </si>
  <si>
    <t>DF2</t>
  </si>
  <si>
    <t>D5186 - HC Type, by SFC</t>
  </si>
  <si>
    <t>-6.86 &amp; 4.61</t>
  </si>
  <si>
    <t>PT: TM11C-23; D2700 - Motor Octane Number, Z-Score = -3.72</t>
  </si>
  <si>
    <t>TRG</t>
  </si>
  <si>
    <t>D2700 - Motor Octane Number</t>
  </si>
  <si>
    <t>PT: MG2304; D3227 - Mercaptan Sulfur, Potentiometric, Z-Score = 3.44</t>
  </si>
  <si>
    <t>MG</t>
  </si>
  <si>
    <t>D3227 - Mercaptan Sulfur</t>
  </si>
  <si>
    <t>PT: CO2303; D445 - Viscosity, Kinematic, 40 °C, Z-Score = -30.93</t>
  </si>
  <si>
    <t>D445 - Viscosity</t>
  </si>
  <si>
    <t xml:space="preserve">PT: RFG2306; D5580 - C9 + Aromatics &amp; Total Aromatics, by GC, Z-Score = -6.89 &amp; -2.89 </t>
  </si>
  <si>
    <t>D5580 - Aromatics, by GC</t>
  </si>
  <si>
    <t>-6.89 &amp; -2.89</t>
  </si>
  <si>
    <t>PT: MG2304; D5580 - Aromatics, C9 plus &amp; Total, by GC, Z-Score = 26.11 &amp; -37.65</t>
  </si>
  <si>
    <t>D5580 - Aromatics</t>
  </si>
  <si>
    <t>26.11 &amp; -37.65</t>
  </si>
  <si>
    <t>PT: DF22306; D482 - Ash, Z-Score = 6.24</t>
  </si>
  <si>
    <t>D482 - Ash</t>
  </si>
  <si>
    <t>VV/HM</t>
  </si>
  <si>
    <t>PT: TM06-23; RVP, Z-Score = -10.27</t>
  </si>
  <si>
    <t>RVP</t>
  </si>
  <si>
    <t>-10.27</t>
  </si>
  <si>
    <t>PT: CO2303; D4006 - Water, by Distillation</t>
  </si>
  <si>
    <t>D4006 - Water, by Distillation</t>
  </si>
  <si>
    <t>PT: JF2303; D1840 - Napthalenes, by UVS, Proc B, Z-Score = -10.01</t>
  </si>
  <si>
    <t>D1840 - Napthalenes, by UVS, Proc B</t>
  </si>
  <si>
    <t>PT: JF2303; D1322 - Smoke Point, Man, Z-Score = 3.43</t>
  </si>
  <si>
    <t>D1322 - Smoke Point, Man</t>
  </si>
  <si>
    <t>PT: RFG2308; D1319 - HC Type, Aromatics, Oxy-Free, Aromatics, Oxy-Free (EPA), Olefins, Oxy-Free, &amp; Olefins, Oxy-Free (EPA), Z-Scores = -6.76, -5.82, 12.44, &amp; 11.99</t>
  </si>
  <si>
    <t>D1319 - HC Type</t>
  </si>
  <si>
    <t>-6.76, -5.82, 12.44, &amp; 11.99</t>
  </si>
  <si>
    <t>PT: R-1341; D2699 - Research Octane Number, Z-Score = 4.29</t>
  </si>
  <si>
    <t>NEG-MG</t>
  </si>
  <si>
    <t>D2699 - Research Octane Number</t>
  </si>
  <si>
    <t>PT: JF2303; D93 - Flash Point, PMCC, Proc A, corrected</t>
  </si>
  <si>
    <t>D93 - Flash Point</t>
  </si>
  <si>
    <t>PT: DF22306; D2500 - Cloud Point, Z-Score = 3.00</t>
  </si>
  <si>
    <t>D2500 - Cloud Point</t>
  </si>
  <si>
    <t>1401</t>
  </si>
  <si>
    <t>PT: CE523; D4815 - Oxygenates, Total Oxyen, Z-Score = 67.30</t>
  </si>
  <si>
    <t>PT: ETOH2308; D7319 - Sulfate, Existent, by DI-IC</t>
  </si>
  <si>
    <t xml:space="preserve">Meets both the precision performance and reproducibility criteria. </t>
  </si>
  <si>
    <t>PT: ETOH2308; D7319 - Chloride, Inorganic, &amp; Sulfate, Existent, by DI-IC</t>
  </si>
  <si>
    <t>PT: CE511; D5453 - Sulfur, by UVF</t>
  </si>
  <si>
    <t>PT: F62305; D95 - Water, by Distillation, Z-Score = -2.42</t>
  </si>
  <si>
    <t>F6</t>
  </si>
  <si>
    <t>-2.42</t>
  </si>
  <si>
    <t>PT: CE512; D86 - Distillation, Auto, 30%, 40%, 50%, &amp; E200</t>
  </si>
  <si>
    <t>2.28, 2.38, 2.01, &amp; -2.52</t>
  </si>
  <si>
    <t>PT: CE512; D4052 - API,</t>
  </si>
  <si>
    <t>PT: CE512; D86 - Distillation, Auto, 95%, Recovery, &amp; Residue</t>
  </si>
  <si>
    <t>-2.01, 2.13, &amp; -2.31</t>
  </si>
  <si>
    <t>PT: CE512; D5580 - C9+ Aromatics,</t>
  </si>
  <si>
    <t>PT: CE512; D2699 - Research Octane Number</t>
  </si>
  <si>
    <t>PT: CE511; D86 - Distillation, Auto, 20% , Z-Score = 3.46</t>
  </si>
  <si>
    <t>PT: CE512; D2699 - Research Octane Number, Z-Score = 2.45</t>
  </si>
  <si>
    <t>PT: RFG2309; D4052 - Density, Digital, 15 °C</t>
  </si>
  <si>
    <t>PT: RFG2309; D86 - Distillation, Auto, 50%, 60%, 70%, 80%,°F, E200, E300, &amp; Resid, % (EPA)</t>
  </si>
  <si>
    <t>Multiple Outliers</t>
  </si>
  <si>
    <t>PT: RFG2309; D86 - Distillation, Auto, 20%°F (EPA)</t>
  </si>
  <si>
    <t>PT: RFG2309; D5769 - Toluene, by GC/MS</t>
  </si>
  <si>
    <t>PT: RFG2309; D86 - Distillation, Auto, 90%°F (EPA)</t>
  </si>
  <si>
    <t>PT: RFG2309; D86 - Distillation, Auto, 95% &amp; 95%,°F (EPA), &amp; E300 %</t>
  </si>
  <si>
    <t>-2.36, -2.41, &amp; 2.10</t>
  </si>
  <si>
    <t>PT: RFG2309; D3606-20e1 &amp; D3606-22; Benzene, by GC, Proc B (EPA) &amp; Benzene, by GC, Proc B</t>
  </si>
  <si>
    <t>2.37 &amp; 2.12</t>
  </si>
  <si>
    <t>PT: RFG2309; D5191 - Vapor Pressure, TVP, 1L &amp; Vapor Pressure, TVP, 1L (EPA) , Z-Scores = -2.01 &amp; -2.04</t>
  </si>
  <si>
    <t>2.01 &amp; -2.04</t>
  </si>
  <si>
    <t>2.72 &amp; 2.43</t>
  </si>
  <si>
    <t>2.23 &amp; 2.58</t>
  </si>
  <si>
    <t>PT: RFG2309; D86 - Distillation, Auto, 70%°F (EPA)</t>
  </si>
  <si>
    <t>PT: RFG2309; D3606-22; Benzene, by GC, Proc B</t>
  </si>
  <si>
    <t>-2.22</t>
  </si>
  <si>
    <t>PT: RFG2309; D86 - Distillation, Auto, 70% &amp; Distillation, Auto, 70%, &amp; 80% °F (EPA)</t>
  </si>
  <si>
    <t>2.04, 2.13, &amp; 2.13</t>
  </si>
  <si>
    <t>PT: CO2307; D5708 - Element, Nickel, ICPAES, Method A</t>
  </si>
  <si>
    <t>PT: CO2307; D664 - Acid Number, A, 60 mL, inflection EP</t>
  </si>
  <si>
    <t>PT: CO2307; D5708 - Element, Vanadium, ICPAES, Method A</t>
  </si>
  <si>
    <t xml:space="preserve">PT: CO2307; D6377 - Vapor Pressure, Crude Oil, Expansion Method </t>
  </si>
  <si>
    <t>PT: CO2307; D4006 - Water,by Distillation</t>
  </si>
  <si>
    <t>PT: CO2307: D4928 - Water, Coulometric KF, Z-Score = -2.82</t>
  </si>
  <si>
    <t>PT: CO2307; D97 - Pour Point, residual fuels</t>
  </si>
  <si>
    <t>PT: OC2308; D2699 - Research Octane Number</t>
  </si>
  <si>
    <t>PT: OC2308; D1319 - Hydrocarbon Type D1319, Oxy-free - Aromatics</t>
  </si>
  <si>
    <t>PT: OC2308; Vapor Pressure DVPE</t>
  </si>
  <si>
    <t>Vapor Pressure</t>
  </si>
  <si>
    <t>PT: LPG2307; D2163 - Hydrocarbons, Propane</t>
  </si>
  <si>
    <t>PT: BIOD2308; EN 14538 - Elements, Na + K, by ICP/OES</t>
  </si>
  <si>
    <t>PT: BIOD2308; EN 14103 - FAME (ester), Total, Z-Score = -33.25</t>
  </si>
  <si>
    <t>PT: CO2307; D7169 - BP Dist by HT-GC, IBP - FBP Z-Scores =  Multiple Outliers</t>
  </si>
  <si>
    <t>Multiple</t>
  </si>
  <si>
    <t>PT: OC2308; D86 - Distillation, IBP, 10%, 50%, 90%, &amp; FBP, Z-Scores = 15.34, 21.15, 34.31, 27.07, &amp; 46.27</t>
  </si>
  <si>
    <t>15.34, 21.15, 34.31, 27.07, &amp; 46.27</t>
  </si>
  <si>
    <t>PT: CO2307; D1298 - API Gravity, Hydrometer, Opaque, at 15 °C, Z-Score =  -235.50</t>
  </si>
  <si>
    <t>PT: RFG2309; D7039 - Sulfur, by MWDXRF, Z-Score =  -3.30</t>
  </si>
  <si>
    <t>PT: CO2307; D473 - Sediment, Z-Score =  4.35</t>
  </si>
  <si>
    <t>PT: BIOD2308; D5453 - Sulfur, by UVF, Z-Score = 3.59</t>
  </si>
  <si>
    <t>PT: CE511; D5188 - V/L Temp, Z-Score = -2.50</t>
  </si>
  <si>
    <t>LJ</t>
  </si>
  <si>
    <t>PT: RFG2309; D1319 - HC Type, Olefins, Corrected (EPA), Z-Score = -2.14</t>
  </si>
  <si>
    <t>PT: RFG2309; D6550 - HC Type, Olefins, by SFC, Z-Score = -2.86</t>
  </si>
  <si>
    <t>PT: CO2307: D4530 - Carbon Residue, Micro, Z-Score = -2.25</t>
  </si>
  <si>
    <t>PT: CO2307; D5002 - Density, digital, 15 °C, Z-Score =  -3.27</t>
  </si>
  <si>
    <t>PT: CET2310; D86 - Distillation, Auto, 90% &amp; Recov%</t>
  </si>
  <si>
    <t>2.05 &amp; -2.32</t>
  </si>
  <si>
    <t>PT: CET2310; Multiple Methods and Outliers</t>
  </si>
  <si>
    <t>Multiple Methods</t>
  </si>
  <si>
    <t>Mulitple Outliers</t>
  </si>
  <si>
    <t>Confirmed transcription error. Wrong sample ran and reported.</t>
  </si>
  <si>
    <t>PT: CET2310; D4052 - Density, Digital, 15 °C</t>
  </si>
  <si>
    <t>PT: CET2310; D445 - Viscosity, Kinematic, 40 °C, Z-Score = 6.26</t>
  </si>
  <si>
    <t>PT: ETOH2308; D5501 - Methanol, By GC, Z-Score = 2.92</t>
  </si>
  <si>
    <t>PT: RFG2309: D6839 - HC Type/Oxy, Olefins, by M-D GC, Z-Score = 2.27</t>
  </si>
  <si>
    <t>Consolidated with PTO289-165-23.</t>
  </si>
  <si>
    <t>PT: ETOH2308; D6423 - pHe, Z-Score = 2.16</t>
  </si>
  <si>
    <t>PT: CET2310; D86 - Distillation, Auto, IBP - FBP, Z-Scores = Multiple Outliers</t>
  </si>
  <si>
    <t>PT: BIOD2308; D664 - Acid Number, Potentiometric B, Z-Score = -2.41</t>
  </si>
  <si>
    <t>PT: CET2310; D93 - Flash Point, PMCC, Proc A, corrected, Z-Score = 2.46</t>
  </si>
  <si>
    <t>Sample Handling. See PTO101-170-24 for more information.</t>
  </si>
  <si>
    <t>PT: CET2310; D2622 - Sulfur by WDXRF, Z-Score = 2.25</t>
  </si>
  <si>
    <t>PT: CET2310; D1319 - HC Type, Aromatics &amp; Saturates, Oxy-Free</t>
  </si>
  <si>
    <t>2.38 &amp; -2.12</t>
  </si>
  <si>
    <t>PT: ETOH2308; E1064 - Water, by Coul KF, Z-Score = -6.31</t>
  </si>
  <si>
    <t xml:space="preserve">PT: RFG2309; D1319-19 - HC Type, Aromatics, Oxy-Free (EPA), Z-Score = 2.39, D1319-20a - HC Type, Aromatics &amp; Saturates, Oxy-Free, Z-Scores = 2.37 &amp; -2.31 </t>
  </si>
  <si>
    <t>2.39, 2.37, &amp; -2.31</t>
  </si>
  <si>
    <t>PT: RFG2309; D5580 - C9+ Aromatics, Total Aromatics, Benzene, &amp; Toluene, Z-Scores =  -9.83, -14.91, -9.01, &amp; -15.72</t>
  </si>
  <si>
    <t>-9.83, -14.91, -9.01, &amp;-15.72</t>
  </si>
  <si>
    <t>PT: RFG2309; D86 - Distillation, Auto, 40% &amp; 40%, oF (EPA), Z-Scores = 5.84 &amp; 5.60</t>
  </si>
  <si>
    <t>5.84 &amp; 5.60</t>
  </si>
  <si>
    <t>PT: RFG2309: D5191 - Vapor Pressure, DVPE, 1L (EPA), Z-Score = 2.16</t>
  </si>
  <si>
    <t>PT: CO2307; D4007 - Water and Sediment, Centrifuge, Z-Score =  4.29</t>
  </si>
  <si>
    <t>PT: CO2307: D4294 - Sulfur, by EDXRF, Z-Score = -2.19</t>
  </si>
  <si>
    <t>-2.19</t>
  </si>
  <si>
    <t>PT: LPG2307; D6667 - Sulfur in LPG by UVF, Z-Score = -2.02</t>
  </si>
  <si>
    <t>PT: RFG2309; D86 - Distillation, Auto, % Resid (EPA), Z-Score = -3.00</t>
  </si>
  <si>
    <t>PT: ETOH2308; D5453 - Sulfur, by UVF, Z-Score = 3.21</t>
  </si>
  <si>
    <t>PT: CO2307; D4807 - Sediment, Z-Score =  4.17</t>
  </si>
  <si>
    <t>PT: OC2308; D2699 - Research Octane Number, Z-Score = -3.57</t>
  </si>
  <si>
    <t>PT: OC2308; D2700 - Motor Octane Number, Z-Score = -2.74</t>
  </si>
  <si>
    <t>PT: CE512; D86 - Distillation, Auto, 80% , Z-Score = -6.32</t>
  </si>
  <si>
    <t>-6.32</t>
  </si>
  <si>
    <t>PT: RFG2309; D1319 - HC Type, Olefins, Corrected, Z-Score = 11.44</t>
  </si>
  <si>
    <t>PT: JF2307; D6379 - HC Type by HPLC, Di-aromatics, Total Aromatics, &amp; Mono-Aromatics, Z-Scores = 20.71, 4.86, &amp; 2.90</t>
  </si>
  <si>
    <t>20.71, 4.86, &amp; 2.90</t>
  </si>
  <si>
    <t>PT: JF2307; D3338 - Net Heat of Combustion, Z-Score = -2.94</t>
  </si>
  <si>
    <t>PT: JF2307; D2622 - Sulfur by WDXRF, Z-Score = -8.25</t>
  </si>
  <si>
    <t>PT: JF2307; D3948 - Water Separation, by Portable Sep, Z-Score = -5.90</t>
  </si>
  <si>
    <t>PT: JF2307; D86 - Distillation, Auto, 5% - 80%, FBP, &amp; % Resid</t>
  </si>
  <si>
    <t>PT: JF2307; D6379 - HC Type by HPLC, Di-aromatics, Z-Score = 23.79</t>
  </si>
  <si>
    <t>PT: JF2307; D4294 - Sulfur, by EDXRF</t>
  </si>
  <si>
    <t>Meets both the precision performance and reproducibility criteria.</t>
  </si>
  <si>
    <t>PT: JF2307; D1322 - Smoke Point, Auto, Z-Score = -7.84</t>
  </si>
  <si>
    <t>-7.84</t>
  </si>
  <si>
    <t>PT: CO2307; D445 - Viscosity, Kinematic, 40 °C, Z-Score =  4.93</t>
  </si>
  <si>
    <t>PT: OC2308; Sulfur Content, Z-Score = 3.05</t>
  </si>
  <si>
    <t>PT: RFG2310; D86 - Distillation, Auto, 50%, °F (EPA)</t>
  </si>
  <si>
    <t>PT: RFG2310; D4815 - Oxygenates, Ethanol, by GC</t>
  </si>
  <si>
    <t>PT: RFG2310; D5580 - Toluene, by GC</t>
  </si>
  <si>
    <t>-2.15</t>
  </si>
  <si>
    <t>PT: RFG2310; D86 - Distillation, Auto, E200 &amp; E300, °F (EPA)</t>
  </si>
  <si>
    <t>-2.77 &amp; -2.59</t>
  </si>
  <si>
    <t>PT: RFG2310; D86 - Distillation, Auto, E300, °F (EPA)</t>
  </si>
  <si>
    <t>-2.04</t>
  </si>
  <si>
    <t>PT: RFG2310; D5453 - Sulfur, by UVF</t>
  </si>
  <si>
    <t>PT: RFG2310; D86 - Distillation, Auto, 90% &amp; 90%, °F (EPA), Z-Scores = -4.46 &amp; -2.80</t>
  </si>
  <si>
    <t>-4.46 &amp; -2.80</t>
  </si>
  <si>
    <t>PT: JF2307; D2622 - Sulfur by WDXRF, Z-Score = -2.14</t>
  </si>
  <si>
    <t>PT: CO2307: D473 - Sediment, Z-Score = 2.32</t>
  </si>
  <si>
    <t>PT: RFG2310; D4815 - Oxygenates, Oxygen, Total, by GC, Z-Score = -38.88</t>
  </si>
  <si>
    <t>-38.88</t>
  </si>
  <si>
    <t>PT: RFG2310; D5191 - Vapor Pressure, TVP, 1L (EPA), Z-Score = -12.07</t>
  </si>
  <si>
    <t>-12.07</t>
  </si>
  <si>
    <t>PT: RFG2310; D4815 - Oxygenates, Oxygen, Total, by GC, Z-Score = -36.53</t>
  </si>
  <si>
    <t>-36.53</t>
  </si>
  <si>
    <t>PT: RFG2310; D3606 - Toluene, by GC, Proc B &amp; (EPA), Z-Scores = -2.73 &amp; -2.20</t>
  </si>
  <si>
    <t>2.73 &amp; -2.20</t>
  </si>
  <si>
    <t>PT: MG2308; D6550 - HC Type, Olefins, by SFC</t>
  </si>
  <si>
    <t>PT: MG2308; D86 - Distillation, Auto, 5%, 10%, 20%, 30%, &amp; 70% °F (EPA)</t>
  </si>
  <si>
    <t>2.37, 2.51, 2.46, 2.14, &amp; 2.07</t>
  </si>
  <si>
    <t>PT: MG2308; D5188 - V/L Ratio Temp, Evac Chamber, Z-Score = -6.29</t>
  </si>
  <si>
    <t>PT: MG2308; D6378 - Vapor Pressure, Triple Expansion, Z-Score = 9.60</t>
  </si>
  <si>
    <t>190</t>
  </si>
  <si>
    <t>PT: MG2308; D5453 - Sulfur, by UVF, Z-Score = -3.87</t>
  </si>
  <si>
    <t>PT: MG2308; D3231 - Element, Phosphorus, by combusition/colorometric, Z-Score = 0.00 (Rejected result)</t>
  </si>
  <si>
    <t>PT: MG2308; D86 - Distillation, Auto, 80% °F (EPA) &amp; % Evap</t>
  </si>
  <si>
    <t>-2.23 &amp; -2.44</t>
  </si>
  <si>
    <t>PT: MG2308; D4052 - Density, Digital, 15 °C, Z-Score = 7.07</t>
  </si>
  <si>
    <t>PT: MG2308; D3237 - Element, Lead, by AAS, Z-Score = 0.00 (Rejected result)</t>
  </si>
  <si>
    <t>PT: MG2308; D86 - Distillation, Auto, 5%, °F &amp; (EPA)</t>
  </si>
  <si>
    <t>-2.75 &amp; -2.32</t>
  </si>
  <si>
    <t>PT: MG2308; D5769 - Benzene, by GC/MS</t>
  </si>
  <si>
    <t>PT: MG2308; D1319 - HC Type, Olefins, Corrected &amp; (EPA), Z-Scores = -2.26 &amp; -2.33</t>
  </si>
  <si>
    <t>-2.26 &amp; -2.33</t>
  </si>
  <si>
    <t>PT: MG2308; D86 - Distillation, Auto, % Evap, Z-Score = -145.61</t>
  </si>
  <si>
    <t>PT: MG2308; D86 - Distillation, Auto, 20%, 30%, &amp; 40%, °F &amp; (EPA)</t>
  </si>
  <si>
    <t>2.33, 2.57, &amp; 2.54</t>
  </si>
  <si>
    <t>PT: MG2308; D1319 - HC Type, Olefins, Corrected (EPA) &amp; Saturates, Oxy-Free (EPA), Z-Scores = 117.02 &amp; -56.21</t>
  </si>
  <si>
    <t>117.02 &amp; -56.21</t>
  </si>
  <si>
    <t>PT: MG2308; D3227 - Mercaptan Sulfur, Potentiometric</t>
  </si>
  <si>
    <t>PT: RFG2309; D5191 - Vapor Pressure, DVPE, 1L (EPA) &amp; TVP, Z-Scores = 13.62 &amp; 19.50</t>
  </si>
  <si>
    <t>13.62 &amp; 19.50</t>
  </si>
  <si>
    <t>PT: JF2307; D2887 - BP Distribution, GC, Proc B, 30%, Z-Score = 2.45</t>
  </si>
  <si>
    <t>PT: CET2310; D86 - Distillation, Auto, IBP, Z-Score = 2.27</t>
  </si>
  <si>
    <t>PT: JF2307; D2386 - Freeze Point, Z-Score = -18.00</t>
  </si>
  <si>
    <t>-18.00</t>
  </si>
  <si>
    <t>PT: MG2312; D6550 - HC Type, Olefins, by SFC, Z-Score = -2.29</t>
  </si>
  <si>
    <t>-2.29</t>
  </si>
  <si>
    <t>PT: MG2312; D86 - Distillation, Auto, 40%</t>
  </si>
  <si>
    <t>PT: MG2312; D86 - Distillation, Auto, 70% &amp; 80%, °F (EPA)</t>
  </si>
  <si>
    <t>2.09 &amp; 2.01</t>
  </si>
  <si>
    <t>PT: MG2312; D86 - Distillation, Auto, FBP, °F (EPA)</t>
  </si>
  <si>
    <t>PT: MG2312; D4052 - Density, Digital, 15 °C</t>
  </si>
  <si>
    <t>PT: MG2312; D86 - Distillation, Auto, % Evap, Z-Score = -149.63</t>
  </si>
  <si>
    <t>PT: MG2312; D3227 - Mercaptan Sulfur, Potentiometric</t>
  </si>
  <si>
    <t>PT: MG2312; D3231 - Element, Phosphorus, by combusition/colorometric, Z-Score = 0.00 (Rejected result)</t>
  </si>
  <si>
    <t>PT: MG2312; D86 - Distillation, Auto, % Resid &amp; FBP, °F (EPA)</t>
  </si>
  <si>
    <t>2.21 &amp; -2.33</t>
  </si>
  <si>
    <t>PT: MG2312; D1319 - HC Type Olefins, Oxy-Free (EPA)</t>
  </si>
  <si>
    <t>PT: RFG2310; D4052 - Density, Digital, 15 °C, Z-Score = 7.03</t>
  </si>
  <si>
    <t>PT: RFG2310; D5191 - Vapor Pressure, DVPE, 1L, DVPE, 1L (EPA), &amp; TVP, 1L (EPA), Z-Scores = 2.20, 9.90, &amp; 2.96</t>
  </si>
  <si>
    <t>2.20, 9.90, &amp; 2.96</t>
  </si>
  <si>
    <t>PT: OC2310; D86 - Distillation, IBP °F</t>
  </si>
  <si>
    <t>PT: OC2312; D86 - Distillation, FBP °F</t>
  </si>
  <si>
    <t>PT: OC2312; D86 - Distillation, % Loss &amp; % Recovery</t>
  </si>
  <si>
    <t>2.06 &amp; -2.38</t>
  </si>
  <si>
    <t>PT: JF2307; D86 - Distillation, Auto, IBP, Z-Score = -7.23</t>
  </si>
  <si>
    <t>PT: RFG2310; D5580 - Toluene &amp; Total Aromatics, by GC, Z-Scores = 4.18 &amp; 2.66</t>
  </si>
  <si>
    <t>4.18 &amp; 2.66</t>
  </si>
  <si>
    <t>PT: RFG2310; D4052 - Density, Digital, 15 °C, Z-Score = 3.10</t>
  </si>
  <si>
    <t>PT: RFG2310; D1319 - HC Type, Aromatics, Oxy-Free(EPA) &amp; Saturates, Corrected (EPA), Z-Scores = -2.03 &amp; 2.36</t>
  </si>
  <si>
    <t>-2.03 &amp; 2.36</t>
  </si>
  <si>
    <t>PT: TM12-23; D86 - Distillation, 50%, °F</t>
  </si>
  <si>
    <t>PT: TM12C-23; D86 - Distillation, FBP</t>
  </si>
  <si>
    <t>-2.54</t>
  </si>
  <si>
    <t>PT: TM12C-23; D2699 - Research Octane Number</t>
  </si>
  <si>
    <t>-2.33</t>
  </si>
  <si>
    <t>PT: AT-355A; D86 - Distillation, 90%, °F</t>
  </si>
  <si>
    <t>ARG</t>
  </si>
  <si>
    <t>-2.08</t>
  </si>
  <si>
    <t>PT: AT-355A; D2700 - Motor Octane Number</t>
  </si>
  <si>
    <t>PT: AT-358; D2699 - Research Octane Number</t>
  </si>
  <si>
    <t>-2.06</t>
  </si>
  <si>
    <t>PT: AT-358; D86 - Distillation, FBP</t>
  </si>
  <si>
    <t>-2.05</t>
  </si>
  <si>
    <t>PT: RFG2310; D4052 - Density, Digital, 15 °C, Z-Score = 15.67</t>
  </si>
  <si>
    <t>PT: RFG2310; D2622-16 - Sulfur by WDXRF &amp; EPA, Z-Scores = -2.34, -2.69</t>
  </si>
  <si>
    <t>-2.34 &amp; -2.69</t>
  </si>
  <si>
    <t>PT: CE513; D86 - Distillation - 80% &amp; Residue</t>
  </si>
  <si>
    <t>GLRE</t>
  </si>
  <si>
    <t>D86 - Distillation</t>
  </si>
  <si>
    <t>2.04 &amp; 2.34</t>
  </si>
  <si>
    <t>PT: CE513; D86 - Distillation - 5% - 95%, Z-Scores = Multiple Outliers</t>
  </si>
  <si>
    <t>Confirmed Transcription Errors.</t>
  </si>
  <si>
    <t>PT: CE514; D86 - Distillation - 5% &amp; 10%</t>
  </si>
  <si>
    <t>PT: CE514; D86 - Distillation - E200 &amp; E300</t>
  </si>
  <si>
    <t>-2.83 &amp; -2.61</t>
  </si>
  <si>
    <t>PT: CE514; D5580 - HC Type, Toluene</t>
  </si>
  <si>
    <t>-2.02</t>
  </si>
  <si>
    <t>-2.34 &amp; -2.42</t>
  </si>
  <si>
    <t>PT: CE514; D5769 - Benzene, Z-Score = 5.06</t>
  </si>
  <si>
    <t>PT: RFG2311; D86 - Distillation, Auto, 95%, °F &amp; (EPA)</t>
  </si>
  <si>
    <t>2.23 &amp; 2.53</t>
  </si>
  <si>
    <t>PT: RFG2311; D86 - Distillation, Auto, 90%, °F (EPA)</t>
  </si>
  <si>
    <t>PT: RFG2311; D86 - Distillation, Auto, % Resid (EPA), Z-Score = 8.28</t>
  </si>
  <si>
    <t>PT: RFG2311; D5580 - Benzene, by GC</t>
  </si>
  <si>
    <t>PT: RFG2311; D86 - Distillation, Auto, FBP, °F (EPA)</t>
  </si>
  <si>
    <t>PT: RFG2311; D5769 - Benzene, by GC/MS (EPA)</t>
  </si>
  <si>
    <t>286</t>
  </si>
  <si>
    <t>PT: RFG2311; D86 - Distillation, Auto, 95%, °F (EPA)</t>
  </si>
  <si>
    <t>PT: RFG2311; D4052 - Density, Digital, 15 °C, Z-Score =-5.58</t>
  </si>
  <si>
    <t>-5.58</t>
  </si>
  <si>
    <t>289</t>
  </si>
  <si>
    <t>PT: RFG2311; D86 - Distillation, Auto, 20%, °F (EPA), Z-Score = -5.75</t>
  </si>
  <si>
    <t>-5.75</t>
  </si>
  <si>
    <t>PT: RFG2311; D5599 - Oxygenates, Ethanol, by GC OFID</t>
  </si>
  <si>
    <t>PT: RFG2311; D4052 - Density, Digital, 15 °C</t>
  </si>
  <si>
    <t>PT: RFG2311; D5191 - Vapor Pressure, TVP, 1L (EPA)</t>
  </si>
  <si>
    <t>PT: RFG2311; D86 - Distillation, Auto, % Resid (EPA)</t>
  </si>
  <si>
    <t>-2.26</t>
  </si>
  <si>
    <t>PT: CE515; D86 - Distillation - 90%</t>
  </si>
  <si>
    <t>PT: CE516; D86 - Distillation - EP</t>
  </si>
  <si>
    <t>-2.73</t>
  </si>
  <si>
    <t>PT: CE516; D86 - Distillation - 95%</t>
  </si>
  <si>
    <t>PT: CE516; D4052 - API</t>
  </si>
  <si>
    <t>D4052 - API</t>
  </si>
  <si>
    <t>-2.28</t>
  </si>
  <si>
    <t>PT: NP2310; D4294 - Sulfur, by EDXRF</t>
  </si>
  <si>
    <t>-2.10</t>
  </si>
  <si>
    <t>PT: NP2310; D6730 - HC Type, C8 Aromatics, by pCHR-GC</t>
  </si>
  <si>
    <t>PT: F242310; D1094 - Water Reaction, Change in Volume of Aqueous</t>
  </si>
  <si>
    <t>F24</t>
  </si>
  <si>
    <t>PT: CE515; D2699 - Research Octane Number, Z-Score = 2.08</t>
  </si>
  <si>
    <t>PT: R-1342; Sulfur</t>
  </si>
  <si>
    <t>R-1342</t>
  </si>
  <si>
    <t>Sulfur</t>
  </si>
  <si>
    <t>-2.13</t>
  </si>
  <si>
    <t>PT: D-1200; D445 - Viscosity, 40°C</t>
  </si>
  <si>
    <t>D-1200</t>
  </si>
  <si>
    <t>2.20</t>
  </si>
  <si>
    <t>PT: D-1201; D86 - Distillation, IBP Recovered</t>
  </si>
  <si>
    <t>D-1201</t>
  </si>
  <si>
    <t>2.34</t>
  </si>
  <si>
    <t>PT: R-1343; Olefins</t>
  </si>
  <si>
    <t>R-1343</t>
  </si>
  <si>
    <t>Olefins</t>
  </si>
  <si>
    <t>PT: R-1344; Sulfur</t>
  </si>
  <si>
    <t>R-1344</t>
  </si>
  <si>
    <t>PT: R-1344; D86 - Distillation, 50% Evaporated</t>
  </si>
  <si>
    <t>PT: R-1345; Saturates</t>
  </si>
  <si>
    <t>R-1345</t>
  </si>
  <si>
    <t>Saturates</t>
  </si>
  <si>
    <t>PT: D-1204; Sulfur</t>
  </si>
  <si>
    <t>D-1204</t>
  </si>
  <si>
    <t>PT: D-1204; D93 - Flash Point</t>
  </si>
  <si>
    <t>PT: MG2308; D4052 - Density, Digital, 15 °C, Z-Score = 3.04</t>
  </si>
  <si>
    <t>PT: D-1204; D445 - Viscosity, at 40°C, Z-Score =-16.44</t>
  </si>
  <si>
    <t>Confirmed Calculation Error.</t>
  </si>
  <si>
    <t>PT: D-1204; D86 - Distillation, 10% Recovered, Z-Score =-8.36</t>
  </si>
  <si>
    <t>PT: M974; D4052 - Density, at 15°C</t>
  </si>
  <si>
    <t>M974</t>
  </si>
  <si>
    <t>PT: M974; D86 - Distillation, Residue, Z-Score = -6.22</t>
  </si>
  <si>
    <t>-6.22</t>
  </si>
  <si>
    <t>PT: M974; D86 - Distillation, 90% Evaporated &amp; % Evaporated @ 149°C</t>
  </si>
  <si>
    <t>2.46 &amp; -2.94</t>
  </si>
  <si>
    <t>PT: M974; CAN/CGSB-3.0 No.14.3 - HC Type - Aromatics, Olefins, &amp; Benzene</t>
  </si>
  <si>
    <t>-2.05, -2.67, &amp; 2.62</t>
  </si>
  <si>
    <t>PT: M974; D3227 - Mercaptan Sulfur</t>
  </si>
  <si>
    <t>PT: M974; D2700 - Motor Octane Number</t>
  </si>
  <si>
    <t xml:space="preserve">PT: M977; D86 - Distillation, % Evaporated @149°C </t>
  </si>
  <si>
    <t>M977</t>
  </si>
  <si>
    <t>PT: M977; CAN/CGSB-3.5 - Driveability Index</t>
  </si>
  <si>
    <t>CAN/CGSB-3.5 - Driveability Index</t>
  </si>
  <si>
    <t>PT: RFG2309; D1319 - HC Type, Aromatics, Corrected (EPA), Z-Score = 2.14</t>
  </si>
  <si>
    <t>PT: RFG2310; D1319 - HC Type, Olefins, Corrected &amp; Oxy-Free (EPA), Z-Scores = -2.18 &amp; -2.24</t>
  </si>
  <si>
    <t>2.18 &amp; -2.24</t>
  </si>
  <si>
    <t>PT: RFG2312; D8071 - HC Type, Ethanol, GC-VUV, Z-Score = -2.30</t>
  </si>
  <si>
    <t>PT: RFG2312; D86 - Distillation, Auto, E300 °F, % (EPA)</t>
  </si>
  <si>
    <t>PT: RFG2312; D5580 - Benzene, by GC</t>
  </si>
  <si>
    <t>PT: RFG2312; D4815 - Oxygenates, Ethanol &amp; Total Oxygen, by GC, Z-Scores = 4.36 &amp; 4.92</t>
  </si>
  <si>
    <t>4.36 &amp; 4.92</t>
  </si>
  <si>
    <t>PT: RFG2312; D4052 - Density, Digital, 15 °C</t>
  </si>
  <si>
    <t>PT: RFG2312; D5769 - Benzene, by GC/MS (EPA)</t>
  </si>
  <si>
    <t>PT: RFG2312; D86 - Distillation, Auto, % Evap (EPA)</t>
  </si>
  <si>
    <t>PT: RFG2312; D4815 - Oxygenates, Total Oxygen, by GC, Z-Score = 74.17</t>
  </si>
  <si>
    <t>PT: RFG2312; D86 - Distillation, Auto, IBP, °F (EPA)</t>
  </si>
  <si>
    <t>PT: RFG2312; D86 - Distillation, Auto, 90%</t>
  </si>
  <si>
    <t>PT: RFG2312; D5769 - Total Aromatics, by GC/MS (EPA)</t>
  </si>
  <si>
    <t>PT: RFG2312; D3606-22 &amp; D3606-20e1 - Benzene, by GC, Proc B &amp; (EPA)</t>
  </si>
  <si>
    <t>2.23 &amp; 2.01</t>
  </si>
  <si>
    <t>PT: RFG2312; D4815 - Oxygenates, Oxygen, Total, by GC</t>
  </si>
  <si>
    <t>PT: RFG2312; D86 - Distillation, Auto, 90%, °F (EPA)</t>
  </si>
  <si>
    <t>-2.24</t>
  </si>
  <si>
    <t>PT: RFG2312; D5769 - Toluene, by GC/MS (EPA)</t>
  </si>
  <si>
    <t>-2.63</t>
  </si>
  <si>
    <t>PT: F62305; D4052 - Density, Digital, 15 °C, Z-Score = -36.41</t>
  </si>
  <si>
    <t>PT: F62305; D445 - Viscosity, Kinematic, 100 °C</t>
  </si>
  <si>
    <t>-2.91</t>
  </si>
  <si>
    <t>-2.97</t>
  </si>
  <si>
    <t>PT: F62305; D482 - Ash</t>
  </si>
  <si>
    <t>-2.81</t>
  </si>
  <si>
    <t>PT: F62305; D5185 - Element, Aluminum, ICPAES</t>
  </si>
  <si>
    <t>PT: F62305; D5708 - Element, Vanadium, ICPAES, Method A</t>
  </si>
  <si>
    <t>-2.11</t>
  </si>
  <si>
    <t>PT: F62305; D3279 - Insolubles, n-Heptane</t>
  </si>
  <si>
    <t>PT: RFG2311; D6550 - HC Type, Olefins, by SFC, Z-Score = -6.05</t>
  </si>
  <si>
    <t>-6.05</t>
  </si>
  <si>
    <t>PT: RFG2311; D4815 - Oxygenates, Total Oxygen, by GC, Z-Score = 89.40</t>
  </si>
  <si>
    <t>PT: M974; D4052 - Density, at 15°C, Z-Score = -3.20</t>
  </si>
  <si>
    <t>-3.20</t>
  </si>
  <si>
    <t>PT: F62305; D4052 - Density, Digital, 15 °C, Z-Score = -35.94</t>
  </si>
  <si>
    <t>-35.24</t>
  </si>
  <si>
    <t>PT: F62305; D95 - Water, by Distillation, Z-Score = 2.29</t>
  </si>
  <si>
    <t>PT: F62305; D95 - Water, by Distillation, Z-Score = 2.58</t>
  </si>
  <si>
    <t>PT: M977; CAN/CGSB-3.0 No.14.3 - Olefins, Z-Score = 2.55</t>
  </si>
  <si>
    <t>PT: RFG2312; D86 - Distillation, Auto, % Resid (EPA), Z-Score = 4.41</t>
  </si>
  <si>
    <t>PT: ETOH2312; D7319 - Chloride, Inorganic, by DI-IC</t>
  </si>
  <si>
    <t>PT: ETOH2312; D4052 - Density, Relative, @ 15.56 °C</t>
  </si>
  <si>
    <t>427</t>
  </si>
  <si>
    <t>PT: ETOH2312; E1064 - Water, by Coul KF, Z-Score = 6.95</t>
  </si>
  <si>
    <t>PT: ETOH2312; E1064 - Water, by Coul KF</t>
  </si>
  <si>
    <t>PT: ETOH2312; D5501 - Methanol, By GC, Z-Score = 7.39</t>
  </si>
  <si>
    <t>PT: CE513; D5769 - Aromatics, Z-Score = -17.15</t>
  </si>
  <si>
    <t>-17.15</t>
  </si>
  <si>
    <t>PT: F62305; D93 - Flash Point, PMCC, Proc B, corr, Z-Score =46.57</t>
  </si>
  <si>
    <t>PT: ETOH2312; E1064 - Water, by Coul KF, Z-Score = 8.45</t>
  </si>
  <si>
    <t>PT: ETOH2308; D5501 - Methanol, By GC, Z-Score = 2.45</t>
  </si>
  <si>
    <t>PT: RFG2310; D3606 - Benzene, by GC, Proc B (EPA), Z-Score = 2.03</t>
  </si>
  <si>
    <t>PT: T341; D86 - Distillation, 10% Recovered</t>
  </si>
  <si>
    <t>T341</t>
  </si>
  <si>
    <t>PT: T341; D4052 - Density, at 15°C</t>
  </si>
  <si>
    <t>PT: T341; D3241 - Pressure Drop, Z-Score = 21.64</t>
  </si>
  <si>
    <t>PT: T343; D7224 - Water Separation of Kerosine-type Aviation Turbine, MSEP rating</t>
  </si>
  <si>
    <t>T343</t>
  </si>
  <si>
    <t>PT: T343; D86 - Distillation, FBP Recovered</t>
  </si>
  <si>
    <t>-2.5</t>
  </si>
  <si>
    <t>PT: T343; D86 - Distillation, 10% Recovered, Recovery, &amp; Loss</t>
  </si>
  <si>
    <t>2.12, -2.24, &amp; 2.32</t>
  </si>
  <si>
    <t>PT: RFG2310; D6839 - HC Type/Oxy, Olefins, by M-D GC, Z-Score = 6.19</t>
  </si>
  <si>
    <t>See PTO569-165-24</t>
  </si>
  <si>
    <t>PT: RFG2312; D5188 - V/L Ratio Temp, Evac Chamber, Z-Scores = 101.41</t>
  </si>
  <si>
    <t>PT: DF22310; D664 - Acid Number, A, 125 mL Inflection EP</t>
  </si>
  <si>
    <t>PT: DF22310; D86 - Distillation, Auto, 95%</t>
  </si>
  <si>
    <t>PT: DF22310; D86 - Distillation, Auto, % Loss &amp; % Recov</t>
  </si>
  <si>
    <t>2.50 &amp; -2.68</t>
  </si>
  <si>
    <t>PT: DF22310; D2887 - BP Distribution, GC, Proc A, 5% &amp; 90%, Z-Scores = -2.04 &amp; -58.62</t>
  </si>
  <si>
    <t>-2.01 &amp; -58.62</t>
  </si>
  <si>
    <t>PT: DF22310; D1796 - Water and Sediment, by Centrifuge, Z-Score = Rejected</t>
  </si>
  <si>
    <t>Rejected</t>
  </si>
  <si>
    <t>2.50 &amp; -2.46</t>
  </si>
  <si>
    <t>PT: DF22310; D4530 - Carbon Residue, Micro, 10% btm, Z-Score = 9.88</t>
  </si>
  <si>
    <t>PT: DF22310; D664 - Acid Number, A, 125 mL Inflection EP, Z-Score = 9.31</t>
  </si>
  <si>
    <t>PT: DF22310; D4629 - Nitrogen, by Chemiluminescence</t>
  </si>
  <si>
    <t>PT: D-1203; Sulfur - All Methods</t>
  </si>
  <si>
    <t>D-1203</t>
  </si>
  <si>
    <t>All Methods - Sulfur</t>
  </si>
  <si>
    <t>PT: MG2312; D6550 - HC Type, Olefins, by SFC, Z-Score = -2.19</t>
  </si>
  <si>
    <t>PT: DF22310; D445 - Viscosity, Kinematic, 40 °C, Z-Score = -9.15</t>
  </si>
  <si>
    <t>-9.15</t>
  </si>
  <si>
    <t>PT: DF22310; D5762 - Nitrogen, Boat-Inlet Chemilum, Z-Score = 594.52</t>
  </si>
  <si>
    <t>PT: AT-359; Benzene - All Methods</t>
  </si>
  <si>
    <t>AT-359</t>
  </si>
  <si>
    <t>All Methods - Benzene</t>
  </si>
  <si>
    <t>PT: AT-359; D5191 - Vapor Pressure, PTOT</t>
  </si>
  <si>
    <t>D5191 - Vapor Pressure</t>
  </si>
  <si>
    <t>PT: AT-359; D86 - Distillation, 90%</t>
  </si>
  <si>
    <t>PT: F62309; D445 - Viscosity, Kinematic, 50 °C</t>
  </si>
  <si>
    <t>-2.56</t>
  </si>
  <si>
    <t>PT: F62309; D4052 - Density, Digital, 15 °C</t>
  </si>
  <si>
    <t>-2.61</t>
  </si>
  <si>
    <t>PT: F62309; D664 - Acid Number, A, 125 mL Inflection EP</t>
  </si>
  <si>
    <t>PT: F62309; D7042 - Viscosity, Stabinger, Kin, 50 °C</t>
  </si>
  <si>
    <t>PT: F62309; D664 - Acid Number, A, 60 mL Inflection EP</t>
  </si>
  <si>
    <t>-2.18</t>
  </si>
  <si>
    <t>PT: F62309; D5184 - Element, Aluminum, by ICPAES</t>
  </si>
  <si>
    <t>PT: F62309; D664 - Acid Number, A, 60 mL, inflection EP</t>
  </si>
  <si>
    <t>PT: JF2307; D1319 - HC Type, Olefins, Oxy-Free, Z-Score = 3.16</t>
  </si>
  <si>
    <t>PT: MG2308; D1319 - HC Type, Saturates, Oxy-Free (EPA), Z-Score = -2.18</t>
  </si>
  <si>
    <t>PT: F62305; D4530 - Carbon Residue, Micro, Z-Score = -2.27</t>
  </si>
  <si>
    <t>PT: F62305; D524 - Carbon Residue, Ramsbottom, Z-Score = 6.58</t>
  </si>
  <si>
    <t>PT: F62305; D-5762 - Nitrogen, Boat-Inlet Chemilum, Z-Score = -2.60</t>
  </si>
  <si>
    <t>PT: DF22310; D97 - Pour Point, Z-Score = -2.20</t>
  </si>
  <si>
    <t>-2.20</t>
  </si>
  <si>
    <t>530</t>
  </si>
  <si>
    <t>PT: TM04-24; D86 - Distillation, 90%</t>
  </si>
  <si>
    <t>-2.27</t>
  </si>
  <si>
    <t>536</t>
  </si>
  <si>
    <t>PT: TM04C-24; D86 - Distillation, 90%</t>
  </si>
  <si>
    <t>537</t>
  </si>
  <si>
    <t>PT: TM04C-24; All Methods - API</t>
  </si>
  <si>
    <t>All Methods - API</t>
  </si>
  <si>
    <t>-2.70</t>
  </si>
  <si>
    <t>538</t>
  </si>
  <si>
    <t>PT: TM04C-24; D86 - Distillation, 10%</t>
  </si>
  <si>
    <t>PT: CO2307; D445 - Viscosity, Kinematic, 25 °C, Z-Score =  -24.94</t>
  </si>
  <si>
    <t>PT: CET2310; D445 - Viscosity, Kinematic, 40 °C, Z-Score = -4.43</t>
  </si>
  <si>
    <t>PT: JF2307; D445 - Viscosity, Kinematic, -20 °C, Z-Score = -2.59</t>
  </si>
  <si>
    <t>-2.59</t>
  </si>
  <si>
    <t>PT: DF22310; D97 - Pour Point, Z-Score = -3.30</t>
  </si>
  <si>
    <t>-3.30</t>
  </si>
  <si>
    <t>PT: DF22310; D4629 - Nitrogen, by Chemiluminescence, Z-Score = -3.41</t>
  </si>
  <si>
    <t>-3.41</t>
  </si>
  <si>
    <t>PT: MG2308; D2622 - Sulfur by WDXRF, Z-Score = -2.81</t>
  </si>
  <si>
    <t>PT: F62309; D4052 - Density, Digital, 15 °C, Z-Score = 30.75</t>
  </si>
  <si>
    <t>PT: F62309; D5184 - Element, Silicon, by ICPAES, Z-Score = 2.60</t>
  </si>
  <si>
    <t>PT: F62309; D93 - Flash Point, PMCC, Proc B, corr, Z-Score = 2.21</t>
  </si>
  <si>
    <t>539</t>
  </si>
  <si>
    <t>PT: D337; D86 - Distillation, 90% Recovered</t>
  </si>
  <si>
    <t>D337</t>
  </si>
  <si>
    <t>540</t>
  </si>
  <si>
    <t>PT: D337; D86 - Distillation, FBP Recovered, Recovery, and Loss</t>
  </si>
  <si>
    <t>-2.21, -2.57, &amp; 2.28</t>
  </si>
  <si>
    <t>PT: F62309; D6560 - Asphaltenes (Heptane Insolubles), Z-Score = 5.16</t>
  </si>
  <si>
    <t>542</t>
  </si>
  <si>
    <t>PT: RFG2401; D86 - Distillation, Auto, % Resid (EPA)</t>
  </si>
  <si>
    <t>543</t>
  </si>
  <si>
    <t>PT: RFG2401; D4815 - Oxygenates, Oxygen, Total, by GC</t>
  </si>
  <si>
    <t>547</t>
  </si>
  <si>
    <t>PT: RFG2401; D86 - Distillation, Auto, FBP, °F (EPA)</t>
  </si>
  <si>
    <t>549</t>
  </si>
  <si>
    <t>PT: RFG2401; D1319 - HC Type, Olefins &amp; Saturates, Corrected &amp; Oxy-Free (EPA)</t>
  </si>
  <si>
    <t>2.23, 2.27, -2.33, &amp; -2.49</t>
  </si>
  <si>
    <t>552</t>
  </si>
  <si>
    <t>PT: RFG2401; D4052 - Density, Digital, 15 °C</t>
  </si>
  <si>
    <t>-2.21</t>
  </si>
  <si>
    <t>556</t>
  </si>
  <si>
    <t>PT: RFG2401; D86 - Distillation, Auto, 60%, °F (EPA)</t>
  </si>
  <si>
    <t>557</t>
  </si>
  <si>
    <t>PT: RFG2401; D86 - Distillation, Auto, 95%, °F (EPA)</t>
  </si>
  <si>
    <t>-2.94</t>
  </si>
  <si>
    <t>559</t>
  </si>
  <si>
    <t>PT: RFG2401; D1319 - HC Type, Olefins Oxy-Free (EPA)</t>
  </si>
  <si>
    <t>-2.30</t>
  </si>
  <si>
    <t>560</t>
  </si>
  <si>
    <t>PT: RFG2401; D86 - Distillation, Auto, E200 °F, % (EPA)</t>
  </si>
  <si>
    <t>562</t>
  </si>
  <si>
    <t>PT: RFG2401; D86 - Distillation, Auto, 5%, 5%, °F (EPA), &amp; E200 °F, % (EPA)</t>
  </si>
  <si>
    <t>-2.15, -2.15, &amp; 2.39</t>
  </si>
  <si>
    <t>564</t>
  </si>
  <si>
    <t>PT: RFG2401; D5191-20 &amp; -22 - Vapor Pressure, DVPE &amp; TVP, 1L &amp; (EPA),  Z-Scores= 9.00, 9.68, -12.54, &amp; -10.69</t>
  </si>
  <si>
    <t>9.00, 9.68, -12.54, &amp; -10.69</t>
  </si>
  <si>
    <t>568</t>
  </si>
  <si>
    <t>572</t>
  </si>
  <si>
    <t xml:space="preserve">PT: RFG2401; D5580 - C9+ Aromatics &amp; Toluene, by GC </t>
  </si>
  <si>
    <t>2.30 &amp; -2.13</t>
  </si>
  <si>
    <t>574</t>
  </si>
  <si>
    <t>PT: RFG2401; D86 - Distillation, Auto, 10%, 60%, &amp; FBP °F, % (EPA)</t>
  </si>
  <si>
    <t>-2.30, -2.43, &amp; -2.69</t>
  </si>
  <si>
    <t>576</t>
  </si>
  <si>
    <t>PT: RFG2401; D86 - Distillation, Auto, 10%, °F (EPA),  Z-Score = 4.84</t>
  </si>
  <si>
    <t>578</t>
  </si>
  <si>
    <t>PT: RFG2402; D86 - Distillation, Auto, 60%, °F (EPA)</t>
  </si>
  <si>
    <t>581</t>
  </si>
  <si>
    <t xml:space="preserve">PT: RFG2402; D5580 - Aromatics, C9 plus, by GC </t>
  </si>
  <si>
    <t>583</t>
  </si>
  <si>
    <t>PT: RFG2402; D5453 - Sulfur, by UVF</t>
  </si>
  <si>
    <t>585</t>
  </si>
  <si>
    <t>589</t>
  </si>
  <si>
    <t>PT: RFG2402; D86 - Distillation, Auto, 90% &amp; 95%, °F (EPA)</t>
  </si>
  <si>
    <t>2.08 &amp; 2.85</t>
  </si>
  <si>
    <t>593</t>
  </si>
  <si>
    <t>PT: RFG2402; D86 - Distillation, Auto, FBP, °F (EPA)</t>
  </si>
  <si>
    <t>-2.09</t>
  </si>
  <si>
    <t>594</t>
  </si>
  <si>
    <t>PT: RFG2402; D4815 - Oxygenates, Ethanol, by GC, Z-Score = 2.26</t>
  </si>
  <si>
    <t>595</t>
  </si>
  <si>
    <t>PT: RFG2402; D86 - Distillation, Auto, 70%, &amp; °F (EPA)</t>
  </si>
  <si>
    <t>-2.20 &amp; -2.52</t>
  </si>
  <si>
    <t>597</t>
  </si>
  <si>
    <t>PT: RFG2402; D86 - Distillation, Auto, 70%, Z-Score = -5.65</t>
  </si>
  <si>
    <t>-5.65</t>
  </si>
  <si>
    <t>598</t>
  </si>
  <si>
    <t>599</t>
  </si>
  <si>
    <t>PT: RFG2402; D2622 - Sulfur by WDXRF</t>
  </si>
  <si>
    <t>D2622 - Sulfur</t>
  </si>
  <si>
    <t>600</t>
  </si>
  <si>
    <t>PT: RFG2402; D4052 - Density, Digital, 15 °C</t>
  </si>
  <si>
    <t>603</t>
  </si>
  <si>
    <t>PT: RFG2402; D86 - Distillation, Auto, 50%, 80%, 90%, 95%, &amp; E300 °F (EPA)</t>
  </si>
  <si>
    <t>2.42, 2.23, 2.59, 2.21, &amp; -2.26</t>
  </si>
  <si>
    <t>604</t>
  </si>
  <si>
    <t>PT: RFG2402; D86 - Distillation, Auto, 95%, &amp; FBP °F (EPA)</t>
  </si>
  <si>
    <t>2.09 &amp; -2.34</t>
  </si>
  <si>
    <t>605</t>
  </si>
  <si>
    <t>606</t>
  </si>
  <si>
    <t>PT: RFG2402; D86 - Distillation, Auto, 70%, &amp; FBP °F (EPA)</t>
  </si>
  <si>
    <t>-2.60 &amp; -2.94</t>
  </si>
  <si>
    <t>621</t>
  </si>
  <si>
    <t>PT: RFG2403; D5769 - Aromatics, Total, by GC/MS</t>
  </si>
  <si>
    <t>622</t>
  </si>
  <si>
    <t>PT: RFG2403; D86 - Distillation, Auto, FBP, °F (EPA)</t>
  </si>
  <si>
    <t>623</t>
  </si>
  <si>
    <t>PT: RFG2403; D86 - Distillation, Auto, E300 °F, % (EPA)</t>
  </si>
  <si>
    <t>627</t>
  </si>
  <si>
    <t>PT: RFG2403; D4052 - Density, Digital, 15 °C</t>
  </si>
  <si>
    <t>628</t>
  </si>
  <si>
    <t>PT: RFG2403; D5191-20 &amp; -22 - Vapor Pressure, DVPE, 1L &amp; EPA, Z-Scores = -2.38 &amp; -2.08</t>
  </si>
  <si>
    <t>2.38 &amp; -2.08</t>
  </si>
  <si>
    <t>632</t>
  </si>
  <si>
    <t xml:space="preserve">PT: RFG2403; D5580 - Aromatics, C9 plus, by GC </t>
  </si>
  <si>
    <t>633</t>
  </si>
  <si>
    <t>PT: RFG2403; D86 - Distillation, Auto, 5%, &amp; 20%, °F (EPA)</t>
  </si>
  <si>
    <t>2.23 &amp; 2.10</t>
  </si>
  <si>
    <t>634</t>
  </si>
  <si>
    <t>636</t>
  </si>
  <si>
    <t>PT: RFG2403; D86 - Multiple Parameters, Z-Scores = Multiple Outliers</t>
  </si>
  <si>
    <t>Multiple Parameters</t>
  </si>
  <si>
    <t>641</t>
  </si>
  <si>
    <t>PT: RFG2403; D4815 - Oxygenates, Oxygen, Total, by GC</t>
  </si>
  <si>
    <t>642</t>
  </si>
  <si>
    <t>PT: CET2402; D86 - Distillation, Auto, 20%, Z-Score = 77.35</t>
  </si>
  <si>
    <t>647</t>
  </si>
  <si>
    <t>PT: CET2402; D86 - Distillation, Auto, 90% &amp; 95%, Z-Scores = 2.28 &amp; 3.01</t>
  </si>
  <si>
    <t>2.28 &amp; 3.01</t>
  </si>
  <si>
    <t>649</t>
  </si>
  <si>
    <t>PT: NP2402; D5443 - HC Type, Benzene, by MD-GC</t>
  </si>
  <si>
    <t>650</t>
  </si>
  <si>
    <t>PT: NP2402; D4052 - Density, Digital, 15 °C</t>
  </si>
  <si>
    <t>651</t>
  </si>
  <si>
    <t>PT: NP2402; D86 - Distillation, Multiple Parameters, Z-Scores =Multiple Outliers</t>
  </si>
  <si>
    <t>652</t>
  </si>
  <si>
    <t>PT: CE517; D86 - Distillation, Auto, 20% - 40%</t>
  </si>
  <si>
    <t>2.04, 2.04, &amp; 2.07</t>
  </si>
  <si>
    <t>653</t>
  </si>
  <si>
    <t>PT: CE517; D5191 - Vapor Pressure, PTOT = Z-Score = 2.05</t>
  </si>
  <si>
    <t>654</t>
  </si>
  <si>
    <t>PT: CE517; D86 - Distillation, Auto, 60%, 80%, &amp; EP</t>
  </si>
  <si>
    <t>2.11, 2.19, &amp; 2.30</t>
  </si>
  <si>
    <t>655</t>
  </si>
  <si>
    <t>PT: CE517; D3606 - Benzene</t>
  </si>
  <si>
    <t>D3606 - Benzene</t>
  </si>
  <si>
    <t>656</t>
  </si>
  <si>
    <t>PT: CE517; D5580 - HC Type, C9+ Aromatics</t>
  </si>
  <si>
    <t>D5580 - HC Type</t>
  </si>
  <si>
    <t>PT: JF2307; D86 - Distillation, Auto, IBP, FBP &amp; %Loss, Z-Score =-2.05 &amp; -3.76, &amp; 3.32</t>
  </si>
  <si>
    <t>2.05, -3.76, &amp; 3.32</t>
  </si>
  <si>
    <t>PT: JF2307; D86 - Distillation, Auto, IBP, Z-Score = -2.12</t>
  </si>
  <si>
    <t>-2.12</t>
  </si>
  <si>
    <t>PT: JF2307; D5001 - Lubricity, BOCLE, Proc B, auto, Z-Score = -2.45</t>
  </si>
  <si>
    <t>-2.45</t>
  </si>
  <si>
    <t>287</t>
  </si>
  <si>
    <t>PT: RFG2311; D1319 - HC Type, Olefins, Corrected &amp; Oxy-Free(EPA) &amp; Saturates, Oxy-Free (EPA), Z-Scores = 2.81, 2.47, &amp; -2.22</t>
  </si>
  <si>
    <t>2.81, 2.47, &amp; -2.22</t>
  </si>
  <si>
    <t>PT: JF2307; D93 - Flash Point, PMCC, Proc A, corrected, Z-Score = 2.17</t>
  </si>
  <si>
    <t>See PTO512-165-24</t>
  </si>
  <si>
    <t>PT: MG2308; D6730 - HC Type, Benzene, by pCHR-GC, Z-Score = -2.04</t>
  </si>
  <si>
    <t>PT: CE513; D5580 - Total Aromatics, Z-Score = 2.04</t>
  </si>
  <si>
    <t>PT: CE514; D3606 - Benzene, Z-Score = 2.46</t>
  </si>
  <si>
    <t>PT: RFG2311; D6839 - HC Type/Oxy, Olefins, by M-D GC, Z-Score = 2.25</t>
  </si>
  <si>
    <t>PT: RFG2311; D86 - Distillation, Auto, Multiple Parameters, Z-Scores = Multiple Outliers</t>
  </si>
  <si>
    <t>PT: CE515; D86 - Distillation - 40%, Z-Score = 3.07</t>
  </si>
  <si>
    <t>PT: CE516; D86 - Distillation - 90%, Z-Score = -3.11</t>
  </si>
  <si>
    <t>-3.11</t>
  </si>
  <si>
    <t>PT: RFG2312; D5191 - Vapor Pressure, DVPE, 1L, Z-Score = -2.16</t>
  </si>
  <si>
    <t>-2.16</t>
  </si>
  <si>
    <t>See PTO571-165-24</t>
  </si>
  <si>
    <t>PT: RFG2312; D5769-22 - Benzene, by GC/MS, Z-Score = 6.46</t>
  </si>
  <si>
    <t>PT: RFG2312; D86-23 - Distillation, Auto, 90%,&amp;  °F (EPA), Z-Scores = -5.38 &amp; -4.22</t>
  </si>
  <si>
    <t>-5.32 &amp; -4.22</t>
  </si>
  <si>
    <t>PT: F62305; D4052 - Density, Digital, 15 °C, Z-Score = 4.33</t>
  </si>
  <si>
    <t>PT: DF22310; D6217 - Particulates, Lab Filtration, Z-Score = 8.74</t>
  </si>
  <si>
    <t>PT: F62309; D473 - Sediment, Z-Score = 2.65</t>
  </si>
  <si>
    <t>533</t>
  </si>
  <si>
    <t>PT: TM04C-24; D86 - Distillation, FBP &amp; 50%, Z-Scores = 6.79 &amp; 2.15</t>
  </si>
  <si>
    <t>6.79 &amp; 2.15</t>
  </si>
  <si>
    <t>611</t>
  </si>
  <si>
    <t>PT: RFG2403; D1319 - HC Type, Aromatics, Corrected (EPA), Z-Score = 35.04</t>
  </si>
  <si>
    <t>PT: RFG2312; D86 - Distillation, Auto, FBP, °F (EPA), Z-Score = 3.79</t>
  </si>
  <si>
    <t>PT: F62309; D482 - Ash, Z-Score = 3.33</t>
  </si>
  <si>
    <t>657</t>
  </si>
  <si>
    <t>PT: NP2402; D6730 - HC Type, Paraffins, Total, by pCHR-GC, Z-Score = 22.02</t>
  </si>
  <si>
    <t>PT: RFG2309: D4815 - Oxygenates, Ethanol, by GC, Z-Score = -2.51</t>
  </si>
  <si>
    <t>PT: JF2307; D2887 - BP Distribution, GC, Proc A, 30%, 80%, &amp; 95%, Z-Scores = -2.03, -2.39, &amp; -2.17</t>
  </si>
  <si>
    <t>2.03, -2.39, &amp; -2.17</t>
  </si>
  <si>
    <t>PT: CE514; D2699 - Research Octane Number &amp; R-M Sensitivity, Z-Scores = 2.59 &amp; 2.90</t>
  </si>
  <si>
    <t>2.59 &amp; 2.90</t>
  </si>
  <si>
    <t>PT: CE516; D5769 - Benzene, Z-Score = -4.67</t>
  </si>
  <si>
    <t>-4.67</t>
  </si>
  <si>
    <t>659</t>
  </si>
  <si>
    <t>PT: D339; D976 - Cetane Index, Calculated</t>
  </si>
  <si>
    <t>DXXX</t>
  </si>
  <si>
    <t>660</t>
  </si>
  <si>
    <t>PT: D339; D4737B - Cetane Index, Calculated</t>
  </si>
  <si>
    <t>PT: JF2307; D56 - Flash Point,TAG, corrected, Z-Score = 2.17</t>
  </si>
  <si>
    <t>PT: OC2310; D2700 - Motor Octane Number, Z-Score = -2.15</t>
  </si>
  <si>
    <t>PT: OC2402; D2699 - Research Octane Number, Z-Score = 4.67</t>
  </si>
  <si>
    <t>PT: RFG2312; D5188 - V/L Ratio Temp, Evac Chamber, Z-Score = -2.96</t>
  </si>
  <si>
    <t>-2.96</t>
  </si>
  <si>
    <t>PT: ETOH2312; D6423 - pHe, Z-Score = 2.58</t>
  </si>
  <si>
    <t>580</t>
  </si>
  <si>
    <t>PT: RFG2402; D5188 - V/L Ratio Temp, Evac Chamber, Z-Score = 6.79</t>
  </si>
  <si>
    <t>PT: MG2312; D1319 - HC Type, Olefins, Corrected, Z-Score = -2.51</t>
  </si>
  <si>
    <t>-2.51</t>
  </si>
  <si>
    <t>PT: R-1342; D2700 - Motor Octane Number, Z-Score = -2.46</t>
  </si>
  <si>
    <t>PT: MG2312; D7039 - Sulfur, by MWDXRF, Z-Score = 2.04</t>
  </si>
  <si>
    <t>PT: F62305; D664 - Acid Number, A, 60 mL, inflection EP, Z-Score = -24.01</t>
  </si>
  <si>
    <t>PT: F62305; D4530 - Carbon Residue, Micro, Z-Score = -2.06</t>
  </si>
  <si>
    <t>PT: F62305; D445 - Viscosity, Kinematic, 50 °C, Z-Score = -4.69</t>
  </si>
  <si>
    <t>PT: RFG2310; D5188 - V/L Ratio Temp, Evac Chamber, Z-Score = -2.88</t>
  </si>
  <si>
    <t>-2.88</t>
  </si>
  <si>
    <t>PT: D-1201; D613 - Cetane Number, Z-Score = 21.89</t>
  </si>
  <si>
    <t>PT: F62309; D445 - Viscosity, Kinematic, 50 °C, Z-Score = -11.54</t>
  </si>
  <si>
    <t>-11.54</t>
  </si>
  <si>
    <t>PT: RFG2312; D86- Distillation, Auto, % Resid (EPA), Z-Score = 5.85</t>
  </si>
  <si>
    <t>666</t>
  </si>
  <si>
    <t>PT: BIOD2311; D2500 - Cloud Point, biodiesel</t>
  </si>
  <si>
    <t>668</t>
  </si>
  <si>
    <t>PT: BIOD2311; EN14538 - Elements, Na + K, by ICP/OES</t>
  </si>
  <si>
    <t>673</t>
  </si>
  <si>
    <t>676</t>
  </si>
  <si>
    <t>PT: BIOD2404; EN14103 - FAME (ester), Total</t>
  </si>
  <si>
    <t>677</t>
  </si>
  <si>
    <t>PT: BIOD2404; D2500 - Cloud Point, biodiesel</t>
  </si>
  <si>
    <t>2.40 &amp; 2.40</t>
  </si>
  <si>
    <t>PT: BIOD2404; D482 - Ash</t>
  </si>
  <si>
    <t>PT: BIOD2404; D4052 &amp; ISO 12185 - Density, Digital, 15 °C, Z-Scores = 190.88 &amp; 127.42</t>
  </si>
  <si>
    <t>190.88 &amp; 127.42</t>
  </si>
  <si>
    <t>687</t>
  </si>
  <si>
    <t>PT: BIOD2404; D5185 - Elements, Na + K, by ICP/AES</t>
  </si>
  <si>
    <t>PT: MG2312; D3237 - Element, Lead, by AAS, Z-Score = 3.32</t>
  </si>
  <si>
    <t>PT: MG2312; D5453 - Sulfur, by UVF, Z-Score = -2.16</t>
  </si>
  <si>
    <t>PT: CE513; D5453 - Sulfur, Z-Score = -4.22</t>
  </si>
  <si>
    <t>-4.22</t>
  </si>
  <si>
    <t>688</t>
  </si>
  <si>
    <t>PT: BIOD2404; D5773 - Cloud Point, Constant Cool, Z-Scores = -6.44 &amp; -6.44</t>
  </si>
  <si>
    <t>-6.44 &amp; -6.44</t>
  </si>
  <si>
    <t>PT: RFG2311; D4815 - Oxygenates, Total Oxygen, by GC, Z-Score = 71.35</t>
  </si>
  <si>
    <t>PT: RFG2311; D5188 - V/L Ratio Temp, Evac Chamber, Z-Score = 112.34</t>
  </si>
  <si>
    <t>PT: D-1202; D445 - Viscosity, 40°C</t>
  </si>
  <si>
    <t>D-1202</t>
  </si>
  <si>
    <t>555</t>
  </si>
  <si>
    <t>PT: RFG2401; D5191 - Vapor Pressure, TVP, 1L (EPA),  Z-Score = -13.57</t>
  </si>
  <si>
    <t>592</t>
  </si>
  <si>
    <t>PT: RFG2402; D5191 - Vapor Pressure, TVP, 1L (EPA), Z-Score = -14.75</t>
  </si>
  <si>
    <t>-14.75</t>
  </si>
  <si>
    <t>PT: RFG2312; D1319-20a &amp; D1319-19, HC Type, Aromatics, Corrected &amp; Oxy-Free, Z-Scores = 2.87, 2.34, 2.03, &amp; 2.15</t>
  </si>
  <si>
    <t>2.87, 2.34, 2.03, &amp; 2.15</t>
  </si>
  <si>
    <t>PT: ETOH2312; D5501 - Methanol, By GC, Z-Score = 2.10</t>
  </si>
  <si>
    <t>PT: JF2307; D3242 - Acidity, Z-Score = 3.14</t>
  </si>
  <si>
    <t>PT: ETOH2312; D1613 - Acidity, Z-Score = 3.11</t>
  </si>
  <si>
    <t>692</t>
  </si>
  <si>
    <t>PT: GGO2311; D189 - Carbon Residue, Conradson</t>
  </si>
  <si>
    <t>695</t>
  </si>
  <si>
    <t>PT: GGO2311; D5708 - Element, Nickel, ICPAES, Method B</t>
  </si>
  <si>
    <t>697</t>
  </si>
  <si>
    <t>698</t>
  </si>
  <si>
    <t>PT: LPG2311; D7423 - Oxygenates by GC-FID, Dimethyl Ether &amp; Methanol</t>
  </si>
  <si>
    <t>2.27 &amp; 2.27</t>
  </si>
  <si>
    <t>699</t>
  </si>
  <si>
    <t>PT: LPG2403; D7423 - Oxygenates by GC-FID, Methanol</t>
  </si>
  <si>
    <t>0.00 - Rejected</t>
  </si>
  <si>
    <t>701</t>
  </si>
  <si>
    <t>PT: LPG2403; D6667 - Sulfur in LPG, by UVF</t>
  </si>
  <si>
    <t>D6667 - Sulfur in LPG</t>
  </si>
  <si>
    <t>703</t>
  </si>
  <si>
    <t>704</t>
  </si>
  <si>
    <t>PT: LPG2403; D2163 - Hydrocarbons - C5+, Z-Score = 64.04</t>
  </si>
  <si>
    <t>706</t>
  </si>
  <si>
    <t>PT: F242403; D86 - Distillation, Auto, 95%</t>
  </si>
  <si>
    <t>-2.72</t>
  </si>
  <si>
    <t>PT: DF22310; D445 - Viscosity, Kinematic, 40 °C, Z-Score = -3.11</t>
  </si>
  <si>
    <t>590</t>
  </si>
  <si>
    <t>PT: RFG2402; D4815 - Oxygenates, Oxygen, Total, by GC, Z-Score = 80.83</t>
  </si>
  <si>
    <t>705</t>
  </si>
  <si>
    <t>PT: D339; D86 - Distillation, Residue , Z-Score = 3.81</t>
  </si>
  <si>
    <t>711</t>
  </si>
  <si>
    <t>PT: ETOH2404; D4052 - Density, Relative, @ 15.56 °C</t>
  </si>
  <si>
    <t>715</t>
  </si>
  <si>
    <t>PT: ETOH2404; D7319 - Chloride, Inorganic, by DI-IC</t>
  </si>
  <si>
    <t>719</t>
  </si>
  <si>
    <t>PT: ETOH2404; D7319 - Sulfate, Existent, by DI-IC</t>
  </si>
  <si>
    <t>721</t>
  </si>
  <si>
    <t>PT: CE518; D86 - Distillation, 90% &amp; Residue</t>
  </si>
  <si>
    <t>2.16 &amp; 2.13</t>
  </si>
  <si>
    <t>722</t>
  </si>
  <si>
    <t>PT: CE518; D5769 - Benzene, GC/MS</t>
  </si>
  <si>
    <t>723</t>
  </si>
  <si>
    <t>PT: CE518; D86 - Distillation, E300</t>
  </si>
  <si>
    <t>728</t>
  </si>
  <si>
    <t>PT: CE519; D86 - Distillation, IBP</t>
  </si>
  <si>
    <t>729</t>
  </si>
  <si>
    <t>PT: CE519; D86 - Distillation, 95%</t>
  </si>
  <si>
    <t>730</t>
  </si>
  <si>
    <t>PT: CE519; D86 - Distillation, 80%</t>
  </si>
  <si>
    <t>731</t>
  </si>
  <si>
    <t>PT: CE519; D86 - Distillation, 10% &amp; 20%</t>
  </si>
  <si>
    <t>2.24 &amp; 2.53</t>
  </si>
  <si>
    <t>734</t>
  </si>
  <si>
    <t>PT: D-1207; D445 - Viscosity, 40°C</t>
  </si>
  <si>
    <t>NEG-D</t>
  </si>
  <si>
    <t>735</t>
  </si>
  <si>
    <t>PT: D-1207; D86 - Distillation, 90% Recovered, Z-Score = 2231.82</t>
  </si>
  <si>
    <t>736</t>
  </si>
  <si>
    <t>PT: R-1347; D86 - Distillation, FBP Evaporated, oF</t>
  </si>
  <si>
    <t>NEG-R</t>
  </si>
  <si>
    <t>737</t>
  </si>
  <si>
    <t>PT: TM06-24; D86 - Distillation, 50%, oF</t>
  </si>
  <si>
    <t>740</t>
  </si>
  <si>
    <t>PT: T344; D7224 - Water Separation of Kerosine-type Aviation Turbine, MSEP rating</t>
  </si>
  <si>
    <t>TXXX</t>
  </si>
  <si>
    <t>PT: CO2307; D445 - Viscosity, Kinematic, 40 °C, Z-Score =  -20.40</t>
  </si>
  <si>
    <t>PT: R-1364; D4052 - Gravity, API at 60 °F, Z-Score =-7.57</t>
  </si>
  <si>
    <t>R-1364</t>
  </si>
  <si>
    <t>-7.57</t>
  </si>
  <si>
    <t>645</t>
  </si>
  <si>
    <t>PT: CET2402; D86 - Distillation, Auto, 20%, 50%, 90%, &amp; 95%, Z-Scores =-3.11, -2.05, -64.07, &amp; -42.00</t>
  </si>
  <si>
    <t>-3.11, -2.05, -64.07, &amp; -42.00</t>
  </si>
  <si>
    <t>741</t>
  </si>
  <si>
    <t>PT: OC2404; D5191 - Vapor Pressure, DVPE</t>
  </si>
  <si>
    <t>745</t>
  </si>
  <si>
    <t>PT: OC2404; D5453 - Sulfur, by UVF</t>
  </si>
  <si>
    <t>746</t>
  </si>
  <si>
    <t>PT: OC2404; D86 - Distillation, FBP °F</t>
  </si>
  <si>
    <t>748</t>
  </si>
  <si>
    <t>PT: OC2404; D1319 - Hydrocarbon Type, Olefins, Oxy-Free</t>
  </si>
  <si>
    <t>749</t>
  </si>
  <si>
    <t>PT: OC2404; D86 - Distillation, FBP °F, Z-Score = -31.63</t>
  </si>
  <si>
    <t>-31.63</t>
  </si>
  <si>
    <t>742</t>
  </si>
  <si>
    <t>PT: OC2404; D1319 - Hydrocarbon Types, Olefins &amp; Saturates, Oxy-Free, Z-Scores = 40.65 &amp; -29.90</t>
  </si>
  <si>
    <t>40.65 &amp; -29.90</t>
  </si>
  <si>
    <t>747</t>
  </si>
  <si>
    <t>PT: OC2404; D86 - Distillation, % Residual, Z-Score = 4.26</t>
  </si>
  <si>
    <t>720</t>
  </si>
  <si>
    <t>PT: ETOH2404; E1064 - Water, by Coul KF, Z-Score = -7.15</t>
  </si>
  <si>
    <t>-7.05</t>
  </si>
  <si>
    <t>755</t>
  </si>
  <si>
    <t>PT: CO2311; D5002 - Density, digital, 15 °C</t>
  </si>
  <si>
    <t>-2.40</t>
  </si>
  <si>
    <t>756</t>
  </si>
  <si>
    <t>PT: CO2311; D6560 - Asphaltenes, (Heptane Insolubles)</t>
  </si>
  <si>
    <t>760</t>
  </si>
  <si>
    <t>PT: CO2311; D445 - Viscosity, Kinematic, 40 °C</t>
  </si>
  <si>
    <t>763</t>
  </si>
  <si>
    <t xml:space="preserve">PT: CO2311; D287 - API Gravity, hydrometer at 60 °F </t>
  </si>
  <si>
    <t>-2.44</t>
  </si>
  <si>
    <t>768</t>
  </si>
  <si>
    <t>PT: CO2311; D4006 - Water, by Distillation</t>
  </si>
  <si>
    <t>-2.41</t>
  </si>
  <si>
    <t>769</t>
  </si>
  <si>
    <t>772</t>
  </si>
  <si>
    <t>773</t>
  </si>
  <si>
    <t>PT: CO2311; D5863 - Element, Nickel, AAS, Proc A, Z-Score = 7.23</t>
  </si>
  <si>
    <t>774</t>
  </si>
  <si>
    <t>PT: CO2311; D4294 - Sulfur, by EDXRF, Z-Score = 261.00</t>
  </si>
  <si>
    <t>779</t>
  </si>
  <si>
    <t>PT: CO2403; D7169 - BP Dist by HT-GC, Multiple Parameters, Z-Scores = Multiple Outliers</t>
  </si>
  <si>
    <t>780</t>
  </si>
  <si>
    <t>PT: CO2403; D7900 - HC Type, Total Naphth &amp; n-Hexane</t>
  </si>
  <si>
    <t>791</t>
  </si>
  <si>
    <t>PT: CO2403; D5002 - Density, digital, 15 °C</t>
  </si>
  <si>
    <t>792</t>
  </si>
  <si>
    <t>PT: CO2403; D664 - Acid Number, A, 125 mL Inflection EP</t>
  </si>
  <si>
    <t>796</t>
  </si>
  <si>
    <t>PT: CO2403; D6377 - Vapor Pressure, Crude Oil, Expansion Method</t>
  </si>
  <si>
    <t>-2.77</t>
  </si>
  <si>
    <t>797</t>
  </si>
  <si>
    <t>PT: CO2403; D445 - Viscosity, Kinematic, 40 °C</t>
  </si>
  <si>
    <t>799</t>
  </si>
  <si>
    <t>PT: CO2403; D7042 - Viscosity, Stabinger, Kin, 40 °C</t>
  </si>
  <si>
    <t>800</t>
  </si>
  <si>
    <t>PT: CO2403; D7900 - HC Type, methylcycpen</t>
  </si>
  <si>
    <t>-2.35</t>
  </si>
  <si>
    <t>PT: JF2307; D2887 - BP Distribution, GC, Proc A, IBP, Z-Score = -3.38</t>
  </si>
  <si>
    <t>616</t>
  </si>
  <si>
    <t>PT: RFG2403; D86 - Distillation, Auto, 20%-80%, °F (EPA), Z-Scores = Multiple Outliers</t>
  </si>
  <si>
    <t>617</t>
  </si>
  <si>
    <t>PT: RFG2403; D4815 - Oxygenates, Oxygen, Total, by GC, Z-Score = 86.85</t>
  </si>
  <si>
    <t>620</t>
  </si>
  <si>
    <t>PT: RFG2403; D5191 - Vapor Pressure, TVP, 1L (EPA), Z-Score = -8.35</t>
  </si>
  <si>
    <t>-8.35</t>
  </si>
  <si>
    <t>726</t>
  </si>
  <si>
    <t>PT: CE519; D4052 - API, Z-Score = -13.12</t>
  </si>
  <si>
    <t>-13.12</t>
  </si>
  <si>
    <t>727</t>
  </si>
  <si>
    <t>PT: CE519; D5769 - Aromatics, Z-Score = 2.63</t>
  </si>
  <si>
    <t>739</t>
  </si>
  <si>
    <t>PT: T344; D5453 - Sulfur, Z-Score = 16.06</t>
  </si>
  <si>
    <t>767</t>
  </si>
  <si>
    <t>PT: CO2311; D4928 - Water, Coulometric KF, Z-Score =-3.28</t>
  </si>
  <si>
    <t>-3.28</t>
  </si>
  <si>
    <t>646</t>
  </si>
  <si>
    <t>PT: CET2402; D1319 - HC Type, Aromatics &amp; Saturates, Oxy-Free, Z-Scores = 2.42 &amp; -2.29</t>
  </si>
  <si>
    <t>2.42, &amp; -2.29</t>
  </si>
  <si>
    <t>582</t>
  </si>
  <si>
    <t>PT: RFG2402; D7039 - Sulfur, by MWDXRF, Z-Score = 2.79</t>
  </si>
  <si>
    <t>614</t>
  </si>
  <si>
    <t>PT: RFG2403; D2622 - Sulfur by WDXRF, Z-Score = 2.14</t>
  </si>
  <si>
    <t>551</t>
  </si>
  <si>
    <t>PT: RFG2401; D5769 - Benzene, by GC/MS (EPA), Z-Score = 6.86</t>
  </si>
  <si>
    <t>553</t>
  </si>
  <si>
    <t>PT: RFG2401; D4815 - Oxygenates, Ethanol &amp; Oxygen, Total, by GC, Z-Scores = -32.52 &amp; -19.99</t>
  </si>
  <si>
    <t>-32.52 &amp; -19.99</t>
  </si>
  <si>
    <t>554</t>
  </si>
  <si>
    <t>PT: RFG2401; D2622 - Sulfur by WDXRF (EPA), Z-Score = 2.82</t>
  </si>
  <si>
    <t>588</t>
  </si>
  <si>
    <t>PT: RFG2402; D5769 - Benzene, by GC/MS (EPA), Z-Score = 17.12</t>
  </si>
  <si>
    <t>591</t>
  </si>
  <si>
    <t>PT: RFG2402; D2622 - Sulfur by WDXRF, Z-Score = 5.32</t>
  </si>
  <si>
    <t>PT: RFG2403; D5769 - Total Aromatics &amp; Benzene, by GC/MS (EPA), Z-Scores = -3.20 &amp; 62.73</t>
  </si>
  <si>
    <t>-3.20 &amp; 62.73</t>
  </si>
  <si>
    <t>PT: RFG2403; D2622 - Sulfur by WDXRF (EPA), Z-Score = 5.07</t>
  </si>
  <si>
    <t>787</t>
  </si>
  <si>
    <t>PT: CO2403; D7169 - BP Dist by HT-GC, 10% &amp; Cut 7, 596.1C (1105F), Z-Score = -8.17 &amp; 2.13</t>
  </si>
  <si>
    <t>-8.17 &amp; 2.13</t>
  </si>
  <si>
    <t>PT: RFG2312; D4052 - Density, Digital, 15 °C, Z-Score = 3.61</t>
  </si>
  <si>
    <t>607</t>
  </si>
  <si>
    <t>PT: RFG2402; D86 - Distillation, Auto, 10%, 50%, &amp; 60%, °F (EPA), Z-Scores = 3.00, 3.84, &amp; 3.22</t>
  </si>
  <si>
    <t>3.00, 3.84, &amp; 3.22</t>
  </si>
  <si>
    <t>750</t>
  </si>
  <si>
    <t>PT: OC2404; D1319 - Hydrocarbon Types, Olefins, Saturates, &amp; Aromatics, Oxy-Free, Z-Scores = 10.98, -15.18, &amp; 15.46</t>
  </si>
  <si>
    <t>10.98, -15.18, &amp; 15.46</t>
  </si>
  <si>
    <t>790</t>
  </si>
  <si>
    <t>PT: CO2403; D7042 - Viscosity, Stabinger, Kin, 40 °C, Z-Score = 5.10</t>
  </si>
  <si>
    <t>793</t>
  </si>
  <si>
    <t>PT: CO2403; D7169 - BP Dist by HT-GC, 70% &amp; Cut 8, 720C (1328F), Z-Scores = -2.26 &amp; -2.99</t>
  </si>
  <si>
    <t>-2.26 &amp; -2.99</t>
  </si>
  <si>
    <t>794</t>
  </si>
  <si>
    <t>PT: CO2403; D4530 - Carbon Residue, Micro, Z-Score = -3.30</t>
  </si>
  <si>
    <t>798</t>
  </si>
  <si>
    <t>PT: CO2403; D7900 - HC Type, C1 C9 Recovery, Z-Score = -3.30</t>
  </si>
  <si>
    <t>754</t>
  </si>
  <si>
    <t>PT: CO2311; D664 - Acid Number, A, 60 mL, inflection EP, Z-Score = -20.72</t>
  </si>
  <si>
    <t>See PTO784-132-24.</t>
  </si>
  <si>
    <t>PT: RFG2311; D1319 - HC Type, Aromatics, Oxy-Free, Z-Score = 2.03</t>
  </si>
  <si>
    <t>PT: F62305; D5184 - Element, Aluminum, by ICPAES, Z-Score = 2.80</t>
  </si>
  <si>
    <t>PT: DF22310; D86 - Distillation, Auto, 20% - 60%, Z-Scores = -5.83, -13.00, -12.44, -11.27, &amp; -11.76</t>
  </si>
  <si>
    <t>-5.83, -13.00, -12.44, -11.27, &amp; -11.76</t>
  </si>
  <si>
    <t>639</t>
  </si>
  <si>
    <t>PT: RFG2403; Distillation, Auto, % Resid (EPA), Z-Score = 17.78</t>
  </si>
  <si>
    <t>640</t>
  </si>
  <si>
    <t>PT: RFG2403; D1319 - HC Type, Olefins, Oxy-Free</t>
  </si>
  <si>
    <t>PT: JF2307; D1319 - HC Type, Aromatics &amp; Saturates, Oxy-Free, Z-Score = 9.87 &amp; -10.07</t>
  </si>
  <si>
    <t>9.87 &amp; -10.07</t>
  </si>
  <si>
    <t>PT: RFG2311; D2622 - Sulfur by WDXRF (EPA), Z-Score = -4.94</t>
  </si>
  <si>
    <t>-4.94</t>
  </si>
  <si>
    <t>PT: RFG2311; D5453 - Sulfur, by UVF, Z-Score = 13.12</t>
  </si>
  <si>
    <t>284</t>
  </si>
  <si>
    <t>PT: RFG2311; D5188 - V/L Ratio Temp, Evac Chamber, Z-Score = 4.82</t>
  </si>
  <si>
    <t>PT: RFG2312; D4052 - Density, Digital, 15 °C, Z-Score = 3.42</t>
  </si>
  <si>
    <t>619</t>
  </si>
  <si>
    <t>PT: RFG2403; D5188 - V/L Ratio Temp, Evac Chamber, Z-Score = 3.30</t>
  </si>
  <si>
    <t>658</t>
  </si>
  <si>
    <t>PT: RFG2401; D5188 - V/L Ratio Temp, Evac Chamber,  Z-Score = 4.13</t>
  </si>
  <si>
    <t>686</t>
  </si>
  <si>
    <t>PT: BIOD2404; D4951 - Element, Phosphorus by ICPAES, Z-Score = 2550.00</t>
  </si>
  <si>
    <t>PT: R-1345; D2699 - Research Octane Number, Z-Score = -2.35</t>
  </si>
  <si>
    <t>PT: DF22310; D4294 - Sulfur, by EDXRF, Z-Score = 5.47</t>
  </si>
  <si>
    <t>672</t>
  </si>
  <si>
    <t>PT: BIOD2311; D974 - Acid Number, by Color Indicator, Z-Score = -2.27</t>
  </si>
  <si>
    <t>PT: BIOD2404; D189 - Carbon Residue, Conradson, Z-Score = -3.31</t>
  </si>
  <si>
    <t>-3.31</t>
  </si>
  <si>
    <t>691</t>
  </si>
  <si>
    <t>PT: GGO2311; D482 - Ash, Z-Score = 5.38</t>
  </si>
  <si>
    <t>804</t>
  </si>
  <si>
    <t>PT: JF2311; D2887 - BP Distribution, GC, Proc A, FBP</t>
  </si>
  <si>
    <t>809</t>
  </si>
  <si>
    <t>PT: JF2311; D5972 - Freeze Point, Auto Phase Trans, Z-Score = 206.14</t>
  </si>
  <si>
    <t>810</t>
  </si>
  <si>
    <t>PT: JF2311; D6379 - HC Type by HPLC, Mono-Aromatics, Z-Score = 2.10</t>
  </si>
  <si>
    <t>811</t>
  </si>
  <si>
    <t>PT: JF2311; D1840 - Napthalenes, by UVS, Z-Score = 6.11</t>
  </si>
  <si>
    <t>812</t>
  </si>
  <si>
    <t>PT: JF2311; D86 - Distillation, Auto, 70% &amp; 80%</t>
  </si>
  <si>
    <t>-2.12 &amp; -2.27</t>
  </si>
  <si>
    <t>827</t>
  </si>
  <si>
    <t>PT: JF2311; D86 - Distillation, Auto, % Resid</t>
  </si>
  <si>
    <t>834</t>
  </si>
  <si>
    <t>PT: JF2311; D86 - Distillation, Auto, 5% &amp; % Loss</t>
  </si>
  <si>
    <t>-2.47 &amp; 2.36</t>
  </si>
  <si>
    <t>844</t>
  </si>
  <si>
    <t>PT: JF2311; D4052 - Density, Digital &amp; API Gravity, 15 °C</t>
  </si>
  <si>
    <t>PT: OC2402; D2699 - Research Octane Number, Z-Score = -6.87</t>
  </si>
  <si>
    <t>-6.87</t>
  </si>
  <si>
    <t>803</t>
  </si>
  <si>
    <t>PT: JF2311; D3227 - Mercaptan Sulfur, Potentiometric, Z-Score = 2.60</t>
  </si>
  <si>
    <t>805</t>
  </si>
  <si>
    <t>PT: JF2311; D976 - Cetane Index, Calculated, Z-Score = 5.06</t>
  </si>
  <si>
    <t>841</t>
  </si>
  <si>
    <t>PT: JF2311; D86 - Distillation, Auto, % Resid, Z-Score = -5.16</t>
  </si>
  <si>
    <t>5.16</t>
  </si>
  <si>
    <t>843</t>
  </si>
  <si>
    <t>PT: JF2311; D3338 - Net Heat of Combustion, Z-Score = 5.89</t>
  </si>
  <si>
    <t>845</t>
  </si>
  <si>
    <t>PT: JF2311; D1319 - HC Type, Saturates, Oxy-Free, Z-Score = -7.49</t>
  </si>
  <si>
    <t>-7.49</t>
  </si>
  <si>
    <t>848</t>
  </si>
  <si>
    <t>PT: JF2403; D3343 - Hydrogen, Estimate, Z-Score = -52.80</t>
  </si>
  <si>
    <t>852</t>
  </si>
  <si>
    <t>PT: JF2403; D4052 - API Gravity, Digital, 60°F</t>
  </si>
  <si>
    <t>853</t>
  </si>
  <si>
    <t>PT: JF2403; D976 - Cetanex Index, Calculated</t>
  </si>
  <si>
    <t>854</t>
  </si>
  <si>
    <t>PT: JF2403; D86 - Distillation, Auto, 30 -80% &amp; FBP</t>
  </si>
  <si>
    <t>856</t>
  </si>
  <si>
    <t>PT: JF2403; D3338 - Net Heat of Combustion, Z-Score = 8.04</t>
  </si>
  <si>
    <t>857</t>
  </si>
  <si>
    <t>862</t>
  </si>
  <si>
    <t>PT: JF2403; D86 - Distillation, Auto, 95%, Z-Score = 17.46</t>
  </si>
  <si>
    <t>867</t>
  </si>
  <si>
    <t>PT: JF2403; D86 - Distillation, Auto, 30%</t>
  </si>
  <si>
    <t>869</t>
  </si>
  <si>
    <t>PT: JF2403; D86 - Distillation, Auto, % Resid</t>
  </si>
  <si>
    <t>871</t>
  </si>
  <si>
    <t>877</t>
  </si>
  <si>
    <t>PT: JF2403; D1319 - HC Type, Olefins, Oxy-Free</t>
  </si>
  <si>
    <t>883</t>
  </si>
  <si>
    <t>PT: JF2403; D1840 - Napthalenes, by UVS, Z-Score = 11.06</t>
  </si>
  <si>
    <t>893</t>
  </si>
  <si>
    <t>894</t>
  </si>
  <si>
    <t>PT: JF2403; D3242 - Acidity, Z-Score = 3.70</t>
  </si>
  <si>
    <t>896</t>
  </si>
  <si>
    <t>898</t>
  </si>
  <si>
    <t>PT: JF2403; D4052 - Density, Digital, 15 °C, Z-Score = 4.75</t>
  </si>
  <si>
    <t>900</t>
  </si>
  <si>
    <t>PT: JF2403; D4052 - Density, Digital, 15 °C, 60°F</t>
  </si>
  <si>
    <t>638</t>
  </si>
  <si>
    <t>PT: RFG2403; D4815 - Oxygenates, Ethanol &amp; Total Oxygen, by GC, Z-Scores = -3.12 &amp; -3.20</t>
  </si>
  <si>
    <t>-3.12 &amp; -3.20</t>
  </si>
  <si>
    <t>725</t>
  </si>
  <si>
    <t>PT: CE518; D4052 - API, Z-Score = -3.44</t>
  </si>
  <si>
    <t>-3.44</t>
  </si>
  <si>
    <t>PT: JF2307; D2386 - Freeze Point, Z-Score = 2.12</t>
  </si>
  <si>
    <t>PT: F62309; D664 - Acid Number, A, 60 mL, Buffer EP, Z-Score = -18.93</t>
  </si>
  <si>
    <t>-18.93</t>
  </si>
  <si>
    <t>PT: F62309; D189 - Carbon Residue, Conradson, Z-Score = 2.63</t>
  </si>
  <si>
    <t>PT: RFG2310; D86 - Distillation, Auto, FBP, °F (EPA), Z-Score = -3.05</t>
  </si>
  <si>
    <t>-3.05</t>
  </si>
  <si>
    <t>PT: MG2308; D86 - Distillation, Auto, % Resid (EPA), Z-Score = -6.21</t>
  </si>
  <si>
    <t>PT: F62309; D473 - Sediment, Z-Score = 2.53</t>
  </si>
  <si>
    <t>842</t>
  </si>
  <si>
    <t>PT: JF2311; D5453 - Sulfur, by UVF, Z-Score = 2.10</t>
  </si>
  <si>
    <t>876</t>
  </si>
  <si>
    <t>PT: JF2403; D3338 - Net Heat of Combustion</t>
  </si>
  <si>
    <t>D3338 - Net Heat of Combustion</t>
  </si>
  <si>
    <t>PT: DF22310; D5453 - Sulfur, by UVF, Z-Score =-2.19</t>
  </si>
  <si>
    <t>PT: DF22310; D445 - Viscosity, Kinematic, 40 °C, Z-Score =2.50</t>
  </si>
  <si>
    <t>529</t>
  </si>
  <si>
    <t>PT: F62309; D445 - Viscosity, Kinematic, 50 °C, Z-Score = 3.00</t>
  </si>
  <si>
    <t>613</t>
  </si>
  <si>
    <t>PT: RFG2403; D86 - Distillation, Auto, 10%-50%, 70%, FBP, &amp; E200, °F (EPA), Z-Scores = Multiple Outliers</t>
  </si>
  <si>
    <t>635</t>
  </si>
  <si>
    <t>PT: RFG2403; D8071 - HC Type, Isoparaffins &amp; Naphthenes, GC-VUV, Z-Scores = -2.33 &amp; 2.16</t>
  </si>
  <si>
    <t>-2.33 &amp; 2.16</t>
  </si>
  <si>
    <t>See PTO921-180-24</t>
  </si>
  <si>
    <t>870</t>
  </si>
  <si>
    <t>PT: JF2403; D1840 - Napthalenes, by UVS, Z-Score = 2.38</t>
  </si>
  <si>
    <t>903</t>
  </si>
  <si>
    <t>PT: RFG2404; D6550 - HC Type, Olefins, by SFC</t>
  </si>
  <si>
    <t>905</t>
  </si>
  <si>
    <t>-2.53</t>
  </si>
  <si>
    <t>906</t>
  </si>
  <si>
    <t>PT: RFG2404; D86 - Distillation, Auto, 90%, °F (EPA)</t>
  </si>
  <si>
    <t>-2.07</t>
  </si>
  <si>
    <t>907</t>
  </si>
  <si>
    <t>PT: RFG2404; D5769 - Benzene, by GC/MS (EPA)</t>
  </si>
  <si>
    <t>-2.68</t>
  </si>
  <si>
    <t>912</t>
  </si>
  <si>
    <t>PT: RFG2404; D86 - Distillation, Auto, IBP, °F (EPA)</t>
  </si>
  <si>
    <t>2.26</t>
  </si>
  <si>
    <t>914</t>
  </si>
  <si>
    <t>PT: RFG2404; D86 - Distillation, Auto, 70%</t>
  </si>
  <si>
    <t>917</t>
  </si>
  <si>
    <t>PT: RFG2404; D3606 - Benzene, by GC, Proc B (EPA)</t>
  </si>
  <si>
    <t>918</t>
  </si>
  <si>
    <t>PT: RFG2404; D86 - Distillation, Auto, % Evap &amp; % Loss (EPA)</t>
  </si>
  <si>
    <t>-2.11 &amp; 2.32</t>
  </si>
  <si>
    <t>920</t>
  </si>
  <si>
    <t>PT: RFG2404; D5769 - Toluene, by GC/MS</t>
  </si>
  <si>
    <t>-2.03</t>
  </si>
  <si>
    <t>922</t>
  </si>
  <si>
    <t>PT: RFG2404; D4052 - Density, Digital, 15 °C</t>
  </si>
  <si>
    <t>923</t>
  </si>
  <si>
    <t>PT: RFG2404; D86 - Distillation, Auto, 95%, °F (EPA)</t>
  </si>
  <si>
    <t>925</t>
  </si>
  <si>
    <t>PT: RFG2404; D86 - Distillation, Auto, E200 &amp; E300 °F, % (EPA)</t>
  </si>
  <si>
    <t>-2.80 &amp; -2.81</t>
  </si>
  <si>
    <t>926</t>
  </si>
  <si>
    <t>PT: RFG2404; D86 - Distillation, Auto, 60%, °F (EPA)</t>
  </si>
  <si>
    <t>846</t>
  </si>
  <si>
    <t>PT: JF2311; D1319 - HC Type, Olefins, Oxy-Free, Z-Score = 3.13</t>
  </si>
  <si>
    <t>930</t>
  </si>
  <si>
    <t>PT: RFG2405; D5191 - Vapor Pressure, DVPE &amp; TVP, 1L (EPA)</t>
  </si>
  <si>
    <t>2.28 &amp; 2.24</t>
  </si>
  <si>
    <t>932</t>
  </si>
  <si>
    <t>PT: RFG2405; D4052 - Density, Digital, 15 °C</t>
  </si>
  <si>
    <t>933</t>
  </si>
  <si>
    <t>PT: RFG2405; D86 - Distillation, Auto, % Resid (EPA)</t>
  </si>
  <si>
    <t>935</t>
  </si>
  <si>
    <t>PT: RFG2405; D5580 - Aromatics, C9+, by GC</t>
  </si>
  <si>
    <t>942</t>
  </si>
  <si>
    <t>PT: RFG2405; D86 - Distillation, Auto, 95%, °F (EPA)</t>
  </si>
  <si>
    <t>943</t>
  </si>
  <si>
    <t>PT: RFG2405; D3606 - Benzene, by GC, Proc B (EPA)</t>
  </si>
  <si>
    <t>945</t>
  </si>
  <si>
    <t>948</t>
  </si>
  <si>
    <t>PT: RFG2405; D5191 - Vapor Pressure, TVP, 1L (EPA)</t>
  </si>
  <si>
    <t>950</t>
  </si>
  <si>
    <t>PT: RFG2405; D86 - Distillation, Auto, 5% &amp; FBP, °F (EPA) &amp; E200 °F, % (EPA)</t>
  </si>
  <si>
    <t>-2.46, -2.95, -2.99, &amp; 2.01</t>
  </si>
  <si>
    <t>951</t>
  </si>
  <si>
    <t>PT: RFG2405; D86 - Distillation, Auto, IBP &amp; 40%, °F (EPA)</t>
  </si>
  <si>
    <t>2.14 &amp; 2.15</t>
  </si>
  <si>
    <t>954</t>
  </si>
  <si>
    <t>PT: RFG2405; D5769 - Toluene, by GC/MS &amp; (EPA)</t>
  </si>
  <si>
    <t>-2.35 &amp; -2.53</t>
  </si>
  <si>
    <t>955</t>
  </si>
  <si>
    <t>PT: CET2310; D86 - Distillation, Auto, IBP, Z-Score = -2.03</t>
  </si>
  <si>
    <t>See PTO927-120-24</t>
  </si>
  <si>
    <t>PT: F62309; D97 - Pour Point, Residual Fuels, Z-Score = -2.70</t>
  </si>
  <si>
    <t>577</t>
  </si>
  <si>
    <t>PT: RFG2402; D86 - Distillation, Multiple Parameters, Z-Scores = Multiple Parameters</t>
  </si>
  <si>
    <t>609</t>
  </si>
  <si>
    <t>PT: RFG2403; D86 - Distillation,  Multiple Parameters, Z-Scores = Multiple Outliers</t>
  </si>
  <si>
    <t>648</t>
  </si>
  <si>
    <t>PT: NP2402; D86 - Distillation, Auto, FBP, Z-Score =-7.42</t>
  </si>
  <si>
    <t>-7.42</t>
  </si>
  <si>
    <t>806</t>
  </si>
  <si>
    <t>PT: JF2311; D86 - Distillation, Auto, IBP, Z-Score =-2.81</t>
  </si>
  <si>
    <t>936</t>
  </si>
  <si>
    <t>PT: RFG2405; D86 - Distillation, Auto, 60%, °F (EPA), Z-Score = 79.91</t>
  </si>
  <si>
    <t>958</t>
  </si>
  <si>
    <t>PT: RFG2406; D5769 - Total Aromatics &amp; Benzene, by GC/MS (EPA), Z-Scores = -3.11 &amp; -5.25</t>
  </si>
  <si>
    <t>-3.11 &amp; -5.25</t>
  </si>
  <si>
    <t>PT: RFG2310; D1319 - HC Type, Multiple Parameters, Z-Scores = Multiple Outliers</t>
  </si>
  <si>
    <t>PT: RFG2310; D6550 - HC Type, Olefins, by SFC, Z-Score = -2.18</t>
  </si>
  <si>
    <t>PT: RFG2311; D6550 - HC Type, Olefins, by SFC, Z-Score = -3.01</t>
  </si>
  <si>
    <t>-3.01</t>
  </si>
  <si>
    <t>PT: RFG2312; D1319-20a &amp; D1319-19 - HC Type, Olefins &amp; Saturates, Z-Scores = Multiple Outliers</t>
  </si>
  <si>
    <t>PT: RFG2312; D6550 - HC Type, Olefins, by SFC, Z-Score = -2.73</t>
  </si>
  <si>
    <t>586</t>
  </si>
  <si>
    <t>PT: RFG2402; D1319-19 &amp; -20a- HC Type, Olefins Corrected &amp; Oxy-Free, Z-Scores = -4.87, -5.29, -5.09, &amp; -5.09</t>
  </si>
  <si>
    <t>-4.87, -5.29, -5.09, &amp; -5.09</t>
  </si>
  <si>
    <t>890</t>
  </si>
  <si>
    <t>PT: JF2403; D5453 - Sulfur, by UVF, Z-Score = -2.30</t>
  </si>
  <si>
    <t>891</t>
  </si>
  <si>
    <t>PT: JF2403; D6304 - Water, by Coul KF, Meth A Direct Injection, mg/kg, Z-Score = -2.40</t>
  </si>
  <si>
    <t>924</t>
  </si>
  <si>
    <t>PT: RFG2404; D4052 - Density, Digital, 15 °C, Z-Score = -18.19</t>
  </si>
  <si>
    <t>-18.19</t>
  </si>
  <si>
    <t>959</t>
  </si>
  <si>
    <t>PT: RFG2406; D86 - Distillation, Auto, FBP °F (EPA)</t>
  </si>
  <si>
    <t>960</t>
  </si>
  <si>
    <t>PT: RFG2406; D86 - Distillation, Auto, 20%</t>
  </si>
  <si>
    <t>963</t>
  </si>
  <si>
    <t>PT: RFG2406; D4815 - Oxygenates, Ethanol &amp; Total Oxygen, by GC</t>
  </si>
  <si>
    <t>2.45 &amp; 2.51</t>
  </si>
  <si>
    <t>966</t>
  </si>
  <si>
    <t>PT: RFG2406; D86 - Distillation, Auto, E300 °F, % (EPA)</t>
  </si>
  <si>
    <t>967</t>
  </si>
  <si>
    <t>PT: RFG2406; D86 - Distillation, Auto, 60%, 70%, &amp; 80%, °F (EPA)</t>
  </si>
  <si>
    <t>2.12, 2.36, &amp; 2.05</t>
  </si>
  <si>
    <t>968</t>
  </si>
  <si>
    <t>PT: RFG2406; D86 - Distillation, Auto, 95%, °F (EPA)</t>
  </si>
  <si>
    <t>969</t>
  </si>
  <si>
    <t>PT: RFG2406; D4052 - Density, Digital, 15 °C</t>
  </si>
  <si>
    <t>970</t>
  </si>
  <si>
    <t>PT: RFG2406; D86 - Distillation, Auto, 5%, °F (EPA), 60%, &amp; 60%, °F (EPA)</t>
  </si>
  <si>
    <t>2.06, 2.24, &amp; 2.12</t>
  </si>
  <si>
    <t>972</t>
  </si>
  <si>
    <t>PT: RFG2406; D86 - Distillation, Auto, % Evap (EPA)</t>
  </si>
  <si>
    <t>975</t>
  </si>
  <si>
    <t>976</t>
  </si>
  <si>
    <t>2.65 &amp; -2.68</t>
  </si>
  <si>
    <t>977</t>
  </si>
  <si>
    <t>980</t>
  </si>
  <si>
    <t xml:space="preserve">PT: RFG2406; D5599 - Oxygenates, Oxygen, Total, by GC OFID (EPA) </t>
  </si>
  <si>
    <t>983</t>
  </si>
  <si>
    <t>PT: RFG2406; D5580 - Benzene, by GC</t>
  </si>
  <si>
    <t>984</t>
  </si>
  <si>
    <t>-2.37</t>
  </si>
  <si>
    <t>985</t>
  </si>
  <si>
    <t>PT: RFG2406; D86 - Distillation, Auto, % Resid (EPA)</t>
  </si>
  <si>
    <t>986</t>
  </si>
  <si>
    <t>PT: DF22402; D664 - Acid Number, A, 60 mL, Buffer EP &amp; inflection EP</t>
  </si>
  <si>
    <t>2.48 &amp; 2.36</t>
  </si>
  <si>
    <t>571</t>
  </si>
  <si>
    <t>PT: RFG2401; D5191-20 &amp; -22 - Vapor Pressure, DVPE, 1L &amp; (EPA), Z-Scores = -2.41 &amp; -2.44</t>
  </si>
  <si>
    <t>-2.41 &amp; -2.44</t>
  </si>
  <si>
    <t>See PTO915-165-24</t>
  </si>
  <si>
    <t>752</t>
  </si>
  <si>
    <t>PT: CO2311; D97 - Pour Point, residual fuels, Z-Score = 3.10</t>
  </si>
  <si>
    <t>988</t>
  </si>
  <si>
    <t>PT: MG2404; D86 - Distillation, Auto, 20% &amp; 30%, °F (EPA), Z-Scores = -6.97 &amp; -13.05</t>
  </si>
  <si>
    <t>-6.97 &amp; -13.05</t>
  </si>
  <si>
    <t>786</t>
  </si>
  <si>
    <t>PT: CO2403; D4294 - Sulfur, by EDXRF, Z-Score = -2.92</t>
  </si>
  <si>
    <t>-2.92</t>
  </si>
  <si>
    <t>814</t>
  </si>
  <si>
    <t>PT: JF2311; D56 - Flash Point, TAG, Corrected, Z-Score = 3.33</t>
  </si>
  <si>
    <t>815</t>
  </si>
  <si>
    <t>PT: JF2311; D5972 - Freeze Point, Auto Phase Trans, Z-Score = -13.92</t>
  </si>
  <si>
    <t>-13.92</t>
  </si>
  <si>
    <t>990</t>
  </si>
  <si>
    <t>PT: DF22402; D86 - Distillation, Auto, IBP - FBP, Z-Scores = Multiple Outliers</t>
  </si>
  <si>
    <t>991</t>
  </si>
  <si>
    <t>PT: DF22402; D93 - Flash Point, PMCC, Proc A, corrected, Z-Score = 51.18</t>
  </si>
  <si>
    <t>993</t>
  </si>
  <si>
    <t>PT: DF22402; D86 - Distillation, Auto, 60%, Z-Score = -49.88</t>
  </si>
  <si>
    <t>994</t>
  </si>
  <si>
    <t>PT: DF22402; D97 - Pour Point</t>
  </si>
  <si>
    <t>D97 - Pour Point</t>
  </si>
  <si>
    <t>995</t>
  </si>
  <si>
    <t>PT: DF22402; D664 - Acid Number, A, 60 mL, inflection EP</t>
  </si>
  <si>
    <t>996</t>
  </si>
  <si>
    <t>PT: DF22402; D86 - Distillation, Auto, % Resid</t>
  </si>
  <si>
    <t>PT: MG2312; D86 - Distillation, Auto, 80%, °F (EPA), Z-Score = -6.32</t>
  </si>
  <si>
    <t>678</t>
  </si>
  <si>
    <t>PT: BIOD2404; EN14538 - Elements, Ca + Mg, by ICP/OES, Z-Score = 4.23</t>
  </si>
  <si>
    <t>813</t>
  </si>
  <si>
    <t>PT: JF2311; D5453 - Sulfur, by UVF, Z-Score = 2.30</t>
  </si>
  <si>
    <t>1000</t>
  </si>
  <si>
    <t>PT: D-1208; D445 - Viscosity, @ 40°C</t>
  </si>
  <si>
    <t>PT: BIOD2308; D5453 - Sulfur, by UVF, Z-Score = 2.01</t>
  </si>
  <si>
    <t>PT: JF2307; D3338 - Net Heat of Combustion, Z-Score = -7.17</t>
  </si>
  <si>
    <t>-7.17</t>
  </si>
  <si>
    <t>PT: RFG2311; D5188 - V/L Ratio Temp, Evac Chamber, Z-Score = -2.59</t>
  </si>
  <si>
    <t>PT: F62309; D93 - Flash Point, PMCC, Proc B, corr, Z-Score = 2.41</t>
  </si>
  <si>
    <t>669</t>
  </si>
  <si>
    <t>PT: BIOD2311; EN15751 - Oxidation Stability, Z-Score = 4.45</t>
  </si>
  <si>
    <t>778</t>
  </si>
  <si>
    <t>PT: CO2403; D4052 - Density, digital, 15 °C, Z-Score = 4.58</t>
  </si>
  <si>
    <t>PT: F242310; D5452 - Particulates, Lab Filtration (mg/L), Z-Score = 4.27</t>
  </si>
  <si>
    <t>PT: DF22310; D445 - Viscosity, Kinematic, 40 °C, Z-Score = -3.74</t>
  </si>
  <si>
    <t>-3.74</t>
  </si>
  <si>
    <t>PT: F62309; D97 - Pour Point, Residual Fuels, Z-Score = 11.50</t>
  </si>
  <si>
    <t>679</t>
  </si>
  <si>
    <t>PT: BIOD2404; EN15751 - Oxidation Stability, Z-Score = 2.42</t>
  </si>
  <si>
    <t>777</t>
  </si>
  <si>
    <t>1001</t>
  </si>
  <si>
    <t>PT: OC2406; API Gravity</t>
  </si>
  <si>
    <t>API Gravity</t>
  </si>
  <si>
    <t>859</t>
  </si>
  <si>
    <t>PT: JF2403; D2386 - Freeze Point, Z-Score = 2.35</t>
  </si>
  <si>
    <t>PT: ETOH2308; D4052 - Density, Relative, @ 15.56 °C, Z-Score = 6.24</t>
  </si>
  <si>
    <t>PT: RFG2309; D2622 - Sulfur by WDXRF &amp; EPA, Z-Scores = 2.65 &amp; 2.99</t>
  </si>
  <si>
    <t>2.65 &amp; 2.99</t>
  </si>
  <si>
    <t>PT: RFG2310; D3606 - Benzene, by GC, Proc B &amp; (EPA), Z-Scores = 181.67 &amp; 136.5</t>
  </si>
  <si>
    <t>181.67 &amp; 136.5</t>
  </si>
  <si>
    <t>PT: RFG2310; D4815 - Oxygenates, Oxygen, Total, by GC, Z-Score = 93.87</t>
  </si>
  <si>
    <t>770</t>
  </si>
  <si>
    <t>PT: CO2311; D664 - Acid Number, A, 125 mL, inflection EP, Z-Score = 3.37</t>
  </si>
  <si>
    <t>771</t>
  </si>
  <si>
    <t>PT: CO2311; D5002 - Density, digital, 15 °C, Z-Score = -4.76</t>
  </si>
  <si>
    <t>4.76</t>
  </si>
  <si>
    <t>826</t>
  </si>
  <si>
    <t>PT: JF2311; D976 - Cetane Index, Calculated, Z-Score = 5.33</t>
  </si>
  <si>
    <t>858</t>
  </si>
  <si>
    <t>PT: JF2403; D86 - Distillation, Auto, 50 -90%, Z-Scores = -3.02, -3.41, -3.38, -3.22, &amp; -2.39</t>
  </si>
  <si>
    <t>874</t>
  </si>
  <si>
    <t>PT: JF2403; D4052 - Density, Digital, 15 °C, Z-Score = 5.53</t>
  </si>
  <si>
    <t>PT: RFG2310; D5769 - Total Aromatics, Benzene, &amp; Toluene, Z-Scores = Multiple Outliers</t>
  </si>
  <si>
    <t>PT: RFG2311; D1319 - HC Type, Olefins, Corrected (EPA) &amp; Saturates, Oxy-Free (EPA), Z-Scores = 2.21 &amp; -2.30</t>
  </si>
  <si>
    <t>2.21 &amp; -2.30</t>
  </si>
  <si>
    <t>PT: RFG2311; D2622 - Sulfur by WDXRF &amp; (EPA), Z-Scores = -2.94 &amp; -3.38</t>
  </si>
  <si>
    <t>-2.94 &amp; -3.38</t>
  </si>
  <si>
    <t>PT: RFG2311; D5453 - Sulfur, by UVF, Z-Score = -2.30</t>
  </si>
  <si>
    <t>667</t>
  </si>
  <si>
    <t>PT: BIOD2311; D4951 - Element, Phosphorus by ICPAES, Z-Score = 3.75</t>
  </si>
  <si>
    <t>751</t>
  </si>
  <si>
    <t>PT: CO2311; D664 - Acid Number, A, 60 mL, inflection EP, Z-Score = -20.92</t>
  </si>
  <si>
    <t>850</t>
  </si>
  <si>
    <t>PT: JF2403; D1840 - Napthalenes, by UVS, Z-Score = 4.05</t>
  </si>
  <si>
    <t>PT: CO2307; D4928 - Water, Coulometric KF, Z-Score =  4.35</t>
  </si>
  <si>
    <t>-3.15</t>
  </si>
  <si>
    <t>PT: OC2312; Vapor Pressure, Z-Score = -32.40</t>
  </si>
  <si>
    <t>-32.40</t>
  </si>
  <si>
    <t>PT: F62305; D664 - Acid Number, A, 125 mL, inflection EP, Z-Score = -21.43</t>
  </si>
  <si>
    <t>644</t>
  </si>
  <si>
    <t>PT: CET2402; D4052 - Density, Digital, 15 °C, Z-Score = 5.55</t>
  </si>
  <si>
    <t>879</t>
  </si>
  <si>
    <t>PT: JF2403; D56 - Flash Point, TAG, Corrected, Z-Score = 2.15</t>
  </si>
  <si>
    <t>880</t>
  </si>
  <si>
    <t>PT: JF2403; D2386 - Freeze Point, Z-Score = -2.55</t>
  </si>
  <si>
    <t>-2.55</t>
  </si>
  <si>
    <t>860</t>
  </si>
  <si>
    <t>PT: JF2403; D3227 - Mercaptan Sulfur, Potentiometric, Z-Score = -3.78</t>
  </si>
  <si>
    <t>-3.78</t>
  </si>
  <si>
    <t>PT: F62305; D664 - Acid Number, A, 60 mL, Buffer EP &amp; Inflection EP, Z-Scores = -9.15 &amp; -24.16</t>
  </si>
  <si>
    <t>PT: DF22310; D2887 - BP Distribution, GC, Proc, B, 95%, Z-Score = -2.77</t>
  </si>
  <si>
    <t>782</t>
  </si>
  <si>
    <t>PT: CO2403; D445 - Viscosity, Kinematic, 40 °C, Z-Score = 8.57</t>
  </si>
  <si>
    <t>PT: RFG2309; D1319 - HC Type, Aromatics, Corrected (EPA), Z-Score = -2.24</t>
  </si>
  <si>
    <t>PT: OC2402; API Gravity, Z-Score = 7.75</t>
  </si>
  <si>
    <t>PT: OC2402; D2699 - Research Octane Number, Z-Score = 5.01</t>
  </si>
  <si>
    <t>PT: ETOH2312; D5501 - Methanol, By GC, Z-Score = 9.58</t>
  </si>
  <si>
    <t>PT: DF22310; D7039 - Sulfur, by MWDXRF, Z-Score =-2.98</t>
  </si>
  <si>
    <t>-2.98</t>
  </si>
  <si>
    <t>PT: F62309; D240 - Heat of Combustion, Gross, by Bomb Calorimeter, Z-Score = 2.53</t>
  </si>
  <si>
    <t>861</t>
  </si>
  <si>
    <t>PT: JF2403; D1322 - Smoke Point, Man, Z-Score = -2.06</t>
  </si>
  <si>
    <t>PT: F62309; D4530 - Carbon Residue, Micro, Z-Score = 11.57</t>
  </si>
  <si>
    <t>PT: RFG2311; D4815 - Oxygenates, Ethanol, &amp; Total Oxygen, by GC, Z-Scores = -3.39 &amp; -36.40</t>
  </si>
  <si>
    <t>-3.39 &amp; -36.40</t>
  </si>
  <si>
    <t>PT: ETOH2312; D6423 - pHe, Z-Score = 2.97</t>
  </si>
  <si>
    <t>PT: DF22310; D445 - Viscosity, Kinematic, 40 °C, Z-Score = 2.24</t>
  </si>
  <si>
    <t>PT: F62309; D445 - Viscosity, Kinematic, 50 °C, Z-Score = -10.47</t>
  </si>
  <si>
    <t>-10.47</t>
  </si>
  <si>
    <t>548</t>
  </si>
  <si>
    <t>PT: RFG2401; D4815 - Oxygenates, Ethanol, by GC, Z-Score = 2.50</t>
  </si>
  <si>
    <t>629</t>
  </si>
  <si>
    <t>PT: RFG2403; D2622 - Sulfur by WDXRF &amp; (EPA), Z-Scores = 48.80 &amp; 41.86</t>
  </si>
  <si>
    <t>48.80 &amp; 41.86</t>
  </si>
  <si>
    <t>761</t>
  </si>
  <si>
    <t>PT: CO2311; D4530 - Carbon Residue, Micro, Z-Score = -6.47</t>
  </si>
  <si>
    <t>-6.47</t>
  </si>
  <si>
    <t>762</t>
  </si>
  <si>
    <t>PT: CO2311; D5002 - Density, digital, 15 °C, Z-Score = -3.34</t>
  </si>
  <si>
    <t>-3.34</t>
  </si>
  <si>
    <t>1006</t>
  </si>
  <si>
    <t>PT: DF22404; D86 - Distillation, Auto, 80%</t>
  </si>
  <si>
    <t>-2.25</t>
  </si>
  <si>
    <t>1007</t>
  </si>
  <si>
    <t>PT: DF22404; D6371 - Cold Filter Plugging Point, CFPP</t>
  </si>
  <si>
    <t>1015</t>
  </si>
  <si>
    <t>PT: DF22404; D189 - Carbon Residue, Conradson</t>
  </si>
  <si>
    <t>1016</t>
  </si>
  <si>
    <t>PT: DF22404; D4530 - Carbon Residue, Micro, 10% btm</t>
  </si>
  <si>
    <t>1019</t>
  </si>
  <si>
    <t>PT: DF22402; D5453 - Sulfur, by UVF, Z-Score = -2.21</t>
  </si>
  <si>
    <t>1022</t>
  </si>
  <si>
    <t>PT: DF22404; D86 - Distillation, Auto, % Resid</t>
  </si>
  <si>
    <t>1025</t>
  </si>
  <si>
    <t>PT: DF22402; D6304 - Water, by Coul KF, Meth A Direct Injection, mg/kg, Z-Score = -2.70</t>
  </si>
  <si>
    <t>1030</t>
  </si>
  <si>
    <t>PT: R-1349; Vapor Pressure - All Methods</t>
  </si>
  <si>
    <t>1031</t>
  </si>
  <si>
    <t>PT: R-1349; D2699 - Research Octane Number, Z-Score = 2.33</t>
  </si>
  <si>
    <t>1026</t>
  </si>
  <si>
    <t>PT: DF22402; D6217 - Particulates, Lab Filtration, Z-Score = 2.17</t>
  </si>
  <si>
    <t>PT: MG2312; D5453 - Sulfur, by UVF, Z-Score = -2.04</t>
  </si>
  <si>
    <t>PT: DF22310; D2887 - BP Distribution, GC, Proc A, IBP, Z-Score = -3.47</t>
  </si>
  <si>
    <t>-3.47</t>
  </si>
  <si>
    <t>821</t>
  </si>
  <si>
    <t>PT: JF2311; D1840 - Napthalenes, by UVS, Z-Score =-2.42</t>
  </si>
  <si>
    <t>2.42</t>
  </si>
  <si>
    <t>See PTO868-141-24.</t>
  </si>
  <si>
    <t>868</t>
  </si>
  <si>
    <t>PT: JF2403; D1840 - Napthalenes, by UVS, Z-Score = 4.78</t>
  </si>
  <si>
    <t>PT: DF22310; D445 - Viscosity, Kinematic, 40 °C, Z-Score = -4.02</t>
  </si>
  <si>
    <t>-4.02</t>
  </si>
  <si>
    <t>PT: F62309; D4530 - Carbon Residue, Micro, Z-Score = 2.14</t>
  </si>
  <si>
    <t>987</t>
  </si>
  <si>
    <t>PT: DF22406; D664 - Acid Number, A, 60 mL, Buffer EP, Z-Score = 4.77</t>
  </si>
  <si>
    <t>997</t>
  </si>
  <si>
    <t>PT: DF22402; D5186 - HC Type, by SFC, Aromatics, Total, Z-Score = -2.07</t>
  </si>
  <si>
    <t>PT: RFG2310; D86 - Distillation, Auto, %Resid (EPA), Z-Score =3.67</t>
  </si>
  <si>
    <t>PT: MG2308; D86 - Distillation, Auto, % Resid (EPA), Z-Score = 4.91</t>
  </si>
  <si>
    <t>PT: MG2308; D6550 - HC Type, Olefins, by SFC, Z-Score = 72.31</t>
  </si>
  <si>
    <t>PT: F62305; D95 - Water, by Distillation, Z-Score = -2.05</t>
  </si>
  <si>
    <t>781</t>
  </si>
  <si>
    <t>PT: CO2403; D323 - Vapor Pressure, Reid, Z-Score = 4.37</t>
  </si>
  <si>
    <t>828</t>
  </si>
  <si>
    <t>PT: JF2311; D3241 - Thermal Stability, Ellipsometric, @260, Thickness &amp; Volume, &amp; @275 Thickness, Z-Scores = 11.00, 14.73, &amp; 6.60</t>
  </si>
  <si>
    <t>11.00, 14.73, &amp; 6.60</t>
  </si>
  <si>
    <t>982</t>
  </si>
  <si>
    <t>PT: RFG2406; D86 - Distillation, Auto, % Resid (EPA), Z-Score = 3.27</t>
  </si>
  <si>
    <t>738</t>
  </si>
  <si>
    <t>PT: T344; D3242 - Acid Number, Z-Score = 23.00</t>
  </si>
  <si>
    <t>992</t>
  </si>
  <si>
    <t>PT: DF22402; D6079 - Lubricity, HFRR, Scar Diameter, Z-Score = 2.30</t>
  </si>
  <si>
    <t>575</t>
  </si>
  <si>
    <t>PT: RFG2401; D86 - Distillation, Auto, 70%, °F (EPA),  Z-Score = -4.95</t>
  </si>
  <si>
    <t>-4.95</t>
  </si>
  <si>
    <t>775</t>
  </si>
  <si>
    <t>892</t>
  </si>
  <si>
    <t>PT: JF2403; D1840 - Napthalenes, by UVS, Z-Score = 3.31</t>
  </si>
  <si>
    <t>PT: T343; Density, at 15°C,  Z-Score = 4.86</t>
  </si>
  <si>
    <t>PT: T343; D1840 - Naphthalenes,  Z-Score = 5.48</t>
  </si>
  <si>
    <t>PT: T343; D3338 - Net Heat of Combustion,  Z-Score = -48.21</t>
  </si>
  <si>
    <t>-48.21</t>
  </si>
  <si>
    <t>674</t>
  </si>
  <si>
    <t>PT: BIOD2404; D4951 - Element, Phosphorus by ICPAES, Z-Score = 700.00</t>
  </si>
  <si>
    <t>776</t>
  </si>
  <si>
    <t>PT: CO2403; D4530 - Carbon Residue, Micro, Z-Score = 2.07</t>
  </si>
  <si>
    <t>895</t>
  </si>
  <si>
    <t>PT: JF2403; D7039 - Sulfur, by MWDXRF,  Z-Score = -2.80</t>
  </si>
  <si>
    <t>-2.80</t>
  </si>
  <si>
    <t>1043</t>
  </si>
  <si>
    <t>PT: MG2404; D5769 - Benzene, by GC/MS</t>
  </si>
  <si>
    <t>1044</t>
  </si>
  <si>
    <t>PT: MG2404; D4052 - Density, Digital, 15 °C</t>
  </si>
  <si>
    <t>-2.34</t>
  </si>
  <si>
    <t>1045</t>
  </si>
  <si>
    <t>PT: MG2404; D5769 - Aromatics, Total, by GC/MS (EPA)</t>
  </si>
  <si>
    <t>1047</t>
  </si>
  <si>
    <t>PT: MG2404; D6730 - HC Type, Toluene, by pCHR-G</t>
  </si>
  <si>
    <t>1048</t>
  </si>
  <si>
    <t>PT: MG2404; D86 - Distillation, Auto, 60% &amp; E200, °F (EPA)</t>
  </si>
  <si>
    <t>2.14 &amp; -2.38</t>
  </si>
  <si>
    <t>1049</t>
  </si>
  <si>
    <t>PT: MG2404; D4052 - API Gravity, Digital, 15 °C, Z-Score = 176.47</t>
  </si>
  <si>
    <t>1052</t>
  </si>
  <si>
    <t>PT: MG2404; D86 - Distillation, Auto, FBP &amp; FBP, °F (EPA)</t>
  </si>
  <si>
    <t>-2.40 &amp; -2.25</t>
  </si>
  <si>
    <t>PT: F62305; D5762 - Nitrogen, Boat-Inlet Chemilum, Z-Score = -2.20</t>
  </si>
  <si>
    <t>PT: T341; D3227 - Sulfur, Mercaptan, Z-Score = -7.08</t>
  </si>
  <si>
    <t>-7.08</t>
  </si>
  <si>
    <t>528</t>
  </si>
  <si>
    <t>PT: F62309; D5762 - Nitrogen, Boat-Inlet Chemilum, Z-Score = -2.90</t>
  </si>
  <si>
    <t>-2.90</t>
  </si>
  <si>
    <t>1054</t>
  </si>
  <si>
    <t>PT: MG2404; D3227 - Mercaptan Sulfur, Potentiometric</t>
  </si>
  <si>
    <t>1059</t>
  </si>
  <si>
    <t>PT: MG2404; D6730 - HC Type, C8 Aromatics &amp; C8 Naphthenes, by pCHR-G, Z-Scores = -44.00 &amp; 48.88</t>
  </si>
  <si>
    <t>-44.00 &amp; 48.88</t>
  </si>
  <si>
    <t>PT: CE511; D3606 - Benzene, Z-Score = -3.01</t>
  </si>
  <si>
    <t>PT: JF2307; D86 - Distillation, Auto, IBP, Z-Score = -2.78</t>
  </si>
  <si>
    <t>-2.78</t>
  </si>
  <si>
    <t>550</t>
  </si>
  <si>
    <t>PT: RFG2401; D5453 - Sulfur, by UVF, Z-Score = -2.41</t>
  </si>
  <si>
    <t>693</t>
  </si>
  <si>
    <t>PT: GGO2311; D4052 - Density, Digital, 15 °C, Z-Score = 10.08</t>
  </si>
  <si>
    <t>1060</t>
  </si>
  <si>
    <t>PT: MG2404; D5191 - Vapor Pressure, DVPE &amp; TVP, 1L (EPA), Z-Scores = 7.46 &amp; -7.98</t>
  </si>
  <si>
    <t>7.46 &amp; -7.98</t>
  </si>
  <si>
    <t>1062</t>
  </si>
  <si>
    <t>PT: MG2404; D3231 - Element, Phosphorus, by combusition/colorometric, Z-Score = 105.00</t>
  </si>
  <si>
    <t>573</t>
  </si>
  <si>
    <t>PT: RFG2401; D1319 - HC Type, Aromatics, Corrected &amp; Oxy-Free (EPA), Z-Scores = 2.06 &amp; 2.07</t>
  </si>
  <si>
    <t>2.06 &amp; 2.07</t>
  </si>
  <si>
    <t>696</t>
  </si>
  <si>
    <t>PT: GGO2311; D611 - Aniline Point, Meth E, Auto, Z-Score = -10.59</t>
  </si>
  <si>
    <t>-10.59</t>
  </si>
  <si>
    <t>700</t>
  </si>
  <si>
    <t>PT: LPG2403; D2163 - Hydrocarbons - C5+, Propane, n-Pentane, &amp; n-Butane, Z-Scores = 23.06, -147.67, 4.25, &amp; 423.0</t>
  </si>
  <si>
    <t>23.06, -147.67, 4.25, &amp; 423.0</t>
  </si>
  <si>
    <t>766</t>
  </si>
  <si>
    <t>PT: CO2311; D5002 - Density, digital, 15 °C, Z-Score = 4.22</t>
  </si>
  <si>
    <t>835</t>
  </si>
  <si>
    <t>PT: JF2311; D6379 - HC Type by HPLC, Mono-Aromatics, Di-Aromatics, &amp; Total Aromatics, Z-Scores = 6.20, 3.38, &amp; 5.18</t>
  </si>
  <si>
    <t>6.20, 3.38, &amp; 5.18</t>
  </si>
  <si>
    <t>See PTO885-170-24.</t>
  </si>
  <si>
    <t>836</t>
  </si>
  <si>
    <t>PT: JF2311; D1319 - HC Type, Aromatics &amp; Saturates, Oxy-Free, Z-Scores = 7.19 &amp; -6.75</t>
  </si>
  <si>
    <t>7.19 &amp; -6.75</t>
  </si>
  <si>
    <t>837</t>
  </si>
  <si>
    <t>PT: JF2311; D3343 - Hydrogen, Estimate, Z-Score = -2.38</t>
  </si>
  <si>
    <t>-2.38</t>
  </si>
  <si>
    <t>885</t>
  </si>
  <si>
    <t>PT: JF2403; D1319 - HC Type, Aromatics &amp; Saturates, Oxy-Free, Z-Scores = 4.82 &amp; -5.45</t>
  </si>
  <si>
    <t>4.82 &amp; -5.45</t>
  </si>
  <si>
    <t>888</t>
  </si>
  <si>
    <t>PT: JF2403; D3338 - Net Heat of Combustion, Z-Score = -4.22</t>
  </si>
  <si>
    <t>919</t>
  </si>
  <si>
    <t>PT: RFG2404; D1319 - HC Type, Aromatics, Oxy-Free (EPA), Z-Score = 2.19</t>
  </si>
  <si>
    <t>PT: JF2307; D976 - Cetane Index, Caluclated, Z-Score = 3.07</t>
  </si>
  <si>
    <t>753</t>
  </si>
  <si>
    <t>PT: CO2311; D5708 - Element, Nickel, ICPAES, Method B, Z-Score = 3.07</t>
  </si>
  <si>
    <t>808</t>
  </si>
  <si>
    <t>PT: JF2311; D1840 - Napthalenes, by UVS, Z-Score =-2.22</t>
  </si>
  <si>
    <t>2.22</t>
  </si>
  <si>
    <t>824</t>
  </si>
  <si>
    <t>PT: JF2311; D3242 - Acidity, Z-Score = 7.69</t>
  </si>
  <si>
    <t xml:space="preserve">JN </t>
  </si>
  <si>
    <t>PT: JF2307; D3948 - Water Separation, by Portable Sep, Z-Score = -3.50</t>
  </si>
  <si>
    <t>-3.50</t>
  </si>
  <si>
    <t>PT: OC2312; D2700 - Motor Octane Number, Z-Score = 2.27</t>
  </si>
  <si>
    <t>2.27</t>
  </si>
  <si>
    <t>PT: ETOH2308; E1064 - Water, by Coul KF, Z-Score = 11.49</t>
  </si>
  <si>
    <t>541</t>
  </si>
  <si>
    <t>PT: D337; D611 - Aniline Point, Z-Score = 7.17</t>
  </si>
  <si>
    <t>847</t>
  </si>
  <si>
    <t>PT: JF2311; D3338 - Net Heat of Combustion, Z-Score = 4.96</t>
  </si>
  <si>
    <t>921</t>
  </si>
  <si>
    <t>PT: RFG2404; D8071 - HC Type, Isoparaffins &amp; Naphthenes, GC-VUV, Z-Scores =-5.11 &amp; 2.22</t>
  </si>
  <si>
    <t>-5.11 &amp; 2.22</t>
  </si>
  <si>
    <t>PT: JF2307; D4529 - Heat of Combustion, Z-Score = 2.60</t>
  </si>
  <si>
    <t>PT: JF2307; D3241 - Thermal Stability, Interferometric, @260 Thickness &amp; Volume, &amp; @275 Thickness &amp; Volume, Z-Scores = 126.55 &amp; 15.92, 13.10 &amp; 10.39</t>
  </si>
  <si>
    <t>126.55 &amp; 15.92, 13.10 &amp; 10.39</t>
  </si>
  <si>
    <t>PT: T343; D2624 - Electrical Conductivity @ 20°C,  Z-Score = 5.39</t>
  </si>
  <si>
    <t>PT: DF22310; D6217 - Particulates, Lab Filtration, Z-Score = 189.79</t>
  </si>
  <si>
    <t>1002</t>
  </si>
  <si>
    <t>PT: DF22402; D93 - Flash Point, PMCC, Proc A, corrected, Z-Score = -2.55</t>
  </si>
  <si>
    <t>1046</t>
  </si>
  <si>
    <t>PT: MG2404; D86 - Distillation, Auto, % Resid (EPA), Z-Score = -4.50</t>
  </si>
  <si>
    <t>-4.50</t>
  </si>
  <si>
    <t>PT: ETOH2308; E1064 - Water, by Coul KF, Z-Score = 12.14</t>
  </si>
  <si>
    <t>PT: JF2307; D6379 - HC Type by HPLC, Mono-Aromatics &amp; Total Aromatics, Z-Scores = 4.92 &amp; 4.43</t>
  </si>
  <si>
    <t>4.92 &amp; 4.43</t>
  </si>
  <si>
    <t>PT: JF2307; D3338 - Net Heat of Combustion, Z-Score = -7.07</t>
  </si>
  <si>
    <t>7.07</t>
  </si>
  <si>
    <t>PT: CE514; D5188 - V/L Temp, Z-Score = -2.06</t>
  </si>
  <si>
    <t>PT: DF22310; D7042 - Viscosity, Stabinger, Kin, 40 °C, Z-Score = 4.95</t>
  </si>
  <si>
    <t>637</t>
  </si>
  <si>
    <t>PT: RFG2403; D5188 - V/L Ratio Temp, Evac Chamber, Z-Score = -2.19</t>
  </si>
  <si>
    <t>713</t>
  </si>
  <si>
    <t>PT: ETOH2404; E1064 - Water, by Coul KF, Z-Score = 4.15</t>
  </si>
  <si>
    <t>1020</t>
  </si>
  <si>
    <t>PT: DF22402; D4052 - API Gravity, Digital, 60 °F, Z-Score = 2.50</t>
  </si>
  <si>
    <t>1021</t>
  </si>
  <si>
    <t>PT: DF22402; D4629 - Nitrogen, by Chemiluminescence, Z-Score = 4.84</t>
  </si>
  <si>
    <t>PT: LPG2307; D2163 - Hydrocarbons, n-Butane, Z-Score = 8.89</t>
  </si>
  <si>
    <t>689</t>
  </si>
  <si>
    <t>PT: BIOD2404; EN15751 - Oxidation Stability, Z-Score = -2.60</t>
  </si>
  <si>
    <t>-2.60</t>
  </si>
  <si>
    <t>801</t>
  </si>
  <si>
    <t>PT: CO2403; D4007 - Water and Sediment, Centrifuge, Z-Score = 2.67</t>
  </si>
  <si>
    <t>PT: F62305; D4052 - Density, Digital, 15 °C, Z-Score = -36.06</t>
  </si>
  <si>
    <t>PT: F62305; D1298 - Density, by Hydrometer, @ 15°C, Z-Score = -36.62</t>
  </si>
  <si>
    <t>670</t>
  </si>
  <si>
    <t>PT: BIOD2311; D6079 - Lubricity, HFRR, Scar Diameter, Z-Score = 10.00</t>
  </si>
  <si>
    <t>671</t>
  </si>
  <si>
    <t>PT: BIOD2311; D455 - Viscosity, Kinematic, 40 °C, Z-Score = -3.57</t>
  </si>
  <si>
    <t>-3.57</t>
  </si>
  <si>
    <t>682</t>
  </si>
  <si>
    <t>PT: BIOD2404; EN15751 - Oxidation Stability, Z-Score = -3.31</t>
  </si>
  <si>
    <t>PT: OC2308; D2700 - Motor Octane Number, Z-Score = 2.47</t>
  </si>
  <si>
    <t>PT: DF22310; D86 - Distillation, Auto, 10%, Z-Score = -2.04</t>
  </si>
  <si>
    <t>558</t>
  </si>
  <si>
    <t>PT: RFG2401; D1319 - HC Type, Olefins, Corrected &amp; Oxy-Free (EPA),  Z-Scores = 5.39 &amp; 5.40</t>
  </si>
  <si>
    <t>5.39 &amp; 5.40</t>
  </si>
  <si>
    <t>953</t>
  </si>
  <si>
    <t>PT: RFG2405; D3606 - Toluene, by GC, Proc B &amp; (EPA), Z-Scores = -2.74 &amp; -2.76</t>
  </si>
  <si>
    <t>-2.74 &amp; -2.76</t>
  </si>
  <si>
    <t>PT: DF22310; D2624 - Electrical Conductivity, Proc A, Z-Score = 11.80</t>
  </si>
  <si>
    <t>PT: CE516; D5580 - C9+ Aromatics, Z-Score =5.34</t>
  </si>
  <si>
    <t>PT: DF22310; D6591 - HC Type, by HPLC, Mono-Aro, Z-Score = -2.81</t>
  </si>
  <si>
    <t>602</t>
  </si>
  <si>
    <t>PT: RFG2402; D5580 - Aromatics, Total, by GC , Z-Score = -2.01</t>
  </si>
  <si>
    <t>-2.01</t>
  </si>
  <si>
    <t>952</t>
  </si>
  <si>
    <t>PT: RFG2405; D5599 - Oxygenates, Oxygen, Total, by GC OFID, Z-Score = 2.67</t>
  </si>
  <si>
    <t>979</t>
  </si>
  <si>
    <t>PT: RFG2406; D5580 - C9+ Aromatics , by GC, Z-Score = 3.06</t>
  </si>
  <si>
    <t>PT: CO2307; D7169 - BP Dist by HT-GC, Cut 1, 82.2C (180F), Cut 2, Cut 3, Cut 4, Cut 5, Cut 6, &amp; Cut 7, Z-Scores =  22.68, 88.23, 53.37, 28.81, 15.57, 4.53, &amp; 2.82</t>
  </si>
  <si>
    <t>22.68, 88.23, 53.37, 28.81, 15.57, 4.53, &amp; 2.82</t>
  </si>
  <si>
    <t>712</t>
  </si>
  <si>
    <t>PT: ETOH2404; D5501 - Ethanol, by GC, Z-Score = 3.17</t>
  </si>
  <si>
    <t>1074</t>
  </si>
  <si>
    <t>PT: CE520; D86 - Distillation, 10%</t>
  </si>
  <si>
    <t>1075</t>
  </si>
  <si>
    <t>PT: CE520; D5191 - RVP PTOT, Z-Score = 2.38</t>
  </si>
  <si>
    <t>1077</t>
  </si>
  <si>
    <t>PT: CE520; D5453 - Sulfur, by UVF</t>
  </si>
  <si>
    <t>1078</t>
  </si>
  <si>
    <t>PT: CE520; D86 - Distillation, IBP</t>
  </si>
  <si>
    <t>1079</t>
  </si>
  <si>
    <t>PT: CE520; D86 - Distillation, 30%, 40%, 60% - 90%, &amp; E300</t>
  </si>
  <si>
    <t>-2.07, -2.46, -2.28, -2.45, -2.19, -2.25, &amp; 2.09</t>
  </si>
  <si>
    <t>822</t>
  </si>
  <si>
    <t>PT: JF2311; D2386 - Freeze Point, Z-Score =-2.05</t>
  </si>
  <si>
    <t>PT: RFG2312; D5188 - V/L Ratio Temp, Evac Chamber, Z-Score = -2.11</t>
  </si>
  <si>
    <t>1080</t>
  </si>
  <si>
    <t>PT: T345; D86 - Distillation, Residue</t>
  </si>
  <si>
    <t>1081</t>
  </si>
  <si>
    <t>PT: T345; D7224 - Water Separation of Kerosine-type Aviation Turbine, MSEP rating</t>
  </si>
  <si>
    <t>1082</t>
  </si>
  <si>
    <t>PT: T345; D86 - Distillation, Residue, Z-Score = -7.19</t>
  </si>
  <si>
    <t>-7.19</t>
  </si>
  <si>
    <t>1088</t>
  </si>
  <si>
    <t>PT: CET2406; D86 - Distillation, Auto, 30%</t>
  </si>
  <si>
    <t>1090</t>
  </si>
  <si>
    <t>PT: CET2406; D86 - Distillation, Auto, %Recov</t>
  </si>
  <si>
    <t>1092</t>
  </si>
  <si>
    <t>PT: CET2406; D86 - Distillation, Auto, 20%, Z-Score = -3.10</t>
  </si>
  <si>
    <t>-3.10</t>
  </si>
  <si>
    <t>PT: JF2307; D7039- Sulfur, by MWDXRF, Z-Score = 3.00</t>
  </si>
  <si>
    <t>PT: NP2310; D5443 - HC Type, Benzene, by MD-GC, Z-Score = -4.80</t>
  </si>
  <si>
    <t>-4.80</t>
  </si>
  <si>
    <t>PT: M974; D7039 - Sulfur, Z-Score = 2.35</t>
  </si>
  <si>
    <t>D7039 - Sulfur</t>
  </si>
  <si>
    <t>PT: DF22310; D7039 - Sulfur, by MWDXRF, Z-Score = 4.77</t>
  </si>
  <si>
    <t>897</t>
  </si>
  <si>
    <t>PT: JF2403; D7039 - Sulfur, by MWDXRF, Z-Score = -5.10</t>
  </si>
  <si>
    <t>-5.10</t>
  </si>
  <si>
    <t>PT: RFG2310; D8071 - HC Type, Xylenes, GC-VUV, Z-Score = -2.02</t>
  </si>
  <si>
    <t>PT: RFG2310; D5443 - HC Type, C6 Naphthenes, by MD-GC, Z-Score = 8.69</t>
  </si>
  <si>
    <t>PT: RFG2310; D4052 - Density, Digital, 15 °C, Z-Score = 12.53</t>
  </si>
  <si>
    <t>PT: F242310; D93 - Flash Point, PMCC, Proc A, corrected, Z-Score = 2.83</t>
  </si>
  <si>
    <t>PT: F242310; D3343 - Hydrogen, Estimate, Z-Score = -5.75</t>
  </si>
  <si>
    <t>PT: F242310; D3338/D3338M - Net Heat of Combustion, Z-Score = -2.15</t>
  </si>
  <si>
    <t>759</t>
  </si>
  <si>
    <t>PT: CO2311; D5708 - Element, Vanadium, ICPAES, Method B, Z-Score = 3.29</t>
  </si>
  <si>
    <t>584</t>
  </si>
  <si>
    <t>PT: RFG2402; D4052 - Density, Digital, 15 °C, Z-Score = 3.12</t>
  </si>
  <si>
    <t>587</t>
  </si>
  <si>
    <t>PT: RFG2402; D2622 - Sulfur by WDXRF, Z-Score = 146.64</t>
  </si>
  <si>
    <t>624</t>
  </si>
  <si>
    <t>PT: RFG2403; D5599 - Oxygenates, Oxygen, Total, by GC OFID (EPA), Z-Score = 2.01</t>
  </si>
  <si>
    <t>661</t>
  </si>
  <si>
    <t>PT: CO2311; D7169 - BP Dist by HT-GC, Multiple Parameters</t>
  </si>
  <si>
    <t>783</t>
  </si>
  <si>
    <t>PT: CO2403; D4052 - Density, digital, 15 °C, Z-Score = 5.07</t>
  </si>
  <si>
    <t>788</t>
  </si>
  <si>
    <t>PT: CO2403; D7900 - HC Type, Toluene, Z-Score = 5.25</t>
  </si>
  <si>
    <t>1038</t>
  </si>
  <si>
    <t>PT: M980; D1319 - Aromatics (Corrected), Z-Score = 5.71</t>
  </si>
  <si>
    <t>MXXX</t>
  </si>
  <si>
    <t>PT: BIOD2308; EN 14103 - Linolenic Acid Methyl Ester , Z-Score = 2.81</t>
  </si>
  <si>
    <t>PT: BIOD2308; E203 - Water, by Volumetric KF, Z-Score = -4.55</t>
  </si>
  <si>
    <t>855</t>
  </si>
  <si>
    <t>PT: JF2403; D1319 - HC Type, Aromatics, Oxy-Free, Z-Score = -2.12</t>
  </si>
  <si>
    <t>863</t>
  </si>
  <si>
    <t>PT: JF2403; D86 - Distillation, Auto, 90%, Z-Score = -7.69</t>
  </si>
  <si>
    <t>-7.69</t>
  </si>
  <si>
    <t>1070</t>
  </si>
  <si>
    <t>PT: D340; D445 - Viscosity, 40°C, Z-Score = -7.28</t>
  </si>
  <si>
    <t>-7.28</t>
  </si>
  <si>
    <t>1093</t>
  </si>
  <si>
    <t>PT: RFG2407; D86 - Distillation, Auto, 80% &amp; 80%, °F (EPA)</t>
  </si>
  <si>
    <t>-2.36 &amp; -2.61</t>
  </si>
  <si>
    <t>1094</t>
  </si>
  <si>
    <t>PT: RFG2407; D5769 - Aromatics, Total, by GC/MS (EPA)</t>
  </si>
  <si>
    <t>1095</t>
  </si>
  <si>
    <t>PT: RFG2407; D86 - Distillation, Auto, FBP, °F &amp; % Resid (EPA)</t>
  </si>
  <si>
    <t>-2.07 &amp; 2.08</t>
  </si>
  <si>
    <t>1097</t>
  </si>
  <si>
    <t>PT: RFG2407; D5769 - Toluene, by GC/MS (EPA)</t>
  </si>
  <si>
    <t>1098</t>
  </si>
  <si>
    <t>PT: RFG2407; D86 - Distillation, Auto, 10%, 20%, &amp; 30%, °F (EPA)</t>
  </si>
  <si>
    <t>2.19, 2.28, &amp; 2.01</t>
  </si>
  <si>
    <t>1103</t>
  </si>
  <si>
    <t>PT: RFG2407; D3606 - Toluene, by GC, Proc B, Z-Score = 2.44</t>
  </si>
  <si>
    <t>1110</t>
  </si>
  <si>
    <t>PT: RFG2407; D5191 - Vapor Pressure, DVPE &amp; TVP, 1L &amp; (EPA)</t>
  </si>
  <si>
    <t>-2.12,-2.31, -2.13, &amp; -2.02</t>
  </si>
  <si>
    <t>1114</t>
  </si>
  <si>
    <t>PT: RFG2407; D86 - Distillation, Auto, E300 °F, % (EPA)</t>
  </si>
  <si>
    <t>1115</t>
  </si>
  <si>
    <t>PT: RFG2407; D86 - Distillation, Auto, 5%, °F, &amp; % Loss (EPA)</t>
  </si>
  <si>
    <t>2.11 &amp; -2.02</t>
  </si>
  <si>
    <t>1121</t>
  </si>
  <si>
    <t>PT: R-1350; Vapor Pressure</t>
  </si>
  <si>
    <t>1122</t>
  </si>
  <si>
    <t>PT: R-1350; API Gravity, at 60 °F</t>
  </si>
  <si>
    <t>-2.32</t>
  </si>
  <si>
    <t>1125</t>
  </si>
  <si>
    <t>PT: TM08C-24; Vapor Pressure</t>
  </si>
  <si>
    <t>1126</t>
  </si>
  <si>
    <t>PT: D341; D86 - Distillation, Recovery</t>
  </si>
  <si>
    <t>1128</t>
  </si>
  <si>
    <t>PT: CE521; D86 - Distillation, 40%</t>
  </si>
  <si>
    <t>1129</t>
  </si>
  <si>
    <t>PT: CE521; D86 - Distillation, EP</t>
  </si>
  <si>
    <t>1132</t>
  </si>
  <si>
    <t>PT: CE521; D5580 - HC Type, C9+ Aromatics</t>
  </si>
  <si>
    <t>1134</t>
  </si>
  <si>
    <t>PT: NP2406; D5443 - HC Type, Benzene, by MD-GC</t>
  </si>
  <si>
    <t>1135</t>
  </si>
  <si>
    <t>PT: NP2406; D2887 - BP Distribution, GC, Proc A, FBP</t>
  </si>
  <si>
    <t>PT: F62309; D5184 - Element, Silicon, by ICPAES, Z-Score = 2.30</t>
  </si>
  <si>
    <t>1107</t>
  </si>
  <si>
    <t>PT: RFG2407; D4815 - Oxygenates, Oxygen, Total, by GC, Z-Score = 64.22</t>
  </si>
  <si>
    <t>1111</t>
  </si>
  <si>
    <t>PT: RFG2407; D86 - Distillation, Auto, % Resid &amp; (EPA), Z-Scores = -6.05 &amp; -4.89</t>
  </si>
  <si>
    <t>-6.05 &amp; -4.89</t>
  </si>
  <si>
    <t>1136</t>
  </si>
  <si>
    <t>PT: RFG2408; D5769 - Aromatics, Total, by GC/MS (EPA), Z-Score = 6.53</t>
  </si>
  <si>
    <t>1137</t>
  </si>
  <si>
    <t>PT: RFG2408; D4815 - Oxygenates, Oxygen, Total, by GC, Z-Score = -46.66</t>
  </si>
  <si>
    <t>-46.66</t>
  </si>
  <si>
    <t>1138</t>
  </si>
  <si>
    <t>PT: RFG2408; D86 - Distillation, Auto, 20% - 80%, °F (EPA), Z-Scores = Multiple Outliers</t>
  </si>
  <si>
    <t>1141</t>
  </si>
  <si>
    <t>PT: RFG2408; D5769 - Aromatics, Total, by GC/MS (EPA)</t>
  </si>
  <si>
    <t>1142</t>
  </si>
  <si>
    <t>PT: RFG2408; D86 - Distillation, Auto, 70%, °F (EPA)</t>
  </si>
  <si>
    <t>-2.58</t>
  </si>
  <si>
    <t>1145</t>
  </si>
  <si>
    <t>PT: RFG2408; D86 - Distillation, Auto, 60%, &amp; 60%°F (EPA)</t>
  </si>
  <si>
    <t>2.02 &amp; 2.80</t>
  </si>
  <si>
    <t>1146</t>
  </si>
  <si>
    <t>PT: RFG2408; D86 - Distillation, Auto, 95%, °F (EPA)</t>
  </si>
  <si>
    <t>1148</t>
  </si>
  <si>
    <t>PT: RFG2408; D86 - Distillation, Auto, E200°F, % (EPA)</t>
  </si>
  <si>
    <t>1150</t>
  </si>
  <si>
    <t>PT: RFG2408; D86 - Distillation, Auto, IBP &amp; E200°F, % (EPA)</t>
  </si>
  <si>
    <t>-2.08 &amp; 2.32</t>
  </si>
  <si>
    <t>1151</t>
  </si>
  <si>
    <t>PT: RFG2408; D4815 - Oxygenates, Oxygen, Total, by GC, Z-Score = 91.64</t>
  </si>
  <si>
    <t>1154</t>
  </si>
  <si>
    <t>PT: RFG2408; D5191 - Vapor Pressure, DVPE &amp; TVP, 1L</t>
  </si>
  <si>
    <t>-2.02 &amp; -2.43</t>
  </si>
  <si>
    <t>1155</t>
  </si>
  <si>
    <t>PT: RFG2408; D86 - Distillation, Auto, 90%, °F, &amp; (EPA)</t>
  </si>
  <si>
    <t>-2.38 &amp; -2.35</t>
  </si>
  <si>
    <t>1156</t>
  </si>
  <si>
    <t>PT: RFG2408; D4815 - Oxygenates, Ethanol &amp; Total Oxygen, by GC</t>
  </si>
  <si>
    <t>2.20 &amp; 2.16</t>
  </si>
  <si>
    <t>1158</t>
  </si>
  <si>
    <t>PT: RFG2408; D5453 - Sulfur, by UVF</t>
  </si>
  <si>
    <t>1160</t>
  </si>
  <si>
    <t>PT: RFG2408; D86 - Distillation, Auto, E300 °F, % (EPA)</t>
  </si>
  <si>
    <t>-2.46</t>
  </si>
  <si>
    <t>1162</t>
  </si>
  <si>
    <t>PT: RFG2408; D5769 - Benzene, by GC/MS (EPA)</t>
  </si>
  <si>
    <t>1163</t>
  </si>
  <si>
    <t>PT: RFG2408; D4052 - Density, Digital, 15 °C</t>
  </si>
  <si>
    <t>1164</t>
  </si>
  <si>
    <t>PT: RFG2408; D86 - Distillation, Auto, FBP, °F (EPA)</t>
  </si>
  <si>
    <t>PT: F62309; D6304 - Water, by Coul KF, Meth A Direct Injection, mg/kg, Z-Score = -5.30</t>
  </si>
  <si>
    <t>-5.30</t>
  </si>
  <si>
    <t>1124</t>
  </si>
  <si>
    <t>PT: TM08C-24; D86 - Distillation, 10% , Z-Score = -32.47</t>
  </si>
  <si>
    <t>-32.47</t>
  </si>
  <si>
    <t>1133</t>
  </si>
  <si>
    <t>PT: CE521; D4815 - Oxygenates, Total Oxygen, Z-Score = 11.34</t>
  </si>
  <si>
    <t>1166</t>
  </si>
  <si>
    <t>PT: DF22406; D86 - Distillation, Auto, % Resid, Z-Score = -3.13</t>
  </si>
  <si>
    <t>-3.13</t>
  </si>
  <si>
    <t>1167</t>
  </si>
  <si>
    <t>PT: DF22406; D664 - Acid Number, A, 60 mL, inflection EP</t>
  </si>
  <si>
    <t>1170</t>
  </si>
  <si>
    <t>PT: DF22406; D86 - Distillation, Auto, 40%, Z-Score = 31.16</t>
  </si>
  <si>
    <t>1173</t>
  </si>
  <si>
    <t>PT: DF22406; D240 - Heat of Combustion, Gross, by Bomb Calorimeter, Z-Score = 71971.48</t>
  </si>
  <si>
    <t>1174</t>
  </si>
  <si>
    <t>PT: D-1210; Gravity, API at 60 °F</t>
  </si>
  <si>
    <t>1175</t>
  </si>
  <si>
    <t>PT: D-1210; D445 - Viscosity, @40°C</t>
  </si>
  <si>
    <t>816</t>
  </si>
  <si>
    <t>PT: JF2311; D3338 - Net Heat of Combustion, Z-Score = 3.45</t>
  </si>
  <si>
    <t>931</t>
  </si>
  <si>
    <t>PT: RFG2405; D5580 - Aromatics, Total, by GC , Z-Score = 2.03</t>
  </si>
  <si>
    <t>2.03</t>
  </si>
  <si>
    <t>934</t>
  </si>
  <si>
    <t>PT: RFG2405; D4815 - Oxygenates, Ethanol, by GC, Z-Score = 2.33</t>
  </si>
  <si>
    <t>2.33</t>
  </si>
  <si>
    <t>981</t>
  </si>
  <si>
    <t>PT: RFG2406; D5453 - Sulfur, by UVF, Z-Score = 4.33</t>
  </si>
  <si>
    <t>1036</t>
  </si>
  <si>
    <t>PT: M980; D381 - Gum, Unwashed Content, Z-Score = 2.09</t>
  </si>
  <si>
    <t>1037</t>
  </si>
  <si>
    <t>PT: M980; D7039 - Sulfur, Z-Score = -2.12</t>
  </si>
  <si>
    <t>1176</t>
  </si>
  <si>
    <t>PT: T347; D1840 - Naphthalenes, by UV-Spectrophotometer</t>
  </si>
  <si>
    <t>1177</t>
  </si>
  <si>
    <t>PT: T347; D4052 - Density, @ 15oC</t>
  </si>
  <si>
    <t>1178</t>
  </si>
  <si>
    <t>PT: LPG2407; D7423 - Oxygenates by GC-FID, Methanol</t>
  </si>
  <si>
    <t>1184</t>
  </si>
  <si>
    <t>PT: GGO2407; D1159 - Bromine Number, Titration</t>
  </si>
  <si>
    <t>1186</t>
  </si>
  <si>
    <t>PT: D342; D86 - Distillation, Residue, Z-Score = -11613501.90</t>
  </si>
  <si>
    <t>-11613501.9</t>
  </si>
  <si>
    <t>Meets R criteria, STD = 0. See PTO for more info.</t>
  </si>
  <si>
    <t>817</t>
  </si>
  <si>
    <t>PT: JF2311; D1322 - Smoke Point, Man, Z-Score = 3.27</t>
  </si>
  <si>
    <t>819</t>
  </si>
  <si>
    <t>PT: JF2311; D3948 - Water Separation, by Portable Sep, Z-Score = 2.20</t>
  </si>
  <si>
    <t>1190</t>
  </si>
  <si>
    <t>PT: RFG2410; D1319 - HC Type, Aromatics, Corrected, Z-Score = 44.10</t>
  </si>
  <si>
    <t>1192</t>
  </si>
  <si>
    <t>PT: RFG2410; D5191-22 &amp; -20 - Vapor Pressure, TVP, 1L &amp; (EPA), Z-Score = -13.67 &amp; -13.75</t>
  </si>
  <si>
    <t>-13.67 &amp; -13.75</t>
  </si>
  <si>
    <t>1193</t>
  </si>
  <si>
    <t>PT: RFG2410; D86 - Distillation, Auto, 95%, °F, Z-Score = 4.65</t>
  </si>
  <si>
    <t>1194</t>
  </si>
  <si>
    <t>PT: RFG2409; D86 - Distillation, Auto, % Evap (EPA), Z-Score = -171.95</t>
  </si>
  <si>
    <t>-171.95</t>
  </si>
  <si>
    <t>1197</t>
  </si>
  <si>
    <t>PT: RFG2409; D5191 - Vapor Pressure, DVPE &amp; TVP, 1L, Z-Scores = 10.77 &amp; -13.36</t>
  </si>
  <si>
    <t>10.77 &amp;-13.36</t>
  </si>
  <si>
    <t>1199</t>
  </si>
  <si>
    <t>PT: DF22406; D86 - Distillation, Auto, IBP - FBP, Z-Scores = Multiple Outliers</t>
  </si>
  <si>
    <t>1206</t>
  </si>
  <si>
    <t>PT: DF22406; D4737 - Cetane Index by Four Var Eq</t>
  </si>
  <si>
    <t>D4737 - Cetane Index by 4 Var Eq</t>
  </si>
  <si>
    <t>1207</t>
  </si>
  <si>
    <t>PT: DF22406; D5762 - Nitrogen, Boat-Inlet Chemilum</t>
  </si>
  <si>
    <t>PT: JF2307; D6379 - HC Type by HPLC, Mono-Aromatics &amp; Total Aromatics, Z-Scores = 3.14 &amp; 2.82</t>
  </si>
  <si>
    <t>3.14 &amp; 2.82</t>
  </si>
  <si>
    <t>601</t>
  </si>
  <si>
    <t>PT: RFG2402; D86 - Distillation, Auto, % Loss (EPA), Z-Score = 3.08</t>
  </si>
  <si>
    <t>643</t>
  </si>
  <si>
    <t>PT: CET2402; D2622 - Sulfur by WDXRF, Z-Score = 2.76</t>
  </si>
  <si>
    <t>807</t>
  </si>
  <si>
    <t>PT: JF2311; D6379 - HC Type by HPLC, Mono-Aromatics &amp; Total Aromatics, Z-Scores =2.81 &amp; 2.30</t>
  </si>
  <si>
    <t>2.81 &amp; 2.30</t>
  </si>
  <si>
    <t>878</t>
  </si>
  <si>
    <t>PT: JF2403; D4529 - Heat of Combustion, Z-Score = -9.07</t>
  </si>
  <si>
    <t>-9.07</t>
  </si>
  <si>
    <t>1009</t>
  </si>
  <si>
    <t>PT: DF22402; D7042 - Viscosity, Stabinger, Kin, 40 °C, Z-Score = 2.16</t>
  </si>
  <si>
    <t>1040</t>
  </si>
  <si>
    <t>PT: DF22406; D445 - Viscosity, Kinematic, 40 °C, Z-Score = 2.87</t>
  </si>
  <si>
    <t>1209</t>
  </si>
  <si>
    <t>PT: DF22406; D4052 - Density, Digital, 15 °C, Z-Score = -43.96</t>
  </si>
  <si>
    <t>-43.96</t>
  </si>
  <si>
    <t>1210</t>
  </si>
  <si>
    <t>PT: DF22406; D86 - Distillation, Auto, % Resid, Z-Score = -3.54</t>
  </si>
  <si>
    <t>-3.54</t>
  </si>
  <si>
    <t>1213</t>
  </si>
  <si>
    <t>PT: DF22406; D5453 - Sulfur, by UVF</t>
  </si>
  <si>
    <t>1216</t>
  </si>
  <si>
    <t>PT: DF22406; D4530 - Carbon Residue, Micro, 10% btm</t>
  </si>
  <si>
    <t>1219</t>
  </si>
  <si>
    <t>PT: DF22406; D5186 - HC Type, by SFC, Mono Aromatics</t>
  </si>
  <si>
    <t>1220</t>
  </si>
  <si>
    <t>PT: DF22406; D4052 - Density, Digital, 15 °C</t>
  </si>
  <si>
    <t>1221</t>
  </si>
  <si>
    <t>1222</t>
  </si>
  <si>
    <t>PT: DF22406; D86 - Distillation, Auto, 40%</t>
  </si>
  <si>
    <t>1225</t>
  </si>
  <si>
    <t>PT: RFG2409; D5191 - Vapor Pressure, DVPE, 1L (EPA)</t>
  </si>
  <si>
    <t>1024</t>
  </si>
  <si>
    <t>PT: DF22402; D4294 - Sulfur, by EDXRF, Z-Score = 23.54</t>
  </si>
  <si>
    <t>1071</t>
  </si>
  <si>
    <t>PT: D340; D2624 - Electrical Conductivity, @ 20°C, Z-Score = 2.29</t>
  </si>
  <si>
    <t>1131</t>
  </si>
  <si>
    <t>PT: CE521; D1319 - HC Type, Saturates, Aromatics, &amp; Olefins (Oxy-Free), Z-Scores = -39.10, 11.67, &amp; 45.32</t>
  </si>
  <si>
    <t>-39.10, 11.67, &amp; 45.32</t>
  </si>
  <si>
    <t>1226</t>
  </si>
  <si>
    <t>PT: JF2307; D3338 - Net Heat of Combustion, Z-Score = 9.38</t>
  </si>
  <si>
    <t>1144</t>
  </si>
  <si>
    <t>PT: RFG2408; D4052 - Density, Digital, 15 °C, Z-Score = 25.72</t>
  </si>
  <si>
    <t>1240</t>
  </si>
  <si>
    <t>PT: RFG2409; D5191 - Vapor Pressure, DVPE, 1L &amp; (EPA)</t>
  </si>
  <si>
    <t>2.56 &amp; 2.15</t>
  </si>
  <si>
    <t>1241</t>
  </si>
  <si>
    <t>PT: CE522; D5769 - GC/MS, Benzene</t>
  </si>
  <si>
    <t>1247</t>
  </si>
  <si>
    <t>1251</t>
  </si>
  <si>
    <t>PT: CO2407; D664 - Acid Number, A, 125 mL, inflection EP</t>
  </si>
  <si>
    <t>1252</t>
  </si>
  <si>
    <t>PT: CO2407; D7169 - BP Dist by HT-GC, 20%, Z-Score = 619.45</t>
  </si>
  <si>
    <t>Confirmed Transcription Error</t>
  </si>
  <si>
    <t>1253</t>
  </si>
  <si>
    <t>PT: CO2407; D5863 - Element, Vanadium, AAS, Proc A</t>
  </si>
  <si>
    <t>1262</t>
  </si>
  <si>
    <t>PT: RFG2409; D86 - Distillation, Auto, % Evap (EPA)</t>
  </si>
  <si>
    <t>1263</t>
  </si>
  <si>
    <t>PT: RFG2409; D5769 - Toluene, by GC/MS, Z-Score = 2.32</t>
  </si>
  <si>
    <t>1264</t>
  </si>
  <si>
    <t>PT: RFG2409; D86 - Distillation, Auto, IBP, °F (EPA)</t>
  </si>
  <si>
    <t>1265</t>
  </si>
  <si>
    <t>PT: RFG2409; D86 - Distillation, Auto, 95%, °F &amp; % Resid (EPA)</t>
  </si>
  <si>
    <t>2.06 &amp; -2.27</t>
  </si>
  <si>
    <t>1267</t>
  </si>
  <si>
    <t>PT: RFG2409; D5191 - Vapor Pressure, DVPE &amp; TVP, 1L (EPA)</t>
  </si>
  <si>
    <t>2.51 &amp; 2.16</t>
  </si>
  <si>
    <t>1269</t>
  </si>
  <si>
    <t>PT: RFG2409; D86 - Distillation, Auto, 10%, 20%, &amp; 40%, °F (EPA)</t>
  </si>
  <si>
    <t>2.15, 2.12, &amp; 2.28</t>
  </si>
  <si>
    <t>1274</t>
  </si>
  <si>
    <t>PT: RFG2409; D86 - Distillation, Auto, 95%, °F (EPA)</t>
  </si>
  <si>
    <t>1275</t>
  </si>
  <si>
    <t>PT: RFG2409; D86 - Distillation, Auto, % Resid &amp; (EPA)</t>
  </si>
  <si>
    <t>2.71 &amp; 2.46</t>
  </si>
  <si>
    <t>1276</t>
  </si>
  <si>
    <t>PT: RFG2409; D5191-22 &amp; -20 - Vapor Pressure, TVP, 1L &amp; (EPA)</t>
  </si>
  <si>
    <t>2.23 &amp; 2.16</t>
  </si>
  <si>
    <t>1279</t>
  </si>
  <si>
    <t xml:space="preserve">PT: RFG2409; D5580 - Aromatics, C9 plus, by GC </t>
  </si>
  <si>
    <t>1280</t>
  </si>
  <si>
    <t>PT: RFG2409; D1319 - HC Type, Olefins &amp; Saturates, Corrected &amp; Oxy-Free &amp; (EPA) , Z-Scores = Multiple Parameters</t>
  </si>
  <si>
    <t>See PTO1280-170-24.</t>
  </si>
  <si>
    <t>1281</t>
  </si>
  <si>
    <t>PT: RFG2409; D86 - Distillation, Auto, E300 °F, % (EPA)</t>
  </si>
  <si>
    <t>1283</t>
  </si>
  <si>
    <t>PT: RFG2410; D4052 - Density, Digital, 15 °C</t>
  </si>
  <si>
    <t>1292</t>
  </si>
  <si>
    <t xml:space="preserve">PT: RFG2410; D5580 - Aromatics, C9 plus, by GC </t>
  </si>
  <si>
    <t>1295</t>
  </si>
  <si>
    <t>PT: RFG2410; D86 - Distillation, Auto, % Loss &amp; % Loss (EPA)</t>
  </si>
  <si>
    <t>2.17 &amp; 2.01</t>
  </si>
  <si>
    <t>1415</t>
  </si>
  <si>
    <t>PT: RFG2410; D86 - Distillation, Auto, 80%, °F (EPA), Z-Score = -19.82</t>
  </si>
  <si>
    <t>-19.82</t>
  </si>
  <si>
    <t>PT: ETOH2308; D5501 - Ethanol, By GC, Z-Score = 2.95</t>
  </si>
  <si>
    <t>PT: T343; D1840 - Naphthalenes,  Z-Score = 10.45</t>
  </si>
  <si>
    <t>764</t>
  </si>
  <si>
    <t>PT: CO2311; D473 - Sediment, Z-Score = 3.55</t>
  </si>
  <si>
    <t>See PTO795-165-24.</t>
  </si>
  <si>
    <t>795</t>
  </si>
  <si>
    <t>PT: CO2403; D473 - Sediment, Z-Score = 2.55</t>
  </si>
  <si>
    <t>956</t>
  </si>
  <si>
    <t>PT: RFG2405; D86 - Distillation, Auto, 70%, °F (EPA), Z-Score = -4.99</t>
  </si>
  <si>
    <t>-4.99</t>
  </si>
  <si>
    <t>1072</t>
  </si>
  <si>
    <t>PT: D340; D445 - Viscosity, 40°C, Z-Score = -137.90</t>
  </si>
  <si>
    <t>-137.9</t>
  </si>
  <si>
    <t>1086</t>
  </si>
  <si>
    <t>PT: T345; D445 - Viscosity, @ -20°C, Z-Score = -69.29</t>
  </si>
  <si>
    <t>1299</t>
  </si>
  <si>
    <t xml:space="preserve">PT: CO2407; D5002 - Density, digital, 15 °C </t>
  </si>
  <si>
    <t>1300</t>
  </si>
  <si>
    <t>PT: CO2407; D7169 - BP Dist by HT-GC, FBP</t>
  </si>
  <si>
    <t>1301</t>
  </si>
  <si>
    <t>PT: CO2407; D7900 - HC Type, Methylcyclopentane &amp; Total Naphthenes</t>
  </si>
  <si>
    <t>2.10 &amp; 2.18</t>
  </si>
  <si>
    <t>1307</t>
  </si>
  <si>
    <t>PT: CO2407; D445- Viscosity, Kinematic, 40 °C</t>
  </si>
  <si>
    <t>1308</t>
  </si>
  <si>
    <t>PT: CO2407; D5708 - Element, Nickel, ICPAES, Method A</t>
  </si>
  <si>
    <t>1310</t>
  </si>
  <si>
    <t>PT: CO2407; D664 - Acid Number, A, 60 mL, inflection EP</t>
  </si>
  <si>
    <t>1313</t>
  </si>
  <si>
    <t>PT: CO2407; D7169 - BP Dist by HT-GC, IBP</t>
  </si>
  <si>
    <t>1314</t>
  </si>
  <si>
    <t>PT: CO2407; D7900 - HC Type, i-butane &amp; i-pentane</t>
  </si>
  <si>
    <t>2.12 &amp; 2.29</t>
  </si>
  <si>
    <t>1315</t>
  </si>
  <si>
    <t>-2.67</t>
  </si>
  <si>
    <t>1322</t>
  </si>
  <si>
    <t xml:space="preserve">PT: ETOH2408; D4052 - Density, Relative, 15.56 °C </t>
  </si>
  <si>
    <t>1327</t>
  </si>
  <si>
    <t>PT: ETOH2408; D1613 - Acidity</t>
  </si>
  <si>
    <t>D1613 - Acidity</t>
  </si>
  <si>
    <t>1328</t>
  </si>
  <si>
    <t>PT: ETOH2408; ABNT NBR 9866 - Acidity</t>
  </si>
  <si>
    <t>ABNT NBR 9866 - Acidity</t>
  </si>
  <si>
    <t>1329</t>
  </si>
  <si>
    <t>PT: ETOH2408; E1064 - Water, by Coul KF</t>
  </si>
  <si>
    <t>1330</t>
  </si>
  <si>
    <t>1333</t>
  </si>
  <si>
    <t>PT: JF2407; D86 - Distillation, Auto, IBP, 10%, 50%, 90%, &amp; FBP, Z-Scores = 64.19, 205.93, 255.77, 196.19, 193.12</t>
  </si>
  <si>
    <t>64.19, 205.93, 255.77, 196.19, &amp; 193.12</t>
  </si>
  <si>
    <t>1335</t>
  </si>
  <si>
    <t>PT: JF2407; D86 - Distillation, Auto, IBP</t>
  </si>
  <si>
    <t>1339</t>
  </si>
  <si>
    <t>PT: JF2407; D2622 - Sulfur, by WDXRF</t>
  </si>
  <si>
    <t>1340</t>
  </si>
  <si>
    <t>PT: JF2407; D86 - Distillation, Auto, 30%</t>
  </si>
  <si>
    <t>1342</t>
  </si>
  <si>
    <t>PT: JF2407; D86 - Distillation, Auto, % Resid</t>
  </si>
  <si>
    <t>1349</t>
  </si>
  <si>
    <t>1352</t>
  </si>
  <si>
    <t>PT: JF2407; D4294 - Sulfur, by EDXRF</t>
  </si>
  <si>
    <t>1365</t>
  </si>
  <si>
    <t>PT: JF2407; D2887 - BP Distribution, GC, Proc B, IBP</t>
  </si>
  <si>
    <t>-2.50</t>
  </si>
  <si>
    <t>1371</t>
  </si>
  <si>
    <t>1376</t>
  </si>
  <si>
    <t>1378</t>
  </si>
  <si>
    <t>PT: JF2407; D86 - Distillation, 50%, 60%, 70%, 80%, &amp; % Loss</t>
  </si>
  <si>
    <t>2.18, 2.41, 2.27, 2.02, &amp; 2.33</t>
  </si>
  <si>
    <t>1379</t>
  </si>
  <si>
    <t>PT: JF2407; D6304 - Water, by Coul KF, Meth A Direct Injection, mg/kg</t>
  </si>
  <si>
    <t>1381</t>
  </si>
  <si>
    <t>PT: M983; Oxygenates - Ethanol - All Methods, Z-Score = -27.61</t>
  </si>
  <si>
    <t>-27.61</t>
  </si>
  <si>
    <t>1383</t>
  </si>
  <si>
    <t>PT: TM10-24; Vapor Pressure, RVP</t>
  </si>
  <si>
    <t>-2.36</t>
  </si>
  <si>
    <t>1386</t>
  </si>
  <si>
    <t>PT: TM10C-24; D86 - Distillation, FBP</t>
  </si>
  <si>
    <t>-2.23</t>
  </si>
  <si>
    <t>1392</t>
  </si>
  <si>
    <t>PT: CE523; D86 - Distillation, Residue %</t>
  </si>
  <si>
    <t>1397</t>
  </si>
  <si>
    <t>PT: CE523; D86 - Distillation, 30% &amp; 40%</t>
  </si>
  <si>
    <t>2.11 &amp; 2.53</t>
  </si>
  <si>
    <t>1398</t>
  </si>
  <si>
    <t>PT: CE523; D5453 - Sulfur, by UVF</t>
  </si>
  <si>
    <t>1399</t>
  </si>
  <si>
    <t>PT: CE523; D5580 - GC, C9+ Aromatics</t>
  </si>
  <si>
    <t>1400</t>
  </si>
  <si>
    <t>PT: CE523; D86 - Distillation, 95%</t>
  </si>
  <si>
    <t>1402</t>
  </si>
  <si>
    <t>PT: OC2408; D86 - Distillation, Auto, IBP°F &amp; % Recovery</t>
  </si>
  <si>
    <t>-2.02 &amp; 2.86</t>
  </si>
  <si>
    <t>1403</t>
  </si>
  <si>
    <t>PT: OC2408; D86 - Distillation, 10% °F, Z-Score = -3.24</t>
  </si>
  <si>
    <t>-3.24</t>
  </si>
  <si>
    <t>1404</t>
  </si>
  <si>
    <t>PT: OC2408; Sulfur, Content, All Methods</t>
  </si>
  <si>
    <t>1409</t>
  </si>
  <si>
    <t>PT: F242410; D1094 - Water Reaction, Change in Volume of Aqueous</t>
  </si>
  <si>
    <t>1394</t>
  </si>
  <si>
    <t>PT: CE523; D5453 - Sulfur, by UVF, Z-Score = 30.61</t>
  </si>
  <si>
    <t>1395</t>
  </si>
  <si>
    <t>PT: CE523; D5599 - Oxygenates, Total Oxyen, Z-Score = -46.09</t>
  </si>
  <si>
    <t>690</t>
  </si>
  <si>
    <t>PT: BIOD2404; D7321 - Particulates, Lab Filtration, Z-Score = 14.80</t>
  </si>
  <si>
    <t>708</t>
  </si>
  <si>
    <t>PT: F242403; D86 - Distillation, Auto, 90%, Z-Score = 217.54</t>
  </si>
  <si>
    <t>1345</t>
  </si>
  <si>
    <t>PT: JF2407; D86 - Distillation, Auto, 50%, Z-Score = -11.37</t>
  </si>
  <si>
    <t>-11.37</t>
  </si>
  <si>
    <t>PT: F242310; D3948 - Water Separation, by Portable Sep, Z-Score = -4.60</t>
  </si>
  <si>
    <t>-4.60</t>
  </si>
  <si>
    <t>1396</t>
  </si>
  <si>
    <t>PT: CE523; D2700 - Octane Number, Motor, Z-Score = -2.64</t>
  </si>
  <si>
    <t>-2.64</t>
  </si>
  <si>
    <t>1227</t>
  </si>
  <si>
    <t>PT: DF22406; D86 - Distillation, Auto, 95%, Z-Score = -2.21</t>
  </si>
  <si>
    <t>1413</t>
  </si>
  <si>
    <t>PT: F242410; D5001 - Lubricity, Bocle, Proc B, auto, Z-Score = 3151.50</t>
  </si>
  <si>
    <t>911</t>
  </si>
  <si>
    <t>PT: RFG2404; D5599 - Oxygenates, Ethanol &amp; Total Oxygen, by GC OFID &amp; EPA, Z-Scores = -2.14, -2.33, -2.07, &amp; -2.37</t>
  </si>
  <si>
    <t>-2.14, -2.33, -2.07, &amp; -2.37</t>
  </si>
  <si>
    <t>1039</t>
  </si>
  <si>
    <t>PT: DF22406; D2622 - Sulfur by WDXRF, Z-Score = -2.23</t>
  </si>
  <si>
    <t>1180</t>
  </si>
  <si>
    <t>PT: LPG2407; D2163 - Hydrocarbons, n-Butane, Z-Score = 9.30</t>
  </si>
  <si>
    <t>1382</t>
  </si>
  <si>
    <t>PT: TM10-24; D86 - Distillation, 10%, Z-Score = 8.55</t>
  </si>
  <si>
    <t>1389</t>
  </si>
  <si>
    <t>PT: CE523; Octanes - Pump - AKI &amp; R-M Sensitivity, Z-Scores = 2.72 &amp; -2.74</t>
  </si>
  <si>
    <t>2.72 &amp; -2.74</t>
  </si>
  <si>
    <t>1390</t>
  </si>
  <si>
    <t>PT: CE523; D4815 - Oxygenates, Total Oxyen, Z-Score = 64.86</t>
  </si>
  <si>
    <t>561</t>
  </si>
  <si>
    <t>PT: RFG2401; D3606-20e1 &amp; -22 - Benzene, by GC, Proc B &amp; EPA, Z-Scores = -2.05 &amp; -2.14</t>
  </si>
  <si>
    <t>-2.05 &amp; -2.14</t>
  </si>
  <si>
    <t>1317</t>
  </si>
  <si>
    <t>PT: CO2407; D7042 - Viscosity, Stabinger, Kin, 25 °C, Z-Score = 4.84</t>
  </si>
  <si>
    <t>PT: MG2308; D6730 - HC Type, Multiple Parameters, by pCHR-GC, Z-Scores = Multiple Outliers</t>
  </si>
  <si>
    <t>665</t>
  </si>
  <si>
    <t>PT: BIOD2311; E203 - Water, by Volumetric KF, Z-Score = 2.29</t>
  </si>
  <si>
    <t>702</t>
  </si>
  <si>
    <t>PT: LPG2403; D2163 - Hydrocarbons - C5+, Ethane, &amp; Propane, Z-Scores = 5.49, 4.25, &amp; 4.25</t>
  </si>
  <si>
    <t>5.49, 4.25, &amp; 4.25</t>
  </si>
  <si>
    <t>823</t>
  </si>
  <si>
    <t>PT: JF2311; D3338 - Net Heat of Combustion, Z-Score =-2.20</t>
  </si>
  <si>
    <t>1354</t>
  </si>
  <si>
    <t>PT: JF2407; D2386 - Freeze Point, Z-Score = -6.02</t>
  </si>
  <si>
    <t>-6.02</t>
  </si>
  <si>
    <t>1393</t>
  </si>
  <si>
    <t>PT: CE523; D5599 - Oxygenates, Total Oxyen, Z-Score = 86.67</t>
  </si>
  <si>
    <t>PT: RFG2311; D1319 - HC Type, Olefins &amp; Saturates, Oxy-Free (EPA), Z-Scores = 2.24 &amp; -2.53</t>
  </si>
  <si>
    <t>2.24 &amp; -2.53</t>
  </si>
  <si>
    <t>PT: M977; CAN/CGSB-3.0 No.14.3 - Olefins, Z-Score = 9.31</t>
  </si>
  <si>
    <t>789</t>
  </si>
  <si>
    <t>PT: CO2403; D6377 - Vapor Pressure, Crude Oil, Expansion Method, Z-Score = 16.01</t>
  </si>
  <si>
    <t>1035</t>
  </si>
  <si>
    <t>PT: M980; Can/CGSB-3.0 No. 14.3 - Aromatics, Z-Score = -4.83</t>
  </si>
  <si>
    <t>-4.83</t>
  </si>
  <si>
    <t>1250</t>
  </si>
  <si>
    <t>PT: CO2407; D664 - Acid Number, A, 125 mL Inflection EP, Z-Score = -16.70</t>
  </si>
  <si>
    <t>-16.70</t>
  </si>
  <si>
    <t>1113</t>
  </si>
  <si>
    <t>PT: RFG2407; D1319 - HC Type, Olefins, Oxy-Free (EPA), Z-Score = -2.06</t>
  </si>
  <si>
    <t>PT: R-1342; D2700 - Motor Octane Number, Z-Score = 2.74</t>
  </si>
  <si>
    <t>872</t>
  </si>
  <si>
    <t>1065</t>
  </si>
  <si>
    <t>PT: MG2404; D5191 - Vapor Pressure, DVPE, 1L &amp; (EPA), Z-Scores = 2.36 &amp; 2.15</t>
  </si>
  <si>
    <t>2.36 &amp; 2.15</t>
  </si>
  <si>
    <t>PT: JF2307; D4294 - Sulfur, by EDXRF, Z-Score = 6.00</t>
  </si>
  <si>
    <t>962</t>
  </si>
  <si>
    <t>PT: RFG2406; D86 - Distillation, Auto, FBP, °F (EPA), Z-Score = -44.83</t>
  </si>
  <si>
    <t>-44.83</t>
  </si>
  <si>
    <t>707</t>
  </si>
  <si>
    <t>PT: F242403; D5006 - Fuel System Icing Inhibitors, Ether Type, Z-Score = -12.12</t>
  </si>
  <si>
    <t>-12.12</t>
  </si>
  <si>
    <t>1408</t>
  </si>
  <si>
    <t>PT: F242410; D5006 - Fuel System Icing Inhibitors, Ether Type, Z-Score = -11.68</t>
  </si>
  <si>
    <t>-11.68</t>
  </si>
  <si>
    <t>PT: MG2308; D86 - Distillation, Auto, IBP, Z-Score = -2.20</t>
  </si>
  <si>
    <t>625</t>
  </si>
  <si>
    <t>PT: RFG2403; D86 - Distillation, Auto, IBP, Z-Score = -2.12</t>
  </si>
  <si>
    <t>928</t>
  </si>
  <si>
    <t>PT: RFG2405; D8071 - HC Type, Ethylbenzene, GC-VUV, Z-Score = -2.24</t>
  </si>
  <si>
    <t>1076</t>
  </si>
  <si>
    <t>PT: CE520; D5769 - Total Aromatics, by GCMS, Z-Score = -2.02</t>
  </si>
  <si>
    <t>1143</t>
  </si>
  <si>
    <t>PT: RFG2408; D5191 - Vapor Pressure, TVP, 1L (EPA), Z-Score = -12.51</t>
  </si>
  <si>
    <t>-12.51</t>
  </si>
  <si>
    <t>662</t>
  </si>
  <si>
    <t>PT: BIOD2311; D1298 - Density, by Hydrometer, at 15 °C, Z-Score = -2.32</t>
  </si>
  <si>
    <t>1244</t>
  </si>
  <si>
    <t>PT: CE522; D86 - Distillation, Residue %, Z-Score = -7.28</t>
  </si>
  <si>
    <t>608</t>
  </si>
  <si>
    <t>825</t>
  </si>
  <si>
    <t>PT: JF2311; D86 - Distillation, Auto, % Resid, Z-Score = 646.87</t>
  </si>
  <si>
    <t>840</t>
  </si>
  <si>
    <t>PT: JF2311; D7042 - Viscosity, Stabinger, Kin, -20 °C, Z-Score = -3.05</t>
  </si>
  <si>
    <t>909</t>
  </si>
  <si>
    <t>PT: RFG2404; D5188 - V/L Ratio Temp, Evac Chamber, Z-Score = -3.21</t>
  </si>
  <si>
    <t>-3.21</t>
  </si>
  <si>
    <t>939</t>
  </si>
  <si>
    <t>PT: RFG2405; D5453 - Sulfur, by UVF, Z-Score = -2.16</t>
  </si>
  <si>
    <t>1005</t>
  </si>
  <si>
    <t>PT: DF22402; D5773 - Cloud Point, Constant Cool, Z-Score = 2.26</t>
  </si>
  <si>
    <t>1011</t>
  </si>
  <si>
    <t>PT: DF22402; D445 - Viscosity, Kinematic, 40 °C, Z-Score = 3.60</t>
  </si>
  <si>
    <t>1348</t>
  </si>
  <si>
    <t>PT: JF2407; D3948 - Water Separation, by Portable Sep, Z-Score = -2.70</t>
  </si>
  <si>
    <t>1353</t>
  </si>
  <si>
    <t>PT: JF2407; D3242 - Acidity, Z-Score = 3.62</t>
  </si>
  <si>
    <t>710</t>
  </si>
  <si>
    <t>PT: F242403; D3338/D3338M - Net Heat of Combustion, Z-Score = -285.71</t>
  </si>
  <si>
    <t>-285.71</t>
  </si>
  <si>
    <t>1057</t>
  </si>
  <si>
    <t>PT: MG2404; D86 - Distillation, Auto, FBP, Z-Score =-3.09</t>
  </si>
  <si>
    <t>-3.09</t>
  </si>
  <si>
    <t>1089</t>
  </si>
  <si>
    <t>PT: CET2406; D4052 - Density, Digital, 15 °C, Z-Score = 3.30</t>
  </si>
  <si>
    <t>1112</t>
  </si>
  <si>
    <t>PT: RFG2407; D86 - Distillation, Auto, IBP, Z-Score = 2.76</t>
  </si>
  <si>
    <t>1159</t>
  </si>
  <si>
    <t>PT: RFG2408; D86 - Distillation, Auto, FBP, °F (EPA), Z-Score = 3.27</t>
  </si>
  <si>
    <t>1165</t>
  </si>
  <si>
    <t>PT: DF22406; D664 - Acid Number, A, 125 mL, Inflection EP, Z-Score = 3.67</t>
  </si>
  <si>
    <t>1289</t>
  </si>
  <si>
    <t>PT: RFG2410; D5188 - V/L Ratio Temp, Evac Chamber, Z-Score = 6.21</t>
  </si>
  <si>
    <t>1346</t>
  </si>
  <si>
    <t>PT: JF2407; D1319 - HC Type, Aromatics, Oxy-Free, Z-Score = 2.90</t>
  </si>
  <si>
    <t>1347</t>
  </si>
  <si>
    <t>PT: JF2407; D3338 - Net Heat of Combustion, Z-Score = -2.30</t>
  </si>
  <si>
    <t>1356</t>
  </si>
  <si>
    <t>PT: JF2407; D3948 - Water Separation, by Portable Sep, Z-Score = -3.20</t>
  </si>
  <si>
    <t>PT: RFG2312; D1319 - HC Type, Olefins, Corrected (EPA), Z-Score = 2.05</t>
  </si>
  <si>
    <t>1063</t>
  </si>
  <si>
    <t>PT: MG2404; D3231 - Element, Phosphorus, by combusition/colorometric, Z-Score = 3.48</t>
  </si>
  <si>
    <t>1073</t>
  </si>
  <si>
    <t>1229</t>
  </si>
  <si>
    <t>PT: DF22406; D445 - Viscosity, Kinematic, 40 °C, Z-Score = 3.16</t>
  </si>
  <si>
    <t>PT: JF2307; D1322 - Smoke Point, Man, Z-Score = -2.74</t>
  </si>
  <si>
    <t>-2.74</t>
  </si>
  <si>
    <t>610</t>
  </si>
  <si>
    <t>PT: RFG2403; D86 - Distillation, Auto, % Resid (EPA), Z-Score = 5.18</t>
  </si>
  <si>
    <t>829</t>
  </si>
  <si>
    <t>PT: JF2311; D1322 - Smoke Point, Man, Z-Score = -2.67</t>
  </si>
  <si>
    <t>2.67</t>
  </si>
  <si>
    <t>1157</t>
  </si>
  <si>
    <t>PT: RFG2408; D5599 - Oxygenates, Oxygen, Total, by GC OFID, Z-Score = 2.03</t>
  </si>
  <si>
    <t>1228</t>
  </si>
  <si>
    <t>PT: DF22406; D4629 - Nitrogen, by Chemiluminescence, Z-Score = -2.15</t>
  </si>
  <si>
    <t>1410</t>
  </si>
  <si>
    <t>PT: F242410; D4737 - Cetane Index by Four Var Eq, Z-Score = -7.62</t>
  </si>
  <si>
    <t>-7.62</t>
  </si>
  <si>
    <t>1411</t>
  </si>
  <si>
    <t>PT: F242410; D976 - Cetane Index, Calculated, Z-Score = -8.09</t>
  </si>
  <si>
    <t>-8.09</t>
  </si>
  <si>
    <t>1414</t>
  </si>
  <si>
    <t>PT: F242410; D3338 - Net Heat of Combustion, Z-Score = -37.79</t>
  </si>
  <si>
    <t>-37.79</t>
  </si>
  <si>
    <t>630</t>
  </si>
  <si>
    <t>PT: RFG2403; D3606 - Toluene, by GC, Proc B, Z-Score = -2.11</t>
  </si>
  <si>
    <t>973</t>
  </si>
  <si>
    <t>PT: RFG2406; D3606 - Toluene &amp; Benzene, by GC, Proc B &amp; (EPA), Z-Scores = 2.75, 3.16, 2.07, &amp; 2.81</t>
  </si>
  <si>
    <t>2.75, 3.16, 2.07, &amp; 2.81</t>
  </si>
  <si>
    <t>1051</t>
  </si>
  <si>
    <t>PT: MG2404; D1319 - HC Type, Aromatics &amp; Saturates, Corrected, Z-Scores = 2.59 &amp; -2.22</t>
  </si>
  <si>
    <t>2.59 &amp; -2.22</t>
  </si>
  <si>
    <t>1302</t>
  </si>
  <si>
    <t>PT: CO2407; D445 - Viscosity, Kinematic, 25 °C, Z-Score = -37.47</t>
  </si>
  <si>
    <t>-37.47</t>
  </si>
  <si>
    <t>1387</t>
  </si>
  <si>
    <t>PT: TM10C-24; API - Gravity, @ 60oF, Z-Score = -5.77</t>
  </si>
  <si>
    <t>-5.77</t>
  </si>
  <si>
    <t>714</t>
  </si>
  <si>
    <t>PT: ETOH2404; D7795 - Acidity, Proc A, Z-Score = 7.25</t>
  </si>
  <si>
    <t>904</t>
  </si>
  <si>
    <t>PT: RFG2404; D86 - Distillation, Auto, 40%, &amp; 20% &amp; 40%, °F (EPA), Z-Scores = 3.27, 3.05, &amp; 4.64</t>
  </si>
  <si>
    <t>3.27, 3.05, &amp; 4.64</t>
  </si>
  <si>
    <t>PT: MG2308; D3606 - Benzene, by GC, Proc B &amp; EPA, Z-Scores = -4.66 &amp; -2.65</t>
  </si>
  <si>
    <t>-4.66 &amp; -2.65</t>
  </si>
  <si>
    <t>716</t>
  </si>
  <si>
    <t>PT: ETOH2404; E1064 - Water, by Coul KF, Z-Score = -3.27</t>
  </si>
  <si>
    <t>-3.27</t>
  </si>
  <si>
    <t>785</t>
  </si>
  <si>
    <t>1023</t>
  </si>
  <si>
    <t>PT: DF22402; D1319 - HC Type, Saturates, Oxy-Free, Z-Score = -2.34</t>
  </si>
  <si>
    <t>1034</t>
  </si>
  <si>
    <t>PT: M980; D86 - Distillation, Recovery &amp; Loss, Z-Scores = -3.18 &amp; 4.36</t>
  </si>
  <si>
    <t>-3.18 &amp; 4.36</t>
  </si>
  <si>
    <t>1123</t>
  </si>
  <si>
    <t>PT: R-1350; D86 - Distillation, 10% Evaporated, Z-Score = -10.82</t>
  </si>
  <si>
    <t>PT: DF22310; D86 - Distillation, Auto, IBP, Z-Score = -8.49</t>
  </si>
  <si>
    <t>8.49</t>
  </si>
  <si>
    <t>631</t>
  </si>
  <si>
    <t>PT: RFG2403; D5188 - V/L Ratio Temp, Evac Chamber, Z-Score = -16.46</t>
  </si>
  <si>
    <t>-16.46</t>
  </si>
  <si>
    <t>947</t>
  </si>
  <si>
    <t>PT: RFG2405; D2622 - Sulfur, by WDXRF, Z-Score = -2.40</t>
  </si>
  <si>
    <t>1053</t>
  </si>
  <si>
    <t>PT: MG2404; D6730 - HC Type, Benzene, C8 Aromatics, &amp; C8 Naphthenes, by pCHR-G, Z-Scores = 5.31, -46.82, &amp; 47.38</t>
  </si>
  <si>
    <t>5.31, -46.82, &amp; 47.38</t>
  </si>
  <si>
    <t>1055</t>
  </si>
  <si>
    <t>PT: MG2404; D5443 - HC Type, C6 Naphthenes, by MD-GC, Z-Score = 2.17</t>
  </si>
  <si>
    <t>PT: DF22310; D6371 - Cold Filter Plugging Point, CFPP, Z-Score = -3.80</t>
  </si>
  <si>
    <t>-3.80</t>
  </si>
  <si>
    <t>820</t>
  </si>
  <si>
    <t>PT: JF2311; D2887 - BP Distribution, GC, Proc A, 50% - 95%, Z-Scores = -2.14, -2.51, -2.41, -2.55, -2.46, &amp; -2.39</t>
  </si>
  <si>
    <t>1061</t>
  </si>
  <si>
    <t>PT: MG2404; D86 - Distillation, Auto, 5%, FBP, %Loss, &amp; % Recov, Z-Scores =-2.93, 5.52, 4.92, &amp; -4.52</t>
  </si>
  <si>
    <t>-2.93, 5.52, 4.92, &amp; -4.52</t>
  </si>
  <si>
    <t>1084</t>
  </si>
  <si>
    <t>PT: T345; D4052 - Density, @ 15°C, Z-Score = 2.66</t>
  </si>
  <si>
    <t>1350</t>
  </si>
  <si>
    <t>PT: JF2407; D3241 - Thermal Stability, Interferometric, @260 Thickness, Z-Score = 2.90</t>
  </si>
  <si>
    <t>PT: D-1200; D93 - Flash Point, Z-Score = -18.61</t>
  </si>
  <si>
    <t>PT: DF22310; D1319 - HC Type, Olefins, Oxy-Free, Z-Score = 5.75</t>
  </si>
  <si>
    <t>717</t>
  </si>
  <si>
    <t>PT: ETOH2404; D7795 - Acidity, Proc A, Z-Score = -9.88</t>
  </si>
  <si>
    <t>744</t>
  </si>
  <si>
    <t>PT: OC2404; D1319 - Hydrocarbon Type, Aromatics, Oxy-Free, Z-Score = 5.48</t>
  </si>
  <si>
    <t>864</t>
  </si>
  <si>
    <t>PT: JF2403; D56 - Flash Point, TAG, Corrected, Z-Score = 2.58</t>
  </si>
  <si>
    <t>866</t>
  </si>
  <si>
    <t>PT: JF2403; D3227 - Mercaptan Sulfur, Potentiometric, Z-Score = 7.95</t>
  </si>
  <si>
    <t>881</t>
  </si>
  <si>
    <t>PT: JF2403; D1319 - HC Type, Olefins &amp; Saturates, Oxy-Free, Z-Scores = 8.49 &amp; -5.33</t>
  </si>
  <si>
    <t>8.49 &amp; -5.33</t>
  </si>
  <si>
    <t>910</t>
  </si>
  <si>
    <t>PT: RFG2404; D2622 - Sulfur by WDXRF (EPA), Z-Score = 7.67</t>
  </si>
  <si>
    <t>940</t>
  </si>
  <si>
    <t>PT: RFG2405; D5453 - Sulfur, by UVF, Z-Score = -4.18</t>
  </si>
  <si>
    <t>-4.18</t>
  </si>
  <si>
    <t>949</t>
  </si>
  <si>
    <t>PT: RFG2405; D4815 - Oxygenates, Ethanol, by GC, Z-Score = -2.13</t>
  </si>
  <si>
    <t>964</t>
  </si>
  <si>
    <t>PT: RFG2406; D86 - Distillation, Auto, IBP, Z-Score = -2.04</t>
  </si>
  <si>
    <t>1284</t>
  </si>
  <si>
    <t>PT: RFG2410; D1319 - HC Type, Olefins, Corrected &amp; Oxy-Free(EPA), Z-Scores = -2.30 &amp; -2.02</t>
  </si>
  <si>
    <t>-2.30 &amp; -2.02</t>
  </si>
  <si>
    <t>941</t>
  </si>
  <si>
    <t>PT: RFG2405; D5188 - V/L Ratio Temp, Evac Chamber, Z-Score = 2.80</t>
  </si>
  <si>
    <t>See PTO965-139-24</t>
  </si>
  <si>
    <t>965</t>
  </si>
  <si>
    <t>PT: RFG2406; D5188 - V/L Ratio Temp, Evac Chamber, Z-Score = 3.22</t>
  </si>
  <si>
    <t>1272</t>
  </si>
  <si>
    <t>PT: RFG2409; D5769 - Benzene, by GC/MS, Z-Score = 4.41</t>
  </si>
  <si>
    <t>1273</t>
  </si>
  <si>
    <t>PT: RFG2409; D5188 - V/L Ratio Temp, Evac Chamber , Z-Score = 3.05</t>
  </si>
  <si>
    <t>1290</t>
  </si>
  <si>
    <t>PT: RFG2410; D4052 - Density, Digital, 15 °C, Z-Score = -5.75</t>
  </si>
  <si>
    <t>1291</t>
  </si>
  <si>
    <t>PT: RFG2410; D5188 - V/L Ratio Temp, Evac Chamber, Z-Score = 146.17</t>
  </si>
  <si>
    <t>1324</t>
  </si>
  <si>
    <t>PT: ETOH2408; D4052 - Density, Relative, @ 15.56 °C, Z-Score = -8.54</t>
  </si>
  <si>
    <t>1325</t>
  </si>
  <si>
    <t>PT: ETOH2408; D5501 - Methanol, by GC, Z-Score = 5.88</t>
  </si>
  <si>
    <t>1326</t>
  </si>
  <si>
    <t>PT: ETOH2408; D6423 - pHe, Z-Score =3.17</t>
  </si>
  <si>
    <t>887</t>
  </si>
  <si>
    <t>PT: JF2403; D1840 - Napthalenes, by UVS, Z-Score = 9.03</t>
  </si>
  <si>
    <t>1243</t>
  </si>
  <si>
    <t>PT: CE522; D5191 - Vapor Pressure, PTOT, Z-Score = 3.13</t>
  </si>
  <si>
    <t>1245</t>
  </si>
  <si>
    <t>PT: CE522; D86 - Distillation, 20% - 50%, Z-Scores = 3.02, 3.27, 3.21, &amp; 3.20</t>
  </si>
  <si>
    <t>3.02, 3.27, 3.21, &amp; 3.20</t>
  </si>
  <si>
    <t>1296</t>
  </si>
  <si>
    <t>PT: RFG2410; D86 - Distillation, Auto, Multiple Parameters, Z-Scores = Multiple Outliers</t>
  </si>
  <si>
    <t>1391</t>
  </si>
  <si>
    <t>PT: CE523; D5769 - GCMS, Aromatics, Z-Score = 2.70</t>
  </si>
  <si>
    <t>1309</t>
  </si>
  <si>
    <t>PT: CO2407; D4530 - Carbon Residue, Micro, Z-Score = 3.01</t>
  </si>
  <si>
    <t>PT: RFG2312; D86 - Distillation, Auto, 90%, °F (EPA), Z-Score = -4.13</t>
  </si>
  <si>
    <t>-4.13</t>
  </si>
  <si>
    <t>694</t>
  </si>
  <si>
    <t>830</t>
  </si>
  <si>
    <t>PT: JF2311; D3241 - Thermal Stability, Ellipsometric, @260, Volume, Z-Score = 7.54</t>
  </si>
  <si>
    <t>1277</t>
  </si>
  <si>
    <t>PT: RFG2409; D3606-24 &amp; -20e1 - Benzene, by GC, Proc B &amp; (EPA), Z-Scores = 3.14 &amp; 3.05</t>
  </si>
  <si>
    <t>3.14 &amp; 3.05</t>
  </si>
  <si>
    <t>1293</t>
  </si>
  <si>
    <t>PT: RFG2410; D1319 - HC Type, Aromatics &amp; Saturates, Corrected &amp; Oxy-Free &amp; (EPA), Z-Scores = Multiple Outliers</t>
  </si>
  <si>
    <t>1318</t>
  </si>
  <si>
    <t>PT: ETOH2408; E203 - Water, by Volumetric KF, Z-Score = 8.67</t>
  </si>
  <si>
    <t>1362</t>
  </si>
  <si>
    <t>PT: JF2407; D1840 - Napthalenes, by UVS, Z-Score = -2.47</t>
  </si>
  <si>
    <t>-2.47</t>
  </si>
  <si>
    <t>1083</t>
  </si>
  <si>
    <t>PT: T345; D86 - Distillation, 10% Recovered &amp; Residue, Z-Scores = 6.27 &amp; 8.08</t>
  </si>
  <si>
    <t>6.27 &amp; 8.08</t>
  </si>
  <si>
    <t>1127</t>
  </si>
  <si>
    <t>PT: D341; D611 - Aniline Point, Z-Score = 2.26</t>
  </si>
  <si>
    <t>1363</t>
  </si>
  <si>
    <t>PT: JF2407; D445 - Viscosity, Kinematic, -20 °C, Z-Score = 5.11</t>
  </si>
  <si>
    <t>1050</t>
  </si>
  <si>
    <t>PT: MG2404; D86 - Distillation, Auto, 90% &amp; 95%, Z-Scores = 3.10 &amp; 4.51</t>
  </si>
  <si>
    <t>3.10 &amp; 4.51</t>
  </si>
  <si>
    <t>1343</t>
  </si>
  <si>
    <t>PT: JF2407; D3227 - Mercaptan Sulfur, Potentiometric, Z-Score = -3.75</t>
  </si>
  <si>
    <t>-3.75</t>
  </si>
  <si>
    <t>1212</t>
  </si>
  <si>
    <t>PT: DF22406; D445 - Viscosity, Kinematic, 40 °C, Z-Score = -2.89</t>
  </si>
  <si>
    <t>-2.89</t>
  </si>
  <si>
    <t>875</t>
  </si>
  <si>
    <t>PT: JF2403; D86 - Distillation, Auto, IBP, Z-Score = -2.29</t>
  </si>
  <si>
    <t>1384</t>
  </si>
  <si>
    <t>PT: TM10C-24; D2699 - Octane Number, Research, Z-Score = 2.72</t>
  </si>
  <si>
    <t>546</t>
  </si>
  <si>
    <t>PT: RFG2401; D5191 - Vapor Pressure, DVPE, 1L (EPA), Z-Score = 2.27</t>
  </si>
  <si>
    <t>831</t>
  </si>
  <si>
    <t>PT: JF2311; D445 - Viscosity, Kinematic, -20 °C, Z-Score = 2.78</t>
  </si>
  <si>
    <t>832</t>
  </si>
  <si>
    <t>PT: JF2311; D3948 - Water Separation, by Portable Sep, Z-Score = -2.10</t>
  </si>
  <si>
    <t>1140</t>
  </si>
  <si>
    <t>PT: RFG2408; D5191 - Vapor Pressure, DVPE, 1L (EPA), Z-Score = 2.68</t>
  </si>
  <si>
    <t>1298</t>
  </si>
  <si>
    <t>PT: CO2407; D6377 - Vapor Pressure, Crude Oil, Expansion Method , Z-Score = 7.66</t>
  </si>
  <si>
    <t>1375</t>
  </si>
  <si>
    <t>PT: JF2407; D86 - Distillation, Auto, 10%, Z-Score = 3.35</t>
  </si>
  <si>
    <t>1321</t>
  </si>
  <si>
    <t>PT: ETOH2408; D7319 - Inorganic Chloride &amp; Existent Sulfate, by DI-IC, Z-Scores = 14.94 &amp; 6.17</t>
  </si>
  <si>
    <t>14.94 &amp; 6.17</t>
  </si>
  <si>
    <t>1341</t>
  </si>
  <si>
    <t>PT: JF2407; D3338 - Net Heat of Combustion, Z-Score = 11.96</t>
  </si>
  <si>
    <t>PT: DF22310; D6468 - Stability, High Temp, 90 min. &amp; 180 min. aging, Z-Scores = -4.70 &amp; -2.20</t>
  </si>
  <si>
    <t>-4.70 &amp; -2.20</t>
  </si>
  <si>
    <t>663</t>
  </si>
  <si>
    <t>PT: BIOD2311; EN14103 - Linolenic Acid Methyl Ester, Z-Score = 2.84</t>
  </si>
  <si>
    <t>1012</t>
  </si>
  <si>
    <t>PT: DF22402; D6468 - Stability, High Temp, 90 min. aging, Z-Score = -6.90</t>
  </si>
  <si>
    <t>-6.90</t>
  </si>
  <si>
    <t>1232</t>
  </si>
  <si>
    <t>PT: DF22406; D6468 - Stability, High Temp, 180 min. aging &amp; 90 min. aging, Z-Scores = -6.90 &amp; -8.70</t>
  </si>
  <si>
    <t>-6.90 &amp; -8.70</t>
  </si>
  <si>
    <t>1278</t>
  </si>
  <si>
    <t>PT: RFG2409; D4815 - Oxygenates, Ethanol, by GC, Z-Score = -2.27</t>
  </si>
  <si>
    <t>See PTO1294-160-24.</t>
  </si>
  <si>
    <t>1294</t>
  </si>
  <si>
    <t>PT: RFG2410; D4815 - Oxygenates, Ethanol &amp; Total Oxygen, by GC, Z-Scores = -3.60 &amp; -3.59</t>
  </si>
  <si>
    <t>-3.60 &amp; -3.59</t>
  </si>
  <si>
    <t>1008</t>
  </si>
  <si>
    <t>PT: DF22402; D1319 - HC Type, Aromatics &amp; Olefins, Oxy-Free , Z-Scores = -2.53 &amp; 5.36</t>
  </si>
  <si>
    <t>-2.53 &amp; 5.36</t>
  </si>
  <si>
    <t>1242</t>
  </si>
  <si>
    <t>PT: CE522; D2699 - Octane Number, Research &amp; R-M Sensitivity, Z-Scores = -2.85 &amp; -3.41</t>
  </si>
  <si>
    <t>-2.85 &amp; -3.41</t>
  </si>
  <si>
    <t>1257</t>
  </si>
  <si>
    <t>PT: CO2407; D6377 - Vapor Pressure, Crude Oil, Expansion Method , Z-Score = 6.41</t>
  </si>
  <si>
    <t>565</t>
  </si>
  <si>
    <t>PT: RFG2401; D2622 - Sulfur by WDXRF, Z-Score = 2.10</t>
  </si>
  <si>
    <t>566</t>
  </si>
  <si>
    <t>PT: RFG2401; D3606-20e1 &amp; -22 - Toluene, by GC, Proc B &amp; (EPA), Z-Scores = 2.33 &amp; 2.32</t>
  </si>
  <si>
    <t>2.33 &amp; 2.32</t>
  </si>
  <si>
    <t>567</t>
  </si>
  <si>
    <t>PT: RFG2401; D5188 - V/L Ratio Temp, Evac Chamber,  Z-Score = -4.79</t>
  </si>
  <si>
    <t>-4.79</t>
  </si>
  <si>
    <t>974</t>
  </si>
  <si>
    <t>PT: RFG2406; D287 - API Gravity, Hydrometer, Z-Score = 2.34</t>
  </si>
  <si>
    <t>1064</t>
  </si>
  <si>
    <t>PT: MG2404; D86 - Distillation, Auto, 70%, °F (EPA), Z-Score = 3.15</t>
  </si>
  <si>
    <t>1069</t>
  </si>
  <si>
    <t>PT: MG2404; D3237 - Element, Lead, by AAS, Z-Score = 0.00 (Rejected)</t>
  </si>
  <si>
    <t>0.00 (Rejected)</t>
  </si>
  <si>
    <t>1109</t>
  </si>
  <si>
    <t>PT: RFG2407; D5188 - V/L Ratio Temp, Evac Chamber, Z-Score = 2.83</t>
  </si>
  <si>
    <t>1261</t>
  </si>
  <si>
    <t>PT: RFG2409; D4815 - Oxygenates, Ethanol, by GC, Z-Score = -2.16</t>
  </si>
  <si>
    <t>PT: D-1204; D445 - Viscosity, at 40°C, Z-Score =-9.18</t>
  </si>
  <si>
    <t>-9.18</t>
  </si>
  <si>
    <t>1017</t>
  </si>
  <si>
    <t>PT: DF22402; D1319 - HC Type, Saturates, Oxy-Free, Z-Score = -2.23</t>
  </si>
  <si>
    <t>1091</t>
  </si>
  <si>
    <t>PT: CET2406; D1319 - HC Type, Aromatics, Oxy-Free, Z-Score = 2.15</t>
  </si>
  <si>
    <t>1106</t>
  </si>
  <si>
    <t>PT: RFG2407; D1319 - HC Type, Corrected &amp; Uncorrected, &amp; (EPA),  Z-Scores = Multiple Outliers</t>
  </si>
  <si>
    <t>1182</t>
  </si>
  <si>
    <t>PT: GGO2407; D5708 - Element, Nickel, ICPAES, Method A, Z-Score = 47.83</t>
  </si>
  <si>
    <t>1235</t>
  </si>
  <si>
    <t>PT: DF22406; D1319 - HC Type, Aromatics &amp; Saturates, Oxy-Free, Z-Scores = 2.37 &amp; -2.22</t>
  </si>
  <si>
    <t>2.37 &amp; -2.22</t>
  </si>
  <si>
    <t>1297</t>
  </si>
  <si>
    <t>PT: RFG2410; D1319 - HC Type, Aromatics Olefins, Corrected &amp; Oxy-Free, &amp; EPA, Z-Scores = Multiple Outliers</t>
  </si>
  <si>
    <t>1320</t>
  </si>
  <si>
    <t>PT: ETOH2408; D7795 - Acidty, Proc A, Z-Score = 4.27</t>
  </si>
  <si>
    <t>1412</t>
  </si>
  <si>
    <t>PT: F242410; D1319 - HC Type, Aromatics, Oxy-Free, Z-Score = -2.21</t>
  </si>
  <si>
    <t>851</t>
  </si>
  <si>
    <t>PT: JF2403; D3338 - Net Heat of Combustion, Z-Score = 3.71</t>
  </si>
  <si>
    <t>PT: MG2308; D5443 - HC Type, C9 Paraffins, by MD-GC, Z-Score = -17.95</t>
  </si>
  <si>
    <t>-17.95</t>
  </si>
  <si>
    <t>PT: MG2308; D6839 - HC Type/Oxy, Aromatics, Olefins, &amp; Saturates, by M-D GC, Z-Scores = 7.68, 3.06, &amp; -8.13</t>
  </si>
  <si>
    <t>7.68, 3.06, &amp; -8.13</t>
  </si>
  <si>
    <t>569</t>
  </si>
  <si>
    <t>PT: RFG2401; D6839 - HC Type/Oxy, Olefins, by M-D GC,  Z-Score = 11.98</t>
  </si>
  <si>
    <t>570</t>
  </si>
  <si>
    <t>PT: RFG2401; D5599 - Oxygenates, Ethanol &amp; Total Oxygen, by GC OFID &amp; (EPA),  Z-Scores = -2.33, -3.35, -2.33, &amp; -3.07</t>
  </si>
  <si>
    <t>-2.33, -3.35, -2.33, &amp; -3.07</t>
  </si>
  <si>
    <t>1239</t>
  </si>
  <si>
    <t>PT: RFG2409; D86 - Distillation, Auto, % Resid (EPA), Z-Score = -3.06</t>
  </si>
  <si>
    <t>-3.06</t>
  </si>
  <si>
    <t>1246</t>
  </si>
  <si>
    <t>PT: CE522; D86 - Distillation, Residue %, Z-Score = -5.72</t>
  </si>
  <si>
    <t>-5.72</t>
  </si>
  <si>
    <t>1254</t>
  </si>
  <si>
    <t>PT: CO2407; D5708 - Element, Vanadium, ICPAES, Method B, Z-Score = -5.06</t>
  </si>
  <si>
    <t>-5.06</t>
  </si>
  <si>
    <t>765</t>
  </si>
  <si>
    <t>PT: CO2311; D7169 - BP Dist by HT-GC, Cut 8, 720C (1328F) &amp; Tot % Rec @ FBP, Z-Scores = -3.10 &amp; -3.27</t>
  </si>
  <si>
    <t>-3.10 &amp; -3.27</t>
  </si>
  <si>
    <t>1018</t>
  </si>
  <si>
    <t>PT: DF22402; D6591 - HC Type, by HPLC, Di-Aro &amp; PAH, Z-Scores = 4.84 &amp; 3.52</t>
  </si>
  <si>
    <t>4.84 &amp; 3.52</t>
  </si>
  <si>
    <t>1234</t>
  </si>
  <si>
    <t>PT: DF22406; D524 - Carbon Residue, Ramsbottom, Z-Score = -2.27</t>
  </si>
  <si>
    <t>1237</t>
  </si>
  <si>
    <t>PT: DF22406; D445 - Viscosity, Kinematic, 40 °C, Z-Score = -2.62</t>
  </si>
  <si>
    <t>-2.62</t>
  </si>
  <si>
    <t>1238</t>
  </si>
  <si>
    <t>PT: DF22406; D7042 - Viscosity, Stabinger, Kin, 40 °C, Z-Score = -2.18</t>
  </si>
  <si>
    <t>1256</t>
  </si>
  <si>
    <t>PT: CO2407; D4929 - Organic Chloride, Procedure B, Distillation Microcoulometry, &amp; Procedure C, Distillation MWDXRF, Z-Scores = 20.96 &amp; 5.51</t>
  </si>
  <si>
    <t>20.96 &amp; 5.51</t>
  </si>
  <si>
    <t>1357</t>
  </si>
  <si>
    <t>PT: JF2407; D86 - Distillation, Auto 40%, Z-Score = -2.19</t>
  </si>
  <si>
    <t>1359</t>
  </si>
  <si>
    <t>1366</t>
  </si>
  <si>
    <t>PT: JF2407; D86 - Distillation, Auto, 90%, 95%, &amp; % Loss, Z-Scores = 2.09, 2.17, &amp; 3.25</t>
  </si>
  <si>
    <t>2.09, 2.17, &amp; 3.25</t>
  </si>
  <si>
    <t>1385</t>
  </si>
  <si>
    <t>PT: TM10C-24; API - Gravity, @ 60oF, Z-Score = -7.31</t>
  </si>
  <si>
    <t>-7.31</t>
  </si>
  <si>
    <t>PT: MG2308; D3606 - Toluene, by GC, Proc B, Z-Score = -2.12</t>
  </si>
  <si>
    <t>See PTO 173-155-24.</t>
  </si>
  <si>
    <t>PT: RFG2309; D5769 - Benzene &amp; Toluene, by GC/MS (EPA), Z-Scores =  -20.44 &amp; 4.71</t>
  </si>
  <si>
    <t>-20.44 &amp; 4.71</t>
  </si>
  <si>
    <t>916</t>
  </si>
  <si>
    <t>PT: RFG2404; D6378 - Vapor Pressure, Triple Expansion, Z-Score = -2.45</t>
  </si>
  <si>
    <t>1169</t>
  </si>
  <si>
    <t>PT: DF22406; D2500 - Cloud Point, Z-Score = 2.40</t>
  </si>
  <si>
    <t>1181</t>
  </si>
  <si>
    <t>PT: GGO2407; D1159 - Bromine Number, Titration, Z-Score = 5.13</t>
  </si>
  <si>
    <t>1231</t>
  </si>
  <si>
    <t>PT: DF22406; D664 - Acid Number, A, 60 mL, Inflection EP, Z-Score = 3.01</t>
  </si>
  <si>
    <t>873</t>
  </si>
  <si>
    <t>PT: JF2403; D1840 - Napthalenes, by UVS, Z-Score = -6.29</t>
  </si>
  <si>
    <t>-6.29</t>
  </si>
  <si>
    <t>1058</t>
  </si>
  <si>
    <t>PT: MG2404; D5443 - HC Type, Aromatics, Total, by MD-GC, Z-Score = 2.15</t>
  </si>
  <si>
    <t>1255</t>
  </si>
  <si>
    <t>PT: CO2407; D7900 - HC Type, n-nonane, Z-Score = 8.08</t>
  </si>
  <si>
    <t>1323</t>
  </si>
  <si>
    <t>PT: ETOH2408; D5501 - Methanol, by GC, Z-Score = 7.06</t>
  </si>
  <si>
    <t>680</t>
  </si>
  <si>
    <t>PT: BIOD2404; D664 - Acid Number, Potentiometric B, Z-Score = 2.51</t>
  </si>
  <si>
    <t>998</t>
  </si>
  <si>
    <t>PT: DF22402; D4294 - Sulfur, by EDXRF, Z-Score = 11.51</t>
  </si>
  <si>
    <t>PT: RFG2312; D5580 - Benzene, Toluene, &amp; Total Aromatics, by GC , Z-Scores = 7.25, 6.12, &amp; 6.56</t>
  </si>
  <si>
    <t>7.25, 6.12, &amp; 6.56</t>
  </si>
  <si>
    <t>961</t>
  </si>
  <si>
    <t>PT: RFG2406; D5580 - C9+ Aromatics &amp; Total Aromatics, by GC, Z-Scores = -8.90 &amp; -3.03</t>
  </si>
  <si>
    <t>-8.90 &amp; -3.03</t>
  </si>
  <si>
    <t>PT: DF22310; D86 - Distillation, Auto, IBP, Z-Score = -2.30</t>
  </si>
  <si>
    <t>882</t>
  </si>
  <si>
    <t>PT: JF2403; D1840 - Napthalenes, by UVS, Z-Score = 4.23</t>
  </si>
  <si>
    <t>999</t>
  </si>
  <si>
    <t>PT: DF22402; D6304 - Water, by Coul KF, Meth A Direct Injection, uL/mL, Z-Score = 8.05</t>
  </si>
  <si>
    <t>1108</t>
  </si>
  <si>
    <t>PT: RFG2407; D4815 - Oxygenates, Ethanol &amp; Total Oxygen, by GC, Z-Scores =-3.51 &amp; -3.48</t>
  </si>
  <si>
    <t>-3.51 &amp; -3.48</t>
  </si>
  <si>
    <t>1179</t>
  </si>
  <si>
    <t>PT: LPG2407; D2163 - Hydrocarbons, C5+, Z-Score = 4.25</t>
  </si>
  <si>
    <t>1312</t>
  </si>
  <si>
    <t>PT: CO2407; D4807 - Sediment, Membrane Filtration, Z-Score = 2.80</t>
  </si>
  <si>
    <t>733</t>
  </si>
  <si>
    <t>PT: D-1206; D93 - Flash Point, Z-Score = 12.09</t>
  </si>
  <si>
    <t>1099</t>
  </si>
  <si>
    <t>PT: RFG2407 &amp; RFG2408; D5580 - HC Type, Multiple Parameters, Z-Scores = Multiple Outliers</t>
  </si>
  <si>
    <t>PT: D-1201; D613 - Cetane Number, Z-Score = -5.45</t>
  </si>
  <si>
    <t>839</t>
  </si>
  <si>
    <t>PT: JF2311; D445 - Viscosity, Kinematic, -20 °C, Z-Score = -4.57</t>
  </si>
  <si>
    <t>-4.57</t>
  </si>
  <si>
    <t>1233</t>
  </si>
  <si>
    <t>PT: DF22406; D4294 - Sulfur, by EDXRF, Z-Score = 3.19</t>
  </si>
  <si>
    <t>833</t>
  </si>
  <si>
    <t>PT: JF2311; D3242 - Acidity, Z-Score = 2.57</t>
  </si>
  <si>
    <t>See PTO884-170-24.</t>
  </si>
  <si>
    <t>884</t>
  </si>
  <si>
    <t>PT: JF2403; D3242 - Acidity, Z-Score = 2.44</t>
  </si>
  <si>
    <t>886</t>
  </si>
  <si>
    <t>PT: JF2403; D5001 - Lubricity, BOCLE, Proc B, auto, Z-Score = -3.18</t>
  </si>
  <si>
    <t>-3.18</t>
  </si>
  <si>
    <t>PT: R-1344; D2699 - Research Octane Number, Z-Score = -2.94</t>
  </si>
  <si>
    <t>1249</t>
  </si>
  <si>
    <t>PT: CO2407; D4928 - Water, Coulometric KF, Z-Score = -2.46</t>
  </si>
  <si>
    <t>1032</t>
  </si>
  <si>
    <t>PT: R-1349; D2700 - Motor Octane Number, Z-Score = 2.15</t>
  </si>
  <si>
    <t>1003</t>
  </si>
  <si>
    <t>PT: DF22402; D664 - Acid Number, A, 60 mL, inflection EP, Z-Score = 4.25</t>
  </si>
  <si>
    <t>1102</t>
  </si>
  <si>
    <t>PT: RFG2407; D5191 - Vapor Pressure, DVPE &amp; TVP, 1L &amp; (EPA), Z-Scores = 43.11, 51.81, 38.96, &amp; 46.78</t>
  </si>
  <si>
    <t>43.11, 51.81, 38.96, &amp; 46.78</t>
  </si>
  <si>
    <t>1161</t>
  </si>
  <si>
    <t>PT: RFG2406; D4052 - Density, Digital, 15 °C, Z-Score = 2477420.37</t>
  </si>
  <si>
    <t>1204</t>
  </si>
  <si>
    <t>PT: DF22406; D93 - Flash Point, PMCC, Proc A, corrected, Z-Score = 3.28</t>
  </si>
  <si>
    <t>1407</t>
  </si>
  <si>
    <t>PT: OC2408; Vapor Pressure, DVPE, Z-Score = 4.83</t>
  </si>
  <si>
    <t>PT: DF22310; D7042 - Viscosity, Stabinger, Kin, 40 °C, Z-Score = -3.13</t>
  </si>
  <si>
    <t>1116</t>
  </si>
  <si>
    <t>PT: RFG2405; D2622 - Sulfur, by WDXRF, Z-Score = -2.80</t>
  </si>
  <si>
    <t>1198</t>
  </si>
  <si>
    <t>PT: RFG2408; D2622 - Sulfur, by WDXRF (EPA), Z-Score = -3.42</t>
  </si>
  <si>
    <t>-3.42</t>
  </si>
  <si>
    <t>1260</t>
  </si>
  <si>
    <t>PT: RFG2409; D5769 - Total Aromatics, Benzene, &amp; Toluene, by GC/MS (EPA), Z-Scores = -4.97, -3.32, &amp; -4.61</t>
  </si>
  <si>
    <t>-4.97, -3.32, &amp; -4.61</t>
  </si>
  <si>
    <t>PT: MG2312; D3606 - Benzene &amp; Toluene, by GC, Proc B &amp; (EPA), Z-Scores = -6.31, -3.36, -2.50, &amp; -2.46</t>
  </si>
  <si>
    <t>6.31, -3.36, -2.50, &amp; -2.46</t>
  </si>
  <si>
    <t>915</t>
  </si>
  <si>
    <t>PT: RFG2404; D5191 - Vapor Pressure, DVPE, 1L &amp; EPA, Z-Scores = -2.14 &amp; -2.40</t>
  </si>
  <si>
    <t>-2.14 &amp; -2.40</t>
  </si>
  <si>
    <t>978</t>
  </si>
  <si>
    <t>PT: RFG2406; D86 - Distillation, Auto, 95%, °F (EPA), % Resid, &amp; % Resid (EPA), Z-Scores = 3.48, 4.95, &amp; 5.59</t>
  </si>
  <si>
    <t>3.48, 4.95, &amp; 5.59</t>
  </si>
  <si>
    <t>1014</t>
  </si>
  <si>
    <t>PT: DF22402; D6468 - Stability, High Temp, 90 min. aging, Z-Score = -2.20</t>
  </si>
  <si>
    <t>1068</t>
  </si>
  <si>
    <t>PT: MG2404; D86 - Distillation, Auto, % Resid (EPA), Z-Score = 3.40</t>
  </si>
  <si>
    <t>1311</t>
  </si>
  <si>
    <t>PT: CO2407; D7169 - BP Dist by HT-GC, Cut 4, 343.3C (650F), Cut 5, 426.7C (800F), Cut 6, 565.6C (1050F), &amp; Cut 7, 596.1C (1105F), Z-Scores = -2.08, -2.58, -2.44, &amp; -2.46</t>
  </si>
  <si>
    <t>-2.08, -2.58, -2.44, &amp; -2.46</t>
  </si>
  <si>
    <t>1248</t>
  </si>
  <si>
    <t>PT: CO2407; D7169 - BP Dist by HT-GC, Cut 3, 248.9C (480F), Z-Score = -2.25</t>
  </si>
  <si>
    <t>1258</t>
  </si>
  <si>
    <t>PT: ETOH2408; D7319 - Existent Sulfate, by DI-IC, Z-Score = 4.60</t>
  </si>
  <si>
    <t>1259</t>
  </si>
  <si>
    <t>PT: ETOH2408; D6423 - pHe, Z-Score = -2.46</t>
  </si>
  <si>
    <t>PT: F62309; D445 - Viscosity, Kinematic, 50 °C, Z-Score = -3.74</t>
  </si>
  <si>
    <t>908</t>
  </si>
  <si>
    <t>PT: RFG2404; D1319 - HC Type, Olefins &amp; Saturates, Corrected &amp; Oxy-Free (EPA), Z-Scores = -8.56, 4.17, -7.85, &amp; 3.34</t>
  </si>
  <si>
    <t>-8.56, 4.17, -7.85, &amp; 3.34</t>
  </si>
  <si>
    <t>1004</t>
  </si>
  <si>
    <t>PT: DF22402; D1319 - HC Type, Aromatics &amp; Olefins, Oxy-Free , Z-Scores = -3.19 &amp; 3.38</t>
  </si>
  <si>
    <t>-3.19 &amp; 3.38</t>
  </si>
  <si>
    <t>1369</t>
  </si>
  <si>
    <t>PT: JF2407; D3227 - Mercaptan Sulfur, Potentiometric, Z-Score = -2.73</t>
  </si>
  <si>
    <t>1370</t>
  </si>
  <si>
    <t>PT: JF2407; D1322 - Smoke Point, Auto, Z-Score =-2.31</t>
  </si>
  <si>
    <t>PT: MG2312; D3237 - Element, Lead, by AAS, Z-Score = 21.39</t>
  </si>
  <si>
    <t>724</t>
  </si>
  <si>
    <t>PT: CE518; D3606 - Benzene, Z-Score = -2.63</t>
  </si>
  <si>
    <t>732</t>
  </si>
  <si>
    <t>PT: CE519; D3606 - Benzene, Z-Score = -3.33</t>
  </si>
  <si>
    <t>-3.33</t>
  </si>
  <si>
    <t>944</t>
  </si>
  <si>
    <t>PT: RFG2405; D3606 - Benzene, by GC, Proc B, Z-Score = 2.08</t>
  </si>
  <si>
    <t>1056</t>
  </si>
  <si>
    <t>PT: MG2404; D3606 - Benzene, by GC, Proc B &amp; (EPA), Z-Scores = -2.17 &amp; -2.71</t>
  </si>
  <si>
    <t>-2.17 &amp; -2.71</t>
  </si>
  <si>
    <t>1104</t>
  </si>
  <si>
    <t>PT: RFG2407; D3606 - Benzene, by GC, Proc B &amp; (EPA), Z-Scores = -3.06 &amp; -2.54</t>
  </si>
  <si>
    <t>-3.06 &amp; -2.54</t>
  </si>
  <si>
    <t>1270</t>
  </si>
  <si>
    <t>PT: RFG2409; D6550 - HC Type, Olefins, by SFC, Z-Score = -4.38</t>
  </si>
  <si>
    <t>-4.38</t>
  </si>
  <si>
    <t>See PTO1285-132-24.</t>
  </si>
  <si>
    <t>1285</t>
  </si>
  <si>
    <t>PT: RFG2410; D6550 - HC Type, Olefins, by SFC, Z-Score = -5.14</t>
  </si>
  <si>
    <t>-5.14</t>
  </si>
  <si>
    <t>PT: JF2307; D3227 - Mercaptan Sulfur, Potentiometric, Z-Score = 4.51</t>
  </si>
  <si>
    <t>579</t>
  </si>
  <si>
    <t>PT: RFG2402; D5188 - V/L Ratio Temp, Evac Chamber, Z-Score = -2.57</t>
  </si>
  <si>
    <t>-2.57</t>
  </si>
  <si>
    <t>902</t>
  </si>
  <si>
    <t>PT: RFG2404; D5188 - V/L Ratio Temp, Evac Chamber, Z-Score = -2.19</t>
  </si>
  <si>
    <t>1096</t>
  </si>
  <si>
    <t>PT: RFG2407; D5188 - V/L Ratio Temp, Evac Chamber, Z-Score = -2.14</t>
  </si>
  <si>
    <t>-2.14</t>
  </si>
  <si>
    <t>1266</t>
  </si>
  <si>
    <t>PT: RFG2409; D5188 - V/L Ratio Temp, Evac Chamber, Z-Score = -2.54</t>
  </si>
  <si>
    <t>1338</t>
  </si>
  <si>
    <t>PT: JF2407; D1319 - HC Type, Olefins, Oxy-Free, Z-Score = 3.11</t>
  </si>
  <si>
    <t>532</t>
  </si>
  <si>
    <t>PT: TM04-24; D2700 - Motor Octane Number, Z-Score = 4.32</t>
  </si>
  <si>
    <t>534</t>
  </si>
  <si>
    <t>PT: TM04C-24; D2699 - Research Octane Number, Z-Score = -2.40</t>
  </si>
  <si>
    <t>535</t>
  </si>
  <si>
    <t>PT: TM04C-24; D2700 - Motor Octane Number, Z-Score = 3.00</t>
  </si>
  <si>
    <t>1033</t>
  </si>
  <si>
    <t>PT: TM07-24; D2699 - Research Octane Number, Z-Score = -2.62</t>
  </si>
  <si>
    <t>1268</t>
  </si>
  <si>
    <t>-9.99 &amp; -7.22</t>
  </si>
  <si>
    <t>See PTO1282-132-24.</t>
  </si>
  <si>
    <t>1282</t>
  </si>
  <si>
    <t>PT: RFG2410; D5580 - C9+ &amp; Total Aromatics, by GC, Z-Score = -13.85 &amp; -8.16</t>
  </si>
  <si>
    <t>-13.85 &amp; -8.16</t>
  </si>
  <si>
    <t>1066</t>
  </si>
  <si>
    <t>PT: MG2404; D1319 - HC Type, Aromatics &amp; Olefins, Oxy-Free (EPA), Z-Scores = 2.11 &amp; -4.24</t>
  </si>
  <si>
    <t>2.11 &amp; -4.24</t>
  </si>
  <si>
    <t>PT: RFG2311; D4052 - Density, Digital, 15 °C, Z-Score =3.67</t>
  </si>
  <si>
    <t>1153</t>
  </si>
  <si>
    <t>PT: RFG2408; D6839 - HC Type/Oxy, Olefins, by M-D GC, Z-Score = -2.46</t>
  </si>
  <si>
    <t>1215</t>
  </si>
  <si>
    <t>PT: DF22406; D189 - Carbon Residue, Conradson, Z-Score = 3.29</t>
  </si>
  <si>
    <t>1218</t>
  </si>
  <si>
    <t>PT: DF22406; D445 - Viscosity, Kinematic, 40 °C, Z-Score = 3.97</t>
  </si>
  <si>
    <t>1344</t>
  </si>
  <si>
    <t>PT: JF2407; D4052 - API Gravity, Digital, 60°F &amp; Density, Digital, 15 °C, Z-Scores = -5.35 &amp; 5.49</t>
  </si>
  <si>
    <t>-5.35 &amp; 5.49</t>
  </si>
  <si>
    <t>1304</t>
  </si>
  <si>
    <t>PT: CO2407; D3230 - Salts, Z-Score = -2.22</t>
  </si>
  <si>
    <t>1360</t>
  </si>
  <si>
    <t>PT: JF2407; D1319 - HC Type, Aromatics, Oxy-Free, Z-Score = -3.02</t>
  </si>
  <si>
    <t>-3.02</t>
  </si>
  <si>
    <t>1013</t>
  </si>
  <si>
    <t>PT: DF22402; D664 - Acid Number, A, 125 mL, inflection EP, Z-Score = 3.27</t>
  </si>
  <si>
    <t>1214</t>
  </si>
  <si>
    <t>PT: DF22406; D664 - Acid Number, A, 125 mL, Inflection EP, Z-Score = 5.12</t>
  </si>
  <si>
    <t>1364</t>
  </si>
  <si>
    <t>PT: JF2407; D3948 - Water Separation, by Portable Sep, Z-Score = -2.20</t>
  </si>
  <si>
    <t>PT: JF2307; D1840 - Napthalenes, by UVS, Z-Score = 17.27</t>
  </si>
  <si>
    <t>PT: R-1346; Sulfur D7039, Z-Score =-5.69</t>
  </si>
  <si>
    <t>R-1346</t>
  </si>
  <si>
    <t>-5.69</t>
  </si>
  <si>
    <t>PT: F62309; D664 - Acid Number, A, 60 mL, Buffer EP &amp; Inflection EP, Z-Scores = -10.34 &amp; -19.05</t>
  </si>
  <si>
    <t>-10.34 &amp; -19.05</t>
  </si>
  <si>
    <t>818</t>
  </si>
  <si>
    <t>PT: JF2311; D4294 - Sulfur, by EDXRF, Z-Score = 9.70</t>
  </si>
  <si>
    <t>937</t>
  </si>
  <si>
    <t>PT: RFG2405; D4815 - Oxygenates, Ethanol &amp; Total Oxygen, by GC, Z-Score = 10.82 &amp; 10.11</t>
  </si>
  <si>
    <t>10.82 &amp; 10.11</t>
  </si>
  <si>
    <t>938</t>
  </si>
  <si>
    <t>PT: RFG2405; D7039 - Sulfur, by MWDXRF, Z-Score = -2.41</t>
  </si>
  <si>
    <t>1101</t>
  </si>
  <si>
    <t>PT: RFG2407; D4815 - Oxygenates, Ethanol, by GC, Z-Score = 3.01</t>
  </si>
  <si>
    <t>1117</t>
  </si>
  <si>
    <t>PT: RFG2407; D5188 - V/L Ratio Temp, Evac Chamber, Z-Score = 144.64</t>
  </si>
  <si>
    <t>1195</t>
  </si>
  <si>
    <t>PT: RFG2409; D1319 - HC Type, Aromatics, Corrected (EPA), Olefins, Corrected (EPA) &amp; Olefins Oxy-Free (EPA) , Z-Scores = 2.14, -2.16, &amp; -2.17</t>
  </si>
  <si>
    <t>2.14, -2.16, &amp; -2.17</t>
  </si>
  <si>
    <t>1196</t>
  </si>
  <si>
    <t>PT: RFG2409; D4815 - Oxygenates, Ethanol &amp; Total Oxygen, by GC, Z-Scores = -3.22 &amp; -3.10</t>
  </si>
  <si>
    <t>-3.22 &amp; -3.10</t>
  </si>
  <si>
    <t>1200</t>
  </si>
  <si>
    <t>PT: DF22406; D97 - Pour Point, Z-Score = -3.50</t>
  </si>
  <si>
    <t>1201</t>
  </si>
  <si>
    <t>PT: DF22406; D5949 - Pour Point, Z-Score = -3.70</t>
  </si>
  <si>
    <t>-3.70</t>
  </si>
  <si>
    <t>1217</t>
  </si>
  <si>
    <t>PT: DF22406; D6468 - Stability, High Temp, 90 min. aging, Z-Score = -2.60</t>
  </si>
  <si>
    <t>1271</t>
  </si>
  <si>
    <t>PT: RFG2409; D4815 - Oxygenates, Ethanol, by GC, Z-Score = 2.81</t>
  </si>
  <si>
    <t>See PTO1286-132-24.</t>
  </si>
  <si>
    <t>1286</t>
  </si>
  <si>
    <t>PT: RFG2410; D4815 - Oxygenates, Ethanol, by GC, Z-Score = 2.79</t>
  </si>
  <si>
    <t>1336</t>
  </si>
  <si>
    <t>PT: JF2407; D3242 - Acidity, Z-Score = 2.88</t>
  </si>
  <si>
    <t>1337</t>
  </si>
  <si>
    <t>PT: JF2407; D3227 - Mercaptan Sulfur, Potentiometric, Z-Score = 2.34</t>
  </si>
  <si>
    <t>1405</t>
  </si>
  <si>
    <t>PT: OC2408; D1319 - Hydrocarbon Type, Oxy-Free, Olefins, Saturates, &amp; Aromatics, Z-Scores = 81.62, -24.37, &amp;-10.30</t>
  </si>
  <si>
    <t>81.62, -24.37, &amp; -10.30</t>
  </si>
  <si>
    <t>889</t>
  </si>
  <si>
    <t>PT: JF2403; D2887 - BP Distribution, GC, Proc A, FBP, Z-Score = 65.19</t>
  </si>
  <si>
    <t>1202</t>
  </si>
  <si>
    <t>PT: DF22406; D445 - Viscosity, Kinematic, 40 °C, Z-Score = -2.02</t>
  </si>
  <si>
    <t>1224</t>
  </si>
  <si>
    <t>PT: RFG2409; D6839 - HC Type/Oxy, Olefins, by M-D GC, Z-Score = 10.16</t>
  </si>
  <si>
    <t>1319</t>
  </si>
  <si>
    <t>PT: ETOH2408; D6423 - pHe, Z-Score = 4.75</t>
  </si>
  <si>
    <t>PT: ETOH2312; D7795 - Acidity, Proc A, Z-Score = 4.39</t>
  </si>
  <si>
    <t>544</t>
  </si>
  <si>
    <t>PT: RFG2401; D86 - Distillation - 70% &amp; 90%, °F (EPA), Z-Scores = -4.56 &amp; -3.03</t>
  </si>
  <si>
    <t>-4.56 &amp; -3.03</t>
  </si>
  <si>
    <t>1372</t>
  </si>
  <si>
    <t>PT: JF2407; D56 - Flash Point, TAG, Corrected, Z-Score = 2.77</t>
  </si>
  <si>
    <t>784</t>
  </si>
  <si>
    <t>PT: CO2403; D664 - Acid Number, A, 60 mL, inflection EP, Z-Score = -8.87</t>
  </si>
  <si>
    <t>-8.87</t>
  </si>
  <si>
    <t>1100</t>
  </si>
  <si>
    <t>PT: RFG2407 &amp; RFG2408; D4052 - Density, Digital, 15 °C, Z-Scores = 25.28 &amp; 3.41</t>
  </si>
  <si>
    <t>25.28 &amp; 3.41</t>
  </si>
  <si>
    <t>1187</t>
  </si>
  <si>
    <t>PT: D342; D86 - Distillation, FBP Recovered, Z-Score = -4.81</t>
  </si>
  <si>
    <t>-4.81</t>
  </si>
  <si>
    <t>1149</t>
  </si>
  <si>
    <t>PT: RFG2408; D3606 - Benzene &amp; Toluene, by GC, Proc B &amp; (EPA), Z-Scores = -2.13, -2.05, -2.88, &amp; -3.36</t>
  </si>
  <si>
    <t>-2.13, -2.05, -2.88, &amp; -3.36</t>
  </si>
  <si>
    <t>927</t>
  </si>
  <si>
    <t>PT: RFG2405; D86 - Distillation, Auto, Multiple Parameters, Z-Scores = Multiple Outliers</t>
  </si>
  <si>
    <t>1010</t>
  </si>
  <si>
    <t>PT: DF22402; D2622 - Sulfur by WDXRF, Z-Score = 3.56</t>
  </si>
  <si>
    <t>1230</t>
  </si>
  <si>
    <t>PT: DF22406; D2622 - Sulfur by WDXRF, Z-Score = 2.53</t>
  </si>
  <si>
    <t>1406</t>
  </si>
  <si>
    <t>PT: OC2408; D2699 - Octane Number, Research &amp; RON Compression Ratio Procedure C, Z-Scores = 2.55 &amp; 4.21</t>
  </si>
  <si>
    <t>2.55 &amp; 4.21</t>
  </si>
  <si>
    <t>PT: MG2312; D5191 - Vapor Pressure, DVPE &amp; TVP, 1L, Z-Scores = 73.24 &amp; 89.13</t>
  </si>
  <si>
    <t>73.24 &amp; 89.13</t>
  </si>
  <si>
    <t>1303</t>
  </si>
  <si>
    <t>PT: CO2407; D5708 - Element, Vanadium, ICPAES, Method B, Z-Score = 7.38</t>
  </si>
  <si>
    <t>1203</t>
  </si>
  <si>
    <t>PT: DF22406; D4052 - Density, Digital, 15 °C, Z-Score = 3.29</t>
  </si>
  <si>
    <t>1205</t>
  </si>
  <si>
    <t>PT: DF22406; D445 - Viscosity, Kinematic, 40 °C, Z-Score = 5.67</t>
  </si>
  <si>
    <t>675</t>
  </si>
  <si>
    <t>PT: BIOD2404; EN14538 - Elements, Na + K, by ICP/OES, Z-Score = 6.69</t>
  </si>
  <si>
    <t>718</t>
  </si>
  <si>
    <t>PT: ETOH2404; D7328 - Sulfate, Existent Inorganic, by IC, Z-Score = 5.19</t>
  </si>
  <si>
    <t>865</t>
  </si>
  <si>
    <t>PT: JF2403; D5972 - Freeze Point, Auto Phase Trans, Z-Score = 4.98</t>
  </si>
  <si>
    <t>1351</t>
  </si>
  <si>
    <t>PT: JF2407; D93 - Flash Point, PMCC, Proc A, corrected, Z-Score = -2.70</t>
  </si>
  <si>
    <t>626</t>
  </si>
  <si>
    <t>PT: RFG2403; D1319 - HC Type, Aromatics, Oxy-Free, Aromatics, Oxy-Free (EPA), &amp; Saturates, Oxy-Free (EPA), Z-Scores =6.30, 3.22, &amp; -3.19</t>
  </si>
  <si>
    <t>6.30, 3.22, &amp; -3.19</t>
  </si>
  <si>
    <t>743</t>
  </si>
  <si>
    <t>PT: OC2404; D2699 - Research Octane Number, Z-Score =-3.41</t>
  </si>
  <si>
    <t>971</t>
  </si>
  <si>
    <t>PT: RFG2406; D1319 - HC Type, Olefins &amp; Saturates, Oxy-Free &amp; Olefins, Oxy-Free (EPA), Z-Scores = -2.18, 2.69, &amp; -2.31</t>
  </si>
  <si>
    <t>-2.18, 2.69, &amp; -2.31</t>
  </si>
  <si>
    <t>1130</t>
  </si>
  <si>
    <t>PT: CE521; D1319 - HC Types, Saturates &amp; Olefins (Oxy-Free), Z-Scores = -2.10 &amp; 2.32</t>
  </si>
  <si>
    <t>-2.10 &amp; 2.32</t>
  </si>
  <si>
    <t>1147</t>
  </si>
  <si>
    <t>PT: RFG2408; D1319 - HC Type, Olefins, Oxy-Free &amp; (EPA), Z-Scores = 2.61 &amp; 2.26</t>
  </si>
  <si>
    <t>2.61 &amp; 2.26</t>
  </si>
  <si>
    <t>1355</t>
  </si>
  <si>
    <t>PT: JF2407; D1319 - HC Type, Aromatics &amp; Olefins, Oxy-Free, Z-Scores = -3.23 &amp; 5.89</t>
  </si>
  <si>
    <t>-3.23 &amp; 5.89</t>
  </si>
  <si>
    <t>PT: JF2307; D7039- Sulfur, by MWDXRF, Z-Score = -3.00</t>
  </si>
  <si>
    <t>-3.00</t>
  </si>
  <si>
    <t>1288</t>
  </si>
  <si>
    <t>PT: RFG2410; D7039 - Sulfur, by MWDXRF, Z-Score = -5.92</t>
  </si>
  <si>
    <t>-5.92</t>
  </si>
  <si>
    <t>1368</t>
  </si>
  <si>
    <t>PT: JF2407; D1319 - HC Type, Olefins, Oxy-Free, Z-Score = 4.63</t>
  </si>
  <si>
    <t>1105</t>
  </si>
  <si>
    <t>PT: RFG2407; D3606 - Toluene, by GC, Proc B &amp; (EPA), Z-Scores = -6.51 &amp; -4.89</t>
  </si>
  <si>
    <t>-6.51 &amp; -4.89</t>
  </si>
  <si>
    <t>1331</t>
  </si>
  <si>
    <t>PT: ETOH2408; D6423 - pHe, Z-Score = 2.60</t>
  </si>
  <si>
    <t>596</t>
  </si>
  <si>
    <t>PT: RFG2402; D5443 - HC Type, Benzene &amp; C6 Naphthenes, by MD-GC, Z-Scores = 13.97 &amp; -13.46</t>
  </si>
  <si>
    <t>13.97 &amp; -13.46</t>
  </si>
  <si>
    <t>1152</t>
  </si>
  <si>
    <t>PT: RFG2408; D86 - Distillation, Auto, 90%, E200, &amp; E300, °F &amp; (EPA), Z-Scores = -4.50, -4.33, 4.20, &amp; 3.82</t>
  </si>
  <si>
    <t>-4.50, -4.33, 4.20, &amp; 3.82</t>
  </si>
  <si>
    <t>1223</t>
  </si>
  <si>
    <t>PT: RFG2409; D86 - Distillation, Auto, 90%, 90% °F (EPA), % Loss (EPA) &amp; E300 °F, % (EPA), Z-Scores = -3.22, -3.63, 3.03, &amp; 3.36</t>
  </si>
  <si>
    <t>-3.22, -3.63, 3.03, &amp; 3.36</t>
  </si>
  <si>
    <t>709</t>
  </si>
  <si>
    <t>PT: F242403; D2624 - Electrical Conductivity, Proc A, Z-Score =-7.80</t>
  </si>
  <si>
    <t>-7.80</t>
  </si>
  <si>
    <t>531</t>
  </si>
  <si>
    <t>PT: TM04-24; D2699 - Research Octane Number, Z-Score =-3.36</t>
  </si>
  <si>
    <t>-3.36</t>
  </si>
  <si>
    <t>664</t>
  </si>
  <si>
    <t>PT: BIOD2311; D6584 - Triglyceride, by GC, Z-Score = 3.11</t>
  </si>
  <si>
    <t>1211</t>
  </si>
  <si>
    <t>PT: DF22406; D97 - Pour Point, Z-Score = -4.70</t>
  </si>
  <si>
    <t>-4.70</t>
  </si>
  <si>
    <t>PT: F62305; D4870 - Sediment, Total &amp; Predicted, A Thermal Aging, Z-Scores = 4.37 &amp; 3.08</t>
  </si>
  <si>
    <t>4.37 &amp; 3.08</t>
  </si>
  <si>
    <t>PT: RFG2310; D1319 - HC Type, Saturates, Oxy-Free (EPA), Z-Score = -3.17</t>
  </si>
  <si>
    <t>-3.17</t>
  </si>
  <si>
    <t>PT: F62309; D445 - Viscosity, Kinematic, 100 °C, Z-Score = 14.13</t>
  </si>
  <si>
    <t>757</t>
  </si>
  <si>
    <t>PT: CO2311; D5708 - Element, Iron, ICPAES, Method A, Z-Score = -9.23</t>
  </si>
  <si>
    <t>758</t>
  </si>
  <si>
    <t>PT: CO2311; D7900 - Multiple Parameters, Z-Scores = Multiple Outliers</t>
  </si>
  <si>
    <t>1367</t>
  </si>
  <si>
    <t>PT: JF2407; D1319 - HC Type, Aromatics, Oxy-Free, Z-Score = 2.28</t>
  </si>
  <si>
    <t>1168</t>
  </si>
  <si>
    <t>PT: DF22406; D6468 - Stability, High Temp, 180 min. aging, Z-Score = -4.70</t>
  </si>
  <si>
    <t>1208</t>
  </si>
  <si>
    <t>PT: DF22406; D2500 - Cloud Point, Z-Score = 3.60</t>
  </si>
  <si>
    <t>1287</t>
  </si>
  <si>
    <t>PT: RFG2410; D2622-24 &amp; -16 - Sulfur by WDXRF &amp; (EPA), Z-Scores = -8.33 &amp; -6.06</t>
  </si>
  <si>
    <t>-8.33 &amp; -6.06</t>
  </si>
  <si>
    <t>1358</t>
  </si>
  <si>
    <t>PT: JF2407; D445 - Viscosity, Kinematic, -20 °C, Z-Score = 6.83</t>
  </si>
  <si>
    <t>545</t>
  </si>
  <si>
    <t>PT: RFG2401; D1319 - HC Type, Olefins &amp; Saturates, Oxy-Free (EPA), Z-Scores = 40.79 &amp; -10.79</t>
  </si>
  <si>
    <t>40.79 &amp; -10.79</t>
  </si>
  <si>
    <t>929</t>
  </si>
  <si>
    <t>PT: RFG2405; D86 - Distillation, Auto, 80%, °F (EPA), Z-Score = -5.37</t>
  </si>
  <si>
    <t>-5.37</t>
  </si>
  <si>
    <t>1139</t>
  </si>
  <si>
    <t>PT: RFG2408; D1319 - HC Type, Olefins, Oxy-Free (EPA), Z-Score = 2.99</t>
  </si>
  <si>
    <t>1172</t>
  </si>
  <si>
    <t>PT: DF22406; D86 - Distillation, Auto, 50%, Z-Score = -2.02</t>
  </si>
  <si>
    <t>946</t>
  </si>
  <si>
    <t>PT: RFG2405; D86 - Distillation, Auto, % Evap &amp; EPA, &amp; % Loss (EPA) , Z-Scores = -4.29, -3.11, &amp; 3.73</t>
  </si>
  <si>
    <t>-4.29, -3.11, &amp; 3.73</t>
  </si>
  <si>
    <t>1361</t>
  </si>
  <si>
    <t>PT: JF2407; D6304 - Water, by Coul KF, Meth A Direct Injection, mg/kg &amp; uL/mL, Z-Scores = 23.10 &amp; 13.19</t>
  </si>
  <si>
    <t>23.10 &amp; 13.19</t>
  </si>
  <si>
    <t>PT: CE513; D86 - Distillation - 40% - 95%, E200 &amp; E300, Z-Scores = Multiple Outliers</t>
  </si>
  <si>
    <t>PT: CE513; D6550 - Olefins, Z-Score = 2.01</t>
  </si>
  <si>
    <t>989</t>
  </si>
  <si>
    <t>1332</t>
  </si>
  <si>
    <t>PT: JF2407; D86 - Distillation, Auto, % Loss, Z-Score = 295.64</t>
  </si>
  <si>
    <t>1087</t>
  </si>
  <si>
    <t>PT: CET2406; D93 - Flash Point, PMCC, Proc A, corrected, Z-Score = 65.46</t>
  </si>
  <si>
    <t>802</t>
  </si>
  <si>
    <t>849</t>
  </si>
  <si>
    <t>PT: JF2403; D3227 - Mercaptan Sulfur, Potentiometric, Z-Score = 2.99</t>
  </si>
  <si>
    <t>1377</t>
  </si>
  <si>
    <t>PT: JF2407; D7042 - Viscosity, Stabinger, Kin, -20 °C, Z-Score = 7.16</t>
  </si>
  <si>
    <t>1388</t>
  </si>
  <si>
    <t>PT: CE523; D86 - Distillation, 80% - 85% &amp; E300, Z-Scores = -3.00, -3.42, -6.69, &amp; 5.80</t>
  </si>
  <si>
    <t>-3.00, -3.42, -6.69, &amp; 5.80</t>
  </si>
  <si>
    <t>838</t>
  </si>
  <si>
    <t>PT: JF2311; D3338 - Net Heat of Combustion, Z-Score = -3.08</t>
  </si>
  <si>
    <t>-3.08</t>
  </si>
  <si>
    <t>See PTO888-170-24.</t>
  </si>
  <si>
    <t>1085</t>
  </si>
  <si>
    <t>PT: T345; D5972 - Freezing Point, Z-Score = 110.13</t>
  </si>
  <si>
    <t>1305</t>
  </si>
  <si>
    <t>PT: CO2407; D5863 - Element, Nickel&amp; Vanadium, AAS, Proc B, Z-Scores = 52.80 &amp; 9.80</t>
  </si>
  <si>
    <t>52.80 &amp; 9.80</t>
  </si>
  <si>
    <t>1374</t>
  </si>
  <si>
    <t>PT: JF2407; D3948 - Water Separation, by Portable Sep, Z-Score = -5.80</t>
  </si>
  <si>
    <t>-5.80</t>
  </si>
  <si>
    <t>PT: F242310; D3241 - Thermal Stability, Ellipsometric, @260, Thickness, Z-Score = 6.01</t>
  </si>
  <si>
    <t>1334</t>
  </si>
  <si>
    <t>PT: JF2407; D2622 - Sulfur, by WDXRF, Z-Score = -4.25</t>
  </si>
  <si>
    <t>-4.25</t>
  </si>
  <si>
    <t>1373</t>
  </si>
  <si>
    <t>PT: JF2407; D5453 - Sulfur, by UVF, Z-Score = 2.99</t>
  </si>
  <si>
    <t>PT: F62309; D4629 - Nitrogen, by Chemiluminescence, Z-Score = -2.60</t>
  </si>
  <si>
    <t>1306</t>
  </si>
  <si>
    <t>PT: CO2407; D7042 - Viscosity, Stabinger, Kin, 25 °C, Z-Score = -6.05</t>
  </si>
  <si>
    <t>1380</t>
  </si>
  <si>
    <t>PT: M983; Oxygenates - Ethanol - All Methods, Z-Score = -4.81</t>
  </si>
  <si>
    <t>563</t>
  </si>
  <si>
    <t>PT: RFG2401; D5453 - Sulfur, by UVF, Z-Score = 2.74</t>
  </si>
  <si>
    <t>1041</t>
  </si>
  <si>
    <t>PT: MG2404; D5769 - Aromatics, Total, by GC/MS, Z-Score = -2.19</t>
  </si>
  <si>
    <t>1042</t>
  </si>
  <si>
    <t>PT: MG2404; D86 - Distillation, Auto, 90% &amp; 95%, °F (EPA), Z-Scores = -3.29 &amp; -4.12</t>
  </si>
  <si>
    <t>-3.29 &amp; -4.12</t>
  </si>
  <si>
    <t>1189</t>
  </si>
  <si>
    <t>PT: RFG2410; D86 - Distillation, Auto, FBP, °F (EPA), Z-Score = 3.16</t>
  </si>
  <si>
    <t>1316</t>
  </si>
  <si>
    <t>PT: CO2407; D664 - Acid Number, A, 125 mL Inflection EP, Z-Score = -16.52</t>
  </si>
  <si>
    <t>-16.52</t>
  </si>
  <si>
    <t>681</t>
  </si>
  <si>
    <t>1067</t>
  </si>
  <si>
    <t>PT: MG2404; D3231 - Element, Phosphorus, by combusition/colorometric, Z-Score = 4.54</t>
  </si>
  <si>
    <t>1188</t>
  </si>
  <si>
    <t>PT: RFG2410; D86 - Distillation, Auto, 95%, °F &amp; % Resid, Z-Scores = -162.89, 3.10</t>
  </si>
  <si>
    <t>-162.89 &amp; 3.10</t>
  </si>
  <si>
    <t>913</t>
  </si>
  <si>
    <t>PT: RFG2404; D5769 - Benzene, by GC/MS (EPA), Z-Score = 4.16</t>
  </si>
  <si>
    <t>1236</t>
  </si>
  <si>
    <t>PT: DF22406; D6591 - HC Type, by HPLC, Di-Aro, Mono-Aro, &amp; PAH, Z-Scores = 4.66, -2.25, &amp; 3.64</t>
  </si>
  <si>
    <t>4.66, -2.25, &amp; 3.64</t>
  </si>
  <si>
    <t>PT: RFG2309; D5580 - C9+ Aromatics, Total Aromatics, &amp; Toluene, Z-Scores =  9.03, 11.01, &amp; 8.33</t>
  </si>
  <si>
    <t>9.03, 11.01, &amp; 8.33</t>
  </si>
  <si>
    <t>VOID</t>
  </si>
  <si>
    <t>oided per local MOC 132 due to lab fire on 11/2/24.</t>
  </si>
  <si>
    <t>PT: JF2307; D6304 - Water, by Coul KF, Meth A Direct Injection, mg/kg, Z-Score = 7.30</t>
  </si>
  <si>
    <t>899</t>
  </si>
  <si>
    <t>901</t>
  </si>
  <si>
    <t>957</t>
  </si>
  <si>
    <t>PT: RFG2405; D86 - Distillation, Auto, 90%, Z-Score = -3.08</t>
  </si>
  <si>
    <t>1027</t>
  </si>
  <si>
    <t>PT: DF22402; D240 - Heat of Combustion, Gross, by Bomb Calorimeter, Z-Score = 3.07</t>
  </si>
  <si>
    <t>1028</t>
  </si>
  <si>
    <t>PT: DF22402; D6079 - Lubricity, HFRR, Scar Diameter, Z-Score = -12.80</t>
  </si>
  <si>
    <t>-12.80</t>
  </si>
  <si>
    <t>1029</t>
  </si>
  <si>
    <t>PT: DF22402; D6304 - Water, by Coul KF, Meth A Direct Injection, mg/kg, Z-Score = 2.30</t>
  </si>
  <si>
    <t>1118</t>
  </si>
  <si>
    <t>PT: RFG2407; D86 - Distillation, Auto, % Resid &amp; (EPA), Z-Scores = 5.17 &amp; 4.52</t>
  </si>
  <si>
    <t>5.17 &amp; 4.52</t>
  </si>
  <si>
    <t>1119</t>
  </si>
  <si>
    <t>PT: RFG2407; D1319 - HC Type, Aromatics &amp; Olefins, Corrected &amp; Uncorrected, Z-Scores = 5.50, -7.11, 6.39, &amp; -5.34</t>
  </si>
  <si>
    <t>5.50, -7.11, 6.39, &amp; -5.34</t>
  </si>
  <si>
    <t>1120</t>
  </si>
  <si>
    <t>PT: RFG2407; D2622 - Sulfur, by WDXRF, Z-Score = 2.21</t>
  </si>
  <si>
    <t>1171</t>
  </si>
  <si>
    <t>PT: DF22406; D2887 - BP Distribution, GC, Proc A, FBP, Z-Score = 2.18</t>
  </si>
  <si>
    <t>1183</t>
  </si>
  <si>
    <t>PT: GGO2407; D7169 - BP Distribution, HT-GC, 20% &amp; 92%, Z-Scores = 30.80 &amp; 10.12</t>
  </si>
  <si>
    <t>30.80 &amp; 10.12</t>
  </si>
  <si>
    <t>1185</t>
  </si>
  <si>
    <t>PT: GGO2407; D97 - Upper Pour Point, Z-Score = -2.90</t>
  </si>
  <si>
    <t>0001</t>
  </si>
  <si>
    <t>PT: iis24C04; E346 -  carbonizable Pt/Co, Z-Score = 3.09</t>
  </si>
  <si>
    <t>IIS - MEOH</t>
  </si>
  <si>
    <t>0002</t>
  </si>
  <si>
    <t>PT: iis24C04; E394 - Iron, Z-Score = -3.53</t>
  </si>
  <si>
    <t>0003</t>
  </si>
  <si>
    <t>PT: iis24CO4; E1064 -  Water, Z-Score = 4.75</t>
  </si>
  <si>
    <t>0004</t>
  </si>
  <si>
    <t>PT: DF22410; D4629 - Nitrogen, by Chemiluminescence, Z-Score = 2.73</t>
  </si>
  <si>
    <t>0005</t>
  </si>
  <si>
    <t>PT: DF22410; D6468 - Stability, High Temp, 90 min. aging, Z-Score = -2.10</t>
  </si>
  <si>
    <t>0006</t>
  </si>
  <si>
    <t>PT: CE524; D2699 - Octane Number, Research, Z-Score = -2.35</t>
  </si>
  <si>
    <t>0007</t>
  </si>
  <si>
    <t>PT: CE523; D5769 - GCMS, Benzene</t>
  </si>
  <si>
    <t>0008</t>
  </si>
  <si>
    <t>PT: CE524; D2700 - Octane Number, Motor, Z-Score = -2.28</t>
  </si>
  <si>
    <t>0009</t>
  </si>
  <si>
    <t>PT: CE524; D2622 - Sulfur, by WDXRF</t>
  </si>
  <si>
    <t>0010</t>
  </si>
  <si>
    <t>PT: CE524; D86 - Distillation, 70%</t>
  </si>
  <si>
    <t>0011</t>
  </si>
  <si>
    <t>PT: CE524; D1319 - HC Type, Saturates, Aromatics, &amp; Olefins, Oxy-Free, Z-Scores = -77.76, -10.39, &amp; 151.56</t>
  </si>
  <si>
    <t>-77.76, -10.39, &amp; 151.56</t>
  </si>
  <si>
    <t>0012</t>
  </si>
  <si>
    <t>PT: BIOD2408; D6584 - Diglyceride, by GC</t>
  </si>
  <si>
    <t>0013</t>
  </si>
  <si>
    <t>PT: BIOD2408; D1160 - Distillation, 1.3kPa, Auto, IBP, Z-Score = -2.50</t>
  </si>
  <si>
    <t>0014</t>
  </si>
  <si>
    <t>PT: BIOD2408; D6584 - Triglyceride, by GC, Z-Score = 5.53</t>
  </si>
  <si>
    <t>0015</t>
  </si>
  <si>
    <t>PT: BIOD2408; EN 15751 - Oxidation Stability, Z-Score = 2.58</t>
  </si>
  <si>
    <t>0016</t>
  </si>
  <si>
    <t>PT: BIOD2408; D2500 - Cloud Point, biodiesel, Z-Score = 2.10</t>
  </si>
  <si>
    <t>0017</t>
  </si>
  <si>
    <t>PT: BIOD2408; EN 14538 - Elements, Na + K, by ICP/OES</t>
  </si>
  <si>
    <t>0018</t>
  </si>
  <si>
    <t>PT: BIOD2408; D7039 - Sulfur, by MWDXRF</t>
  </si>
  <si>
    <t>0019</t>
  </si>
  <si>
    <t>PT: BIOD2408; D445 - Viscosity, Kinematic, 40 °C, Z-Score = -2.02</t>
  </si>
  <si>
    <t>0020</t>
  </si>
  <si>
    <t>PT: BIOD2408; D7042 - Viscosity, Stabinger, Kin, 40 °C, Z-Score = -2.30</t>
  </si>
  <si>
    <t>0021</t>
  </si>
  <si>
    <t>PT: BIOD2408; D5773 - Cloud Point, Constant Cool</t>
  </si>
  <si>
    <t>0022</t>
  </si>
  <si>
    <t>PT: RFG2411; D1319 - HC Type, Saturates, Oxy-Free, Z-Score = -2.13</t>
  </si>
  <si>
    <t>0023</t>
  </si>
  <si>
    <t>PT: DF22410; D5186 - HC Type, by SFC, Mono Aromatics</t>
  </si>
  <si>
    <t>0024</t>
  </si>
  <si>
    <t>PT: MG2408; D86 - Distillation, Auto, 95%, °F (EPA)</t>
  </si>
  <si>
    <t>0025</t>
  </si>
  <si>
    <t>PT: MG2408; D5769 - Toluene, by GC/MS</t>
  </si>
  <si>
    <t>0026</t>
  </si>
  <si>
    <t>PT: MG2408; D86 - Distillation, Auto, 90%, °F (EPA) &amp; % Resid</t>
  </si>
  <si>
    <t>2.19 &amp; 2.36</t>
  </si>
  <si>
    <t>0027</t>
  </si>
  <si>
    <t>PT: MG2408; D4052 - Density, Digital, 15 °C</t>
  </si>
  <si>
    <t>0028</t>
  </si>
  <si>
    <t>PT: MG2408; D86 - Distillation, Auto, FBP, °F (EPA)</t>
  </si>
  <si>
    <t>0029</t>
  </si>
  <si>
    <t>PT: MG2408; D4052 - API Gravity, Digital, 15 °C</t>
  </si>
  <si>
    <t>0030</t>
  </si>
  <si>
    <t>PT: MG2408; D5580 - C9+ Aromatics, by GC</t>
  </si>
  <si>
    <t>0031</t>
  </si>
  <si>
    <t>PT: MG2408; D86 - Distillation, Auto, 90% &amp; 90%, °F (EPA)</t>
  </si>
  <si>
    <t>-2.32 &amp; -2.80</t>
  </si>
  <si>
    <t>0032</t>
  </si>
  <si>
    <t>PT: iis24F01; D445 - Kinematic Viscosity, at 100oC</t>
  </si>
  <si>
    <t>0033</t>
  </si>
  <si>
    <t>PT: iis24F01; D93 - Flash Point, Procedure B</t>
  </si>
  <si>
    <t>0034</t>
  </si>
  <si>
    <t>PT: RFG2411; D86 - Distillation, Auto, E200 °F, % (EPA)</t>
  </si>
  <si>
    <t>0035</t>
  </si>
  <si>
    <t>PT: RFG2411; D86 - Distillation, Auto, 60% - FBP</t>
  </si>
  <si>
    <t xml:space="preserve">Multiple </t>
  </si>
  <si>
    <t>0036</t>
  </si>
  <si>
    <t>PT: RFG2411; D5769 - Benzene, by GC/MS</t>
  </si>
  <si>
    <t>0037</t>
  </si>
  <si>
    <t>PT: RFG2411; D86 - Distillation, Auto, FBP</t>
  </si>
  <si>
    <t>0038</t>
  </si>
  <si>
    <t>PT: RFG2411; D86 - Distillation, Auto, % Evap (EPA)</t>
  </si>
  <si>
    <t>0039</t>
  </si>
  <si>
    <t>PT: MG2408; D5453 - Sulfur, by UVF, Z-Score = 2.31</t>
  </si>
  <si>
    <t>0040</t>
  </si>
  <si>
    <t>PT: MG2408; D5769 - Aromatics, Total, by GC/MS &amp; (EPA), Z-Scores = 7.44 &amp; 7.51</t>
  </si>
  <si>
    <t>7.44 &amp; 7.51</t>
  </si>
  <si>
    <t>0041</t>
  </si>
  <si>
    <t>PT: MG2408; D86 - Distillation, Auto, 90%, Z-Score = -12.06</t>
  </si>
  <si>
    <t>-12.06</t>
  </si>
  <si>
    <t>0042</t>
  </si>
  <si>
    <t>PT: MG2408; D5453 - Sulfur, by UVF, Z-Score = 2.52</t>
  </si>
  <si>
    <t>0043</t>
  </si>
  <si>
    <t>PT: MG2408; D3231 - Element, Phosphorus, by combusition/colorometric, Z-Score = 3.76</t>
  </si>
  <si>
    <t>0044</t>
  </si>
  <si>
    <t>PT: MG2408; D3227 - Mercaptan Sulfur, Potentiometric, Z-Score = 22665.07</t>
  </si>
  <si>
    <t>0045</t>
  </si>
  <si>
    <t>PT: CET2410; D4052 - Density, Digital, 15 °C, Z-Score = 2.02</t>
  </si>
  <si>
    <t>0046</t>
  </si>
  <si>
    <t>PT: CET2410; D86 - Distillation, Auto, % Loss &amp; % Recov, Z-Scores = 2.57, -2.18</t>
  </si>
  <si>
    <t>2.57 &amp; -2.18</t>
  </si>
  <si>
    <t>0047</t>
  </si>
  <si>
    <t>PT: CET2410; D613 - Cetane Number, Sample Compression Pressure, Z-Score = -2.30</t>
  </si>
  <si>
    <t>0048</t>
  </si>
  <si>
    <t>PT: CET2410; D86 - Distillation, Auto, IBP, 70%, 80%, &amp; 90%, Z-Scores = -2.03, -2.38, -2.10, &amp; -2.01</t>
  </si>
  <si>
    <t>-2.03, -2.38, -2.10, &amp; -2.01</t>
  </si>
  <si>
    <t>0049</t>
  </si>
  <si>
    <t>PT: RFG2502; D86 - Distillation, Auto, 50%, °F (EPA), Z-Score = 3.05</t>
  </si>
  <si>
    <t>0050</t>
  </si>
  <si>
    <t>PT: JF2411; D4052 - Density, Digital, 15 °C, Z-Score = -2.09</t>
  </si>
  <si>
    <t>0051</t>
  </si>
  <si>
    <t>PT: JF2411; D2622 - Sulfur by WDXRF, Z-Score = -2.67</t>
  </si>
  <si>
    <t>0052</t>
  </si>
  <si>
    <t>PT: JF2411; D86 - Distillation, Auto, % Resid, Z-Score = -2.21</t>
  </si>
  <si>
    <t>0053</t>
  </si>
  <si>
    <t>PT: CO2411; D7900 - HC Type, n-butane, Z-Score = -2.02</t>
  </si>
  <si>
    <t>0054</t>
  </si>
  <si>
    <t>PT: CO2411; D445 - Viscosity, Kinematic, 40 °C, Z-Score = -2.44</t>
  </si>
  <si>
    <t>0055</t>
  </si>
  <si>
    <t>PT: CO2411; D7900 - HC Type, n-butane &amp; n-Heptane, Z-Scores = -2.02 &amp; -2.04</t>
  </si>
  <si>
    <t>-2.02 &amp; -2.04</t>
  </si>
  <si>
    <t>0056</t>
  </si>
  <si>
    <t>PT: CET2410; D4052 - Density, Digital, 15 °C, Z-Score = -4.34</t>
  </si>
  <si>
    <t>-4.34</t>
  </si>
  <si>
    <t>0057</t>
  </si>
  <si>
    <t>PT: CET2410; D613 - Cetane Number, Z-Score = -2.16</t>
  </si>
  <si>
    <t>0058</t>
  </si>
  <si>
    <t>PT: CET2410; D445 - Viscosity, Kinematic, 40 °C, Z-Score = 2.16</t>
  </si>
  <si>
    <t>0059</t>
  </si>
  <si>
    <t>PT: CET2410; D445 - Viscosity, Kinematic, 40 °C, Z-Score = -3.32</t>
  </si>
  <si>
    <t>-3.32</t>
  </si>
  <si>
    <t>0060</t>
  </si>
  <si>
    <t>PT: JF2411; D1319 - HC Type, Aromatics &amp; Saturates, Oxy-Free, Z-Scores = -2.21 &amp; 2.24</t>
  </si>
  <si>
    <t>-2.21 &amp; 2.24</t>
  </si>
  <si>
    <t>0061</t>
  </si>
  <si>
    <t>PT: JF2411; D4294 - Sulfur, by EDXRF, Z-Score = 18.70</t>
  </si>
  <si>
    <t>Reported mass% instead of mg/kg</t>
  </si>
  <si>
    <t>0062</t>
  </si>
  <si>
    <t>PT: JF2411; D56 - Flash Point, TAG, Corrected, Z-Score = 48.81</t>
  </si>
  <si>
    <t>48.81</t>
  </si>
  <si>
    <t>0063</t>
  </si>
  <si>
    <t>PT: JF2411; D1319 - HC Type, Olefins, Oxy-Free, Z-Score = 2.35</t>
  </si>
  <si>
    <t>0064</t>
  </si>
  <si>
    <t>PT: JF2411; D3338 - Net Heat of Combustion, Z-Score = 2.07</t>
  </si>
  <si>
    <t>0065</t>
  </si>
  <si>
    <t>PT: JF2411; D445 - Viscosity, Kinematic, -20 °C, Z-Score = -2.55</t>
  </si>
  <si>
    <t>0066</t>
  </si>
  <si>
    <t>PT: JF2411; D4052 - API Gravity &amp; Density, Digital, 15 °C, Z-Scores = -4.33 &amp; 8.52</t>
  </si>
  <si>
    <t>-4.33 &amp; 8.52</t>
  </si>
  <si>
    <t>0067</t>
  </si>
  <si>
    <t>PT: JF2411; D86 - Distillation, Auto, IBP, 5%, 10%, &amp; Others, Z-Scores = 3.27, 3.50, 3.84, &amp; Others</t>
  </si>
  <si>
    <t>3.27, 3.50, &amp; 3.84</t>
  </si>
  <si>
    <t>0068</t>
  </si>
  <si>
    <t>PT: JF2411; D56 - Flash Point, TAG, Corrected, Z-Score = 3.80</t>
  </si>
  <si>
    <t>0069</t>
  </si>
  <si>
    <t>PT: JF2411; D5972 - Freeze Point, Auto Phase Trans, Z-Score = -10.12</t>
  </si>
  <si>
    <t>-10.12</t>
  </si>
  <si>
    <t>0070</t>
  </si>
  <si>
    <t>PT: JF2411; D3338 - Net Heat of Combustion, Z-Score = 52.56</t>
  </si>
  <si>
    <t>0071</t>
  </si>
  <si>
    <t>PT: JF2411; D5001 - Lubricity, BOCLE, Proc B, auto, Z-Score = -2.18</t>
  </si>
  <si>
    <t>0072</t>
  </si>
  <si>
    <t>PT: JF2411; D3338 - Net Heat of Combustion, Z-Score = -50.68</t>
  </si>
  <si>
    <t>-50.68</t>
  </si>
  <si>
    <t>0073</t>
  </si>
  <si>
    <t>PT: JF2411; D4294 - Sulfur, by EDXRF, Z-Score = 7.90</t>
  </si>
  <si>
    <t>0074</t>
  </si>
  <si>
    <t>PT: MG2408; D5769 - Aromatics, Total, by GC/MS (EPA), Z-Score = -2.11</t>
  </si>
  <si>
    <t>0075</t>
  </si>
  <si>
    <t>PT: MG2408; D86 - Distillation, Auto, FBP, Z-Score = 2.46</t>
  </si>
  <si>
    <t>0076</t>
  </si>
  <si>
    <t>PT: MG2408; D6730 - HC Type, C8 Aromatics, C8 Naphthenes, &amp; C9 Paraffins, by pCHR-GC, Z-Scores = -27.49, 34.94, &amp; 4.85</t>
  </si>
  <si>
    <t>-27.49, 34.94, &amp; 4.85</t>
  </si>
  <si>
    <t>0077</t>
  </si>
  <si>
    <t>PT: MG2408; D6730 - HC Type, Isoparaffins, Total, by pCHR-GC, Z-Score = -5.96</t>
  </si>
  <si>
    <t>-5.96</t>
  </si>
  <si>
    <t>0078</t>
  </si>
  <si>
    <t>PT: CO2411; D3230 - Salts, Z-Score = 2.77</t>
  </si>
  <si>
    <t>0079</t>
  </si>
  <si>
    <t>PT: CO2411; D6377 - Vapor Pressure, Crude Oil, Expansion Method, Z-Score = -4.40</t>
  </si>
  <si>
    <t>-4.40</t>
  </si>
  <si>
    <t>0080</t>
  </si>
  <si>
    <t>PT: CO2411; D287 - API Gravity, hydrometer at 60 °F, Z-Score = 2.60</t>
  </si>
  <si>
    <t>0081</t>
  </si>
  <si>
    <t>PT: CO2411; D5708 - Element, Nickel, ICPAES, Method A, Z-Score = -5.59</t>
  </si>
  <si>
    <t>-5.59</t>
  </si>
  <si>
    <t>0082</t>
  </si>
  <si>
    <t>PT: CO2411; D8252 - Element, Nickel, XRF, Z-Score = -12.66</t>
  </si>
  <si>
    <t>-12.66</t>
  </si>
  <si>
    <t>0083</t>
  </si>
  <si>
    <t>PT: CO2411; D3230 - Salts, Z-Score = 2.56</t>
  </si>
  <si>
    <t>0084</t>
  </si>
  <si>
    <t>PT: CO2411; D4928 - Water, Coulometric KF, Z-Score = -2.23</t>
  </si>
  <si>
    <t>0085</t>
  </si>
  <si>
    <t>PT: CO2411; D5002 - Density, digital, 15 °C, Z-Score = 22.53</t>
  </si>
  <si>
    <t>0086</t>
  </si>
  <si>
    <t>PT: CET2502; D93 - Flash Point, PMCC, Proc A, corrected, Z-Score = -2.48</t>
  </si>
  <si>
    <t>-2.48</t>
  </si>
  <si>
    <t>0087</t>
  </si>
  <si>
    <t>PT: CET2502; D613 - Cetane Number, Sample Hand Wheel, Z-Score = -2.28</t>
  </si>
  <si>
    <t>0088</t>
  </si>
  <si>
    <t>PT: CET2502; D86 - Distillation, Auto, % Resid, Z-Score = -3.15</t>
  </si>
  <si>
    <t>0089</t>
  </si>
  <si>
    <t>PT: CET2502; D2622 - Sulfur by WDXRF, Z-Score = 2.11</t>
  </si>
  <si>
    <t>0090</t>
  </si>
  <si>
    <t>PT: CET2502; D5453 - Sulfur, by UVF, Z-Score = -2.22</t>
  </si>
  <si>
    <t>0091</t>
  </si>
  <si>
    <t>PT: CET2502; D86 - Distillation, Auto, 90% &amp; 95%, Z-Scores = 235.97 &amp; -2.40</t>
  </si>
  <si>
    <t>235.97 &amp; -2.4</t>
  </si>
  <si>
    <t>0092</t>
  </si>
  <si>
    <t>PT: CET2502; D2622 - Sulfur by WDXRF, Z-Score = 5.36</t>
  </si>
  <si>
    <t>0093</t>
  </si>
  <si>
    <t>PT: MG2408; D3237 - Element, Lead, by AAS</t>
  </si>
  <si>
    <t>0094</t>
  </si>
  <si>
    <t>PT: MG2408; D1319 - HC Type, Olefins, Corrected, Z-Score = 2.02</t>
  </si>
  <si>
    <t>0095</t>
  </si>
  <si>
    <t>PT: MG2408; D2622 - Sulfur, by WDXRF, Z-Score = -2.30</t>
  </si>
  <si>
    <t>0096</t>
  </si>
  <si>
    <t>PT: MG2408; D5191 - Vapor Pressure, DVPE, 1L &amp; (EPA), Z-Scores = 3.37 &amp; 2.04</t>
  </si>
  <si>
    <t>3.37 &amp; 2.04</t>
  </si>
  <si>
    <t>0097</t>
  </si>
  <si>
    <t>PT: MG2408 &amp; MG2412; D5580 - C9+ Aromatics, Total Aromatics, Benzene, &amp; Toluene, by GC, Z-Scores = -19.78, 3.37 -18.84, -6.89, &amp; -8.19</t>
  </si>
  <si>
    <t>D5580 - Aromatic Type</t>
  </si>
  <si>
    <t>-19.78, 3.37 -18.84, -6.89, &amp; -8.19</t>
  </si>
  <si>
    <t>0098</t>
  </si>
  <si>
    <t>PT: MG2408; D1319 - HC Type, Olefins, Oxy-Free, Z-Score = 2.58</t>
  </si>
  <si>
    <t>0099</t>
  </si>
  <si>
    <t>PT: MG2408; D2622 - Sulfur, by WDXRF, Z-Score = -2.06</t>
  </si>
  <si>
    <t>0100</t>
  </si>
  <si>
    <t>PT: MG2408; D1319 - HC Type, Aromatics, Corrected, Oxy-Free &amp; (EPA), Z-Scores = 2.36, 2.45, &amp; 2.23</t>
  </si>
  <si>
    <t>2.36, 2.45, &amp; 2.23</t>
  </si>
  <si>
    <t>0101</t>
  </si>
  <si>
    <t>PT: MG2408 &amp; MG2412; D3231 - Element, Phosphorus, by combusition/colorometric, Z-Score = 11.63 &amp; 46.09</t>
  </si>
  <si>
    <t>D3231 - Element</t>
  </si>
  <si>
    <t>11.63 &amp; 46.09</t>
  </si>
  <si>
    <t>0102</t>
  </si>
  <si>
    <t>PT: MG2408 &amp; MG2412; D6730 - HC Type, Benzene, C6 &amp; C8 Naphthenes, by pCHR-GC, Z-Scores = 2.77, 4.88, &amp; 8.91</t>
  </si>
  <si>
    <t>D6730 - HC Type</t>
  </si>
  <si>
    <t>2.77, 4.88, &amp; 8.91</t>
  </si>
  <si>
    <t>0103</t>
  </si>
  <si>
    <t>PT: MG2408 &amp; MG2412; D6839 - HC Type/Oxy, Saturates &amp; Olefins, by M-D GC, Z-Score = -2.44</t>
  </si>
  <si>
    <t>D6839 - HC Type/Oxy</t>
  </si>
  <si>
    <t>-2.44 &amp; 4.42</t>
  </si>
  <si>
    <t>0104</t>
  </si>
  <si>
    <t>PT: MG2408; D3606 - Toluene, by GC, Proc B, Z-Score = -3.09</t>
  </si>
  <si>
    <t>0105</t>
  </si>
  <si>
    <t>PT: MG2408; D3231 - Element, Phosphorus, by combusition/colorometric, Z-Score = 4.96</t>
  </si>
  <si>
    <t>0106</t>
  </si>
  <si>
    <t>PT: MG2408; D3606 - Benzene &amp; Toluene, by GC, Proc B (EPA), Z-Scores = 4.82 &amp; -4.56</t>
  </si>
  <si>
    <t>4.82 &amp; -4.56</t>
  </si>
  <si>
    <t>0107</t>
  </si>
  <si>
    <t>PT: MG2408; D5188 - V/L Ratio Temp, Evac Chamber, Z-Score = 72.90</t>
  </si>
  <si>
    <t>0108</t>
  </si>
  <si>
    <t>PT: NP2410; D6730 - HC Type, C6 Naphthenes, by pCHR-GC, Z-Score = -13.43</t>
  </si>
  <si>
    <t>0109</t>
  </si>
  <si>
    <t>PT: NP2410; D5191 - Vapor Pressure, DVPE, 1L, Z-Score = -4.52</t>
  </si>
  <si>
    <t>0110</t>
  </si>
  <si>
    <t>PT: NP2502; D86 - Distillation, Auto, 70 &amp; 80%</t>
  </si>
  <si>
    <t>-2.09 &amp; -2.28</t>
  </si>
  <si>
    <t>0111</t>
  </si>
  <si>
    <t>PT: NP2502; D4052 - Density, Digital, 15 °C, Z-Score = -3.27</t>
  </si>
  <si>
    <t>0112</t>
  </si>
  <si>
    <t>PT: CE525; D2699 - Octane Number, Research, Z-Score = 2.01</t>
  </si>
  <si>
    <t>0113</t>
  </si>
  <si>
    <t>PT: CE525; D86 - Residue, Z-Score = 9.26</t>
  </si>
  <si>
    <t>0114</t>
  </si>
  <si>
    <t>PT: CE525; D3606 - Aromatic Type, Benzene, Z-Score = 2.86</t>
  </si>
  <si>
    <t>0115</t>
  </si>
  <si>
    <t>PT: CE525; D86 - Distillation, 5% &amp; EP, Z-Scores = -3.46 &amp; 2.13</t>
  </si>
  <si>
    <t>-3.46 &amp; 2.13</t>
  </si>
  <si>
    <t>0116</t>
  </si>
  <si>
    <t>PT: CE526; D6550 - Olefins, by SFC, Z-Score = 2.19</t>
  </si>
  <si>
    <t>0117</t>
  </si>
  <si>
    <t>PT: CE526; D2699 - Octane Number, Research, Z-Score = 3.54</t>
  </si>
  <si>
    <t>0118</t>
  </si>
  <si>
    <t>PT: CE526; D86 - Distillation, Auto, EP</t>
  </si>
  <si>
    <t>0119</t>
  </si>
  <si>
    <t>PT: CE526; D4052 - Digital, API, Z-Score = -8.08</t>
  </si>
  <si>
    <t>0120</t>
  </si>
  <si>
    <t>PT: CE526; D86 - Distillation, Auto, 95% &amp; Residue %</t>
  </si>
  <si>
    <t>-2.61 &amp; -2.11</t>
  </si>
  <si>
    <t>0121</t>
  </si>
  <si>
    <t>PT: CE529; D2699 - Octane Number, Research, Z-Score = 2.09</t>
  </si>
  <si>
    <t>0122</t>
  </si>
  <si>
    <t>PT: CE529; D86 - Distillation, Residue %</t>
  </si>
  <si>
    <t>0123</t>
  </si>
  <si>
    <t>PT: CE529; D86 - Distillation, EP, Z-Score = 2.14</t>
  </si>
  <si>
    <t>0124</t>
  </si>
  <si>
    <t>PT: CE529; D5191 - Vapor Pressure, RVP, PTOT, Z-Score =-8.21</t>
  </si>
  <si>
    <t>-8.21</t>
  </si>
  <si>
    <t>0125</t>
  </si>
  <si>
    <t>PT: CE529; D5188 - V/L Temp, oF, Z-Score = -2.16</t>
  </si>
  <si>
    <t>0126</t>
  </si>
  <si>
    <t>PT: RFG2411; D5769 - Benzene, by GCMS (EPA), Z-Score = -3.02</t>
  </si>
  <si>
    <t>0127</t>
  </si>
  <si>
    <t>PT: RFG2411; D86 - Distillation, Auto, % Resid (EPA), Z-Score = 4.39</t>
  </si>
  <si>
    <t>0128</t>
  </si>
  <si>
    <t>PT: RFG2411; D86 - Distillation, Auto, 95%, °F (EPA), Z-Score = -20.77</t>
  </si>
  <si>
    <t>-20.77</t>
  </si>
  <si>
    <t>0129</t>
  </si>
  <si>
    <t>PT: RFG2411; D1319 - HC Type, Olefins, Oxy-Free (EPA), Z-Score = 2.05</t>
  </si>
  <si>
    <t>0130</t>
  </si>
  <si>
    <t>PT: RFG2411; D2622 - Sulfur, by WDXRF (EPA), Z-Score = 2.44</t>
  </si>
  <si>
    <t>0131</t>
  </si>
  <si>
    <t>0132</t>
  </si>
  <si>
    <t>PT: RFG2411; D4815 - Oxygenates, Ethanol &amp; Total Oxygen, by GC, Z-Scores = -38.23 &amp; -36.91</t>
  </si>
  <si>
    <t>-38.23 &amp; -36.91</t>
  </si>
  <si>
    <t>0133</t>
  </si>
  <si>
    <t>PT: RFG2411; D7039 - Sulfur, by MWDXRF, Z-Score = 3.20</t>
  </si>
  <si>
    <t>0134</t>
  </si>
  <si>
    <t>PT: RFG2411; D86 - Distillation, Auto,10%, °F (EPA), Z-Score = 4.13</t>
  </si>
  <si>
    <t>0135</t>
  </si>
  <si>
    <t>PT: RFG2411; D1319 - HC Type, Olefins, Oxy-Free &amp; (EPA), Z-Scores = -2.22 &amp; -2.06</t>
  </si>
  <si>
    <t>-2.22 &amp; -2.06</t>
  </si>
  <si>
    <t>0136</t>
  </si>
  <si>
    <t>PT: RFG2411; D5580 - Aromatic Type, Multiple Parameters, by GC, Z-Scores = Multiple Outliers</t>
  </si>
  <si>
    <t>0137</t>
  </si>
  <si>
    <t>PT: RFG2411; D1319 - HC Type, Olefins &amp; Aromatics, Corrected &amp; Oxy-Free (EPA), Z-Scores = -4.85, -3.01, 2.47, &amp; 2.49</t>
  </si>
  <si>
    <t>-4.85, -3.01, 2.47, &amp; 2.49</t>
  </si>
  <si>
    <t>0138</t>
  </si>
  <si>
    <t>PT: RFG2411; D4052 - Density, Digital, 15 °C, Z-Score = 217060.25 (NCR)</t>
  </si>
  <si>
    <t>0139</t>
  </si>
  <si>
    <t>PT: RFG2411; D1319 - HC Type, Saturates, Corrected &amp; Oxy-Free, &amp; (EPA) Z-Scores = 2.44, 2.19, &amp; 2.36</t>
  </si>
  <si>
    <t>2.44, 2.19, 2.36</t>
  </si>
  <si>
    <t>0140</t>
  </si>
  <si>
    <t>PT: RFG2411; D4815 - Oxygenates, Ethanol, by GC, Z-Score = -2.84</t>
  </si>
  <si>
    <t>-2.84</t>
  </si>
  <si>
    <t>0141</t>
  </si>
  <si>
    <t>PT: RFG2411; D6378 - Vapor Pressure, Triple Expansion, Z-Score = -5.10</t>
  </si>
  <si>
    <t>0142</t>
  </si>
  <si>
    <t>PT: RFG2411; D2622 - Sulfur, by WDXRF &amp; (EPA), Z-Scores = 2.42 &amp; 2.10</t>
  </si>
  <si>
    <t>2.42 &amp; 2.10</t>
  </si>
  <si>
    <t>0143</t>
  </si>
  <si>
    <t>PT: RFG2411; D5769 - Benzene, by GC/MS, Z-Score = 8.65</t>
  </si>
  <si>
    <t>8.65</t>
  </si>
  <si>
    <t>0144</t>
  </si>
  <si>
    <t>PT: RFG2411; D86 - Distillation, Auto, 50%, Z-Score = 2.74</t>
  </si>
  <si>
    <t>0145</t>
  </si>
  <si>
    <t>PT: RFG2411; D4815 - Oxygenates, Ethanol, by GC, Z-Score = 2.71</t>
  </si>
  <si>
    <t>0146</t>
  </si>
  <si>
    <t>PT: RFG2411; D5188 - V/L Ratio Temp, Evac Chamber, Z-Score = -2.37</t>
  </si>
  <si>
    <t>0147</t>
  </si>
  <si>
    <t>PT: RFG2411; D86 - Distillation, Auto, E200 °F, % (EPA), Z-Score = 4.48</t>
  </si>
  <si>
    <t>0148</t>
  </si>
  <si>
    <t>PT: RFG2412; D3606- Benzene &amp; Toluene, by GC, Proc B &amp; (EPA), Z-Scores = -8.00 &amp; 9.45 &amp; -3.05 &amp; -2.94</t>
  </si>
  <si>
    <t>-8.00, 9.45, -3.05, &amp; 2.94</t>
  </si>
  <si>
    <t>0149</t>
  </si>
  <si>
    <t>PT: RFG2412; D5769 - Benzene &amp; Toluene, by GC/MS &amp; (EPA), Z-Scores = 24.11 &amp; 13.24 &amp; -5.37 &amp; -4.37</t>
  </si>
  <si>
    <t>24.11, 13.24, -5.37, &amp; -4.37</t>
  </si>
  <si>
    <t>0150</t>
  </si>
  <si>
    <t>PT: GGO2411; D611 - Aniline Point, Meth B &amp; E, Z-Scores = -16.05 &amp; -29.82</t>
  </si>
  <si>
    <t>-16.05 &amp; -29.82</t>
  </si>
  <si>
    <t>0151</t>
  </si>
  <si>
    <t>PT: GGO2411; D1160 - Distillation, 1.3kPA, 90%, 95%, &amp; FBP</t>
  </si>
  <si>
    <t>2.00, 2.00, &amp; 2.00</t>
  </si>
  <si>
    <t>0152</t>
  </si>
  <si>
    <t>PT: BIOD2411; D6584 - Diglyceride, by GC</t>
  </si>
  <si>
    <t>0153</t>
  </si>
  <si>
    <t>PT: BIOD2411; D6079 - Lubricity, HFRR, Scar Diameter</t>
  </si>
  <si>
    <t>0154</t>
  </si>
  <si>
    <t>PT: BIOD2411; D445 - Viscosity, Kinematic, 40 °C, Z-Score = -2.39</t>
  </si>
  <si>
    <t>-2.39</t>
  </si>
  <si>
    <t>0155</t>
  </si>
  <si>
    <t>PT: D-1211; D445 - Viscosity, at 40°C, Z-Score = 171.99</t>
  </si>
  <si>
    <t>D-1211</t>
  </si>
  <si>
    <t>0156</t>
  </si>
  <si>
    <t>PT: RFG2412; D5580 - Total Aromatics, by GC, Z-Score = 2.05</t>
  </si>
  <si>
    <t>0157</t>
  </si>
  <si>
    <t>PT: RFG2412; D3606 - Benzene, by GC, Proc B, Z-Score = 2.04</t>
  </si>
  <si>
    <t>0158</t>
  </si>
  <si>
    <t>PT: RFG2412; D86 - Distillation, Auto, 90% &amp; 90%, °F (EPA)</t>
  </si>
  <si>
    <t>-2.16 &amp; -2.16</t>
  </si>
  <si>
    <t>0159</t>
  </si>
  <si>
    <t>PT: RFG2412; D4815 - Oxygenates - Total Oxygen &amp; Ethanol, by GC, Z-Scores = 3.27 &amp; 2.78</t>
  </si>
  <si>
    <t>3.27 &amp; 2.78</t>
  </si>
  <si>
    <t>0160</t>
  </si>
  <si>
    <t>PT: P124; D2163 - Hydrocarbon Composition, Propene, Z-Score = 82.84</t>
  </si>
  <si>
    <t>P124</t>
  </si>
  <si>
    <t>0161</t>
  </si>
  <si>
    <t>PT: RFG2412; D5191 - Vapor Pressure, DVPE, 1L (EPA), Z-Score = 2.33</t>
  </si>
  <si>
    <t>0162</t>
  </si>
  <si>
    <t>PT: R-1351; D86 - Distillation, Auto, Recovery %</t>
  </si>
  <si>
    <t>R-1351</t>
  </si>
  <si>
    <t>0163</t>
  </si>
  <si>
    <t>PT: R-1351; D4815 - Oxygenates - Oxygen Content &amp; Ethanol, Z-Scores = 60.21 &amp; -28.03</t>
  </si>
  <si>
    <t>60.21 &amp; -28.03</t>
  </si>
  <si>
    <t>0164</t>
  </si>
  <si>
    <t>PT: R-1351; D2700 - Octane Number, Motor, Z-Score = -2.19</t>
  </si>
  <si>
    <t>0165</t>
  </si>
  <si>
    <t>PT: MG2412; D5769 - Aromatic Type, Benzene, by GC/MS</t>
  </si>
  <si>
    <t>0166</t>
  </si>
  <si>
    <t>PT: RFG2412; D5769 - Aromatics, Total, by GC/MS (EPA), Z-Score = 3.05</t>
  </si>
  <si>
    <t>0167</t>
  </si>
  <si>
    <t>PT: RFG2412; D5453 - Sulfur, by UVF, Z-Score = -2.07</t>
  </si>
  <si>
    <t>0168</t>
  </si>
  <si>
    <t>PT: RFG2412; D5191 - Vapor Pressure, TVP, 1L (EPA)</t>
  </si>
  <si>
    <t>0169</t>
  </si>
  <si>
    <t>0170</t>
  </si>
  <si>
    <t>PT: RFG2412; D86 - Distillation, Auto,  90%, °F (EPA)</t>
  </si>
  <si>
    <t>0171</t>
  </si>
  <si>
    <t>PT: RFG2412; D86 - Distillation, Auto, % Resid (EPA), Z-Score = -3.05</t>
  </si>
  <si>
    <t>0172</t>
  </si>
  <si>
    <t>PT: RFG2502; D5191 - Vapor Pressure, DVPE, 1L</t>
  </si>
  <si>
    <t>0173</t>
  </si>
  <si>
    <t>PT: RFG2412; D86 - Distillation, Auto, FBP, °F (EPA)</t>
  </si>
  <si>
    <t>0174</t>
  </si>
  <si>
    <t>PT: RFG2502; D5769 - Aromatic Type, Total Aromatics, by GC/MS</t>
  </si>
  <si>
    <t>0175</t>
  </si>
  <si>
    <t>PT: RFG2412; D1319 - HC Types - Multiple Parameters, Z-Scores =Multiple Outliers</t>
  </si>
  <si>
    <t>0176</t>
  </si>
  <si>
    <t>PT: RFG2412; D7039 - Sulfur, by MWDXRF, Z-Score = 2.87</t>
  </si>
  <si>
    <t>0177</t>
  </si>
  <si>
    <t>PT: RFG2412; D86 - Distillation, Auto, % Resid (EPA)</t>
  </si>
  <si>
    <t>0178</t>
  </si>
  <si>
    <t>PT: RFG2412; D1319 - HC Type, Olefins, Oxy-Free (EPA), Z-Score = -2.28</t>
  </si>
  <si>
    <t>0179</t>
  </si>
  <si>
    <t>PT: RFG2412; D5453 - Sulfur, by UVF, Z-Score = -2.35</t>
  </si>
  <si>
    <t>0180</t>
  </si>
  <si>
    <t>PT: RFG2412; D5191 - Vapor Pressure, TVP, 1L &amp; TVP, 1L (EPA)</t>
  </si>
  <si>
    <t>2.24 &amp; 2.18</t>
  </si>
  <si>
    <t>0181</t>
  </si>
  <si>
    <t>PT: RFG2502; D5191 - Vapor Pressure, DVPE, 1L (EPA)</t>
  </si>
  <si>
    <t>0182</t>
  </si>
  <si>
    <t>PT: RFG2503; D5191 - Vapor Pressure, TVP, 1L (EPA)</t>
  </si>
  <si>
    <t>0183</t>
  </si>
  <si>
    <t>PT: RFG2412; D2622 - Sulfur, by WDXRF, Z-Score = -2.32</t>
  </si>
  <si>
    <t>0184</t>
  </si>
  <si>
    <t>0185</t>
  </si>
  <si>
    <t>0186</t>
  </si>
  <si>
    <t>PT: RFG2412; D6550 - HC Type, Olefins, by SFC, Z-Score = -2.70</t>
  </si>
  <si>
    <t>0187</t>
  </si>
  <si>
    <t>PT: RFG2412; D6839 - HC Type/Oxy, Oxygen, Total, by M-D GC, Z-Score =10.45</t>
  </si>
  <si>
    <t>0188</t>
  </si>
  <si>
    <t>PT: RFG2412; D86 - Distillation, Multiple Parameters, Z-Scores =Multiple Outliers</t>
  </si>
  <si>
    <t>0189</t>
  </si>
  <si>
    <t>PT: RFG2412; D1319 - HC Type - Multiple Parameters, Z-Scores =Multiple Outliers</t>
  </si>
  <si>
    <t>0190</t>
  </si>
  <si>
    <t>PT: RFG2412; D5580 - Total Aromatics, by GC, Z-Score = -2.46</t>
  </si>
  <si>
    <t>0191</t>
  </si>
  <si>
    <t>PT: RFG2412; D4052 - Density, Digital, 15 °C</t>
  </si>
  <si>
    <t>0192</t>
  </si>
  <si>
    <t>PT: RFG2412; D86 - Distillation, Auto, 90% °F (EPA)</t>
  </si>
  <si>
    <t>-2.93</t>
  </si>
  <si>
    <t>0193</t>
  </si>
  <si>
    <t>PT: RFG2412; D8071 - HC Type, Isoparaffins, GC-VUV, Z-Score = -5.18</t>
  </si>
  <si>
    <t>-5.18</t>
  </si>
  <si>
    <t>0194</t>
  </si>
  <si>
    <t>PT: RFG2412; D86 - Distillation, Auto, % Loss (EPA), Z-Score = 3.04</t>
  </si>
  <si>
    <t>0195</t>
  </si>
  <si>
    <t>PT: RFG2412; D1319 - HC Type, Saturates &amp; Aromatics, Corrected (EPA), Z-Scores = 4.19 &amp; 2.50</t>
  </si>
  <si>
    <t>4.19 &amp; 2.50</t>
  </si>
  <si>
    <t>0196</t>
  </si>
  <si>
    <t>PT: RFG2412; D2622 - Sulfur, by WDXRF &amp; (EPA), Z-Scores = -4.33 &amp; -2.80</t>
  </si>
  <si>
    <t>-4.33 &amp; -2.80</t>
  </si>
  <si>
    <t>0197</t>
  </si>
  <si>
    <t>PT: SAF2502; D86 - Distillation, Auto, FBP &amp; % Resid, Z-Score = -6.88 &amp; 3.03</t>
  </si>
  <si>
    <t>-6.88 &amp; 3.03</t>
  </si>
  <si>
    <t>0198</t>
  </si>
  <si>
    <t>PT: SAF2502; D3242 - Acidity, by Titration, Z-Score = 2.23</t>
  </si>
  <si>
    <t>0199</t>
  </si>
  <si>
    <t>PT: SAF2502; D4052 - Density, Digital, 15 °C</t>
  </si>
  <si>
    <t>0200</t>
  </si>
  <si>
    <t>PT: SAF2502; D86 - Distillation, Auto, 90% &amp; 95%</t>
  </si>
  <si>
    <t>2.03 &amp; 2.25</t>
  </si>
  <si>
    <t>0201</t>
  </si>
  <si>
    <t>PT: SAF2502; D7359 - Halogens, Fluorine, by CIC</t>
  </si>
  <si>
    <t>0202</t>
  </si>
  <si>
    <t>PT: RFG2501; D86 - Distillation, Auto, % Recov, Z-Score = -144.77</t>
  </si>
  <si>
    <t>0203</t>
  </si>
  <si>
    <t>PT: RFG2501; D1319 - HC Type, Aromatics &amp; Saturates, Corrected &amp; Corrected (EPA), Z-Scores = 2.29, 2.71, 2.19, &amp; 2.24</t>
  </si>
  <si>
    <t>2.29, 2.71, 2.19 &amp; 2.24</t>
  </si>
  <si>
    <t>0204</t>
  </si>
  <si>
    <t>PT: RFG2501; D4815 - Oxygenates, Total Oxygen, by GC, Z-Score = -43.72</t>
  </si>
  <si>
    <t>-43.72</t>
  </si>
  <si>
    <t>0205</t>
  </si>
  <si>
    <t>PT: RFG2501; D4815 - Oxygenates, Ethanol &amp; Total Oxygen, by GC</t>
  </si>
  <si>
    <t>2.21 &amp; 2.27</t>
  </si>
  <si>
    <t>0206</t>
  </si>
  <si>
    <t>PT: RFG2502; D5580 - Aromatic Type, Total Aromatics &amp; Toluene, Z-Scores = 2.19 &amp; 3.03</t>
  </si>
  <si>
    <t>2.19 &amp; 3.03</t>
  </si>
  <si>
    <t>0207</t>
  </si>
  <si>
    <t>PT: RFG2502; D4815 - Oxygenates, Ethanol &amp; Total Oxygen, by GC</t>
  </si>
  <si>
    <t>2.39 &amp; 2.67</t>
  </si>
  <si>
    <t>0208</t>
  </si>
  <si>
    <t>PT: RFG2504; D5769 - Aromatic Type, Benzene, by GC/MS</t>
  </si>
  <si>
    <t>0209</t>
  </si>
  <si>
    <t>PT: RFG2502; D287 - API Gravity, Hydrometer, Z-Score = -2.20</t>
  </si>
  <si>
    <t>0210</t>
  </si>
  <si>
    <t>PT: RFG2502; D86 - Distillation, Auto, 5%, 5%, °F (EPA), 70%, °F (EPA), E200 °F, % (EPA), % Loss, &amp; % Recov</t>
  </si>
  <si>
    <t>0211</t>
  </si>
  <si>
    <t>PT: RFG2502; D5453 - Sulfur, by UVF</t>
  </si>
  <si>
    <t>0212</t>
  </si>
  <si>
    <t>PT: RFG2503; D5443 - HC Type, C9 Paraffins, by MD-GC, Z-Score = -12.15</t>
  </si>
  <si>
    <t>-12.15</t>
  </si>
  <si>
    <t>0213</t>
  </si>
  <si>
    <t>PT: RFG2503; D4815 - Oxygenates, Oxygen, Total, by GC</t>
  </si>
  <si>
    <t>0214</t>
  </si>
  <si>
    <t>PT: RFG2503; D86 - Distillation, Auto, 70% &amp; 70% °F (EPA), Z-Scores = -6.11 &amp; -5.93</t>
  </si>
  <si>
    <t>-6.11 &amp; -5.93</t>
  </si>
  <si>
    <t>0215</t>
  </si>
  <si>
    <t>PT: RFG2503; D1319 - HC Type, Olefins &amp; Saturates, Multiple Parameters, Z-Scores = Multiple Outliers</t>
  </si>
  <si>
    <t>0216</t>
  </si>
  <si>
    <t>PT: RFG2503; D5453 - Sulfur, by UVF, Z-Score = 5.29</t>
  </si>
  <si>
    <t>0217</t>
  </si>
  <si>
    <t>PT: LPG2411; D2163 - Hydrocarbons, n-butane, Z-Score = 3.17</t>
  </si>
  <si>
    <t>0218</t>
  </si>
  <si>
    <t>PT: LPG2411; D7423 - Oxygenates by GC-FID, Methanol, Z-Score = 0.00 (Rejected)</t>
  </si>
  <si>
    <t>0.00 (Rejected Result)</t>
  </si>
  <si>
    <t>0219</t>
  </si>
  <si>
    <t>PT: LPG2411; D2163 - Hydrocarbons, n-butane, Z-Score = 6.64</t>
  </si>
  <si>
    <t>0220</t>
  </si>
  <si>
    <t>PT: T348; D3242 - Acid Number, Acidity</t>
  </si>
  <si>
    <t>T348</t>
  </si>
  <si>
    <t>0221</t>
  </si>
  <si>
    <t>PT: T348; D3242 - Acid Number, Acidity, Z-Score = 4.92</t>
  </si>
  <si>
    <t>0222</t>
  </si>
  <si>
    <t>PT: RFG2501; D5769 - Aromatics, Total, by GC/MS (EPA), Z-Score = 2.67</t>
  </si>
  <si>
    <t>0223</t>
  </si>
  <si>
    <t>PT: RFG2501; D86 - Distillation, Auto, 95%, °F (EPA), Z-Score = 5.95</t>
  </si>
  <si>
    <t>0224</t>
  </si>
  <si>
    <t>PT: RFG2501; D86 - Distillation, Auto, 905%, °F (EPA), Z-Score = -3.45</t>
  </si>
  <si>
    <t>-3.45</t>
  </si>
  <si>
    <t>0225</t>
  </si>
  <si>
    <t>PT: RFG2501; D5580 - Aromatics, C9 plus &amp; Total, by GC , Z-Score = 5.14 &amp; 2.96</t>
  </si>
  <si>
    <t>5.14 &amp; 2.96</t>
  </si>
  <si>
    <t>0226</t>
  </si>
  <si>
    <t>PT: RFG2501; D86 - Distillation, Auto, 40% &amp; E200, °F (EPA)</t>
  </si>
  <si>
    <t>-2.08 &amp; 2.84</t>
  </si>
  <si>
    <t>0227</t>
  </si>
  <si>
    <t>PT: RFG2501; D1319 - HC Type, Saturates, Oxy-Free (EPA), Z-Score = -2.93</t>
  </si>
  <si>
    <t>0228</t>
  </si>
  <si>
    <t>PT: RFG2501; D4815 - Oxygenates, Ethanol &amp; Total Oxygen, by GC, Z-Scores = 9.90 &amp; 3.44</t>
  </si>
  <si>
    <t>9.90 &amp; 3.44</t>
  </si>
  <si>
    <t>0229</t>
  </si>
  <si>
    <t>PT: RFG2501; D86 - Distillation, Auto, 80%</t>
  </si>
  <si>
    <t>0230</t>
  </si>
  <si>
    <t>PT: RFG2501; D4052 - Density, Digital, 15 °C</t>
  </si>
  <si>
    <t>0231</t>
  </si>
  <si>
    <t>PT: RFG2501; D86 - Distillation, Auto, % Evap (EPA)</t>
  </si>
  <si>
    <t>0232</t>
  </si>
  <si>
    <t>PT: RFG2501; D5769 - Aromatics, Total, by GC/MS, Z-Score = 2.19</t>
  </si>
  <si>
    <t>0233</t>
  </si>
  <si>
    <t>PT: RFG2501; D2622 - Sulfur, by WDXRF (EPA), Z-Score = 2.10</t>
  </si>
  <si>
    <t>0234</t>
  </si>
  <si>
    <t>PT: RFG2501; D86 - Distillation, Auto, E300 °F, % (EPA), Z-Score = 3.08</t>
  </si>
  <si>
    <t>0235</t>
  </si>
  <si>
    <t>PT: RFG2501; D3606 - Benzene, by GC</t>
  </si>
  <si>
    <t>0236</t>
  </si>
  <si>
    <t>PT: RFG2501; D3606 - Benzene, by GC, Proc B &amp; Proc B (EPA), Z-Scores = 2.82 &amp; 2.86</t>
  </si>
  <si>
    <t>2.82 &amp; 2.86</t>
  </si>
  <si>
    <t>0237</t>
  </si>
  <si>
    <t>PT: RFG2504; D4052 - Density, Digital, 15 °C, Z-Score = 133387.98</t>
  </si>
  <si>
    <t>0238</t>
  </si>
  <si>
    <t>PT: RFG2504; D86 - Distillation, Auto, 30%, °F (EPA) &amp; 90%, Z-Scores = 40.68 &amp; -12.63</t>
  </si>
  <si>
    <t>40.68 &amp; -12.63</t>
  </si>
  <si>
    <t>0239</t>
  </si>
  <si>
    <t>PT: RFG2504; D4815 - Oxygenates, Ethanol, by GC, Z-Score = -2.97</t>
  </si>
  <si>
    <t>0240</t>
  </si>
  <si>
    <t>PT: RFG2504; D86 - Distillation, Auto, E300 °F, % (EPA)</t>
  </si>
  <si>
    <t>0241</t>
  </si>
  <si>
    <t>PT: RFG2504; D4815 - Oxygenates, Ethanol, by GC, Z-Score = 2.49</t>
  </si>
  <si>
    <t xml:space="preserve">PBMS Parameter - 14 Day </t>
  </si>
  <si>
    <t>0242</t>
  </si>
  <si>
    <t>PT: RFG2504; D5599 - Oxygenates, Total Oxygen, by GC</t>
  </si>
  <si>
    <t>0243</t>
  </si>
  <si>
    <t>PT: TM11-24 &amp; TM12-24; D2699 - Octane Number, Research, Z-Scores = -2.50 &amp; -2.81</t>
  </si>
  <si>
    <t>-2.50 &amp; -2.81</t>
  </si>
  <si>
    <t>0244</t>
  </si>
  <si>
    <t>PT: TM11-24; D2700 - Octane Number, Motor, Z-Score = -2.73</t>
  </si>
  <si>
    <t>0245</t>
  </si>
  <si>
    <t>PT: TM11-24, TM11C-24 &amp; TM12C-24; D2700 - Octane Number, Motor, Z-Scores = 2.12, 2.47, &amp; 2.04</t>
  </si>
  <si>
    <t>D2700 - Octane Number</t>
  </si>
  <si>
    <t>2.12, 2.47, &amp; 2.04</t>
  </si>
  <si>
    <t>0246</t>
  </si>
  <si>
    <t>PT: TM11-24; D4052 - Density, API</t>
  </si>
  <si>
    <t>0247</t>
  </si>
  <si>
    <t>PT: TM11-24; D2700 - Octane Number, Motor, Z-Score = 2.42</t>
  </si>
  <si>
    <t>0248</t>
  </si>
  <si>
    <t>PT: TM11C-24; D2699 - Octane Number, Research, Z-Score = 2.58</t>
  </si>
  <si>
    <t>0249</t>
  </si>
  <si>
    <t>PT: TM11C-24; D2699 - Octane Number, Research, Z-Score = -3.74</t>
  </si>
  <si>
    <t>0250</t>
  </si>
  <si>
    <t>PT: TM11C-24; D5191 - Vapor Pressure, RVP, Z-Score = -9.67</t>
  </si>
  <si>
    <t>-9.67</t>
  </si>
  <si>
    <t>0251</t>
  </si>
  <si>
    <t>PT: TM12-24; D2700 - Octane Number, Motor, Z-Score = 4.10</t>
  </si>
  <si>
    <t>0252</t>
  </si>
  <si>
    <t>PT: TM12-24; D86 - Distillation, Auto, 50%, Z-Score = 2.43</t>
  </si>
  <si>
    <t>0253</t>
  </si>
  <si>
    <t>PT: TM12-24; D86 - Distillation, Auto, 10%, Z-Score = -2.84</t>
  </si>
  <si>
    <t>0254</t>
  </si>
  <si>
    <t>PT: TM12C-24; D5191 - Vapor Pressure, RVP</t>
  </si>
  <si>
    <t>0255</t>
  </si>
  <si>
    <t>PT: TM12C-24; D2700 - Octane Number, Motor, &amp; Other Methods, Z-Scores = 4.20 &amp; Multiple Outliers</t>
  </si>
  <si>
    <t>4.20 &amp; Multiple Outliers</t>
  </si>
  <si>
    <t>0256</t>
  </si>
  <si>
    <t>PT: TM12C-24; D2699 - Octane Number, Research, Z-Score = -2.33</t>
  </si>
  <si>
    <t>0257</t>
  </si>
  <si>
    <t>PT: TM12C-24; D86 - Distillation, Auto, FBP, Z-Score = -10.14</t>
  </si>
  <si>
    <t>-10.14</t>
  </si>
  <si>
    <t>0258</t>
  </si>
  <si>
    <t>PT: F242503; D5006 - Fuel System Icing Inhibitors, Ether Type, Z-Scores = -10.61</t>
  </si>
  <si>
    <t>0259</t>
  </si>
  <si>
    <t>PT: F242503; D1840 - Naphthalenes, by UVS, Z-Score = -2.45</t>
  </si>
  <si>
    <t>0260</t>
  </si>
  <si>
    <t>PT: F242503; D1094 - Water Reaction, Change in Volume of Aqueous, Z-Score = 3.47</t>
  </si>
  <si>
    <t>n</t>
  </si>
  <si>
    <t>PT: F242503; D86 - Distillation, Auto, IBP, FBP, &amp; % Recov, Z-Scores = -7.95, 8.63, &amp; 5.30</t>
  </si>
  <si>
    <t>-7.95, 8.63, 5.30</t>
  </si>
  <si>
    <t>0262</t>
  </si>
  <si>
    <t>PT: F242503; D3338/D3338M - Net Heta of Combustion, Calc, Z-Score = -5.61</t>
  </si>
  <si>
    <t>-5.61</t>
  </si>
  <si>
    <t>0263</t>
  </si>
  <si>
    <t>PT: RFG2502; D5769 - Aromatic Type, Total Aromatics, by GC/MS (EPA), Z-Score = 2.65</t>
  </si>
  <si>
    <t>0264</t>
  </si>
  <si>
    <t>PT: RFG2502; D2622 - Sulfur, by WDXRF (EPA), Z-Score = -2.64</t>
  </si>
  <si>
    <t>0265</t>
  </si>
  <si>
    <t>PT: RFG2502; D5191 - Vapor Pressure, TVP, 1L &amp; TVP, 1L, (EPA)</t>
  </si>
  <si>
    <t>2.58 &amp; 2.77</t>
  </si>
  <si>
    <t>0266</t>
  </si>
  <si>
    <t>PT: RFG2502; D4052 - Density, Digital, 15 °C, Z-Score = 8.96</t>
  </si>
  <si>
    <t>0267</t>
  </si>
  <si>
    <t>PT: RFG2502; D86 - Distillation, Auto, 10%, 20%, 30%, 50%, 60%, &amp; E200 °F (EPA), Z-Scores = 3.25, 3.24, 3.00, 4.72, 3.28, &amp; -3.46</t>
  </si>
  <si>
    <t>3.25, 3.24, 3.00, 4.72, 3.28, &amp; -3.46</t>
  </si>
  <si>
    <t>0268</t>
  </si>
  <si>
    <t>PT: RFG2502; D4815 - Oxygenates, Total Oxygen, by GC</t>
  </si>
  <si>
    <t>0269</t>
  </si>
  <si>
    <t>PT: RFG2502; D86 - Distillation, Auto, IBP, °F (EPA)</t>
  </si>
  <si>
    <t>0270</t>
  </si>
  <si>
    <t>PT: RFG2502; D1319 - HC Type, Olefins, Oxy-Free (EPA), Z-Score = 2.12</t>
  </si>
  <si>
    <t>0271</t>
  </si>
  <si>
    <t>PT: RFG2502; D86 - Distillation, Auto, E300 °F, % (EPA)</t>
  </si>
  <si>
    <t>0272</t>
  </si>
  <si>
    <t>PT: RFG2502; D86 - Distillation, Auto, 95% °F (EPA), Z-Score = 4.10</t>
  </si>
  <si>
    <t>0273</t>
  </si>
  <si>
    <t>PT: RFG2502; D86 - Distillation, Auto, % Resid, Z-Score = 3.17</t>
  </si>
  <si>
    <t>0274</t>
  </si>
  <si>
    <t>PT: RFG2502; D1319 - HC Type, Aromatics &amp; Saturates, Oxy-Free (EPA), Z-Scores = 2.06 &amp; -2.08</t>
  </si>
  <si>
    <t>2.06 &amp; -2.08</t>
  </si>
  <si>
    <t>0275</t>
  </si>
  <si>
    <t>PT: RFG2502; D5580 - Aromatics, C9 +, by GC</t>
  </si>
  <si>
    <t>-2.66</t>
  </si>
  <si>
    <t>0276</t>
  </si>
  <si>
    <t>PT: RFG2502; D86 - Distillation, Auto, 95%, &amp; FBP, °F (EPA)</t>
  </si>
  <si>
    <t>2.06 &amp; -2.48</t>
  </si>
  <si>
    <t>0277</t>
  </si>
  <si>
    <t>PT: RFG2502; D86 - Distillation, Auto, % Resid, Z-Score = 3.61</t>
  </si>
  <si>
    <t>0278</t>
  </si>
  <si>
    <t>PT: RFG2502; D86 - Distillation, Auto, 70%, Z-Score = 68.32</t>
  </si>
  <si>
    <t>0279</t>
  </si>
  <si>
    <t>PT: RFG2502; D1319 - HC Type, Aromatics, Corrected &amp; Saturates, Oxy-Free  &amp; Corrected, Z-Scores = 2.08, -2.05, &amp; -2.02</t>
  </si>
  <si>
    <t>2.08, -2.05, &amp; -2.02</t>
  </si>
  <si>
    <t>0280</t>
  </si>
  <si>
    <t>PT: TM04-25; D86 - Distillation, Auto, 50% &amp; 90%</t>
  </si>
  <si>
    <t>2.48 &amp; 2.07</t>
  </si>
  <si>
    <t>0281</t>
  </si>
  <si>
    <t>PT: TM04-25; D86 - Distillation, Auto, 10% &amp; 50%, Z-Scores = 2.92 &amp; 4.21</t>
  </si>
  <si>
    <t>2.92 &amp; 4.21</t>
  </si>
  <si>
    <t>0282</t>
  </si>
  <si>
    <t>PT: TM04-25; D2699 - Octane Number, Research, Z-Score = -2.41</t>
  </si>
  <si>
    <t>0283</t>
  </si>
  <si>
    <t>PT: TM04-25; D86 - Distillation, Auto, 10%</t>
  </si>
  <si>
    <t>0284</t>
  </si>
  <si>
    <t>PT: TM04-25; D2699 - Octane Number, Research, Z-Score = 2.04</t>
  </si>
  <si>
    <t>0285</t>
  </si>
  <si>
    <t xml:space="preserve">PT: RFG2503; D86 - Distillation, Auto, % Resid </t>
  </si>
  <si>
    <t>0286</t>
  </si>
  <si>
    <t>PT: RFG2503; D86 - Distillation, Auto, 50%, 90%, &amp; 95% °F (EPA), Z-Score = 2.45, 4.72, &amp; 4.92</t>
  </si>
  <si>
    <t>2.45, 4.72, &amp; 4.92</t>
  </si>
  <si>
    <t>0287</t>
  </si>
  <si>
    <t>PT: RFG2503; D86 - Distillation, Auto, 30% °F (EPA), Z-Score = -4.25</t>
  </si>
  <si>
    <t>0288</t>
  </si>
  <si>
    <t>PT: RFG2503; D5453 - Sulfur, by UVF</t>
  </si>
  <si>
    <t>0289</t>
  </si>
  <si>
    <t>PT: RFG2503; D86 - Distillation, Auto, 90%, 90% °F (EPA), &amp; % Resid</t>
  </si>
  <si>
    <t>-2.41, -2.60, &amp; 2.22</t>
  </si>
  <si>
    <t>0290</t>
  </si>
  <si>
    <t>PT: RFG2503; D86 - Distillation, Auto, E200 °F (EPA)</t>
  </si>
  <si>
    <t>0291</t>
  </si>
  <si>
    <t>PT: RFG2503; D6550 - HC Type, Olefins, by SFC, Z-Score = -2.35</t>
  </si>
  <si>
    <t>0292</t>
  </si>
  <si>
    <t>PT: RFG2503; D86 - Distillation, Auto, 90% °F (EPA)</t>
  </si>
  <si>
    <t>0293</t>
  </si>
  <si>
    <t>PT: RFG2503; D4052 - Density, Digital, 15 °C</t>
  </si>
  <si>
    <t>0294</t>
  </si>
  <si>
    <t>PT: RFG2503; D86 - Distillation, Auto, % Resid (EPA)</t>
  </si>
  <si>
    <t>0295</t>
  </si>
  <si>
    <t>PT: RFG2503; D86 - Distillation, Auto, FBP</t>
  </si>
  <si>
    <t>0296</t>
  </si>
  <si>
    <t>PT: RFG2503; D5191 - Vapor Pressure, DVPE, 1L, DVPE, 1L (EPA), TVP, 1L &amp; TVP, 1L, (EPA)</t>
  </si>
  <si>
    <t>-2.09, -2.42, -2.86, &amp; -2.76</t>
  </si>
  <si>
    <t>0297</t>
  </si>
  <si>
    <t>PT: RFG2503; D86 - Distillation, Auto, % Resid, Z-Scores = -7.38</t>
  </si>
  <si>
    <t>-7.38</t>
  </si>
  <si>
    <t>0298</t>
  </si>
  <si>
    <t>PT: RFG2503; D2622 - Sulfur, by WDXRF</t>
  </si>
  <si>
    <t>0299</t>
  </si>
  <si>
    <t>PT: RFG2503; D6378 - Vapor Pressure, Triple Expansion, Z-Score = 11.23</t>
  </si>
  <si>
    <t>0300</t>
  </si>
  <si>
    <t>PT: RFG2503; D3606 - Benzene, by GC, Proc B, &amp; Proc B (EPA)</t>
  </si>
  <si>
    <t>2.33 &amp; 2.44</t>
  </si>
  <si>
    <t>0301</t>
  </si>
  <si>
    <t>PT: RFG2503; D86 - Distillation, Auto, E200 °F, % (EPA), Z-Score = 3.20</t>
  </si>
  <si>
    <t>0302</t>
  </si>
  <si>
    <t>PT: RFG2503; D5191 - Vapor Pressure, DVPE, 1L</t>
  </si>
  <si>
    <t>0303</t>
  </si>
  <si>
    <t>PT: RFG2503; D86 - Distillation, Auto, 90% &amp; 95% °F, (EPA), Z-Scores = 4.15 &amp; 5.85</t>
  </si>
  <si>
    <t>4.15 &amp; 5.85</t>
  </si>
  <si>
    <t>0304</t>
  </si>
  <si>
    <t>0305</t>
  </si>
  <si>
    <t>PT: RFG2504; D5769 - Aromatic Type, Total Aromatics, by GC/MS, Z-Score = 2.91</t>
  </si>
  <si>
    <t>0306</t>
  </si>
  <si>
    <t xml:space="preserve">PT: RFG2504; D86 - Distillation, Auto, 40%, °F &amp; % Resid (EPA) </t>
  </si>
  <si>
    <t>0307</t>
  </si>
  <si>
    <t>PT: RFG2504; D1319 - HC Type, Saturates, Corrected (EPA), Z-Score = 4.80</t>
  </si>
  <si>
    <t>0308</t>
  </si>
  <si>
    <t xml:space="preserve">PT: RFG2504; D86 - Distillation, Auto,  % Resid (EPA) </t>
  </si>
  <si>
    <t>0309</t>
  </si>
  <si>
    <t>PT: RFG2504; D86 - Distillation, Auto, 50%, °F (EPA), Z-Score = 2.58</t>
  </si>
  <si>
    <t>0310</t>
  </si>
  <si>
    <t>PT: RFG2504; D7039 - Sulfur, by MWDXRF, Z-Score = 5.73</t>
  </si>
  <si>
    <t>0311</t>
  </si>
  <si>
    <t>PT: RFG2504; D5453 - Sulfur, by UVF, Z-Score = 3.59</t>
  </si>
  <si>
    <t>0312</t>
  </si>
  <si>
    <t>PT: RFG2504; D5188 - V/L Ratio Temp, Evac Chamber, Z-Score = 2.19</t>
  </si>
  <si>
    <t>0313</t>
  </si>
  <si>
    <t>PT: RFG2504; D5769 - Aromatic Type, Total Aromatics, by GC/MS, Z-Score = -2.21</t>
  </si>
  <si>
    <t>0314</t>
  </si>
  <si>
    <t>PT: RFG2504; D86 - Distillation, Auto, IBP &amp; FBP, °F (EPA), Z-Scores = -2.05 &amp; -2.43</t>
  </si>
  <si>
    <t>-2.05 &amp; -2.43</t>
  </si>
  <si>
    <t>0315</t>
  </si>
  <si>
    <t>PT: RFG2504; D86 - Distillation, Auto, Multiple Parameters, Z-Scores = Multiple Outliers</t>
  </si>
  <si>
    <t>0316</t>
  </si>
  <si>
    <t>PT: RFG2504; D5769 - Aromatic Type, Toluene, by GC/MS</t>
  </si>
  <si>
    <t>0317</t>
  </si>
  <si>
    <t>PT: RFG2504; D4815 - Oxygenates, Oxygen, Total, by GC</t>
  </si>
  <si>
    <t>0318</t>
  </si>
  <si>
    <t>PT: RFG2504; D5580 - Aromatic Type, C9+ Aromatics &amp; Total Aromatics, Z-Scores = -3.01 &amp; -2.16</t>
  </si>
  <si>
    <t>-3.01 &amp; -2.16</t>
  </si>
  <si>
    <t>0319</t>
  </si>
  <si>
    <t>PT: RFG2504; D2622 - Sulfur, by WDXRF &amp; (EPA), Z-Scores = 4.12 &amp; 3.12</t>
  </si>
  <si>
    <t>4.12 &amp; 3.12</t>
  </si>
  <si>
    <t>0320</t>
  </si>
  <si>
    <t>PT: RFG2504; D6378 - Vapor Pressure, Triple Expansion, Z-Score = 8.30</t>
  </si>
  <si>
    <t>0321</t>
  </si>
  <si>
    <t xml:space="preserve">PT: RFG2504; Distillation, Auto, 60% &amp; 70%, °F (EPA) </t>
  </si>
  <si>
    <t>2.30 &amp; 2.06</t>
  </si>
  <si>
    <t>0322</t>
  </si>
  <si>
    <t>PT: RFG2504; D381 - Gum, Unwashed, Z-Score = 2.40</t>
  </si>
  <si>
    <t>0323</t>
  </si>
  <si>
    <t>PT: RFG2504; D86 - Distillation, Auto, E300 °F (EPA), Z-Score = 3.19</t>
  </si>
  <si>
    <t>0324</t>
  </si>
  <si>
    <t>PT: RFG2504; D86 - Distillation, Auto, 5%, 5% °F (EPA), 10% °F (EPA), &amp; 50% °F (EPA), Z-Scores = 3.10, 3.23, 3.32, &amp; 2.33</t>
  </si>
  <si>
    <t>3.10, 3.23, 3.32, &amp; 2.33</t>
  </si>
  <si>
    <t>0325</t>
  </si>
  <si>
    <t>PT: RFG2504; D1319 - HC Type, Saturates, Corrected and Oxy-Free, Z-Scores = 2.18 &amp; 2.20</t>
  </si>
  <si>
    <t>2.18 &amp; 2.20</t>
  </si>
  <si>
    <t>0326</t>
  </si>
  <si>
    <t>PT: RFG2504; D5188 - V/L Ratio Temp, Evac Chamber, Z-Score = -17.87</t>
  </si>
  <si>
    <t>-17.87</t>
  </si>
  <si>
    <t>0327</t>
  </si>
  <si>
    <t>PT: DF22410; D6079 - Lubricity, HFRR, Scar Diameter, Z-Score = -3.80</t>
  </si>
  <si>
    <t>0328</t>
  </si>
  <si>
    <t>PT: DF22410; D93 - Flash Point, PMCC, Proc A, Corrected, Z-Score = 2.01</t>
  </si>
  <si>
    <t>0329</t>
  </si>
  <si>
    <t>PT: DF22410; D4294 - Sulfur, by EDXRF</t>
  </si>
  <si>
    <t>0330</t>
  </si>
  <si>
    <t>PT: DF22410; D445 - Viscosity, Kinematic, 40 °C, Z-Score = -2.43</t>
  </si>
  <si>
    <t>-2.43</t>
  </si>
  <si>
    <t>0331</t>
  </si>
  <si>
    <t>PT: DF22410; D7094 - Flash Point, MCCC, Corrected, Z-Score = 2.19</t>
  </si>
  <si>
    <t>0332</t>
  </si>
  <si>
    <t>PT: DF22410; D86 - Distillation, Auto, IBP, Z-Score = -2.27</t>
  </si>
  <si>
    <t>0333</t>
  </si>
  <si>
    <t>PT: DF22410; D2887 - BP Distribution, GC, Proc B, 80%, Z-Score = -14.78</t>
  </si>
  <si>
    <t>-14.78</t>
  </si>
  <si>
    <t>0334</t>
  </si>
  <si>
    <t>PT: DF22410; D2500 - Cloud Point, Z-Score = 2.20</t>
  </si>
  <si>
    <t>0335</t>
  </si>
  <si>
    <t>PT: DF22410; D86 - Distillation, Auto, 60%, Z-Score = 2.25</t>
  </si>
  <si>
    <t>0336</t>
  </si>
  <si>
    <t>PT: DF22410; D445 - Viscosity, Kinematic, 40 °C, Z-Score = 10.99</t>
  </si>
  <si>
    <t>0337</t>
  </si>
  <si>
    <t>PT: DF22410; D664 - Acid Number, A, 60 mL, inflection EP</t>
  </si>
  <si>
    <t>0338</t>
  </si>
  <si>
    <t>PT: DF22410; D2500 - Cloud Point, Z-Score = 3.00</t>
  </si>
  <si>
    <t>0339</t>
  </si>
  <si>
    <t>PT: DF22410; D86 - Distillation, Auto, 10%</t>
  </si>
  <si>
    <t>0340</t>
  </si>
  <si>
    <t>PT: DF22410; D5949 - Pour Point, Auto Pressure Pulse (Models 70V, 70X, 70Xi), Z-Score = -2.20</t>
  </si>
  <si>
    <t>0341</t>
  </si>
  <si>
    <t>PT: DF22410; D6468 - Stability, High Temp, 180 min. aging &amp; 90 min. aging, Z-Scores = -3.30 &amp; -4.70</t>
  </si>
  <si>
    <t>-3.30 &amp; -4.70</t>
  </si>
  <si>
    <t>0342</t>
  </si>
  <si>
    <t>PT: DF22410; D1298 - Density, by Hydrometer at 15 °C, Z-Score = -3.49</t>
  </si>
  <si>
    <t>-3.49</t>
  </si>
  <si>
    <t>0343</t>
  </si>
  <si>
    <t>PT: DF22410; D6217 - Particulates, Lab Filtration, Z-Score = 83.12</t>
  </si>
  <si>
    <t>0344</t>
  </si>
  <si>
    <t>PT: DF22410; D4530 - Carbon Residue, Micro, 10% btm, Z-Score = 27.09</t>
  </si>
  <si>
    <t>0345</t>
  </si>
  <si>
    <t>PT: DF22410; D4530 - Carbon Residue, Micro, 10% btm</t>
  </si>
  <si>
    <t>0346</t>
  </si>
  <si>
    <t>PT: DF22410; D86 - Distillation, Auto, IBP, Z-Score = -2.05</t>
  </si>
  <si>
    <t>0347</t>
  </si>
  <si>
    <t>PT: DF22410; D93 - Flash Point, PMCC, Proc A, Corrected , Z-Score = 2.37</t>
  </si>
  <si>
    <t>0348</t>
  </si>
  <si>
    <t>PT: DF22410; D189 - Carbon Residue, Conradson</t>
  </si>
  <si>
    <t>0349</t>
  </si>
  <si>
    <t>PT: DF22410; D97 - Pour Point, Manual</t>
  </si>
  <si>
    <t>0350</t>
  </si>
  <si>
    <t>PT: DF22410; D5453 - Sulfur, by UVF</t>
  </si>
  <si>
    <t>0351</t>
  </si>
  <si>
    <t>PT: DF22410; D445 - Viscosity, Kinematic, 40 °C, Z-Score = 2.69</t>
  </si>
  <si>
    <t>0352</t>
  </si>
  <si>
    <t>PT: DF22410; D86 - Distillation, Auto, 80%, 90%, &amp; 95%, Z-Scores = -2.05, -2.39, &amp; -2.73</t>
  </si>
  <si>
    <t>-2.05, -2.39, &amp; -2.73</t>
  </si>
  <si>
    <t>0353</t>
  </si>
  <si>
    <t>PT: DF22410; D6591 - HC Type, by HPLC, Di-Aro, Mono-Aro, &amp; PAH, Z-Scores = 5.68, -2.64, &amp; 4.58</t>
  </si>
  <si>
    <t>5.68, -2.64, &amp; 4.58</t>
  </si>
  <si>
    <t>0354</t>
  </si>
  <si>
    <t>PT: DF22410; D5186 - HC Type, by SFC, PAH, Z-Score = 4.32</t>
  </si>
  <si>
    <t>0355</t>
  </si>
  <si>
    <t>PT: DF22410; D240 - Heat of Combustion, Gross, by Bomb Calorimeter, Z-Score = 7.91</t>
  </si>
  <si>
    <t>0356</t>
  </si>
  <si>
    <t>PT: DF22410; D86 - Distillation, Auto, 80%, 90% &amp; 95%, Z-Scores = 2.17, 2.882, &amp; 3.71</t>
  </si>
  <si>
    <t>2.17, 2.882, &amp; 3.71</t>
  </si>
  <si>
    <t>0357</t>
  </si>
  <si>
    <t>PT: DF22410; D4052 - Density, Digital, 15 °C, Z-Score = 3.39</t>
  </si>
  <si>
    <t>0358</t>
  </si>
  <si>
    <t>PT: DF22410; D1319 - HC Type, Aromatics &amp; Saturates, Z-Scores = 2.17 &amp; -2.37</t>
  </si>
  <si>
    <t>2.17 &amp; -2.37</t>
  </si>
  <si>
    <t>0359</t>
  </si>
  <si>
    <t>PT: DF22410; D664 - Acid Number, A, 125 mL, inflection EP</t>
  </si>
  <si>
    <t>0360</t>
  </si>
  <si>
    <t>PT: DF22410; D6371 - Cold Filter Plugging Point, CFPP, Z-Score = 2.90</t>
  </si>
  <si>
    <t>0361</t>
  </si>
  <si>
    <t>0362</t>
  </si>
  <si>
    <t>PT: DF22410; D5771 - Cloud Point, Step Cool</t>
  </si>
  <si>
    <t>0363</t>
  </si>
  <si>
    <t>PT: DF22410; D7042 - Viscosity, Stabinger, Kin, 40 °C, Z-Score = -2.97</t>
  </si>
  <si>
    <t>0364</t>
  </si>
  <si>
    <t>PT: R-1352; D2699 - Octane Number, Research, Z-Score = 4.86</t>
  </si>
  <si>
    <t>0365</t>
  </si>
  <si>
    <t>PT: R-1353; D86 - Distillation, Auto, Residue %</t>
  </si>
  <si>
    <t>0366</t>
  </si>
  <si>
    <t>PT: R-1353; D2699 - Octane Number, Research</t>
  </si>
  <si>
    <t>0367</t>
  </si>
  <si>
    <t>PT: R-1353; D5191 - Vapor Pressure, DVPE</t>
  </si>
  <si>
    <t>0368</t>
  </si>
  <si>
    <t>PT: R-1353; D86 - Distillation, Auto, 50% Evaporated</t>
  </si>
  <si>
    <t>0369</t>
  </si>
  <si>
    <t>PT: ETOH2412; D6423 - pHe, of Ethanol</t>
  </si>
  <si>
    <t>0370</t>
  </si>
  <si>
    <t>PT: ETOH2412; D7795 - Acidity, Proc A, Z-Score = 7.21</t>
  </si>
  <si>
    <t>0371</t>
  </si>
  <si>
    <t>PT: ETOH2412; D4052 - Density, Relative, @ 15.56 °C</t>
  </si>
  <si>
    <t>0372</t>
  </si>
  <si>
    <t>PT: ETOH2412; E1064 - Water, by Coul KF</t>
  </si>
  <si>
    <t>0373</t>
  </si>
  <si>
    <t>PT: ETOH2412; D6423 - pHe, Ethanol, Z-Score = 4.14</t>
  </si>
  <si>
    <t>0374</t>
  </si>
  <si>
    <t>PT: ETOH2412; E1064 - Water, by Coul KF, Z-Score = -10.50</t>
  </si>
  <si>
    <t>-10.50</t>
  </si>
  <si>
    <t>0375</t>
  </si>
  <si>
    <t>PT: ETOH2412; D6423 - pHe, Ethanol</t>
  </si>
  <si>
    <t>0376</t>
  </si>
  <si>
    <t>PT: ETOH2412; E203 - Water, by Volumetric KF</t>
  </si>
  <si>
    <t>0377</t>
  </si>
  <si>
    <t>PT: ETOH2412; D7319 - Chloride, Inorganic, by DI-IC</t>
  </si>
  <si>
    <t>0378</t>
  </si>
  <si>
    <t>PT: ETOH2412; D5453 - Sulfur, by UVF, Z-Score = -2.04</t>
  </si>
  <si>
    <t>0379</t>
  </si>
  <si>
    <t>PT: ETOH2412; D5501 - Ethanol, by GC, Z-Score = 4.39</t>
  </si>
  <si>
    <t>0380</t>
  </si>
  <si>
    <t>PT: OC2412; D5191 - Vapor Pressure, DVPE, Z-Score = 6.75</t>
  </si>
  <si>
    <t>0381</t>
  </si>
  <si>
    <t>PT: OC2412; D86 - Distillation, % Residual, Z-Score = 3.28</t>
  </si>
  <si>
    <t>0382</t>
  </si>
  <si>
    <t>PT: OC2412; D1319 - HC Type, Olefins, Oxy-Free</t>
  </si>
  <si>
    <t>0383</t>
  </si>
  <si>
    <t>PT: OC2412; D5453 - Sulfur, by UVF, Z-Score = 3.28</t>
  </si>
  <si>
    <t>0384</t>
  </si>
  <si>
    <t>PT: OC2412; D2699 - Octane Number, Research, &amp; Compression Ratio Z-Scores = 2.11 &amp; 2.38</t>
  </si>
  <si>
    <t>2.11 &amp; 2.38</t>
  </si>
  <si>
    <t>0385</t>
  </si>
  <si>
    <t>PT: OC2412; D2700 - Octane Number, Motor, Z-Score = 2.25</t>
  </si>
  <si>
    <t>0386</t>
  </si>
  <si>
    <t>PT: CO2411; D7169 - BP Dist, by HT-GC, Cut 8, 720C (1328F), Z-Score = -2.36</t>
  </si>
  <si>
    <t>0387</t>
  </si>
  <si>
    <t>PT: CO2411; D5002 - Density, digital, 15 °C</t>
  </si>
  <si>
    <t>0388</t>
  </si>
  <si>
    <t>PT: CO2411; D5708 - Element, Iron, ICPAES, Method A</t>
  </si>
  <si>
    <t>0389</t>
  </si>
  <si>
    <t>PT: CO2411; D4530 - Carbon Residue, Micro, Z-Score = 4.30</t>
  </si>
  <si>
    <t>0390</t>
  </si>
  <si>
    <t>PT: CO2411; D7900 - HC Type, Total Aromatics, Z-Score = 10.47</t>
  </si>
  <si>
    <t>0391</t>
  </si>
  <si>
    <t>PT: CO2411; D5762 - Nitrogen, Boat-Inlet Chemilum, Z-Score = 13.00</t>
  </si>
  <si>
    <t>0392</t>
  </si>
  <si>
    <t>PT: CO2411; D5708 - Element, Nickel, ICPAES, Method B, Z-Score = 8.90</t>
  </si>
  <si>
    <t>0393</t>
  </si>
  <si>
    <t>PT: CO2411; D664 - Acid Number, A, 60 mL, inflection EP, Z-Score = -11.22</t>
  </si>
  <si>
    <t>0394</t>
  </si>
  <si>
    <t>PT: CO2411; D4530 - Carbon Residue, Micro, Z-Score = 2.25</t>
  </si>
  <si>
    <t>0395</t>
  </si>
  <si>
    <t>PT: CO2411; D473 - Sediment, by Extraction, Z-Score = 2.01</t>
  </si>
  <si>
    <t>0396</t>
  </si>
  <si>
    <t>PT: CO2411; D8252 - Element, Nickel, XRF, Z-Score = -11.43</t>
  </si>
  <si>
    <t>-11.43</t>
  </si>
  <si>
    <t>0397</t>
  </si>
  <si>
    <t>PT: CO2411; D7900 - HC Type, Total Aromatics, Z-Score = 7.48</t>
  </si>
  <si>
    <t>0398</t>
  </si>
  <si>
    <t>PT: CO2411; D3230 - Salts in Crude Oil, Electrometric Method, Z-Score = 2.04</t>
  </si>
  <si>
    <t>0399</t>
  </si>
  <si>
    <t>PT: CO2411; D5708 - Element, Vanadium, ICPAES, Method B, Z-Score = 5.56</t>
  </si>
  <si>
    <t>0400</t>
  </si>
  <si>
    <t>PT: CO2411; D6377 - Vapor Pressure, Crude Oil, Expansion Method, Z-Score = -3.11</t>
  </si>
  <si>
    <t>0401</t>
  </si>
  <si>
    <t>PT: CO2411; D445 - Viscosity, Kinematic, 50 °C, Z-Score = 5.16</t>
  </si>
  <si>
    <t>0402</t>
  </si>
  <si>
    <t>PT: CO2411; D7900 - HC Type, n-Hexane, Z-Score = 4.73</t>
  </si>
  <si>
    <t>0403</t>
  </si>
  <si>
    <t>PT: CO2411; D6377 - Vapor Pressure, Crude Oil, Expansion Method, Z-Score = 5.06</t>
  </si>
  <si>
    <t>0404</t>
  </si>
  <si>
    <t>PT: CO2411; D4928 - Water, Coulometric KF, Z-Score = -2.52</t>
  </si>
  <si>
    <t>-2.52</t>
  </si>
  <si>
    <t>0405</t>
  </si>
  <si>
    <t>PT: D-1213; D445 - Viscosity, at 40°C, Z-Score = 5.45</t>
  </si>
  <si>
    <t>0406</t>
  </si>
  <si>
    <t>PT: M986; D381 - Gum, Unwashed Content</t>
  </si>
  <si>
    <t>0407</t>
  </si>
  <si>
    <t>PT: M986; D3227 - Sulfur, Mercaptan, Z-Score = -6.16</t>
  </si>
  <si>
    <t>-6.16</t>
  </si>
  <si>
    <t>0408</t>
  </si>
  <si>
    <t>PT: M986; D2700 - Octane Number, Motor, Z-Score = 4.45</t>
  </si>
  <si>
    <t>0409</t>
  </si>
  <si>
    <t>PT: R-1354; D5453 - Sulfur, by UVF, Z-Score = 4.86</t>
  </si>
  <si>
    <t>0410</t>
  </si>
  <si>
    <t>PT: R-1355; D86 - Distillation, Auto, 90%, Evaporated</t>
  </si>
  <si>
    <t>0411</t>
  </si>
  <si>
    <t>PT: T349; D5453 - Sulfur, by UVF, Z-Score = -2.43</t>
  </si>
  <si>
    <t>0412</t>
  </si>
  <si>
    <t>PT: D345; D86 - Distillation, Auto, 50% Recovered, Recovery %, &amp; Loss %</t>
  </si>
  <si>
    <t>2.05, -2.11, &amp; 2.39</t>
  </si>
  <si>
    <t>0413</t>
  </si>
  <si>
    <t>PT: D345; D86 - Distillation, Auto, 10%, 50%, &amp; 90% Recovered, Z-Scores = -26.93, -94.99, &amp; -196.9</t>
  </si>
  <si>
    <t>-26.93, -94.99, &amp; -196.9</t>
  </si>
  <si>
    <t>0414</t>
  </si>
  <si>
    <t>PT: D345; D6079 - Lubricity, HFRR, Wear Scar Diameter</t>
  </si>
  <si>
    <t>0415</t>
  </si>
  <si>
    <t>PT: R-1356; D4052 - Gravity, API at 60oF</t>
  </si>
  <si>
    <t>-2.1</t>
  </si>
  <si>
    <t>0416</t>
  </si>
  <si>
    <t>PT: T351; D3241 - JFTOT, Pressure Drop</t>
  </si>
  <si>
    <t>0417</t>
  </si>
  <si>
    <t>PT: F323; D5453 - Sulfur, by UVF</t>
  </si>
  <si>
    <t>FXXX</t>
  </si>
  <si>
    <t>-2.17</t>
  </si>
  <si>
    <t>0418</t>
  </si>
  <si>
    <t xml:space="preserve">PT: CO2503; D1298 - Density, Hydrometer, at 15 °C </t>
  </si>
  <si>
    <t>0419</t>
  </si>
  <si>
    <t>PT: CO2503; D5708 - Element, Vanadium, ICPAES, Method A &amp; Method B</t>
  </si>
  <si>
    <t>2.54 &amp; 2.35</t>
  </si>
  <si>
    <t>0420</t>
  </si>
  <si>
    <t>PT: CO2503; D4928 - Water, Coulometric KF, Z-Score = -2.13</t>
  </si>
  <si>
    <t>0421</t>
  </si>
  <si>
    <t>PT: CO2503; D7169 - BP Dististribution, by HT-GC, Multiple Parameters, Z-Scores = Multiple Outliers</t>
  </si>
  <si>
    <t>0422</t>
  </si>
  <si>
    <t>PT: CO2503; D7900 - HC Type, 1,3-dimethylbenzene &amp; 1,4-dimethylbenzene, Z-Scores = -6.92 &amp; -5.98</t>
  </si>
  <si>
    <t>-6.92 &amp; -5.98</t>
  </si>
  <si>
    <t>0423</t>
  </si>
  <si>
    <t>PT: CO2503; D664 - Acid Number, A, 60 mL, inflection EP, Z-Score = 11.30</t>
  </si>
  <si>
    <t>0424</t>
  </si>
  <si>
    <t>PT: CO2503; D473 - Sediment, by Extraction, Z-Score = 10.55</t>
  </si>
  <si>
    <t>0425</t>
  </si>
  <si>
    <t>PT: CO2503; D4006 - Water, by Distillation</t>
  </si>
  <si>
    <t>0426</t>
  </si>
  <si>
    <t>PT: CO2503; D4006 - Water and Sediment, Centrifuge</t>
  </si>
  <si>
    <t>0427</t>
  </si>
  <si>
    <t>PT: CO2503; D4928 - Water, Coulometric KF, Z-Score = -2.51</t>
  </si>
  <si>
    <t>0428</t>
  </si>
  <si>
    <t>0429</t>
  </si>
  <si>
    <t>PT: CO2503; D1298 - API Gravity &amp; Density, Hydrometer, Opaque, at 15 °C, Z-Score = 11.19 &amp; -13.96</t>
  </si>
  <si>
    <t>11.19 &amp; -13.96</t>
  </si>
  <si>
    <t>0430</t>
  </si>
  <si>
    <t>PT: CO2503; D5708 - Element, Iron, ICPAES, Method B &amp; Nickel, ICPAES, Method A, Z-Scores = -5.18 &amp; 76.46</t>
  </si>
  <si>
    <t>-5.18 &amp; 76.46</t>
  </si>
  <si>
    <t>0431</t>
  </si>
  <si>
    <t>PT: CO2503; D5863- Element, Nickel, AAS, Proc B, Z-Score = 9.09</t>
  </si>
  <si>
    <t>0432</t>
  </si>
  <si>
    <t>PT: CO2503; D7900 - HC Type, Multiple Parameters, Z-Scores = Multiple Outliers</t>
  </si>
  <si>
    <t>0433</t>
  </si>
  <si>
    <t>PT: CO2503; D7042 - Viscosity, Stabinger, Kin, 50 °C, Z-Score = -12.99</t>
  </si>
  <si>
    <t>-12.99</t>
  </si>
  <si>
    <t>0434</t>
  </si>
  <si>
    <t>PT: CO2503; D4007 - Water and Sediment, Centrifuge, Z-Score = 9.84</t>
  </si>
  <si>
    <t>0435</t>
  </si>
  <si>
    <t>PT: CO2503; D4928 - Water, Coulometric KF, Z-Score = 3.22</t>
  </si>
  <si>
    <t>0436</t>
  </si>
  <si>
    <t>PT: CO2503; D7900 - HC Type, 1,2-dimethylbenzene, Z-Score =-5.87</t>
  </si>
  <si>
    <t>-5.87</t>
  </si>
  <si>
    <t>0437</t>
  </si>
  <si>
    <t>PT: CO2503; D5762 - Nitrogen, Boat-Inlet Chemilum, Z-Score = 2.60</t>
  </si>
  <si>
    <t>0438</t>
  </si>
  <si>
    <t>PT: CO2503; D3230 - Salts, Electrometric Method, Z-Score = -2.36</t>
  </si>
  <si>
    <t>0439</t>
  </si>
  <si>
    <t>PT: CO2503; D445 - Viscosity, Kinematic, 25 °C, Z-Score = 18.29</t>
  </si>
  <si>
    <t>0440</t>
  </si>
  <si>
    <t>PT: CO2503; D7169 - BP Distribution, by HT-GC, 5%, Z-Score = -2.74</t>
  </si>
  <si>
    <t>0441</t>
  </si>
  <si>
    <t>PT: CO2503; D473 - Sediment, by Extraction, Z-Score = 3.77</t>
  </si>
  <si>
    <t>0442</t>
  </si>
  <si>
    <t>PT: CO2503; D445 - Viscosity, Kinematic, 40 °C</t>
  </si>
  <si>
    <t>0443</t>
  </si>
  <si>
    <t>PT: CO2503; D8045 - Acid Number, Catalytic Thermometric Titration</t>
  </si>
  <si>
    <t>0444</t>
  </si>
  <si>
    <t>PT: CO2503; D7169 - BP Distribution, by HT-GC, Cut 8, 720C (1328F)</t>
  </si>
  <si>
    <t>0445</t>
  </si>
  <si>
    <t>PT: CO2503; D5762 - Nitrogen, Boat-Inlet, Chemilum, Z-Score = 6.10</t>
  </si>
  <si>
    <t>0446</t>
  </si>
  <si>
    <t>PT: CO2503; D7042 - Viscosity, Stabinger, Kin, 50 °C</t>
  </si>
  <si>
    <t>0447</t>
  </si>
  <si>
    <t>PT: CO2503; D5002 - Density, digital, 15 °C</t>
  </si>
  <si>
    <t>0448</t>
  </si>
  <si>
    <t>PT: CO2503; D3230 - Salts, Electrometric Method, Z-Score = 29.42</t>
  </si>
  <si>
    <t>0449</t>
  </si>
  <si>
    <t>0450</t>
  </si>
  <si>
    <t>PT: CO2503; D4530 - Carbon Residue, Micro, Z-Score = -2.47</t>
  </si>
  <si>
    <t>0451</t>
  </si>
  <si>
    <t>PT: CO2503; D5002 - Density, digital, 15 °C, Z-Score = -3.55</t>
  </si>
  <si>
    <t>-3.55</t>
  </si>
  <si>
    <t>0452</t>
  </si>
  <si>
    <t>PT: CO2503; D4294 - Sulfur, by EDXRF, Z-Score = 6.48</t>
  </si>
  <si>
    <t>0453</t>
  </si>
  <si>
    <t>PT: CO2503; D5853 - Pour Point, Manual, Method A, Z-Score = -2.20</t>
  </si>
  <si>
    <t>0454</t>
  </si>
  <si>
    <t>PT: CO2503; D5002 - Density, digital, 15 °C, Z-Score = -30.40</t>
  </si>
  <si>
    <t>-30.40</t>
  </si>
  <si>
    <t>0455</t>
  </si>
  <si>
    <t>PT: CO2503; D4294 - Sulfur, by EDXRF, Z-Score = 2.51</t>
  </si>
  <si>
    <t>0456</t>
  </si>
  <si>
    <t>PT: CO2503; D4007 - Water and Sediment, Centrifuge</t>
  </si>
  <si>
    <t>0457</t>
  </si>
  <si>
    <t>PT: JF2411; D1322 - Smoke Point, Man, Z-Score = -2.17</t>
  </si>
  <si>
    <t>0458</t>
  </si>
  <si>
    <t>PT: JF2411; D86 - Distillation, Auto, % Resid, Z-Scores = -6.97</t>
  </si>
  <si>
    <t>-6.97</t>
  </si>
  <si>
    <t>0459</t>
  </si>
  <si>
    <t>PT: JF2411; D1322 - Smoke Point, Man, Z-Score = 3.58</t>
  </si>
  <si>
    <t>0460</t>
  </si>
  <si>
    <t>PT: JF2411; D445 - Viscosity, Kinematic, -20 °C, Z-Score = 5.54</t>
  </si>
  <si>
    <t>0461</t>
  </si>
  <si>
    <t>PT: JF2411; D86 - Distillation, Auto, FBP</t>
  </si>
  <si>
    <t>0462</t>
  </si>
  <si>
    <t>PT: JF2411; D56 - Flash Point, TAG, Corrected, Z-Score = 50.14</t>
  </si>
  <si>
    <t>0463</t>
  </si>
  <si>
    <t>PT: JF2411; D3242 - Acidity, by Titration, Z-Score = 2.49</t>
  </si>
  <si>
    <t>0464</t>
  </si>
  <si>
    <t>PT: JF2411; D86 - Distillation, Auto, % Resid, Z-Score = 574.88</t>
  </si>
  <si>
    <t>0465</t>
  </si>
  <si>
    <t>PT: JF2411; D445 - Viscosity, Kinematic, -20 °C, Z-Score = 16.17</t>
  </si>
  <si>
    <t>0466</t>
  </si>
  <si>
    <t>PT: JF2411; D2386 - Freeze Point, Z-Score = 2.21</t>
  </si>
  <si>
    <t>0467</t>
  </si>
  <si>
    <t>PT: JF2411; D1319 - HC Type, Aromatics, Oxy-Free, Z-Score = 2.70</t>
  </si>
  <si>
    <t>0468</t>
  </si>
  <si>
    <t>PT: JF2411; D3338 - Net Heat of Combustion, Z-Score = -18.52</t>
  </si>
  <si>
    <t>-18.52</t>
  </si>
  <si>
    <t>0469</t>
  </si>
  <si>
    <t>PT: JF2411; D1298 - Density, by Hydrometer, 15 °C, Z-Score = -14.54</t>
  </si>
  <si>
    <t>0470</t>
  </si>
  <si>
    <t>PT: JF2411; D2624 - Electrical Conductivity, Portable Meter, Z-Score = 3.62</t>
  </si>
  <si>
    <t>0471</t>
  </si>
  <si>
    <t>PT: JF2411; D56 - Flash Point, TAG, Corrected, Z-Score = 3.62</t>
  </si>
  <si>
    <t>0472</t>
  </si>
  <si>
    <t>PT: JF2411; D1319 - HC Type Olefins, Oxy-Free, Z-Score = 8.13</t>
  </si>
  <si>
    <t>0473</t>
  </si>
  <si>
    <t>PT: JF2411; D3338 - Net Heat of Combustion, Z-Score = 2.12</t>
  </si>
  <si>
    <t>0474</t>
  </si>
  <si>
    <t>PT: JF2411; D1319 - HC Type Olefins, Oxy-Free, Z-Score = 3.51</t>
  </si>
  <si>
    <t>0475</t>
  </si>
  <si>
    <t>PT: JF2411; D3227 - Mercaptan Sulfur, Potentiometric</t>
  </si>
  <si>
    <t>0476</t>
  </si>
  <si>
    <t>PT: JF2411; D1840 - Napthalenes, by UVS, Z-Score = -2.07</t>
  </si>
  <si>
    <t>0477</t>
  </si>
  <si>
    <t>PT: JF2411; D3338 - Net Heat of Combustion, Z-Score = -3.75</t>
  </si>
  <si>
    <t>0478</t>
  </si>
  <si>
    <t>PT: JF2411; D86 - Distillation, Auto, 70%, Z-Score = -2.08</t>
  </si>
  <si>
    <t>0479</t>
  </si>
  <si>
    <t>PT: JF2411; D1319 - HC Type Aromatics &amp; Saturates, Oxy-Free, Z-Scores = 7.86 &amp; -6.43</t>
  </si>
  <si>
    <t>7.86 &amp; -6.43</t>
  </si>
  <si>
    <t>0480</t>
  </si>
  <si>
    <t>PT: JF2411; D3338 - Net Heat of Combustion, Z-Score = -5.16</t>
  </si>
  <si>
    <t>-5.16</t>
  </si>
  <si>
    <t>0481</t>
  </si>
  <si>
    <t>PT: JF2411; D3241 - Thermal Stability, Ellipsometric, @275, Thickness, Z-Score = 2.20</t>
  </si>
  <si>
    <t>0482</t>
  </si>
  <si>
    <t>PT: JF2411; D86 - Distillation, Auto, 95%, Z-Score = 2.28</t>
  </si>
  <si>
    <t>0483</t>
  </si>
  <si>
    <t>0484</t>
  </si>
  <si>
    <t>PT: JF2411; D2386 - Freeze Point, Z-Score = 4.14</t>
  </si>
  <si>
    <t>0485</t>
  </si>
  <si>
    <t>PT: JF2411; D3338 - Net Heat of Combustion, Z-Score = -2.75</t>
  </si>
  <si>
    <t>-2.75</t>
  </si>
  <si>
    <t>0486</t>
  </si>
  <si>
    <t>PT: JF2411; D976 - Cetane Index, Calculated, Z-Score = 3.91</t>
  </si>
  <si>
    <t>0487</t>
  </si>
  <si>
    <t>PT: JF2411; D86 - Distillation, Auto, 60% - 95%, &amp; % Loss, Z-Scores = Multiple Outliers</t>
  </si>
  <si>
    <t>0488</t>
  </si>
  <si>
    <t>PT: JF2411; D56 - Flash Point, TAG, Corrected, Z-Score = -3.55</t>
  </si>
  <si>
    <t>0489</t>
  </si>
  <si>
    <t>PT: D-1214; D445 - Viscosity, at 40°C, Z-Score = 11.32</t>
  </si>
  <si>
    <t>0490</t>
  </si>
  <si>
    <t>PT: D-1214; D445 - Viscosity, at 40°C, Z-Score = 6.89</t>
  </si>
  <si>
    <t>0491</t>
  </si>
  <si>
    <t>PT: D-1214; D86 - Distillation, Auto, IBP, Recovered</t>
  </si>
  <si>
    <t>0492</t>
  </si>
  <si>
    <t>PT: M987; D2700 - Octane Number, Motor, Z-Score = 6.07</t>
  </si>
  <si>
    <t>0493</t>
  </si>
  <si>
    <t>PT: M988; D86 - Distillation, Auto, FBP, Evaporated</t>
  </si>
  <si>
    <t>0494</t>
  </si>
  <si>
    <t>PT: R-1357; D1319 - HC Type, Olefins (Uncorrected)</t>
  </si>
  <si>
    <t>0495</t>
  </si>
  <si>
    <t>PT: RFG2505; D5769 - Total Aromatics, by GC/MS (EPA), Z-Score = 4.41</t>
  </si>
  <si>
    <t>0496</t>
  </si>
  <si>
    <t>PT: RFG2505; D7039 - Sulfur, by MWDXRF, Z-Score = -2.13</t>
  </si>
  <si>
    <t>0497</t>
  </si>
  <si>
    <t>PT: RFG2505; D5769 - Total Aromatics, by GC/MS (EPA)</t>
  </si>
  <si>
    <t>0498</t>
  </si>
  <si>
    <t>PT: RFG2505; D86 - Distillation, Auto, 60% &amp; 70%, &amp; 60% (EPA) &amp; 70% (EPA)</t>
  </si>
  <si>
    <t>2.06, 2.46, 2.56, 2.22</t>
  </si>
  <si>
    <t>0499</t>
  </si>
  <si>
    <t>PT: RFG2505; D86 - Distillation, Auto, 20%, °F &amp; % Resid, (EPA), Z-Scores = -3.17 &amp; 8.75</t>
  </si>
  <si>
    <t>-3.17 &amp; 8.75</t>
  </si>
  <si>
    <t>0500</t>
  </si>
  <si>
    <t>PT: RFG2505; D86 - Distillation, Auto, 60% &amp; 70%, °F (EPA)</t>
  </si>
  <si>
    <t>2.04 &amp; 2.08</t>
  </si>
  <si>
    <t>0501</t>
  </si>
  <si>
    <t>PT: RFG2505; D5769 - Benzene, by GC/MS (EPA)</t>
  </si>
  <si>
    <t>0502</t>
  </si>
  <si>
    <t>PT: RFG2505; D86 - Distillation, Auto, IBP, °F (EPA), Z-Score = 2.13</t>
  </si>
  <si>
    <t>0503</t>
  </si>
  <si>
    <t>PT: RFG2505; D5191 - Vapor Pressure, DVPE, 1L</t>
  </si>
  <si>
    <t>0504</t>
  </si>
  <si>
    <t>PT: RFG2505; D86 - Distillation, Auto, % Resid</t>
  </si>
  <si>
    <t>0505</t>
  </si>
  <si>
    <t>PT: RFG2505; D5453 - Sulfur, by UVF</t>
  </si>
  <si>
    <t>0506</t>
  </si>
  <si>
    <t>PT: RFG2505; D86 - Distillation, Auto, E200 °F, % (EPA)</t>
  </si>
  <si>
    <t>0507</t>
  </si>
  <si>
    <t>PT: RFG2505; D86 - Distillation, Auto, E300 °F, % (EPA), Z-Score = -3.17</t>
  </si>
  <si>
    <t>0508</t>
  </si>
  <si>
    <t>PT: RFG2505; D5453 - Sulfur, by UVF, Z-Score = 4.27</t>
  </si>
  <si>
    <t>0509</t>
  </si>
  <si>
    <t>PT: RFG2505; D5580 - Aromatic Type, C9+ Aromatics, by GC</t>
  </si>
  <si>
    <t>0510</t>
  </si>
  <si>
    <t>PT: RFG2505; D3606 - Aromatic Type, Benzene, by GC, Proc B</t>
  </si>
  <si>
    <t>0511</t>
  </si>
  <si>
    <t>0512</t>
  </si>
  <si>
    <t>0513</t>
  </si>
  <si>
    <t>PT: RFG2505; D5188 - V/L Ratio Temp, Evac Chamber, Z-Score = 4.12</t>
  </si>
  <si>
    <t>0514</t>
  </si>
  <si>
    <t>0515</t>
  </si>
  <si>
    <t>PT: RFG2505; D1319 - HC Type, Aromatics &amp; Olefins, Corrected, Oxy-Free, &amp; EPA, Z-Scores = Multiple Outliers</t>
  </si>
  <si>
    <t>0516</t>
  </si>
  <si>
    <t>PT: RFG2505; D5769 - Aromatic Type, Benzene &amp; Toluene, by GC/MS</t>
  </si>
  <si>
    <t>2.79 &amp; 2.04</t>
  </si>
  <si>
    <t>0517</t>
  </si>
  <si>
    <t>PT: RFG2505; D86 - Distillation, Auto, 50%, °F (EPA), Z-Score = 2.23</t>
  </si>
  <si>
    <t>0518</t>
  </si>
  <si>
    <t>-2.86</t>
  </si>
  <si>
    <t>0519</t>
  </si>
  <si>
    <t>PT: RFG2505; D5191 - Vapor Pressure, DVPE, 1L (EPA)</t>
  </si>
  <si>
    <t>0520</t>
  </si>
  <si>
    <t>PT: RFG2505; D4815 - Oxygenates, Ethanol, by GC, Z-Score = -2.23</t>
  </si>
  <si>
    <t>0521</t>
  </si>
  <si>
    <t>PT: RFG2505; D86 - Distillation, Auto, % Loss, % Loss (EPA), &amp; % Recov</t>
  </si>
  <si>
    <t>2.84, 2.72, &amp; -2.70</t>
  </si>
  <si>
    <t>0522</t>
  </si>
  <si>
    <t>PT: RFG2505; D4815 - Oxygenates, Ethanol &amp; Total Oxygen, Z-Scores = -6.14 &amp; -5.99</t>
  </si>
  <si>
    <t>-6.14 &amp; -5.99</t>
  </si>
  <si>
    <t>0523</t>
  </si>
  <si>
    <t>PT: RFG2505; D2622 - Sulfur, by WDXRF, Z-Score = 4.89</t>
  </si>
  <si>
    <t>0524</t>
  </si>
  <si>
    <t>PT: RFG2505; D5453 - Sulfur, by UVF, Z-Score = 6.50</t>
  </si>
  <si>
    <t>0525</t>
  </si>
  <si>
    <t>PT: D-1215; D445 - Viscosity, at 40°C, Z-Score = 2.53</t>
  </si>
  <si>
    <t>0526</t>
  </si>
  <si>
    <t>PT: T350; D1840 - Naphthalenes, by UV, Z-Score = 2.48</t>
  </si>
  <si>
    <t>0527</t>
  </si>
  <si>
    <t>PT: T350; D86 - Distillation, Auto, IBP Recovered &amp; Residue, Z-Scores = -66.95 &amp; 6.93</t>
  </si>
  <si>
    <t>-66.95 &amp; 6.93</t>
  </si>
  <si>
    <t>0528</t>
  </si>
  <si>
    <t>PT: CE530; Octanes - Pump-AKI, Z-Score = 2.20</t>
  </si>
  <si>
    <t>CE530</t>
  </si>
  <si>
    <t>0529</t>
  </si>
  <si>
    <t>PT: CE530; D4052 - API, Gravity</t>
  </si>
  <si>
    <t>0530</t>
  </si>
  <si>
    <t>PT: CE530; D86 - Distillation, Auto, 60% &amp; Residue</t>
  </si>
  <si>
    <t>2.31 &amp; 2.05</t>
  </si>
  <si>
    <t>0531</t>
  </si>
  <si>
    <t>PT: CE530; D5188 - V/L Ratio, Temp, Z-Score = -2.40</t>
  </si>
  <si>
    <t>0532</t>
  </si>
  <si>
    <t>0533</t>
  </si>
  <si>
    <t>0534</t>
  </si>
  <si>
    <t>0535</t>
  </si>
  <si>
    <t>PT: CE530; D5191 - RVP PTOT, Z-Score = -8.85</t>
  </si>
  <si>
    <t>-8.85</t>
  </si>
  <si>
    <t>0536</t>
  </si>
  <si>
    <t>PT: CE530; D86 - Distillation, Auto, EP, Z-Score = -3.07</t>
  </si>
  <si>
    <t>-3.07</t>
  </si>
  <si>
    <t>0537</t>
  </si>
  <si>
    <t>PT: CE530; D86 - Distillation, Auto, 5% &amp; 10%, Z-Scores = 4.42 &amp; 3.55</t>
  </si>
  <si>
    <t>4.42 &amp; 3.55</t>
  </si>
  <si>
    <t>0538</t>
  </si>
  <si>
    <t>0539</t>
  </si>
  <si>
    <t>PT: CE530; D86 - Distillation, Auto, 95%</t>
  </si>
  <si>
    <t>0540</t>
  </si>
  <si>
    <t>PT: CE530; Octanes - Pump-AKI &amp; R-M Sensitivity, Z-Scores = -423.99 &amp; 211.85</t>
  </si>
  <si>
    <t>-423.99 &amp; 211.85</t>
  </si>
  <si>
    <t xml:space="preserve">Confirmed Transcription Errors. </t>
  </si>
  <si>
    <t>0541</t>
  </si>
  <si>
    <t>0542</t>
  </si>
  <si>
    <t>PT: CE530; D86 - Distillation, Auto, Loss%</t>
  </si>
  <si>
    <t>0543</t>
  </si>
  <si>
    <t>PT: CE530; D86 - Distillation, Auto, EP, Z-Score = -2.34</t>
  </si>
  <si>
    <t>0544</t>
  </si>
  <si>
    <t>PT: D-1216; D445 - Viscosity, at 40°C, Z-Score = 10.97</t>
  </si>
  <si>
    <t>D-1216</t>
  </si>
  <si>
    <t>0545</t>
  </si>
  <si>
    <t>PT: M989; D5191 - Vapor Pressure, DVPE, Z-Score = 3.08</t>
  </si>
  <si>
    <t>0546</t>
  </si>
  <si>
    <t>PT: M989; D86 - Distillation, Auto, 90%, Evaporated</t>
  </si>
  <si>
    <t>0547</t>
  </si>
  <si>
    <t>PT: M989; D86 - Distillation, Auto, FBP, Evaporated</t>
  </si>
  <si>
    <t>0548</t>
  </si>
  <si>
    <t>PT: M989; D86 - Distillation, Auto, Residue</t>
  </si>
  <si>
    <t>0549</t>
  </si>
  <si>
    <t>PT: M989; CAN/CGSB-3.0 No 14.3, Aromatics, Z-Score = -22.55</t>
  </si>
  <si>
    <t>-22.55</t>
  </si>
  <si>
    <t>0550</t>
  </si>
  <si>
    <t>PT: M989; SOR/97-493 - Benzene Emissions Number, Winter - Regulation, Z-Score = -31.95</t>
  </si>
  <si>
    <t>-31.95</t>
  </si>
  <si>
    <t>0551</t>
  </si>
  <si>
    <t>PT: R-1358; D4052 - Gravity, API at 60oF, Z-Score = -23.49</t>
  </si>
  <si>
    <t>-23.49</t>
  </si>
  <si>
    <t>0552</t>
  </si>
  <si>
    <t>PT: R-1358; D86 - Distillation, Auto, IBP, Evaporated</t>
  </si>
  <si>
    <t>0553</t>
  </si>
  <si>
    <t>PT: MG2412; D86 - Distillation, Auto, 30%,40%, &amp; E200 °F (EPA)</t>
  </si>
  <si>
    <t>2.56, 2.05, &amp; -2.36</t>
  </si>
  <si>
    <t>0554</t>
  </si>
  <si>
    <t>PT: MG2412; D86 - Distillation, Auto, % Evap (EPA)</t>
  </si>
  <si>
    <t>0555</t>
  </si>
  <si>
    <t>PT: MG2412; D3231 - Element, Phosphorus, by combusition/colorometric, Z-Score = 18.81</t>
  </si>
  <si>
    <t>0556</t>
  </si>
  <si>
    <t>PT: MG2412; D86 - Distillation, Auto, % Resid (EPA), Z-Score = 11.63</t>
  </si>
  <si>
    <t>0557</t>
  </si>
  <si>
    <t>PT: MG2412; D3227 - Mercaptan Sulfur, Potentiometric, Z-Score = 3.38</t>
  </si>
  <si>
    <t>0558</t>
  </si>
  <si>
    <t>0559</t>
  </si>
  <si>
    <t>PT: MG2412; D86 - Distillation, Auto, % Resid (EPA), Z-Score = 4.06</t>
  </si>
  <si>
    <t>0560</t>
  </si>
  <si>
    <t>PT: MG2412; D4052 - API Gravity &amp; Density, Digital, 15 °C, Z-Scores = -3.55 &amp; 3.29</t>
  </si>
  <si>
    <t>-3.55 &amp; 3.29</t>
  </si>
  <si>
    <t>0561</t>
  </si>
  <si>
    <t>PT: MG2412; D86 - Distillation, Auto, FBP,  °F (EPA), Z-Score = -3.19</t>
  </si>
  <si>
    <t>-3.19</t>
  </si>
  <si>
    <t>0562</t>
  </si>
  <si>
    <t>PT: MG2412; D86 - Distillation, Auto, 95%, °F (EPA)</t>
  </si>
  <si>
    <t>0563</t>
  </si>
  <si>
    <t>PT: MG2412; D86 - Distillation, Auto, IBP, Z-Score = -2.01</t>
  </si>
  <si>
    <t>0564</t>
  </si>
  <si>
    <t>PT: MG2412; D1319 - HC Type, Aromatics &amp; Saturates, Oxy-Free (EPA), Z-Scores = -2.16 &amp; 2.14</t>
  </si>
  <si>
    <t>-2.16 &amp; 2.14</t>
  </si>
  <si>
    <t>0565</t>
  </si>
  <si>
    <t>PT: MG2412; D6730 - HC Type, Mutiple Outliers, Z-Scores = Multiple Outliers</t>
  </si>
  <si>
    <t>0566</t>
  </si>
  <si>
    <t>PT: MG2412; D3237 - Mercaptan Sulfur, Potentiometric</t>
  </si>
  <si>
    <t>0567</t>
  </si>
  <si>
    <t>PT: MG2412; D6370 - HC Type, C7 Naphthenes, C9 Paraffins, C9+ Aromatics, &amp; Total Isoparaffins, by pCHR-GC</t>
  </si>
  <si>
    <t>0568</t>
  </si>
  <si>
    <t>PT: MG2412; D3227 - Mercaptan Sulfur, Potentiometric, Z-Score = 4.20</t>
  </si>
  <si>
    <t>0569</t>
  </si>
  <si>
    <t>PT: MG2412; D3606 - Toluene, by GC, Proc B (EPA), Z-Score = 2.25</t>
  </si>
  <si>
    <t>0570</t>
  </si>
  <si>
    <t>PT: MG2412; D86 - Distillation, Auto, % Resid (EPA), Z-Score = -3.25</t>
  </si>
  <si>
    <t>-3.25</t>
  </si>
  <si>
    <t>0571</t>
  </si>
  <si>
    <t>PT: MG2412; D1319 - HC Type, Aromatics, Oxy-Free, Z-Score = -2.83</t>
  </si>
  <si>
    <t>-2.83</t>
  </si>
  <si>
    <t>0572</t>
  </si>
  <si>
    <t>PT: MG2412; D1319 - HC Type, Saturates, Oxy-Free</t>
  </si>
  <si>
    <t>0573</t>
  </si>
  <si>
    <t>PT: D-1217; D93 - Flash Point, PMCC</t>
  </si>
  <si>
    <t>0574</t>
  </si>
  <si>
    <t>PT: D-1217; D445 - Viscosity, at 40oC, Z-Score = -7.42</t>
  </si>
  <si>
    <t>PTO155, 405 reference this PTO574 for documentation of the effectiveness review</t>
  </si>
  <si>
    <t>0575</t>
  </si>
  <si>
    <t>PT: M990; CAN/CGSB-3.0 No. 14.3 - Olefins</t>
  </si>
  <si>
    <t>CAN/CGSB-3.0 No.14.3 - Olefins</t>
  </si>
  <si>
    <t>0576</t>
  </si>
  <si>
    <t>PT: M990; SOR/97-493 - Benzene Emissions Number, Winter, Z-Score = -13.65</t>
  </si>
  <si>
    <t>-13.65</t>
  </si>
  <si>
    <t>0577</t>
  </si>
  <si>
    <t>PT: D346; D86 - Distillation, Auto, Loss%</t>
  </si>
  <si>
    <t>0578</t>
  </si>
  <si>
    <t>PT: D-1218; D93 - Flash Point, PMCC</t>
  </si>
  <si>
    <t>0579</t>
  </si>
  <si>
    <t>PT: JF2503; D86 - Distillation, Auto, 30%, 70%, 80%, 90%, &amp; 95%</t>
  </si>
  <si>
    <t>2.34, 2.26, 2.16, 2.17, &amp; 2.01</t>
  </si>
  <si>
    <t>0580</t>
  </si>
  <si>
    <t>PT: JF2503; D2887 - BP Distribution, GC, Proc A, 5%, 10%, 30%, &amp; 95%, Z-Scores = -2.49, -2.42, -2.08, &amp; -2.33</t>
  </si>
  <si>
    <t>-2.49, -2.42, -2.08, &amp; -2.33</t>
  </si>
  <si>
    <t>0581</t>
  </si>
  <si>
    <t>PT: JF2503; D86 - Distillation, Auto, 20%</t>
  </si>
  <si>
    <t>0582</t>
  </si>
  <si>
    <t>PT: JF2503; D4052 - API Gravity, Digital, 60°F, Z-Score = -3.00</t>
  </si>
  <si>
    <t>0583</t>
  </si>
  <si>
    <t>PT: JF2503; D86 - Distillation, Auto, 40%, Z-Score = -15.44</t>
  </si>
  <si>
    <t>-15.44</t>
  </si>
  <si>
    <t>0584</t>
  </si>
  <si>
    <t>PT: JF2503; D3227 - Mercaptan Sulfur, Potentiometric, Z-Score = -2.69</t>
  </si>
  <si>
    <t>-2.69</t>
  </si>
  <si>
    <t>0585</t>
  </si>
  <si>
    <t>PT: JF2503; D2622 - Sulfur, by WDXRF, Z-Score = 4.19</t>
  </si>
  <si>
    <t>0586</t>
  </si>
  <si>
    <t>PT: JF2503; D976 - Cetane Index, Calculated</t>
  </si>
  <si>
    <t>0587</t>
  </si>
  <si>
    <t>PT: JF2503; D86 - Distillation, Auto, 80%, 90%, &amp; 95%</t>
  </si>
  <si>
    <t>2.04, 2.69, &amp; 2.88</t>
  </si>
  <si>
    <t>0588</t>
  </si>
  <si>
    <t>PT: JF2503; D1840 - Napthalenes, by UVS, Z-Score = 9.12</t>
  </si>
  <si>
    <t>0589</t>
  </si>
  <si>
    <t>PT: JF2503; D5972 - Freeze Point, Auto Phase Trans, Z-Score = 2.48</t>
  </si>
  <si>
    <t>0590</t>
  </si>
  <si>
    <t>PT: JF2503; D3227 - Mercaptan Sulfur, Potentiometric, Z-Score = 2.13</t>
  </si>
  <si>
    <t>0591</t>
  </si>
  <si>
    <t>PT: JF2503; D1322 - Smoke Point, Man, Z-Score = -2.09</t>
  </si>
  <si>
    <t>0592</t>
  </si>
  <si>
    <t>PT: JF2503; D6379 - HC Type, by HPLC, Di-aromatics, Z-Score = 2.67</t>
  </si>
  <si>
    <t>0593</t>
  </si>
  <si>
    <t>PT: JF2503; D4294 - Sulfur, by EDXRF, Z-Score = -5.70</t>
  </si>
  <si>
    <t>-5.70</t>
  </si>
  <si>
    <t>0594</t>
  </si>
  <si>
    <t>PT: JF2503; D86 - Distillation, Auto, 95%</t>
  </si>
  <si>
    <t>0595</t>
  </si>
  <si>
    <t>-5.7</t>
  </si>
  <si>
    <t>0596</t>
  </si>
  <si>
    <t>PT: JF2503; D3338 - Net Heat of Combustion, Z-Score = 3.09</t>
  </si>
  <si>
    <t>0597</t>
  </si>
  <si>
    <t>PT: JF2503; D3242 - Acidity, by Titration, Z-Score = 2.40</t>
  </si>
  <si>
    <t>0598</t>
  </si>
  <si>
    <t>PT: JF2503; D445 - Viscosity, Kinematic, -20 °C, Z-Score = -3.05</t>
  </si>
  <si>
    <t>0599</t>
  </si>
  <si>
    <t>PT: JF2503; D1319 - HC Type, Olefins, Oxy-Free</t>
  </si>
  <si>
    <t>0600</t>
  </si>
  <si>
    <t>PT: JF2503; D1298 - Density, by Hydrometer, 15 °C, Z-Score = -3.17</t>
  </si>
  <si>
    <t>0601</t>
  </si>
  <si>
    <t>PT: JF2503; D2386 - Freeze Point, Manual, Z-Score = 2.98</t>
  </si>
  <si>
    <t>0602</t>
  </si>
  <si>
    <t>PT: JF2503; D1319 - HC Type, Aromatics &amp; Saturates, Oxy-Free, Z-Scores = 2.77 &amp; -3.38</t>
  </si>
  <si>
    <t>2.77 &amp; -3.38</t>
  </si>
  <si>
    <t>0603</t>
  </si>
  <si>
    <t>PT: JF2503; D3338 - Net Heat of Combustion, Z-Score = -3.09</t>
  </si>
  <si>
    <t>0604</t>
  </si>
  <si>
    <t>0605</t>
  </si>
  <si>
    <t>PT: JF2503; D86 - Distillation, Auto, 5%, Z-Score = -3.02</t>
  </si>
  <si>
    <t>0606</t>
  </si>
  <si>
    <t>PT: JF2503; D93 - Flash Point, PMCC, Proc A, corrected, Z-Score = -2.54</t>
  </si>
  <si>
    <t>0607</t>
  </si>
  <si>
    <t>0608</t>
  </si>
  <si>
    <t>PT: JF2503; D6379 - HC Type, by HPLC, Di-aromatics mass%, Z-Score = 4.42</t>
  </si>
  <si>
    <t>0609</t>
  </si>
  <si>
    <t>PT: JF2503; D1840 - Napthalenes, by UVS, Z-Score = 3.79</t>
  </si>
  <si>
    <t>0610</t>
  </si>
  <si>
    <t>PT: JF2503; D3338 - Net Heat, of Combustion, Z-Score = -19.67</t>
  </si>
  <si>
    <t>-19.67</t>
  </si>
  <si>
    <t>0611</t>
  </si>
  <si>
    <t>PT: JF2503; D1322 -Smoke Point, Man, Z-Score = -2.28</t>
  </si>
  <si>
    <t>0612</t>
  </si>
  <si>
    <t>PT: JF2503; D3241 - Thermal Stability, Ellipsometric, @260, Thickness, Z-Score = 2.80</t>
  </si>
  <si>
    <t>0613</t>
  </si>
  <si>
    <t>PT: JF2503; D445 - Viscosity, Kinematic, -20 °C, Z-Score = -23.40</t>
  </si>
  <si>
    <t>-23.4</t>
  </si>
  <si>
    <t>0614</t>
  </si>
  <si>
    <t>PT: JF2503; D6304 - Water, by Coul KF, Meth A Direct Injection, mg/kg, Z-Score = 3.40</t>
  </si>
  <si>
    <t>0615</t>
  </si>
  <si>
    <t>PT: JF2503; D86 - Distillation, Auto, 60%, Z-Score = -3.75</t>
  </si>
  <si>
    <t>0616</t>
  </si>
  <si>
    <t>PT: JF2503; D1319 - HC Type, Aromatics &amp; Saturates, Oxy-Free, Z-Scores = 2.13 &amp; -2.33</t>
  </si>
  <si>
    <t>2.13 &amp; -2.33</t>
  </si>
  <si>
    <t>0617</t>
  </si>
  <si>
    <t>PT: JF2503; D1840 - Napthalenes, by UVS, Z-Score = 2.61</t>
  </si>
  <si>
    <t>0618</t>
  </si>
  <si>
    <t>PT: JF2503; D3338 - Net Heat, of Combustion, Z-Score = -2.76</t>
  </si>
  <si>
    <t>-2.76</t>
  </si>
  <si>
    <t>0619</t>
  </si>
  <si>
    <t>PT: JF2503; D1322 -Smoke Point, Man, Z-Score = -2.12</t>
  </si>
  <si>
    <t>0620</t>
  </si>
  <si>
    <t>PT: JF2503; D86 - Distillation, Auto, % Loss</t>
  </si>
  <si>
    <t>0621</t>
  </si>
  <si>
    <t>PT: JF2503; D56 - Flash Point, TAG, Corrected, Z-Score = 2.19</t>
  </si>
  <si>
    <t>0622</t>
  </si>
  <si>
    <t>0623</t>
  </si>
  <si>
    <t>0624</t>
  </si>
  <si>
    <t>PT: JF2503; D2887 - BP Distribution, GC, Proc A, FBP, Z-Score = 21.90</t>
  </si>
  <si>
    <t>0625</t>
  </si>
  <si>
    <t>PT: JF2503; D3338 - Net Heat, of Combustion, Z-Score = 100.50</t>
  </si>
  <si>
    <t>0626</t>
  </si>
  <si>
    <t>PT: JF2503; D1322 -Smoke Point, Man, Z-Score = -2.50</t>
  </si>
  <si>
    <t>0627</t>
  </si>
  <si>
    <t>PT: JF2503; D86 - Distillation, Auto, % Loss, Z-Score = 3.14</t>
  </si>
  <si>
    <t>0628</t>
  </si>
  <si>
    <t>0629</t>
  </si>
  <si>
    <t>PT: JF2503; D3242 - Acidity, by Titration, Z-Score = 3.40</t>
  </si>
  <si>
    <t>0630</t>
  </si>
  <si>
    <t>0631</t>
  </si>
  <si>
    <t>0632</t>
  </si>
  <si>
    <t>0633</t>
  </si>
  <si>
    <t>0634</t>
  </si>
  <si>
    <t>PT: JF2503; D4052 - Density, Digital, 15 °C, Z-Score = 5.07</t>
  </si>
  <si>
    <t>0635</t>
  </si>
  <si>
    <t>PT: JF2503; D86 - Distillation, Auto, 20% - 90%, &amp; FBP</t>
  </si>
  <si>
    <t>0636</t>
  </si>
  <si>
    <t>PT: JF2503; D2386 - Freeze Point, Manual, Z-Score = 7.27</t>
  </si>
  <si>
    <t>0637</t>
  </si>
  <si>
    <t>PT: JF2503; D1319 - HC Type, Olefins &amp; Saturates, Oxy-Free, Z-Scores = 15.45 &amp; -5.05</t>
  </si>
  <si>
    <t>15.45 &amp; -5.05</t>
  </si>
  <si>
    <t>0638</t>
  </si>
  <si>
    <t>PT: JF2503; D3227 - Mercaptan Sulfur, Potentiometric, Z-Score = 47473.05</t>
  </si>
  <si>
    <t>0639</t>
  </si>
  <si>
    <t>PT: JF2503; D1840 - Napthalenes, by UVS, Z-Score = 19.38</t>
  </si>
  <si>
    <t>0640</t>
  </si>
  <si>
    <t>PT: JF2503; D3338 - Net Heat, of Combustion, Z-Score = -5.19</t>
  </si>
  <si>
    <t>-5.19</t>
  </si>
  <si>
    <t>0641</t>
  </si>
  <si>
    <t>0642</t>
  </si>
  <si>
    <t>PT: JF2503; D5453 - Sulfur, by UVF, Z-Score = 2.50</t>
  </si>
  <si>
    <t>0643</t>
  </si>
  <si>
    <t>PT: JF2503; D6304 - Water, by Coul KF, Meth A Direct Injection, mg/kg, Z-Score =- 2.80</t>
  </si>
  <si>
    <t>-2.8</t>
  </si>
  <si>
    <t>0644</t>
  </si>
  <si>
    <t>PT: TM06-25; D2699 - Octane Number, Research, Z-Score = -4.18</t>
  </si>
  <si>
    <t>0645</t>
  </si>
  <si>
    <t>PT: TM06-25; D86 - Distillation, Auto, 50%</t>
  </si>
  <si>
    <t>0646</t>
  </si>
  <si>
    <t>PT: BO2504; D445 - Viscosity, Kinematic, 100°C &amp; 40°C, Z-Scores = 4.20 &amp; -5.58</t>
  </si>
  <si>
    <t>4.20 &amp; -5.58</t>
  </si>
  <si>
    <t>0647</t>
  </si>
  <si>
    <t>PT: R-1359; D2699 - Octane Number, Research, Z-Score = 2.23</t>
  </si>
  <si>
    <t>0648</t>
  </si>
  <si>
    <t>PT: R-1359; D5453 - Sulfur, by UVF</t>
  </si>
  <si>
    <t>0649</t>
  </si>
  <si>
    <t>PT: R-1359; D86 - Distillation, Auto, 10%</t>
  </si>
  <si>
    <t>-2.00</t>
  </si>
  <si>
    <t>0650</t>
  </si>
  <si>
    <t>PT: M991; D381 - Gums, Unwashed Content</t>
  </si>
  <si>
    <t>0651</t>
  </si>
  <si>
    <t>PT: M991; D5191 - Vapor Pressure, DVPE, Z-Score = -10.63</t>
  </si>
  <si>
    <t>-10.63</t>
  </si>
  <si>
    <t>0652</t>
  </si>
  <si>
    <t>-2.3</t>
  </si>
  <si>
    <t>0653</t>
  </si>
  <si>
    <t>PT: M991; D86 - Distillation, Auto, % Evaporated @ 93oC &amp; 149oC, Z-Scores = -10.88 &amp; -7.17</t>
  </si>
  <si>
    <t>-10.88 &amp; -7.17</t>
  </si>
  <si>
    <t>0654</t>
  </si>
  <si>
    <t>PT: T352; D3242 - Acid Number, by Titration, Z-Score = 2.71</t>
  </si>
  <si>
    <t>0655</t>
  </si>
  <si>
    <t>PT: T352; D1840 - Naphthalenes, by UV Spec, Z-Score = 5.18</t>
  </si>
  <si>
    <t>0656</t>
  </si>
  <si>
    <t>PT: T352; D5453 - Sulfur, by UVF</t>
  </si>
  <si>
    <t>0657</t>
  </si>
  <si>
    <t>PT: T352; D86 - Distillation, Auto, 90% &amp; Recovery</t>
  </si>
  <si>
    <t>2.09 &amp; -2.23</t>
  </si>
  <si>
    <t>0658</t>
  </si>
  <si>
    <t>PT: T352; D3241 - JFTOT, Pressure Drop, Z-Score = 29.00</t>
  </si>
  <si>
    <t>0659</t>
  </si>
  <si>
    <t>PT: ETOH2504; D6423 - pHe, Ethanol, Z-Score = 3.07</t>
  </si>
  <si>
    <t>0660</t>
  </si>
  <si>
    <t>PT: ETOH2504; E1064 - Water, by Coul KF</t>
  </si>
  <si>
    <t>0661</t>
  </si>
  <si>
    <t>PT: ETOH2504; D5501 - Methanol, by GC, Z-Score = 2.06</t>
  </si>
  <si>
    <t>0662</t>
  </si>
  <si>
    <t>PT: ETOH2504; D4052 - Density, Relative @ 15.56 °C, Z-Score = 8.27</t>
  </si>
  <si>
    <t>0663</t>
  </si>
  <si>
    <t>PT: ETOH2504; E1064 - Water, by Coul KF, Z-Score = 3.59</t>
  </si>
  <si>
    <t>0664</t>
  </si>
  <si>
    <t>PT: ETOH2504; D6423 - pHe, Ethanol, Z-Score = 2.88</t>
  </si>
  <si>
    <t>0665</t>
  </si>
  <si>
    <t>PT: R-1360; D4052 - Gravity, API at 60 °F</t>
  </si>
  <si>
    <t>0666</t>
  </si>
  <si>
    <t>PT: R-1360; D5191 - Vapor Pressure, PTOT</t>
  </si>
  <si>
    <t>0667</t>
  </si>
  <si>
    <t>PT: R-1360; D5769 - Total Aromatics, by GC/MS</t>
  </si>
  <si>
    <t>0668</t>
  </si>
  <si>
    <t>PT: R-1360; D86 - Distillation, Auto, 50% Evaporated</t>
  </si>
  <si>
    <t>0669</t>
  </si>
  <si>
    <t>PT: OC2504; D86 - Distillation, IBP °F</t>
  </si>
  <si>
    <t>0670</t>
  </si>
  <si>
    <t>PT: OC2504; D2622 - Sulfur Content, by WDXRF, Z-Score = -3.53</t>
  </si>
  <si>
    <t>-3.53</t>
  </si>
  <si>
    <t>0671</t>
  </si>
  <si>
    <t>PT: OC2504; D5191 - Vapor Pressure, DVPE</t>
  </si>
  <si>
    <t>0672</t>
  </si>
  <si>
    <t>PT: OC2504; D1319 - HC Type, Olefins &amp; Saturates, Oxy-Free, Z-Scores = 42.65 &amp; -26.06</t>
  </si>
  <si>
    <t>42.65 &amp; -26.06</t>
  </si>
  <si>
    <t>0673</t>
  </si>
  <si>
    <t>PT: OC2504; D86 - Distillation, FBP, % Loss &amp; % Recovery, Z-Scores = -8.44, 180.02 &amp; 473.87</t>
  </si>
  <si>
    <t>-8.44, 180.02, &amp; 473.87</t>
  </si>
  <si>
    <t>0674</t>
  </si>
  <si>
    <t>PT: OC2504; D1319 - HC Type, Olefins &amp; Saturates, Oxy-Free, Z-Scores = 40.32 &amp; -25.70</t>
  </si>
  <si>
    <t>40.32 &amp; -25.70</t>
  </si>
  <si>
    <t>0675</t>
  </si>
  <si>
    <t>PT: OC2504; D1319 - HC Type, Olefins &amp; Saturates, Oxy-Free, Z-Scores = 40.07 &amp; -24.72</t>
  </si>
  <si>
    <t>40.07 &amp; -24.72</t>
  </si>
  <si>
    <t>0676</t>
  </si>
  <si>
    <t>PT: OC2504; D2700 - Octane Number, Motor, &amp; MON Compression Ratio Procedure C, Z-Scores =2.67 &amp; 2.45</t>
  </si>
  <si>
    <t>2.67 &amp; 2.45</t>
  </si>
  <si>
    <t>0677</t>
  </si>
  <si>
    <t>PT: OC2504; D2699 - Octane Number, Research, &amp; RON Compression Ratio Procedure C, Z-Scores =-2.11 &amp; -2.07</t>
  </si>
  <si>
    <t>-2.11 &amp; -2.07</t>
  </si>
  <si>
    <t>0678</t>
  </si>
  <si>
    <t>PT: DF22502; D4737 - Cetane Index, by Four Var Eq</t>
  </si>
  <si>
    <t>0679</t>
  </si>
  <si>
    <t>PT: DF22502; D4737 - Cetane Index, Calculated, Z-Score = -6.20</t>
  </si>
  <si>
    <t>-6.20</t>
  </si>
  <si>
    <t>0680</t>
  </si>
  <si>
    <t>PT: DF22502; D2500 - Cloud Point, Manual, Z-Score = -2.10</t>
  </si>
  <si>
    <t>0681</t>
  </si>
  <si>
    <t>PT: DF22502; D86 - Distillation, Auto, 90%</t>
  </si>
  <si>
    <t>0682</t>
  </si>
  <si>
    <t>PT: DF22502; D1319 - HC Type, Saturates, Oxy-Free, Z-Score = -25.49</t>
  </si>
  <si>
    <t>-25.49</t>
  </si>
  <si>
    <t>0683</t>
  </si>
  <si>
    <t>PT: DF22502; D5949 - Pour Point, Auto Pressure Pulse (Models 30.50.70) &amp; (Models 70V, 70X, 70Xi), Z-Scores = -2.10 &amp; -2.30</t>
  </si>
  <si>
    <t>0684</t>
  </si>
  <si>
    <t>PT: DF22502; D7042 - Viscosity, Stabinger, Kin, 40 °C, Z-Score = -3.13</t>
  </si>
  <si>
    <t>0685</t>
  </si>
  <si>
    <t>PT: DF22502; D4052 - API Gravity, Digital, 60 °F, Z-Score = 9.78</t>
  </si>
  <si>
    <t>0686</t>
  </si>
  <si>
    <t>0687</t>
  </si>
  <si>
    <t>PT: DF22502; D2887 - BP Distribution, GC, Proc A, Multiple Parameters, Z-Scores = Multiple Outliers</t>
  </si>
  <si>
    <t>0688</t>
  </si>
  <si>
    <t>PT: DF22502; D5186 - HC Type, by SFC, Total Aromatics &amp; PAH, Z-Scores = 4.14 &amp; 4.91</t>
  </si>
  <si>
    <t>4.14 &amp; 4.91</t>
  </si>
  <si>
    <t>0689</t>
  </si>
  <si>
    <t>PT: DF22502; D2887 - BP Distribution, GC, Proc A, IBP</t>
  </si>
  <si>
    <t>0690</t>
  </si>
  <si>
    <t>PT: DF22502; D6079 - Lubricity, HFRR, Scar Diameter, Z-Score = -9.20</t>
  </si>
  <si>
    <t>-9.24</t>
  </si>
  <si>
    <t>0691</t>
  </si>
  <si>
    <t>PT: DF22502; D4629 - Nitrogen, by Chemiluminescence, Z-Score = 2.01</t>
  </si>
  <si>
    <t>0692</t>
  </si>
  <si>
    <t>PT: DF22502; D2500 - Cloud Point, Manual, Z-Score = -2.80</t>
  </si>
  <si>
    <t>0693</t>
  </si>
  <si>
    <t>PT: DF22502; D86 - Distillation, Auto, IBP, Z-Score = -2.16</t>
  </si>
  <si>
    <t>0694</t>
  </si>
  <si>
    <t>PT: DF22502; D1319 - HC Type, Aromatics &amp; Saturates, Oxy-Free, Z-Score = 2.43 &amp; -2.81</t>
  </si>
  <si>
    <t>2.43 &amp; -2.81</t>
  </si>
  <si>
    <t>0695</t>
  </si>
  <si>
    <t>PT: DF22502; D97 - Pour Point, Manual, Z-Score = -4.30</t>
  </si>
  <si>
    <t>-4.3</t>
  </si>
  <si>
    <t>0696</t>
  </si>
  <si>
    <t>PT: DF22502; D445 - Viscosity, Kinematic, 40 °C, Z-Score = 7.45</t>
  </si>
  <si>
    <t>0697</t>
  </si>
  <si>
    <t>PT: DF22502; D6304 - Water, by Coul KF, Meth A Direct Injection, mg/kg, Z-Score = -2.20</t>
  </si>
  <si>
    <t>0698</t>
  </si>
  <si>
    <t>PT: DF22502; D86 - Distillation, Auto, % Resid, Z-Score = -3.62</t>
  </si>
  <si>
    <t>-3.62</t>
  </si>
  <si>
    <t>0699</t>
  </si>
  <si>
    <t>PT: DF22502; D1319 - HC Type, Olefins, Oxy-Free, Z-Score = 2.13</t>
  </si>
  <si>
    <t>0700</t>
  </si>
  <si>
    <t>PT: DF22502; D4052 - API Gravity, Digital, 60 °F, Z-Score = 960.60</t>
  </si>
  <si>
    <t>0701</t>
  </si>
  <si>
    <t>PT: DF22502; D93 - Flash Point, PMCC, Proc A, corrected, Z-Score = 4.43</t>
  </si>
  <si>
    <t>0702</t>
  </si>
  <si>
    <t>PT: DF22502; D1319 - HC Type, Olefins, Oxy-Free, Z-Score = 2.01</t>
  </si>
  <si>
    <t>0703</t>
  </si>
  <si>
    <t>PT: DF22502; D4294 - Sulfur, by EDXRF, Z-Score = 3.13</t>
  </si>
  <si>
    <t>0704</t>
  </si>
  <si>
    <t>PT: DF22502; D445 - Viscosity, Kinematic, 40 °C, Z-Score = -3.97</t>
  </si>
  <si>
    <t>-3.97</t>
  </si>
  <si>
    <t>0705</t>
  </si>
  <si>
    <t>PT: DF22502; D664 - Acid Number, A, 60 mL, inflection EP, Z-Score = 5.36</t>
  </si>
  <si>
    <t>0706</t>
  </si>
  <si>
    <t>PT: DF22502; D86 - Distillation, Auto, 5% &amp; 10%, Z-Scores = -2.45 &amp; -2.05</t>
  </si>
  <si>
    <t>-2.45 &amp; -2.05</t>
  </si>
  <si>
    <t>0707</t>
  </si>
  <si>
    <t>PT: DF22502; D86 - Distillation, Auto, % Resid</t>
  </si>
  <si>
    <t>0708</t>
  </si>
  <si>
    <t>PT: DF22502; D5186 - HC Type, by SFC, Mono Aromatics</t>
  </si>
  <si>
    <t>0709</t>
  </si>
  <si>
    <t>PT: DF22502; D2887 - BP Distribution, GC, Proc A, IBP, Z-Score = -3.14</t>
  </si>
  <si>
    <t>-3.14</t>
  </si>
  <si>
    <t>0710</t>
  </si>
  <si>
    <t>PT: DF22502; D6591 - HC Type, by HPLC, Multiple Parameters, Z-Scores = Multiple Outliers</t>
  </si>
  <si>
    <t>0711</t>
  </si>
  <si>
    <t>PT: DF22502; D7346 - No Flow Point &amp; Pour Point, Z-Scores = -16.32 &amp; -11.20</t>
  </si>
  <si>
    <t>-16.32 &amp; -11.20</t>
  </si>
  <si>
    <t>0712</t>
  </si>
  <si>
    <t>PT: DF22502; D97 - Pour Point, Z-Score = -10.50</t>
  </si>
  <si>
    <t>0713</t>
  </si>
  <si>
    <t>PT: DF22502; D5453 - Sulfur, by UVF, Z-Score = -10.29</t>
  </si>
  <si>
    <t>-10.29</t>
  </si>
  <si>
    <t>0714</t>
  </si>
  <si>
    <t>PT: DF22502; D445 - Viscosity, Kinematic, 40 °C, Z-Score = 2.99</t>
  </si>
  <si>
    <t>0715</t>
  </si>
  <si>
    <t>PT: DF22502; D86 - Distillation, Auto, IBP, Z-Score = -2.24</t>
  </si>
  <si>
    <t>0716</t>
  </si>
  <si>
    <t>PT: DF22502; D5949 - Pour Point, Auto Pressure Pulse (Models 70V, 70X, 70Xi) , Z-Score = -2.30</t>
  </si>
  <si>
    <t>0717</t>
  </si>
  <si>
    <t>PT: DF22502; D4052 - API Gravity &amp; Density, Digital, 60 °F &amp; 15 °C, Z-Scores = -3.07 &amp; 3.30</t>
  </si>
  <si>
    <t>-3.07 &amp; 3.30</t>
  </si>
  <si>
    <t>0718</t>
  </si>
  <si>
    <t>PT: LPG2503; D7423 - Oxygenates by GC-FID, Methanol, Z-Score = 0.00 (Rejected)</t>
  </si>
  <si>
    <t>0.00, Rejected</t>
  </si>
  <si>
    <t>0719</t>
  </si>
  <si>
    <t>PT: LPG2503; D2163 - Hydrocarbons, n-Pentane, Z-Score = 2.45</t>
  </si>
  <si>
    <t>0720</t>
  </si>
  <si>
    <t>PT: LPG2503; D6667 - Sulfur in LPG, by UVF</t>
  </si>
  <si>
    <t>0721</t>
  </si>
  <si>
    <t>PT: BIOD2504; D2500 - Cloud Point, biodiesel</t>
  </si>
  <si>
    <t>0722</t>
  </si>
  <si>
    <t>PT: BIOD2504; D1160 - Distillation, 1.3kPa, Auto, IBP</t>
  </si>
  <si>
    <t>0723</t>
  </si>
  <si>
    <t>PT: BIOD2504; D6079 - Lubricity, HFRR, Scar Diameter</t>
  </si>
  <si>
    <t>0724</t>
  </si>
  <si>
    <t>PT: BIOD2504; D189 - Carbon Residue, Conradson</t>
  </si>
  <si>
    <t>0725</t>
  </si>
  <si>
    <t>PT: BIOD2504; D5185 - Elements, Ca + Mg, by ICP/AES, Z-Score = 0.00 (Result Rejected)</t>
  </si>
  <si>
    <t>0726</t>
  </si>
  <si>
    <t>PT: BIOD2504; EN14538 - Elements, Ca + Mg, by ICP/OES</t>
  </si>
  <si>
    <t>0727</t>
  </si>
  <si>
    <t>PT: BIOD2504; D874 - Ash, Sulfated</t>
  </si>
  <si>
    <t>0728</t>
  </si>
  <si>
    <t>PT: BIOD2504; D664 - Acid Number, Potentiometric B, Z-Score = 2.48</t>
  </si>
  <si>
    <t>0729</t>
  </si>
  <si>
    <t>0730</t>
  </si>
  <si>
    <t>PT: BIOD2504; D445 - Viscosity, Kinematic, 40 °C, Z-Score = -7.96</t>
  </si>
  <si>
    <t>-7.96</t>
  </si>
  <si>
    <t>0731</t>
  </si>
  <si>
    <t>PT: BIOD2504; D664 - Acid Number, Potentiometric B, Z-Score = 2.23</t>
  </si>
  <si>
    <t>0732</t>
  </si>
  <si>
    <t>PT: BIOD2504; D974 - Acid Number, by Color Indicator, Z-Score = 2.15</t>
  </si>
  <si>
    <t>0733</t>
  </si>
  <si>
    <t>PT: BIOD2504; ISO 12185 - Density, Digital, 15 °C</t>
  </si>
  <si>
    <t>0734</t>
  </si>
  <si>
    <t>PT: BIOD2504; ISO 2719-A - Flash Point, PMCC, Proc C, corrected, Z-Score = 5.19</t>
  </si>
  <si>
    <t>0735</t>
  </si>
  <si>
    <t>PT: BIOD2504; D6584 - Glycerin, by GC, Monoglyceride &amp; Total, Z-Scores = -3.43 &amp; -3.00</t>
  </si>
  <si>
    <t>-3.43 &amp; -3.00</t>
  </si>
  <si>
    <t>0736</t>
  </si>
  <si>
    <t>PT: BIOD2504; ISO 20846 - Sulfur, by UVF</t>
  </si>
  <si>
    <t>0737</t>
  </si>
  <si>
    <t>PT: BIOD2504; D93 - Flash Point, PMCC, Proc A, corrected, Z-Score = -12.41</t>
  </si>
  <si>
    <t>-12.41</t>
  </si>
  <si>
    <t>0738</t>
  </si>
  <si>
    <t>PT: MG2504; D86 - Distillation, Auto, 90%, °F (EPA)</t>
  </si>
  <si>
    <t>-2.79</t>
  </si>
  <si>
    <t>0739</t>
  </si>
  <si>
    <t>PT: MG2504; D3237 - Element, Lead, by AAS, Z-Score = 80.70</t>
  </si>
  <si>
    <t>0740</t>
  </si>
  <si>
    <t>PT: MG2504; D5188 - V/L Ratio Temp, Evac Chamber, Z-Score = -5.26</t>
  </si>
  <si>
    <t>-5.26</t>
  </si>
  <si>
    <t>0741</t>
  </si>
  <si>
    <t>PT: MG2504; D5580 - Aromatic Type, Benzene &amp; Tolune, by GC, Z-Scores = 9.06 &amp; 13.20</t>
  </si>
  <si>
    <t>9.06 &amp; 13.20</t>
  </si>
  <si>
    <t>0742</t>
  </si>
  <si>
    <t>PT: MG2504; D1298 - Density, by Hydrometer at 15 °C, Z-Score = 2.24</t>
  </si>
  <si>
    <t>0743</t>
  </si>
  <si>
    <t>PT: MG2504; D5453 - Sulfur, by UVF</t>
  </si>
  <si>
    <t>0744</t>
  </si>
  <si>
    <t>PT: MG2504; D5191 - Vapor Pressure, DVPE &amp; TVP, 1L, Z-Scores = 7.33 &amp; -6.60</t>
  </si>
  <si>
    <t>7.33 &amp; -6.60</t>
  </si>
  <si>
    <t>0745</t>
  </si>
  <si>
    <t>PT: MG2504; D86 - Distillation, Auto, 40% - 95%, Z-Scores = Multiple Outliers</t>
  </si>
  <si>
    <t>0746</t>
  </si>
  <si>
    <t>PT: MG2504; D381 - Gum, Unwashed, Z-Score = 2.89</t>
  </si>
  <si>
    <t>0747</t>
  </si>
  <si>
    <t>PT: MG2504; D1319 - HC Type, Olefins &amp; Saturates, Oxy-Free, Z-Scores = 3.27 &amp; -2.89</t>
  </si>
  <si>
    <t>3.27 &amp; -2.89</t>
  </si>
  <si>
    <t>0748</t>
  </si>
  <si>
    <t>PT: MG2504; D5580 - Aromatic Type, Aromatics, C9+, by GC</t>
  </si>
  <si>
    <t>0749</t>
  </si>
  <si>
    <t>PT: MG2504; D3606 - Benzene, by GC, Proc B, &amp; (EPA)</t>
  </si>
  <si>
    <t>-2.44 &amp; -2.39</t>
  </si>
  <si>
    <t>0750</t>
  </si>
  <si>
    <t>PT: MG2504; D381 - Gum, Unwashed, Z-Score = 2.33</t>
  </si>
  <si>
    <t>0751</t>
  </si>
  <si>
    <t>PT: MG2504; D1319 - HC Type, Olefins &amp; Saturates, Multiple Parameters, Z-Scores = Multiple Outliers</t>
  </si>
  <si>
    <t>0752</t>
  </si>
  <si>
    <t>0753</t>
  </si>
  <si>
    <t>PT: MG2504; D1319 - HC Type, Olefins, Corrected, Z-Score = -2.10</t>
  </si>
  <si>
    <t>0754</t>
  </si>
  <si>
    <t>PT: MG2504; D5191 - Vapor Pressure, TVP, 1L, Z-Score = 2.05</t>
  </si>
  <si>
    <t>0755</t>
  </si>
  <si>
    <t>PT: MG2504; D3606 - Toluene, by GC, Proc A, Z-Score = -18.03</t>
  </si>
  <si>
    <t>-18.03</t>
  </si>
  <si>
    <t>0756</t>
  </si>
  <si>
    <t>PT: MG2504; D5191 - Vapor Pressure, DVPE &amp; TVP, 1L &amp; (EPA), Z-Scores = 2.78, 2.96, 2.93, &amp; 2.48</t>
  </si>
  <si>
    <t>2.78, 2.96, 2.93, &amp; 2.48</t>
  </si>
  <si>
    <t>0757</t>
  </si>
  <si>
    <t>PT: AASHTO Vis279+280; T49 Pen 1/10 mm, Z-scores = 2, 3</t>
  </si>
  <si>
    <t>2, 3</t>
  </si>
  <si>
    <t>0758</t>
  </si>
  <si>
    <t>PT: CE531; D86 - Distillation, Auto, IBP, Z-Score = -2.42</t>
  </si>
  <si>
    <t>GLR</t>
  </si>
  <si>
    <t>0759</t>
  </si>
  <si>
    <t>PT: CE531; D2699/D2700 - Pump-AKI, Z-Score = 2.04</t>
  </si>
  <si>
    <t>0760</t>
  </si>
  <si>
    <t>PT: CE531; D86 - Distillation, Auto, 80%</t>
  </si>
  <si>
    <t>0761</t>
  </si>
  <si>
    <t>PT: CE531; D4052 - API, Gravity, Z-Score = -6.37</t>
  </si>
  <si>
    <t>-6.37</t>
  </si>
  <si>
    <t>0762</t>
  </si>
  <si>
    <t>PT: CE531; D86 - Distillation, Auto, 95%, Z-Score = -3.24</t>
  </si>
  <si>
    <t>0763</t>
  </si>
  <si>
    <t>PT: CE531; D5769 - Aromatic Type, Aromatics, by GC/MS, Z-Score = -2.07</t>
  </si>
  <si>
    <t>0764</t>
  </si>
  <si>
    <t>PT: CE531; D5580 - Aromatic Type, C9+ Aromatics, by GC, Z-Score = 6.53</t>
  </si>
  <si>
    <t>0765</t>
  </si>
  <si>
    <t>PT: CE531; D2622 - Sulfur, by WDXRF, Z-Score = -2.08</t>
  </si>
  <si>
    <t>0766</t>
  </si>
  <si>
    <t>PT: RFG2506; D86 - Distillation, Auto, 90%, °F (EPA), Z-Score = -10.03</t>
  </si>
  <si>
    <t>-10.03</t>
  </si>
  <si>
    <t>0767</t>
  </si>
  <si>
    <t>PT: RFG2506; D5769 - Aromatics, Total, by GC/MS (EPA), Z-Score = 2.88</t>
  </si>
  <si>
    <t>0768</t>
  </si>
  <si>
    <t>PT: RFG2506; D86 - Distillation, Auto, % Resid &amp; (EPA)</t>
  </si>
  <si>
    <t>2.30 &amp; 2.32</t>
  </si>
  <si>
    <t>0769</t>
  </si>
  <si>
    <t>PT: RFG2506; D86 - Distillation, Auto, % Resid (EPA)</t>
  </si>
  <si>
    <t>0770</t>
  </si>
  <si>
    <t>PT: RFG2506; D3606 - Benzene, by GC, Proc B, Z-Score = 2.05</t>
  </si>
  <si>
    <t>PBMS Parameter - 14 Day Closure</t>
  </si>
  <si>
    <t>0771</t>
  </si>
  <si>
    <t>PT: RFG2506; D5580 - Aromatic Type, Total Aromatics, by GC/MS, Z-Score = 3.09</t>
  </si>
  <si>
    <t>0772</t>
  </si>
  <si>
    <t>PT: RFG2506; D4052 - Density, Digital, 15 °C</t>
  </si>
  <si>
    <t>0773</t>
  </si>
  <si>
    <t>PT: RFG2506; D86 - Distillation, Auto, 95%, °F &amp; % Resid (EPA), Z-Scores = 3.18 &amp; 3.09</t>
  </si>
  <si>
    <t>3.18 &amp; 3.09</t>
  </si>
  <si>
    <t>0774</t>
  </si>
  <si>
    <t>PT: RFG2506; D5769 - Aromatic Type, Benzene, by GC/MS (EPA), Z-Score = 5.76</t>
  </si>
  <si>
    <t>0775</t>
  </si>
  <si>
    <t>PT: RFG2506; D86 - Distillation, Auto, 70%, °F (EPA) &amp; % Evaporated</t>
  </si>
  <si>
    <t>-2.11 &amp; -2.19</t>
  </si>
  <si>
    <t>0776</t>
  </si>
  <si>
    <t>PT: RFG2506; D4815 - Oxygenates, Ethanol, by GC, Z-Score = -2.68</t>
  </si>
  <si>
    <t>0777</t>
  </si>
  <si>
    <t>PT: RFG2506; D86 - Distillation, Auto, % Evap (EPA)</t>
  </si>
  <si>
    <t>0778</t>
  </si>
  <si>
    <t>PT: RFG2506; D5188 - V/L Ratio Temp, Evac Chamber, Z-Score = 2.04</t>
  </si>
  <si>
    <t>0779</t>
  </si>
  <si>
    <t>PT: RFG2506; D3606 - Benzene, by GC, Proc B, Z-Score = 8.12</t>
  </si>
  <si>
    <t>0780</t>
  </si>
  <si>
    <t>0781</t>
  </si>
  <si>
    <t>PT: RFG2506; D5191 - Vapor Pressure, DVPE &amp; TVP, 1L</t>
  </si>
  <si>
    <t>-2.11 &amp; -2.44</t>
  </si>
  <si>
    <t>0782</t>
  </si>
  <si>
    <t>0783</t>
  </si>
  <si>
    <t>PT: RFG2506; D86 - Distillation, Auto, 50%, % Loss (EPA), &amp; E300 °F, % (EPA), Z-Scores = 3.48,  -3.15, &amp; -6.83</t>
  </si>
  <si>
    <t>3.48, -3.15, &amp; -6.83</t>
  </si>
  <si>
    <t>0784</t>
  </si>
  <si>
    <t>PT: RFG2506; D5769 - Aromatic Type, Total Aromatics, by GC/MS &amp; (EPA), Z-Scores = -2.32 &amp; -2.39</t>
  </si>
  <si>
    <t>-2.32 &amp; -2.39</t>
  </si>
  <si>
    <t>0785</t>
  </si>
  <si>
    <t>PT: RFG2506; D5599 - Oxygenates, Ethanol &amp; Total Oxygen, by GC OFID, &amp; Ethanol (EPA)</t>
  </si>
  <si>
    <t>2.08, 2.40, &amp; 2.38</t>
  </si>
  <si>
    <t>0786</t>
  </si>
  <si>
    <t>PT: RFG2506; D86 - Distillation, Auto, 90%, °F &amp; E300 °F, % (EPA)</t>
  </si>
  <si>
    <t>-2.21 &amp; 2.06</t>
  </si>
  <si>
    <t>0787</t>
  </si>
  <si>
    <t>PT: RFG2506; D3606 - Toluene, by GC, Proc B (EPA), Z-Score = -20.22</t>
  </si>
  <si>
    <t>-20.22</t>
  </si>
  <si>
    <t>0788</t>
  </si>
  <si>
    <t>PT: RFG2506; D5188 - V/L Ratio Temp, Evac Chamber, Z-Score = 6.04</t>
  </si>
  <si>
    <t>0789</t>
  </si>
  <si>
    <t>PT: R-1361; D2622 - Sulfur, by WDXRF</t>
  </si>
  <si>
    <t>0790</t>
  </si>
  <si>
    <t>PT: TM06C-25; D2699 - Octane Number, Research</t>
  </si>
  <si>
    <t>0791</t>
  </si>
  <si>
    <t>0792</t>
  </si>
  <si>
    <t>PT: TM06C-25; D2700 - Octane Number, Motor</t>
  </si>
  <si>
    <t>0793</t>
  </si>
  <si>
    <t>PT: M992; D5191 - Vapor Pressure, PTOT, Z-Score = 6.85</t>
  </si>
  <si>
    <t>0794</t>
  </si>
  <si>
    <t>PT: M992; D86 - Distillation, Auto, % Evaporated @ 149oC, Z-Score = -5.22</t>
  </si>
  <si>
    <t>-5.22</t>
  </si>
  <si>
    <t>0795</t>
  </si>
  <si>
    <t>PT: M992; D5191 - Vapor Pressure, PTOT</t>
  </si>
  <si>
    <t>0796</t>
  </si>
  <si>
    <t>PT: M992; D86 - Distillation, Auto, 10% Evaporated</t>
  </si>
  <si>
    <t>0797</t>
  </si>
  <si>
    <t>PT: M992; SOR/97-493 - Winter Regulation - Benzene Emissions Number, Z-Score = 30.14</t>
  </si>
  <si>
    <t>*Confirmed worksheet/reporting issue.</t>
  </si>
  <si>
    <t>0798</t>
  </si>
  <si>
    <t>PT: TM07-25; D2700 - Octane Number, Motor, Z-Score = 8.79</t>
  </si>
  <si>
    <t>0799</t>
  </si>
  <si>
    <t>PT: TM07-25; D86 - Distillation, Auto, 50 % &amp; 90%, Z-Scores = 9.74 &amp; 9.39</t>
  </si>
  <si>
    <t>9.74 &amp; 9.39</t>
  </si>
  <si>
    <t>0800</t>
  </si>
  <si>
    <t>PT: TM07-25; D4052 - Digital, API, @ 60oF</t>
  </si>
  <si>
    <t>0801</t>
  </si>
  <si>
    <t>PT: D347; D5453 - Total Sulfur, by UVF</t>
  </si>
  <si>
    <t>0802</t>
  </si>
  <si>
    <t>PT: CE532; D2622 - Sulfur, by WDXRF, Z-Score = -2.01</t>
  </si>
  <si>
    <t>GLRG</t>
  </si>
  <si>
    <t>0803</t>
  </si>
  <si>
    <t>PT: RFG2507; D86 - Distillation, Auto, 95%, °F (EPA), Z-Score = -55.14</t>
  </si>
  <si>
    <t>0804</t>
  </si>
  <si>
    <t>PT: RFG2507; D4815 - Oxygenates, Ethanol, by GC, Z-Score = 2.22</t>
  </si>
  <si>
    <t>0805</t>
  </si>
  <si>
    <t>PT: RFG2507; D5191 - Vapor Pressure, RVP &amp; TVP, 1L (EPA)</t>
  </si>
  <si>
    <t>2.01 &amp; 2.32</t>
  </si>
  <si>
    <t>0806</t>
  </si>
  <si>
    <t>PT: RFG2507; D5769 - Benzene, by GC/MS &amp; (EPA)</t>
  </si>
  <si>
    <t>-2.34 &amp; -2.52</t>
  </si>
  <si>
    <t>0807</t>
  </si>
  <si>
    <t>PT: RFG2507; D86 - Distillation, Auto, IBP</t>
  </si>
  <si>
    <t>0808</t>
  </si>
  <si>
    <t>PT: RFG2507; D4052 - Density, Digital, 15 °C &amp; (EPA), Z-Scores = 22.49 &amp; 20.77</t>
  </si>
  <si>
    <t>22.49 &amp; 20.77</t>
  </si>
  <si>
    <t>0809</t>
  </si>
  <si>
    <t>PT: RFG2507; D86 - Distillation, Auto, 30% &amp; 40%, °F (EPA), Z-Scores = 3.09 &amp; 2.47</t>
  </si>
  <si>
    <t>3.09 &amp; 2.47</t>
  </si>
  <si>
    <t>0810</t>
  </si>
  <si>
    <t xml:space="preserve">PT: RFG2507; D5580 - Aromatics, C9 plus, by GC </t>
  </si>
  <si>
    <t>0811</t>
  </si>
  <si>
    <t>PT: RFG2507; D6550 - HC Type, Olefins, by SFC, Z-Score = 2.84</t>
  </si>
  <si>
    <t>0812</t>
  </si>
  <si>
    <t>PT: RFG2507; D4815 - Oxygenates, Ethanol, by GC, Z-Score = 2.57</t>
  </si>
  <si>
    <t>0813</t>
  </si>
  <si>
    <t>PT: RFG2507; D1319 - HC Type, Olefins, Oxy-Free, Z-Score = -2.14</t>
  </si>
  <si>
    <t>0814</t>
  </si>
  <si>
    <t>PT: RFG2507; D86 - Distillation, Auto, 95%, °F (EPA), Z-Score = -11.43</t>
  </si>
  <si>
    <t>0815</t>
  </si>
  <si>
    <t>PT: RFG2507; D86 - Distillation, Auto, 90% (EPA), 40%, &amp; 40% (EPA), °F, Z-Scores = 17.37, 2.28, &amp; 2.59</t>
  </si>
  <si>
    <t>17.37, 2.28, &amp; 2.59</t>
  </si>
  <si>
    <t>0816</t>
  </si>
  <si>
    <t>PT: RFG2507; D5191 - Vapor Pressure, DVPE, RVP (EPA) &amp; TVP, 1L</t>
  </si>
  <si>
    <t>-2.12, -2.62, &amp; -2.54</t>
  </si>
  <si>
    <t>0817</t>
  </si>
  <si>
    <t>PT: RFG2507; D5580 - Aromatics, C9+, by GC, Z-Score = -3.04</t>
  </si>
  <si>
    <t>-3.04</t>
  </si>
  <si>
    <t>0818</t>
  </si>
  <si>
    <t>PT: RFG2507; D3606 - Benzene &amp; Toluene, by GC, Proc B, Z-Scores = 2.02 &amp; 2.61</t>
  </si>
  <si>
    <t>2.02 &amp; 2.61</t>
  </si>
  <si>
    <t>0819</t>
  </si>
  <si>
    <t>PT: RFG2507; D86 - Distillation, Auto, 50%, 50% (EPA), °F, &amp; E200 °F, % (EPA), Z-Scores = -3.19, -3.48, &amp; 3.31</t>
  </si>
  <si>
    <t>-3.19, -3.48, &amp; 3.31</t>
  </si>
  <si>
    <t>0820</t>
  </si>
  <si>
    <t>PT: RFG2507; D5453 - Sulfur, by UVF, Z-Scores = 2.24</t>
  </si>
  <si>
    <t>0821</t>
  </si>
  <si>
    <t>PT: RFG2507; D5769 - Aromatics, Total, by GC/MS &amp; (EPA), Z-Scores = -2.75 &amp; -2.39</t>
  </si>
  <si>
    <t>-2.75 &amp; -2.39</t>
  </si>
  <si>
    <t>0822</t>
  </si>
  <si>
    <t>PT: RFG2507; D86 - Distillation, Auto, 90%, 95% (EPA), °F, Z-Scores = -13.43 &amp; -18.84</t>
  </si>
  <si>
    <t>-13.43 &amp; -18.84</t>
  </si>
  <si>
    <t>0823</t>
  </si>
  <si>
    <t>PT: RFG2507; D86 - Distillation, Auto, 20% (EPA), 80%, 95% &amp; E300 (EPA)</t>
  </si>
  <si>
    <t>-2.01, -2.04, -2.13, &amp; 2.17</t>
  </si>
  <si>
    <t>0824</t>
  </si>
  <si>
    <t>PT: RFG2507; D3606 - Benzene, by GC, Proc B, Z-Score = -2.90</t>
  </si>
  <si>
    <t>0825</t>
  </si>
  <si>
    <t>PT: RFG2507; D1319 - HC Type, Saturates, Corrected, Z-Score = 2.28</t>
  </si>
  <si>
    <t>0826</t>
  </si>
  <si>
    <t>PT: CET2506; D93 - Flash Point, PMCC, Proc A, corrected, Z-Score = 2.66</t>
  </si>
  <si>
    <t>0827</t>
  </si>
  <si>
    <t>PT: CET2506; D445 - Viscosity, Kinematic, 40°C, Z-Score = 5.17</t>
  </si>
  <si>
    <t>0828</t>
  </si>
  <si>
    <t>PT: CET2506; D5453 - Sulfur, by UVF</t>
  </si>
  <si>
    <t>0829</t>
  </si>
  <si>
    <t>PT: CET2506; D5453 - Sulfur, by UVF, Z-Score = -5.97</t>
  </si>
  <si>
    <t>-5.97</t>
  </si>
  <si>
    <t>0830</t>
  </si>
  <si>
    <t>PT: CET2506; D86 - Distillation, Auto, IBP, Z-Score = -2.52</t>
  </si>
  <si>
    <t>0831</t>
  </si>
  <si>
    <t>PT: TM07C-25; D86 - Distillation, Auto, 10% &amp; 50%</t>
  </si>
  <si>
    <t>2.07 &amp; 2.47</t>
  </si>
  <si>
    <t>0832</t>
  </si>
  <si>
    <t>PT: TM07C-25; D2700 - Octane Number, Motor, Z-Score = 2.12</t>
  </si>
  <si>
    <t>0833</t>
  </si>
  <si>
    <t>PT: NP2506; D6730 - HC Type, C6 Naphthenes, by pCHR-GC</t>
  </si>
  <si>
    <t>0834</t>
  </si>
  <si>
    <t>PT: P127; D2598 - Vapor Pressure LPG at 37.8°C, Z-Score = 10.35</t>
  </si>
  <si>
    <t>PXXX</t>
  </si>
  <si>
    <t>0835</t>
  </si>
  <si>
    <t>PT: TM08-25; D2699 - Octane Number, Research</t>
  </si>
  <si>
    <t>0836</t>
  </si>
  <si>
    <t>PT: TM08-25; D86 - Distillation, Auto, 50% &amp; FBP</t>
  </si>
  <si>
    <t>0837</t>
  </si>
  <si>
    <t>PT: RFG2508; D5188 - V/L Ratio Temp, Evac Chamber, Z-Score = -2.66</t>
  </si>
  <si>
    <t>0838</t>
  </si>
  <si>
    <t>PT: RFG2508; D86 - Distillation, Auto, 80%, °F (EPA), Z-Score = 14.04</t>
  </si>
  <si>
    <t>0839</t>
  </si>
  <si>
    <t>PT: RFG2508; D5769 - Toluene, by GC/MS (EPA)</t>
  </si>
  <si>
    <t>0840</t>
  </si>
  <si>
    <t>PT: RFG2508; D5580 - Benzene, by GC</t>
  </si>
  <si>
    <t>0841</t>
  </si>
  <si>
    <t>PT: RFG2508; D86 - Distillation, Auto, % Resid (EPA), Z-Score = 3.18</t>
  </si>
  <si>
    <t>0842</t>
  </si>
  <si>
    <t>PT: RFG2508; D5191 - Vapor Pressure, RVP, 1L (EPA)</t>
  </si>
  <si>
    <t>0843</t>
  </si>
  <si>
    <t>PT: RFG2508; D6550 - HC Type, Olefins, by SFC, Z-Score = 2.09</t>
  </si>
  <si>
    <t>0844</t>
  </si>
  <si>
    <t>PT: RFG2508; D86 - Distillation, Auto, 20% &amp; 20% °F (EPA), Z-Scores = -7.15 &amp; -5.38</t>
  </si>
  <si>
    <t>-7.15 &amp; -5.38</t>
  </si>
  <si>
    <t>0845</t>
  </si>
  <si>
    <t>PT: RFG2508; D6550 - HC Type, Olefins, by SFC, Z-Score = -2.38</t>
  </si>
  <si>
    <t>0846</t>
  </si>
  <si>
    <t>PT: RFG2508; D5769 - Total Aromatics, by GC/MS</t>
  </si>
  <si>
    <t>0847</t>
  </si>
  <si>
    <t>PT: RFG2508; D4815 - Oxygenates, Ethanol, by GC, Z-Score = -2.02</t>
  </si>
  <si>
    <t>0848</t>
  </si>
  <si>
    <t>0849</t>
  </si>
  <si>
    <t>PT: RFG2508; D4052 - Density, Digital, 15 °C &amp; (EPA)</t>
  </si>
  <si>
    <t>2.37 &amp; 2.37</t>
  </si>
  <si>
    <t>0850</t>
  </si>
  <si>
    <t>PT: RFG2508; D1319 - HC Type, Olefins &amp; Saturates, Oxy-Free, Z-Scores = 2.20 &amp; -2.50</t>
  </si>
  <si>
    <t>2.20 &amp; -2.50</t>
  </si>
  <si>
    <t>0851</t>
  </si>
  <si>
    <t>0852</t>
  </si>
  <si>
    <t>2.06 &amp; 2.04</t>
  </si>
  <si>
    <t>0853</t>
  </si>
  <si>
    <t>PT: RFG2508; D1319 - HC Type, Saturates, Corrected &amp; (EPA), Z-Scores = -5.96 &amp; -2.50</t>
  </si>
  <si>
    <t>-5.96 &amp; -2.50</t>
  </si>
  <si>
    <t>0854</t>
  </si>
  <si>
    <t>PT: RFG2508; D4815 - Oxygenates, Ethanol, by GC, Z-Score = -2.31</t>
  </si>
  <si>
    <t>-2.31</t>
  </si>
  <si>
    <t>0855</t>
  </si>
  <si>
    <t>PT: RFG2508; D5769 - Total Aromatics, by GC/MS &amp; (EPA), Z-Scores = 6.54 &amp; 4.29</t>
  </si>
  <si>
    <t>6.54 &amp; 4.29</t>
  </si>
  <si>
    <t>0856</t>
  </si>
  <si>
    <t>PT: RFG2508; D86 - Distillation, Auto, 40% &amp; 70%</t>
  </si>
  <si>
    <t>2.02 &amp; -2.46</t>
  </si>
  <si>
    <t>0857</t>
  </si>
  <si>
    <t>PT: RFG2508; D86 - Distillation, Auto,% Resid &amp; % Resid (EPA), Z-Scores = -4.41 &amp; -4.29</t>
  </si>
  <si>
    <t>-4.41 &amp; -4.29</t>
  </si>
  <si>
    <t>0858</t>
  </si>
  <si>
    <t>PT: RFG2508; D2622 - Sulfur, by WDXRF &amp; (EPA), Z-Scores = 2.15 &amp; 2.13</t>
  </si>
  <si>
    <t>2.15 &amp; 2.13</t>
  </si>
  <si>
    <t>hb</t>
  </si>
  <si>
    <t>0859</t>
  </si>
  <si>
    <t>PT: RFG2508; D86 - Distillation, Auto, % Evap</t>
  </si>
  <si>
    <t>0860</t>
  </si>
  <si>
    <t>PT: RFG2508; D1319 - HC Type, Olefins, Corrected, Z-Score = -2.23</t>
  </si>
  <si>
    <t>0861</t>
  </si>
  <si>
    <t>PT: RFG2508; D5453 - Sulfur, by UVF</t>
  </si>
  <si>
    <t>0862</t>
  </si>
  <si>
    <t>PT: RFG2508; D4815 - Oxygenates, Ethanol, by GC, Z-Score = -2.23</t>
  </si>
  <si>
    <t>0863</t>
  </si>
  <si>
    <t>PT: RFG2508; D86 - Distillation, Auto, 5% &amp; 10%, &amp; 5% &amp; 10%, °F (EPA)</t>
  </si>
  <si>
    <t>2.30, 2.08, 2.63, &amp; 2.37</t>
  </si>
  <si>
    <t>0864</t>
  </si>
  <si>
    <t>-2.95</t>
  </si>
  <si>
    <t>0865</t>
  </si>
  <si>
    <t>PT: RFG2508; D4052 - Density, Digital, 15 °C, Z-Score = 3.01</t>
  </si>
  <si>
    <t>0866</t>
  </si>
  <si>
    <t>PT: DF22506; D6371 - Cold Filter Plugging Point, CFPP, Z-Score = -2.50</t>
  </si>
  <si>
    <t>0867</t>
  </si>
  <si>
    <t>PT: DF22506; D4294 - Sulfur, by EDXRF</t>
  </si>
  <si>
    <t>0868</t>
  </si>
  <si>
    <t>PT: DF22506; D7042 - Viscosity, Stabinger, Kin, 40 °C, Z-Score = -2.75</t>
  </si>
  <si>
    <t>0869</t>
  </si>
  <si>
    <t>PT: DF22506; D6217 - Particulates, Lab Filtration, Z-Score = 7.73</t>
  </si>
  <si>
    <t>0870</t>
  </si>
  <si>
    <t>PT: DF22506; D7039 - Sulfur, by MWDXRF</t>
  </si>
  <si>
    <t>0871</t>
  </si>
  <si>
    <t>PT: DF22506; D664 - Acid Number, A, 60 mL, inflection EP, Z-Score = 8.29</t>
  </si>
  <si>
    <t>0872</t>
  </si>
  <si>
    <t>PT: DF22506; D5186 - HC Type, by SFC, PAH, Z-Score = -2.74</t>
  </si>
  <si>
    <t>0873</t>
  </si>
  <si>
    <t>PT: DF22506; D5453 - Sulfur, by UVF</t>
  </si>
  <si>
    <t>0874</t>
  </si>
  <si>
    <t>PT: DF22506; D2624 - Electrical Conductivity, Proc A, Z-Score = -3.00</t>
  </si>
  <si>
    <t>0875</t>
  </si>
  <si>
    <t>PT: DF22506; D6304 - Water, by Coul KF, Meth A Direct Injection, mg/kg</t>
  </si>
  <si>
    <t>0876</t>
  </si>
  <si>
    <t>PT: DF22506; D664 - Acid Number, A, 60 mL, inflection EP</t>
  </si>
  <si>
    <t>0877</t>
  </si>
  <si>
    <t>PT: DF22506; D524 - Carbon Residue, Ramsbottom, Z-Score = -2.25</t>
  </si>
  <si>
    <t>0878</t>
  </si>
  <si>
    <t>PT: DF22506; D4530 - Carbon Residue, Micro, 10% btm, Z-Score = 24.42</t>
  </si>
  <si>
    <t>0879</t>
  </si>
  <si>
    <t>PT: DF22506; D1319 - HC Type, Olefins &amp; Saturates, Oxy-Free, Z-Scores = 4.29 &amp; -2.14</t>
  </si>
  <si>
    <t>4.29 &amp; -2.14</t>
  </si>
  <si>
    <t>0880</t>
  </si>
  <si>
    <t>0881</t>
  </si>
  <si>
    <t>PT: DF22506; D4052 - API Gravity, Digital, 60 °F &amp; Density, Digital, 15 °C,  Z-Scores = -5.04 &amp; 7.63</t>
  </si>
  <si>
    <t>-5.04 &amp; 7.63</t>
  </si>
  <si>
    <t>0882</t>
  </si>
  <si>
    <t>0883</t>
  </si>
  <si>
    <t>0884</t>
  </si>
  <si>
    <t>PT: DF22506; D1319 - HC Type, Olefins, Oxy-Free, Z-Score = 2.13</t>
  </si>
  <si>
    <t>0885</t>
  </si>
  <si>
    <t>PT: DF22506; D6468 - Stability, High Temp, 180 &amp; 90 min. aging,  Z-Scores = -4.80 &amp; -3.10</t>
  </si>
  <si>
    <t>-4.80 &amp; -3.10</t>
  </si>
  <si>
    <t>0886</t>
  </si>
  <si>
    <t>PT: DF22506; D86 - Distillation, Auto, 50%, Z-Score = -2.24</t>
  </si>
  <si>
    <t>0887</t>
  </si>
  <si>
    <t>PT: DF22506; D93 - Flash Point, PMCC, Proc A, corrected, Z-Score = 2.33</t>
  </si>
  <si>
    <t>0888</t>
  </si>
  <si>
    <t>PT: DF22506; D5186 - HC Type, by SFC, Aromatics, Total, Z-Score = -2.25</t>
  </si>
  <si>
    <t>0889</t>
  </si>
  <si>
    <t>PT: DF22506; D6217 - Particulates, Lab Filtration,  Z-Score = 4.40</t>
  </si>
  <si>
    <t>0890</t>
  </si>
  <si>
    <t>PT: DF22506; D445 - Viscosity, Kinematic, 40 °C,  Z-Score = 10.12</t>
  </si>
  <si>
    <t>0891</t>
  </si>
  <si>
    <t>PT: DF22506; D86 - Distillation, Auto, 50%, Z-Score = -2.36</t>
  </si>
  <si>
    <t>0892</t>
  </si>
  <si>
    <t>PT: DF22506; D4629 - Nitrogen, by Chemiluminescence, Z-Score = 2.64</t>
  </si>
  <si>
    <t>0893</t>
  </si>
  <si>
    <t>0894</t>
  </si>
  <si>
    <t>PT: DF22506; D86 - Distillation, Auto, % Loss &amp; % Recov</t>
  </si>
  <si>
    <t>2.34 &amp; -2.39</t>
  </si>
  <si>
    <t>0895</t>
  </si>
  <si>
    <t>PT: M993; CAN/CGSB-3.0 No. 14.3 - HC Type, Olefins,  Z-Score = 12.27</t>
  </si>
  <si>
    <t>0896</t>
  </si>
  <si>
    <t>PT: T353; D3227 - Sulfur, Mercaptan</t>
  </si>
  <si>
    <t>0897</t>
  </si>
  <si>
    <t>PT: T353; D3227 - Sulfur, Mercaptan,  Z-Score = -4.45</t>
  </si>
  <si>
    <t>-4.45</t>
  </si>
  <si>
    <t>0898</t>
  </si>
  <si>
    <t>PT: T353; D3241 - JFTOT, Pressure Drop</t>
  </si>
  <si>
    <t>0899</t>
  </si>
  <si>
    <t>PT: T353; D86 - Distillation, Auto, 50% &amp; 90% Recovered</t>
  </si>
  <si>
    <t>2.06 &amp; 2.4</t>
  </si>
  <si>
    <t>0900</t>
  </si>
  <si>
    <t>PT: TM08C-23; D86 - Distillation, Auto, 50%, 90%, &amp; FBP,  Z-Scores = -39.75, 69.05, &amp; 9.54</t>
  </si>
  <si>
    <t>-39.75, 69.05, &amp; 9.54</t>
  </si>
  <si>
    <t>0901</t>
  </si>
  <si>
    <t>PT: TM08C-25; D86 - Distillation, Auto, 50%</t>
  </si>
  <si>
    <t>0902</t>
  </si>
  <si>
    <t>PT: CE533; D1319 - HC Type, Saturates &amp; Olefins, Oxy-Free,  Z-Scores = -14.61 &amp; 31.98</t>
  </si>
  <si>
    <t>-14.61 &amp; 31.98</t>
  </si>
  <si>
    <t>0903</t>
  </si>
  <si>
    <t>PT: CE533; D4052 - Density, API Gravity,  60oF, Z-Score = -4.32</t>
  </si>
  <si>
    <t>-4.32</t>
  </si>
  <si>
    <t>0904</t>
  </si>
  <si>
    <t>PT: CE533; D86 - Distillation, Auto, 5%, 10%, &amp; Recovery %</t>
  </si>
  <si>
    <t>2.43, 2.51, &amp; 2.21</t>
  </si>
  <si>
    <t>0905</t>
  </si>
  <si>
    <t>PT: CE533; D1319 - HC Type, Saturates, Oxy-Free, Z-Score = -2.39</t>
  </si>
  <si>
    <t>0906</t>
  </si>
  <si>
    <t>PT: CE533; D86 - Distillation, Auto, Recovery %</t>
  </si>
  <si>
    <t>0907</t>
  </si>
  <si>
    <t>PT: CE533; D2699/D2700 - Octane Number, Pump - AKI, &amp; R-M Sensitivity, Z-Scores = -4.95 &amp; -2.63</t>
  </si>
  <si>
    <t>-4.95 &amp; -2.63</t>
  </si>
  <si>
    <t>0908</t>
  </si>
  <si>
    <t>PT: CE533; D86 - Distillation, Auto, EP, Z-Score = 1280.28</t>
  </si>
  <si>
    <t>0909</t>
  </si>
  <si>
    <t>PT: CE533; D86 - Distillation, Auto, 50% &amp; 90%, Z-Scores = 4.64 &amp; 3.38</t>
  </si>
  <si>
    <t>4.64 &amp; 3.38</t>
  </si>
  <si>
    <t>0910</t>
  </si>
  <si>
    <t>PT: CE533; D86 - Distillation, Auto, Residue %</t>
  </si>
  <si>
    <t>0911</t>
  </si>
  <si>
    <t>PT: CE533; D86 - Distillation, Auto, 30%, 40%, 50% &amp; E200%, Z-Scores = 3.21, 4.10, 4.07, &amp; -2.33</t>
  </si>
  <si>
    <t>3.21, 4.10, 4.07, &amp; -2.33</t>
  </si>
  <si>
    <t>0912</t>
  </si>
  <si>
    <t>PT: CE533; D5453 - Sulfur, by UVF</t>
  </si>
  <si>
    <t>0913</t>
  </si>
  <si>
    <t>PT: CE533; D5769 - HC Type, Total Aromatics, Z-Score = -2.99</t>
  </si>
  <si>
    <t>-2.99</t>
  </si>
  <si>
    <t>0914</t>
  </si>
  <si>
    <t>PT: CE533; D86 - Distillation, Auto, 50%, 60%, &amp; EP%</t>
  </si>
  <si>
    <t>-2.12, -2.40, &amp; -2.42</t>
  </si>
  <si>
    <t>0915</t>
  </si>
  <si>
    <t>PT: CE533; D5769 - HC Type, Benzene</t>
  </si>
  <si>
    <t>0916</t>
  </si>
  <si>
    <t>0917</t>
  </si>
  <si>
    <t>PT: R-1363; D4052 - API Gravity, @ 60oF</t>
  </si>
  <si>
    <t>Meets 4.3.1.1.1 Criteria.</t>
  </si>
  <si>
    <t>0918</t>
  </si>
  <si>
    <t>PT: R-1363; D86 - Distillation, Auto, 90% Evaporated</t>
  </si>
  <si>
    <t>0919</t>
  </si>
  <si>
    <t>PT: R-1363; D2699 - Octane Number, Research, Z-Score = 2.92</t>
  </si>
  <si>
    <t>0920</t>
  </si>
  <si>
    <t>PT: R-1363; D2699 - Octane Number, Research, Z-Score = -2.49</t>
  </si>
  <si>
    <t>-2.49</t>
  </si>
  <si>
    <t>Meets 4.3.1.2 Criteria.</t>
  </si>
  <si>
    <t>0921</t>
  </si>
  <si>
    <t>PT: CE533-2; D1319 - HC Type, Aromatics, Oxy-Free, Z-Score = 2.08</t>
  </si>
  <si>
    <t>0922</t>
  </si>
  <si>
    <t>PT: CE533-2; D5188 - V/L Ratio, Temp, Z-Score = -2.04</t>
  </si>
  <si>
    <t>0923</t>
  </si>
  <si>
    <t>PT: CE533-2; D4052 - API Gravity, @ 60oF, Z-Score = -12.95</t>
  </si>
  <si>
    <t>-12.95</t>
  </si>
  <si>
    <t>0924</t>
  </si>
  <si>
    <t>PT: CE533-2; D86 - Distillation, Auto, Recovery</t>
  </si>
  <si>
    <t>CE533-2</t>
  </si>
  <si>
    <t>0925</t>
  </si>
  <si>
    <t>PT: CE533-2; D86 - Distillation, Auto, 80%, Z-Score = -2.91</t>
  </si>
  <si>
    <t>0926</t>
  </si>
  <si>
    <t>PT: CE533-2; D5769 - Benzene &amp; Total Aromatics, Z-Scores = -8.24 &amp; -8.17</t>
  </si>
  <si>
    <t>-8.24 &amp; -8.17</t>
  </si>
  <si>
    <t>0927</t>
  </si>
  <si>
    <t>PT: CE533-2; D86 - Distillation, Auto, 90%, Z-Score = -2.36</t>
  </si>
  <si>
    <t>0928</t>
  </si>
  <si>
    <t>PT: RFG2509; D86 - Distillation, Auto, E300 °F, % (EPA), Z-Score = -2.58</t>
  </si>
  <si>
    <t>0929</t>
  </si>
  <si>
    <t>PT: RFG2509; D86 - Distillation, Auto, Multiple Parameters, Z-Scores = Multiple Outliers</t>
  </si>
  <si>
    <t>0930</t>
  </si>
  <si>
    <t>PT: RFG2509; D86 - Distillation, Auto, % Resid (EPA), Z-Score = -5.14</t>
  </si>
  <si>
    <t>0931</t>
  </si>
  <si>
    <t>PT: RFG2509; D86 - Distillation, Auto, E300 °F, % (EPA), Z-Score = 2.08</t>
  </si>
  <si>
    <t>0932</t>
  </si>
  <si>
    <t>PT: RFG2509; D7039 - Sulfur, by MWDXRF, Z-Score = 2.73</t>
  </si>
  <si>
    <t>0933</t>
  </si>
  <si>
    <t>PT: RFG2509; D5580 - Aromatic Type, Benzene &amp; Toluene, by GC</t>
  </si>
  <si>
    <t>0934</t>
  </si>
  <si>
    <t>PT: RFG2509; D4052 - Density, Digital, 15 °C, Manual Injection, Z-Score = 2.01</t>
  </si>
  <si>
    <t>Meets 4.3.2.1 Criteria.</t>
  </si>
  <si>
    <t>0935</t>
  </si>
  <si>
    <t>PT: RFG2509; D86 - Distillation, Auto, 50%, °F (EPA), Z-Score = 2.04</t>
  </si>
  <si>
    <t>0936</t>
  </si>
  <si>
    <t>PT: RFG2509; D5580 - Aromatic Type, C9+ Aromatics, by GC</t>
  </si>
  <si>
    <t>0937</t>
  </si>
  <si>
    <t>PT: RFG2509; D86 - Distillation, Auto, % Resid (EPA)</t>
  </si>
  <si>
    <t>0938</t>
  </si>
  <si>
    <t>PT: RFG2509; D86 - Distillation, Auto, 90% &amp; 95%, Z-Scores = -10.76 &amp; -16.75</t>
  </si>
  <si>
    <t>-10.76 &amp; -16.75</t>
  </si>
  <si>
    <t>0939</t>
  </si>
  <si>
    <t>0940</t>
  </si>
  <si>
    <t>PT: RFG2509; D86 - Distillation, Auto, 95%, °F (EPA), Z-Score = 2.06</t>
  </si>
  <si>
    <t>0941</t>
  </si>
  <si>
    <t>0942</t>
  </si>
  <si>
    <t>PT: RFG2509; D86 - Distillation, Auto, % Loss (EPA)</t>
  </si>
  <si>
    <t>0943</t>
  </si>
  <si>
    <t>PT: RFG2509; D4052 - API Gravity, Hydrometer, Z-Score = -6.00</t>
  </si>
  <si>
    <t>-6.00</t>
  </si>
  <si>
    <t>0944</t>
  </si>
  <si>
    <t>PT: RFG2509; D86 - Distillation, Auto, % Resid &amp; % Resid (EPA), Z-Scores = -4.33 &amp; -3.14</t>
  </si>
  <si>
    <t>-4.33 &amp; -3.14</t>
  </si>
  <si>
    <t>0945</t>
  </si>
  <si>
    <t>PT: RFG2509; D2622 - Sulfur, by WDXRF &amp; (EPA), Z-Scores = -2.27 &amp; -2.15</t>
  </si>
  <si>
    <t>-2.27 &amp; -2.15</t>
  </si>
  <si>
    <t>0946</t>
  </si>
  <si>
    <t>PT: RFG2509; D4052 - API Gravity, Digital, 15 °C, Z-Score = -2.40</t>
  </si>
  <si>
    <t>0947</t>
  </si>
  <si>
    <t>PT: RFG2509; D86 - Distillation, Auto, 20% &amp; 20%, °F (EPA), Z-Scores = -6.20 &amp; -5.94</t>
  </si>
  <si>
    <t>-6.20 &amp; -5.94</t>
  </si>
  <si>
    <t>0948</t>
  </si>
  <si>
    <t>PT: RFG2509; D381 - Gum, Unwashed, Z-Score = 2.85</t>
  </si>
  <si>
    <t>0949</t>
  </si>
  <si>
    <t>PT: RFG2509; D5191 - Vapor Pressure, DVPE, 1L, Z-Score = -2.07</t>
  </si>
  <si>
    <t>0950</t>
  </si>
  <si>
    <t>PT: RFG2509; D5769 - Aromatic Type, Total Aromatics, by GC/MS &amp; (EPA), Z-Scores = -2.32 &amp; -2.26</t>
  </si>
  <si>
    <t>-2.32 &amp; -2.26</t>
  </si>
  <si>
    <t>0951</t>
  </si>
  <si>
    <t>PT: RFG2509; D1319 - HC Type, Aromatics &amp; Saturates, Corrected &amp; Oxy-Free, Z-Scores = Multiple Outliers</t>
  </si>
  <si>
    <t>0952</t>
  </si>
  <si>
    <t>PT: RFG2509; D86 - Distillation, Auto, 90% &amp; 95%, °F (EPA), Z-Scores = 2.06 &amp; 2.52</t>
  </si>
  <si>
    <t>2.06 &amp; 2.52</t>
  </si>
  <si>
    <t>0953</t>
  </si>
  <si>
    <t>PT: RFG2509; D86 - Distillation, Auto, % Evap (EPA), % Loss, % Loss (EPA), &amp; % Recov</t>
  </si>
  <si>
    <t>0954</t>
  </si>
  <si>
    <t>PT: RFG2509; D4815 - Oxygenates, Total Oxygen, by GC, Z-Score = 2.40</t>
  </si>
  <si>
    <t>0955</t>
  </si>
  <si>
    <t>PT: RFG2509; D5453 - Sulfur, by UVF, Z-Score = 2.19</t>
  </si>
  <si>
    <t>0956</t>
  </si>
  <si>
    <t>PT: CE534; D86 - Distillation, Auto, E300, Z-Score = -5.24</t>
  </si>
  <si>
    <t>-5.24</t>
  </si>
  <si>
    <t>0957</t>
  </si>
  <si>
    <t>PT: CE534; D86 - Distillation, Auto, IBP, Z-Score = 2.60</t>
  </si>
  <si>
    <t>0958</t>
  </si>
  <si>
    <t>PT: CE534; D86 - Distillation, Auto, EP, Z-Score = 2.02</t>
  </si>
  <si>
    <t>0959</t>
  </si>
  <si>
    <t>PT: CE534; D1319 - HC Type, Saturates &amp; Aromatics, Oxy-Free, Z-Scores = 8.15 &amp; -9.12</t>
  </si>
  <si>
    <t>8.15 &amp; -9.12</t>
  </si>
  <si>
    <t>0960</t>
  </si>
  <si>
    <t>PT: CE534; D1319 - HC Type, Saturates &amp; Aromatics, Oxy-Free, Z-Scores = -2.14 &amp; 2.16</t>
  </si>
  <si>
    <t>-2.14 &amp; 2.16</t>
  </si>
  <si>
    <t>0961</t>
  </si>
  <si>
    <t>PT: CE534; D86 - Distillation, Auto, 95%, Z-Score = -2.01</t>
  </si>
  <si>
    <t>0962</t>
  </si>
  <si>
    <t>PT: CE534; D4052 - API Gravity, @ 60oF, Z-Score = -2.62</t>
  </si>
  <si>
    <t>0963</t>
  </si>
  <si>
    <t>PT: CE534; D86 - Distillation, Auto, 70%, Z-Score = 2.85</t>
  </si>
  <si>
    <t>0964</t>
  </si>
  <si>
    <t>PT: CE534; D5191 - RVP, PTOT, Z-Score = -2.17</t>
  </si>
  <si>
    <t>0965</t>
  </si>
  <si>
    <t>PT: CE534; D5188 - V/L Temp, Ratio, Z-Score = -2.31</t>
  </si>
  <si>
    <t>0966</t>
  </si>
  <si>
    <t>PT: CO2507; D1298 - API Gravity, Hydrometer, Opaque, at 15 °C, Z-Score = 7096.82</t>
  </si>
  <si>
    <t>0967</t>
  </si>
  <si>
    <t>PT: CO2507; D6377 - Vapor Pressure, Crude Oil, Expansion Method, Z-Score = -3.06</t>
  </si>
  <si>
    <t>0968</t>
  </si>
  <si>
    <t>PT: CO2507; D5002 - Density, digital, 15 °C, Z-Score = 178.91</t>
  </si>
  <si>
    <t>0969</t>
  </si>
  <si>
    <t>PT: CO2507; D4294 - Sulfur, by EDXRF, Z-Score = 150.80</t>
  </si>
  <si>
    <t>0970</t>
  </si>
  <si>
    <t>PT: CO2507; D4928 - Water, Coulometric, KF, Z-Score = 16.93</t>
  </si>
  <si>
    <t>0971</t>
  </si>
  <si>
    <t>PT: CO2507; D7900 - HC Type, 1,3-dimethylbenzene, Z-Score = -7.67</t>
  </si>
  <si>
    <t>-7.67</t>
  </si>
  <si>
    <t>0972</t>
  </si>
  <si>
    <t>PT: CO2507; D4007 - Water and Sediment, Centrifuge, Z-Score = 3.00</t>
  </si>
  <si>
    <t>0973</t>
  </si>
  <si>
    <t>PT: CO2507; D2622 - Sulfur, by WDXRF, Z-Score = -21.66</t>
  </si>
  <si>
    <t>-21.66</t>
  </si>
  <si>
    <t>0974</t>
  </si>
  <si>
    <t>PT: CO2507; D4052 - Density, digital, 15 °C, Z-Score = 3.02</t>
  </si>
  <si>
    <t>0975</t>
  </si>
  <si>
    <t>PT: CO2507; D5708 - Element, Vanadium, ICPAES, Method A</t>
  </si>
  <si>
    <t>Meets 4.3.1.1.1 criteria.</t>
  </si>
  <si>
    <t>0976</t>
  </si>
  <si>
    <t>PT: CO2507; D4006 - Water, by Distillation, Z-Score = 2.92</t>
  </si>
  <si>
    <t>0977</t>
  </si>
  <si>
    <t>PT: CO2507; D5708 - Element, Nickel &amp; Vanadium, ICPAES, Method B, Z-Scores = 8.41 &amp; 8.85</t>
  </si>
  <si>
    <t>8.41 &amp; 8.85</t>
  </si>
  <si>
    <t>0978</t>
  </si>
  <si>
    <t>PT: CO2507; D445 - Viscosity, Kinematic, 40 °C, Z-Score = 4.45</t>
  </si>
  <si>
    <t>0979</t>
  </si>
  <si>
    <t>PT: CO2507; D5708 - Element, Iron, ICPAES, Method A</t>
  </si>
  <si>
    <t>0980</t>
  </si>
  <si>
    <t>PT: CO2507; D7900 - HC Type, Ethane &amp; n-Butane, Z-Scores = 26.23 &amp; -4.81</t>
  </si>
  <si>
    <t>26.23 &amp; -4.81</t>
  </si>
  <si>
    <t>0981</t>
  </si>
  <si>
    <t>PT: CO2507; D473 - Sediment, by Extraction, Z-Score = 2.22</t>
  </si>
  <si>
    <t>0982</t>
  </si>
  <si>
    <t>PT: CO2507; D445 - Viscosity, Kinematic, 40 °C, Z-Score = 4.91</t>
  </si>
  <si>
    <t>0983</t>
  </si>
  <si>
    <t>PT: CO2507; D4928 - Water, Coulometric, KF, Z-Score = 6.76</t>
  </si>
  <si>
    <t>0984</t>
  </si>
  <si>
    <t>PT: CO2507; D664 - Acid Number, A, 60 mL, inflection EP</t>
  </si>
  <si>
    <t>0985</t>
  </si>
  <si>
    <t>PT: CO2507; D445 - Viscosity, Kinematic, 40 °C, Z-Score = 169.25</t>
  </si>
  <si>
    <t>0986</t>
  </si>
  <si>
    <t>PT: CO2507; D445 - Viscosity, Kinematic, 50 °C</t>
  </si>
  <si>
    <t>0987</t>
  </si>
  <si>
    <t>PT: CO2507; D7169 - BP Dist by HT-GC, 10%, Z-Score = -5.31</t>
  </si>
  <si>
    <t>-5.31</t>
  </si>
  <si>
    <t>0988</t>
  </si>
  <si>
    <t>0989</t>
  </si>
  <si>
    <t>PT: CO2507; D7169 - BP Dist by HT-GC, Cut 8, 720C (1328F) &amp; Tot% Rec @ FBP, Z-Scores = -3.07 &amp; -4.14</t>
  </si>
  <si>
    <t>-3.07 &amp; -4.14</t>
  </si>
  <si>
    <t>0990</t>
  </si>
  <si>
    <t>PT: CO2507; D4052 - D5002 - Density, digital, 15 °C, Z-Score = 2.27</t>
  </si>
  <si>
    <t>0991</t>
  </si>
  <si>
    <t>PT: CO2507; D5863 - Element, Nickel &amp; Vanadium, AAS, Proc B &amp; Proc A, Z-Scores = 6.53 &amp; 15.90</t>
  </si>
  <si>
    <t>0992</t>
  </si>
  <si>
    <t>PT: CO2507; D4929 - Organic Chloride, Procedure C, Distillation, MWDXRF, Z-Score = 5.56</t>
  </si>
  <si>
    <t>0993</t>
  </si>
  <si>
    <t>PT: CO2507; D4807 - Sediment, Membrane Filtration, Z-Score = 7.04</t>
  </si>
  <si>
    <t>0994</t>
  </si>
  <si>
    <t>PT: CO2507; D4294 - Sulfur, by EDXRF, Z-Score = 127.80</t>
  </si>
  <si>
    <t>0995</t>
  </si>
  <si>
    <t>PT: CO2507; D445 - Viscosity, Kinematic, 40 °C</t>
  </si>
  <si>
    <t>0996</t>
  </si>
  <si>
    <t>PT: CO2507; D7042 - Viscosity, Stabinger, Kin, 40 °C &amp; 50 °C</t>
  </si>
  <si>
    <t>2.11 &amp; 2.05</t>
  </si>
  <si>
    <t>0997</t>
  </si>
  <si>
    <t>0998</t>
  </si>
  <si>
    <t>PT: CO2507; D4807 - Sediment, Membrane Filtration, Z-Score = 3.38</t>
  </si>
  <si>
    <t>0999</t>
  </si>
  <si>
    <t>PT: CO2507; D7900 - HC Type, Ethane, Z-Score = 3.02</t>
  </si>
  <si>
    <t>PT: CO2507; D4294 - Sulfur, by EDXRF, Z-Score = -2.24</t>
  </si>
  <si>
    <t>PT: CO2507; D4007 - Water and Sediment, Centrifuge, Z-Score = 4.60</t>
  </si>
  <si>
    <t>PT: TM09-25; D86 - Distillation, Auto, 50%</t>
  </si>
  <si>
    <t>PT: TM09C-25; Oxygenates, Ethanol</t>
  </si>
  <si>
    <t>PT: TM09C-25; D86 - Distillation, Auto, 90%</t>
  </si>
  <si>
    <t>PT: TM09C-25; RVP, Vapor Pressure</t>
  </si>
  <si>
    <t>PT: TM09C-25; D86 - Distillation, Auto, 90%, Z-Score = -19.39</t>
  </si>
  <si>
    <t>-19.39</t>
  </si>
  <si>
    <t>PT: M994; D86 - Distillation, Auto, Residue%, Z-Score = 5.45</t>
  </si>
  <si>
    <t>PT: M994; CAN/CGSB-3.0 No. 14.3, Olefins &amp; Benzene, Z-Scores = -2.36 &amp; 2.58</t>
  </si>
  <si>
    <t>-2.36 &amp; 2.58</t>
  </si>
  <si>
    <t>PT: M994; Regulation SOR/97-493, Benzene Emissions Number, Summer</t>
  </si>
  <si>
    <t>PT: M994; D5191 - Vapor Pressure, RVP</t>
  </si>
  <si>
    <t>PT: RFG2510; D86 - Distillation, Auto, % Resid (EPA), Z-Score = 13.77</t>
  </si>
  <si>
    <t>PT: RFG2510; D5769 - Toluene, by GC/MS (EPA), Z-Score = -2.27</t>
  </si>
  <si>
    <t>PT: RFG2510; D4052 - Density, Digital, 15 °C (EPA) &amp; Manual Injection, Z-Scores = 3.31 &amp; 5.02</t>
  </si>
  <si>
    <t>3.31 &amp; 5.02</t>
  </si>
  <si>
    <t>PT: RFG2510; D2622 - Sulfur by WDXRF (EPA), Z-Score = -5.37</t>
  </si>
  <si>
    <t>PT: RFG2510; D7039 - Sulfur, by MWDXRF, Z-Score = -8.74</t>
  </si>
  <si>
    <t>-8.74</t>
  </si>
  <si>
    <t>PT: RFG2510; D5453 - Sulfur, by UVF, Z-Score = -3.11</t>
  </si>
  <si>
    <t>PT: RFG2510; D5191 - Vapor Pressure, DVPE, 1L, Z-Score = -2.02</t>
  </si>
  <si>
    <t>PT: RFG2510; D1319 - HC Type, Aromatics, Oxy-Free (EPA), Z-Score = 2.32</t>
  </si>
  <si>
    <t>PT: RFG2510; D86 - Distillation, Auto, % Resid &amp; (EPA), Z-Scores = 4.15 &amp; 4.81</t>
  </si>
  <si>
    <t>4.15 &amp; 4.81</t>
  </si>
  <si>
    <t>PT: RFG2510; D4815 - Oxygenates, Ethanol, Z-Score = -2.73</t>
  </si>
  <si>
    <t>PT: RFG2510; D5599 - Oxygenates, Ethanol, by GC OFID (EPA), Z-Score = -2.60</t>
  </si>
  <si>
    <t>PT: RFG2510; D86 - Distillation, Auto, 80% &amp; 80%, °F (EPA), Z-Scores = -2.61 &amp; -2.25</t>
  </si>
  <si>
    <t>-2.61 &amp; -2.25</t>
  </si>
  <si>
    <t>PT: RFG2510; D86 - Distillation, Auto, % Resid (EPA), Z-Score = 20.93</t>
  </si>
  <si>
    <t>PT: RFG2510; D5191 - Vapor Pressure, DVPE, 1L, Z-Score = 2.39</t>
  </si>
  <si>
    <t>PT: RFG2510; D4052 - Density, Digital, 15 °C, Manual Injection, Z-Score = 2.14</t>
  </si>
  <si>
    <t>PT: RFG2510; D3606 - Benzene, by GC, Proc B, &amp; (EPA), Z-Scores = 2.14 &amp; 2.72</t>
  </si>
  <si>
    <t>2.14 &amp; 2.72</t>
  </si>
  <si>
    <t>PT: RFG2510; D86 - Distillation, Auto, 10% - 50%, 80%, FBP, &amp; E200 °F, % (EPA), Z-Scores = Multiple Outliers</t>
  </si>
  <si>
    <t>PT: RFG2510; D1319 - HC Type, Aromatics, Corrected &amp; Oxy-Free, &amp; EPA, Z-Scores = -2.13, -2.32, -2.60, &amp; -5.81</t>
  </si>
  <si>
    <t>-2.13, -2.32, -2.60, &amp; -5.81</t>
  </si>
  <si>
    <t>PT: RFG2510; D2622 - Sulfur, by WDXRF &amp; (EPA), Z-Scores = -2.28 &amp; -2.29</t>
  </si>
  <si>
    <t>-2.28 &amp; -2.29</t>
  </si>
  <si>
    <t>PT: RFG2510; D5188 - V/L Ratio Temp, Evac Chamber, Z-Score = 2.03</t>
  </si>
  <si>
    <t>PT: RFG2510; D86 - Distillation, Auto, 5%, 50%, &amp; % Loss,&amp; (EPA) Z-Scores = -2.29, -2.43, 2.77, 2.21, 3.14, &amp; 3.38</t>
  </si>
  <si>
    <t>-2.29, -2.43, 2.77, 2.21, 3.14, &amp; 3.38</t>
  </si>
  <si>
    <t>PT: RFG2510; D1319 - HC Type, Aromatics &amp; Saturates, Corrected &amp; Oxy-Free, &amp; (EPA), Z-Scores = -2.28, -2.49, -2.66, -5.94, 2.08, 2.75, &amp; 2.58</t>
  </si>
  <si>
    <t>-2.28, -2.49, -2.66, -2.94, 2.08, 2.75, &amp; 2.58</t>
  </si>
  <si>
    <t>PT: RFG2510; D6550 - HC Type - Olefins, by SFC, Z-Score = -2.49</t>
  </si>
  <si>
    <t>PT: RFG2510; D5599 - Oxygenates, Ethanol &amp; Total Oxygen, Z-Scores = 2.20 &amp; 2.23</t>
  </si>
  <si>
    <t>2.20 &amp; 2.23</t>
  </si>
  <si>
    <t>PT: RFG2510; D1319 - HC Type, Olefins &amp; Saturates, Corrected &amp; Oxy-Free, &amp; (EPA), Z-Scores = 4.37, 2.97, 3.16, 2.88, -2.22, -2.21, -2.15, &amp; -2.31</t>
  </si>
  <si>
    <t>4.37, 2.97, 3.16, 2.88, -2.22, -2.21, -2.15, &amp; -2.31</t>
  </si>
  <si>
    <t>PT: RFG2510; D3606 - Benzene, by GC, Proc B, Z-Score = 2.82</t>
  </si>
  <si>
    <t>PT: RFG2510; D86 - Distillation, Auto, 95%, °F, % (EPA), Z-Score = -2.09</t>
  </si>
  <si>
    <t>PT: RFG2510; D5453 - Sulfur, by UVF, Z-Score = -2.87</t>
  </si>
  <si>
    <t>-2.87</t>
  </si>
  <si>
    <t>PT: JF2507; D4052 - API Gravity, Digital, 60°F, Z-Score = 2.72</t>
  </si>
  <si>
    <t>PT: JF2507; D2887 - BP Distribution, GC, Proc A, IBP</t>
  </si>
  <si>
    <t xml:space="preserve">Meets 4.3.1.1.1 Criteria. </t>
  </si>
  <si>
    <t>PT: JF2507; D86 - Distillation, Auto, % Resid</t>
  </si>
  <si>
    <t>PT: JF2507; D445 - Viscosity, Kinematic, -20 °C, Z-Score = -17.71</t>
  </si>
  <si>
    <t>PT: JF2507; D5972 - Freeze Point, Auto Phase Trans, Z-Score = 2.20</t>
  </si>
  <si>
    <t>PT: JF2507; D3948 - Water Separation, by Portable Sep, Z-Score = -4.50</t>
  </si>
  <si>
    <t>PT: JF2507; D86 - Distillation, Auto, % Resid &amp; Distillation, Man, % Loss</t>
  </si>
  <si>
    <t>2.10 &amp; -2.20</t>
  </si>
  <si>
    <t>PT: JF2507; D8305 - HC Type, Predicted D1319 Total Aromatics &amp; Total Aromatics, by SFC, Z-Scores = -18.94 &amp; -19.21</t>
  </si>
  <si>
    <t>-18.94 &amp; -19.21</t>
  </si>
  <si>
    <t>PT: JF2507; D445 - Viscosity, Kinematic, -20 °C, Z-Score = -61.50</t>
  </si>
  <si>
    <t>-61.50</t>
  </si>
  <si>
    <t>PT: JF2507; D1319 - HC Type, Olefins, Oxy-Free, Z-Score = 2.97</t>
  </si>
  <si>
    <t>PT: JF2507; D2386 - Freeze Point, Manual, Z-Score = -3.07</t>
  </si>
  <si>
    <t>PT: JF2507; D3338 - Net Heat of Combustion, Calculation, Z-Score = 4.63</t>
  </si>
  <si>
    <t>PT: JF2507; D3242 - Acidity, by Titration, Z-Score = 2.14</t>
  </si>
  <si>
    <t>PT: JF2507; D2887 - BP Distribution, GC, Proc B, FBP, Z-Score = 12.46</t>
  </si>
  <si>
    <t>PT: JF2507; D1319 - HC Type, Olefins, Oxy-Free, Z-Score = 3.46</t>
  </si>
  <si>
    <t>PT: JF2507; D5453 - Sulfur, by UVF, Z-Score = 2.63</t>
  </si>
  <si>
    <t>PT: JF2507; D445 - Viscosity, Kinematic, -20 °C, Z-Score = -12.89</t>
  </si>
  <si>
    <t>-12.89</t>
  </si>
  <si>
    <t>PT: JF2507; D86 - Distillation, Auto, % Resid, Z-Score = 698.57</t>
  </si>
  <si>
    <t>PT: JF2507; D445 - Viscosity, Kinematic, -20 °C</t>
  </si>
  <si>
    <t>PT: JF2507; D93 - Flash Point, PMCC, Proc A, corrected, Z-Score = 3.19</t>
  </si>
  <si>
    <t>PT: JF2507; D1319 - HC Type, Olefins &amp; Saturates, Oxy-Free, Z-Scores = 18.00 &amp; -12.08</t>
  </si>
  <si>
    <t>18.00 &amp; -12.08</t>
  </si>
  <si>
    <t>PT: JF2507; D5006 - Fuel System Icing Inhibitors, Ether Type, Z-Score = 4.30</t>
  </si>
  <si>
    <t>PT: JF2507; D4294 - Sulfur, by EDXRF, Z-Score = -2.30</t>
  </si>
  <si>
    <t>PT: JF2507; D7039 - Sulfur, by MWDXRF, Z-Score = -2.20</t>
  </si>
  <si>
    <t>PT: JF2507; D3241 - Thermal Stability, Interferometric, @260 Thickness &amp; Volume, Z-Scores = 2.20 &amp; 2.65</t>
  </si>
  <si>
    <t>2.20 &amp; 2.65</t>
  </si>
  <si>
    <t>PT: JF2507; D6304 - Water, by Coul KF, Meth A Direct Injection, mg/kg, Z-Score = 2.50</t>
  </si>
  <si>
    <t>PT: JF2507; D86 - Distillation, Auto, % Resid, Z-Score = -4.93</t>
  </si>
  <si>
    <t>-4.93</t>
  </si>
  <si>
    <t>PT: JF2507; D86 - Distillation, Auto, % Resid &amp; % Loss</t>
  </si>
  <si>
    <t>2.07 &amp; -2.12</t>
  </si>
  <si>
    <t>PT: LPG2507; D2163 - Hydrocarbons, Isobutane, Isopentane, Propane, n-Pentane, &amp; n-Butane, Z-Scores = 2.54, 2.59, -2.86, 2.99, &amp; 2.64</t>
  </si>
  <si>
    <t>2.54, 2.59, -2.86, 2.99, &amp; 2.64</t>
  </si>
  <si>
    <t>PT: LPG2507; D6667 - Sulfur in LPG, by UVF</t>
  </si>
  <si>
    <t>PT: LPG2507; D7423 - Oxygenates by GC-FID, TAME, Z-Score = 0.00 (Rejected)</t>
  </si>
  <si>
    <t>PT: D348; D445 - Viscosity, at 40°C, Z-Score = 2.18</t>
  </si>
  <si>
    <t>PT: AASHTO, T301 Elastic Recovery, Z score -3.05</t>
  </si>
  <si>
    <t>T301 - Elastic Recovery</t>
  </si>
  <si>
    <t>PT: T354; D86 - Distillation, Auto, Residue</t>
  </si>
  <si>
    <t>PT: T354; D86 - Distillation, Auto, Residue%, Z-Score = 4.64</t>
  </si>
  <si>
    <t>PT: T354; D1319 - HC Type, Aromatics</t>
  </si>
  <si>
    <t>PT: T354; D3338 - Net Heat, of Combustion, Z-Score = -2.29</t>
  </si>
  <si>
    <t>PT: F327; D86 - Distillation, Auto, FBP Recovered, Z-Score = -2.44</t>
  </si>
  <si>
    <t>PT: D-1221; D613 - Cetane Number, Z-Score = 2.10</t>
  </si>
  <si>
    <t>PT: T355; D86 - Distillation, Auto, 80% Recovered, Z-Score = 2.07</t>
  </si>
  <si>
    <t>PT: T355; D3948 - Water Separation, Micro Separometer, Z-Score = 2.28</t>
  </si>
  <si>
    <t>PT: D-1222; D86 - Distillation, Auto, 10%, 50%, &amp; 90% Recovered</t>
  </si>
  <si>
    <t>2.23, 2.24, &amp; 2.39</t>
  </si>
  <si>
    <t>PT: D-1222; D613 - Cetane Number, Z-Score = -2.45</t>
  </si>
  <si>
    <t>PT: OC2508; D86 - Distillation, 90% °F</t>
  </si>
  <si>
    <t>PT: OC2508; D1319 - HC Type, Olefins &amp; Saturates, Oxy-Free, Z-Scores = 91.40 &amp; -52.50</t>
  </si>
  <si>
    <t>91.40 &amp; -52.50</t>
  </si>
  <si>
    <t>PT: OC2508; D1319 - HC Type, Olefins &amp; Saturates, Oxy-Free, Z-Scores = 91.68 &amp; -52.74</t>
  </si>
  <si>
    <t>91.68 &amp; -52.74</t>
  </si>
  <si>
    <t>PT: BIOD2508; EN 14103 - Total FAME (ester), Z-Score = -2.06</t>
  </si>
  <si>
    <t>PT: BIOD2508; D5185 - Elements, Na + K, by ICP/AES, Z-Score = 3.10</t>
  </si>
  <si>
    <t>PT: BIOD2508; D6584 - Glycerin, Monoglyceride, by GC, Z-Score = 2.06</t>
  </si>
  <si>
    <t>PT: BIOD2508; EN 14103 - Linolenic Acid Methyl Ester, Z-Score = -5.93</t>
  </si>
  <si>
    <t>-5.93</t>
  </si>
  <si>
    <t>PT: BIOD2508; D445 - Viscosity, Kinematic, 40 °C, Z-Score = -2.10</t>
  </si>
  <si>
    <t>PT: BIOD2508; D93 - Flash Point, PMCC, Proc C, corrected, Z-Score = -10.89</t>
  </si>
  <si>
    <t>-10.89</t>
  </si>
  <si>
    <t>PT: BIOD2508; D1160 - Distillation, 1.3kPa, Auto, Multiple Parameters, Z-Score = Multiple Outliers</t>
  </si>
  <si>
    <t>PT: BIOD2508; EN 14103 - Total FAME (ester) &amp; Linolenic Acid Methyl Ester, Z-Score = -99.86 &amp; 436.05</t>
  </si>
  <si>
    <t>-99.86 &amp; 436.05</t>
  </si>
  <si>
    <t>PT: BIOD2508; D93 - Flash Point, PMCC, Proc A, corrected, Z-Score = 2.75</t>
  </si>
  <si>
    <t>PT: BIOD2508; D7501 - Fuel Filter Blocking by CSFT, Z-Score = 3.40</t>
  </si>
  <si>
    <t>PT: BIOD2508; D6304 - Water, by Coul KF, Meth A Direct Injection, mg/kg, Z-Score = 3.60</t>
  </si>
  <si>
    <t>PT: BIOD2508; D5773 - Cloud Point, Constant Cool, Z-Score = 4.54</t>
  </si>
  <si>
    <t>PT: BIOD2508; D5453 - Sulfur, by UVF, Z-Score = 2.15</t>
  </si>
  <si>
    <t>PT: BIOD2508; D445 - Viscosity, Kinematic, 40 °C, Z-Score = -7.75</t>
  </si>
  <si>
    <t>-7.75</t>
  </si>
  <si>
    <t>PT: R-1364; D2699 - Octane Number, Research, Z-Score = 2.53</t>
  </si>
  <si>
    <t>PT: R-1364; D2699 - Octane Number, Research, Z-Score = -2.75</t>
  </si>
  <si>
    <t>PT: MG2508; D3231 - Element, Phosphorus, by combusition/colorometric, Z-Score = 3.08</t>
  </si>
  <si>
    <t>PT: MG2508; D5580 - Aromatics Type, Toluene &amp; Total Aromatics, by GC, Z-Scores = -4.45 &amp; -2.24</t>
  </si>
  <si>
    <t>PT: MG2508; D86 - Distillation, Auto, 30%, Z-Score = 2.06</t>
  </si>
  <si>
    <t>PT: MG2508; D6730 - HC Type, Total Aromatics &amp; C9+ Aromatics, by pCHR-GC</t>
  </si>
  <si>
    <t>2.14 &amp; -2.73</t>
  </si>
  <si>
    <t>PT: MG2508; D3606 - Aromatic Type, Toluene, by GC, Proc A, Z-Score = -13.72</t>
  </si>
  <si>
    <t>-13.72</t>
  </si>
  <si>
    <t>PT: MG2508; D5443 - HC Type, Benzene, by MD-GC, Z-Score = 2.34</t>
  </si>
  <si>
    <t>PT: MG2508; D5188 - V/L Ratio Temp, Evac Chamber</t>
  </si>
  <si>
    <t>PT: MG2508; D5769 - Aromatic Type, Total Aromatics, by GC/MS &amp; EPA, Z-Scores = -2.15 &amp; -2.26</t>
  </si>
  <si>
    <t>-2.15 &amp; -2.26</t>
  </si>
  <si>
    <t>PT: MG2508; D1319 - HC Type, Aromatics &amp; Saturates, Corrected &amp; Oxy-free, &amp; (EPA), Z-Scores = 2.26, 2.48, 2.46, &amp; 2.64, -2.14, -2.27, -2.51, &amp; -2.62</t>
  </si>
  <si>
    <t>PT: MG2508; D6730 - HC Type, C6 Naphthenes, C8 Aromatics, &amp; C8 Naphthenes, by pCHR-GC, Z-Scores = 6.14, -36.56, &amp; 17.74</t>
  </si>
  <si>
    <t>6.14, -36.56, &amp; 17.74</t>
  </si>
  <si>
    <t>PT: MG2508; D86 - Distillation, Auto, 60%, Z-Score = 2.07</t>
  </si>
  <si>
    <t>PT: MG2508; D1319 - HC Type, Aromatics &amp; Saturates, Oxy-Free, Z-Scores = 7.78 &amp; -5.97</t>
  </si>
  <si>
    <t>7.78 &amp; -5.97</t>
  </si>
  <si>
    <t>PT: MG2508; D3227 - Mercaptan Sulfur, Potentiometric, Z-Score = 9.53</t>
  </si>
  <si>
    <t>PT: MG2508; D5188 - V/L Ratio Temp, Evac Chamber, Z-Score = 5.15</t>
  </si>
  <si>
    <t>PT: MG2508; D5191 - Vapor Pressure, DVPE, RVP, TVP, 1L, &amp; (EPA), Z-Scores = -11.37, -10.31, -13.45, &amp; -18.55</t>
  </si>
  <si>
    <t>-11.37, -10.31, -13.45, &amp; -18.55</t>
  </si>
  <si>
    <t>PT: BO2508; D4052 - Density, Digital, 15 °C, Z-Score = 3.05</t>
  </si>
  <si>
    <t>PT: BO2508; D445 - Viscosity, Kinematic, 100°C, Z-Score = 3.68</t>
  </si>
  <si>
    <t>PT: D-1223; D613 - Cetane Number, Duplicate</t>
  </si>
  <si>
    <t>PT: TM10-25; D2700 - Octane Number, Motor</t>
  </si>
  <si>
    <t>Meets 4.3.1.1.2 Criteria.</t>
  </si>
  <si>
    <t>PT: ETOH2508; D5501 - Methanol, By GC, Z-Score = 2.47</t>
  </si>
  <si>
    <t>PT: ETOH2508; E1064 - Water, by Coul KF</t>
  </si>
  <si>
    <t>PT: ETOH2508; D6423 - pHe, by electrode, Z-Score = 2.98</t>
  </si>
  <si>
    <t>PT: ETOH2508; D4052 - Density, Relative, @ 15.56 °C, Z-Score = 5.99</t>
  </si>
  <si>
    <t>PT: ETOH2508; D5501 - Ethanol, By GC, Z-Score = 2.49</t>
  </si>
  <si>
    <t>Meets 4.3.1.2 criteria.</t>
  </si>
  <si>
    <t>PT: ETOH2508; D7795 - Acidity, Proc B, Z-Score = 2.11</t>
  </si>
  <si>
    <t>PT: ETOH2508; D5453 - Sulfur, by UVF, Z-Score = -2.81</t>
  </si>
  <si>
    <t>PT: ETOH2508; ABNT NBR 10891 - pHe, electrode, Z-Score = 11.66</t>
  </si>
  <si>
    <t>PT: ETOH2508; D6423 - pHe, by electrode, Z-Score = 2.95</t>
  </si>
  <si>
    <t>PT: ETOH2508; D7795 - Acidity, Proc A, Z-Score = 2.12</t>
  </si>
  <si>
    <t xml:space="preserve">Confirmed Transcription Error. </t>
  </si>
  <si>
    <t>PT: F328; D86 - Distillation, Auto, 95% Recovered, Z-Score = 2.44</t>
  </si>
  <si>
    <t>PT: M996; CAN/CGSB-3.0 No. 14.3 - HC Type, Olefins, Z-Score = -7.44</t>
  </si>
  <si>
    <t>-7.44</t>
  </si>
  <si>
    <t>PT: M996; Regulation SOR/97-493 - Benzene Emissions Number, Summer, Z-Score = 15.47</t>
  </si>
  <si>
    <t>PT: M996; D4052 - Density, at 15°C, Z-Score = 3.03</t>
  </si>
  <si>
    <t>PT: M996; D5191 - Vapor Pressure, RVP</t>
  </si>
  <si>
    <t>PT: M996; Regulation SOR/97-493 - Benzene Emissions Number, Summer, Z-Score = -8.96</t>
  </si>
  <si>
    <t>-8.96</t>
  </si>
  <si>
    <t>PT: M996; D86 - Distillation, Auto, % Evaporated @ 149°C</t>
  </si>
  <si>
    <t>PT: M996; CAN/CGSB-3.0 No. 14.3 - HC Type, Benzene, Z-Score = 5.27</t>
  </si>
  <si>
    <t>PT: D349; D86 - Distillation, Auto, IBP, Recovered, Z-Score = -2.13</t>
  </si>
  <si>
    <t>PT: D349; D445 - Viscosity, at 40°C, Z-Score = 8.02</t>
  </si>
  <si>
    <t>PT: D349; D86 - Distillation, Auto, FBP, Recovered, Z-Score = -2.87</t>
  </si>
  <si>
    <t>PT: D349; D4052 - Density, at 15°C, Z-Score = -7.78</t>
  </si>
  <si>
    <t>-7.78</t>
  </si>
  <si>
    <t>PT: D349; D5453 - Total Sulfur, by UVF, Z-Score = 2.08</t>
  </si>
  <si>
    <t>PT: CE535; D1319 - HC Type, Olefins, Oxy-Free, Z-Score = 2.30</t>
  </si>
  <si>
    <t>PT: CE535; D1319 - HC Type, Saturates, Oxy-Free, Z-Score = 2.27</t>
  </si>
  <si>
    <t>PT: CE535; D2700 - Octane Number, Motor, &amp; Pump - AKI,  Z-Scores = -2.85 &amp; -2.36</t>
  </si>
  <si>
    <t>-2.85 &amp; -2.36</t>
  </si>
  <si>
    <t>PT: CE535; D5191 - Vapor Pressure, Ptot, Z-Score = -8.78</t>
  </si>
  <si>
    <t>-8.78</t>
  </si>
  <si>
    <t>PT: CE535; D5453 - Sulfur, by UVF, Z-Score = -8.48</t>
  </si>
  <si>
    <t>-8.48</t>
  </si>
  <si>
    <t>PT: CE535; D86 - Distillation, Auto, 20%,  Z-Score = 2.03</t>
  </si>
  <si>
    <t>PT: CE535; D6550 - Olefins, by SFC, Z-Score = -15.45</t>
  </si>
  <si>
    <t>-15.45</t>
  </si>
  <si>
    <t>PT: D-1224; D445 - Viscosity, at 40°C,  Z-Score = 2.32</t>
  </si>
  <si>
    <t>D-1224</t>
  </si>
  <si>
    <t>PT: R-1365; D86 - Distillation, Auto, 50% &amp; 90%, Evaporated, Z-Scores = 5.22 &amp; 11.39</t>
  </si>
  <si>
    <t>R-1365</t>
  </si>
  <si>
    <t>5.22 &amp; 11.39</t>
  </si>
  <si>
    <t>PT: R-1366; D2699 - Octane Number, Research,  Z-Score = 2.76</t>
  </si>
  <si>
    <t>R-1366</t>
  </si>
  <si>
    <t>PT: F242510; D86 - Distillation, Auto 40%, Z-Score = 110.26</t>
  </si>
  <si>
    <t>PT: F242510; D1319 - HC Type, Aromatics &amp; Olefins, Oxy-Free, Z-Scores = -5.55 &amp; 10.91</t>
  </si>
  <si>
    <t>-5.55 &amp; 10.91</t>
  </si>
  <si>
    <t>PT: F242510; D1840 - Naphthalenes, by UVS, Z-Score = -8.39</t>
  </si>
  <si>
    <t>-8.39</t>
  </si>
  <si>
    <t>PT: F242510; D3338/D3338M - Net Heat of Combustion, Calculation,  Z-Score = 2.08</t>
  </si>
  <si>
    <t>PT: RFG2511; D86 - Distillation, Auto, % Evap</t>
  </si>
  <si>
    <t>PT: RFG2511; D5191 - Vapor Pressure, RVP, IL (EPA), Z-Score = -2.13</t>
  </si>
  <si>
    <t>PT: RFG2511; D4052 - Density, Digital, 15 °C, &amp; Manual Injection, Z-Scores = 2.96 &amp; 3.53</t>
  </si>
  <si>
    <t>2.96 &amp; 3.53</t>
  </si>
  <si>
    <t>PT: RFG2511; D5599 - Oxygenates, Total Oxygen &amp; tert-Pentanol, by GC, Z-Scores =-43.25 &amp; 0.00(Rejected)</t>
  </si>
  <si>
    <t>-43.25</t>
  </si>
  <si>
    <t>PT: RFG2511; D86 - Distillation, Auto, FBP, °F (EPA), Z-Score = -2.29</t>
  </si>
  <si>
    <t>PT: RFG2511; D5191 - Vapor Pressure, DVPE, 1L, Z-Score = 2.31</t>
  </si>
  <si>
    <t>PT: RFG2511; D5599 - Oxygenates, Total Oxygen, by GC OFID, Z-Score = 2.01</t>
  </si>
  <si>
    <t>PBMS Outlier</t>
  </si>
  <si>
    <t>PT: RFG2511; D5769 - Aromatic Type, Toluene, by GC/MS, Z-Score = 2.25</t>
  </si>
  <si>
    <t>PT: RFG2511; D5191 - Vapor Pressure, DVPE, 1L, Z-Score = -2.61</t>
  </si>
  <si>
    <t>PT: RFG2511; D4815 - Oxygenates, Total Oxygen &amp; Ethanol, by GC, Z-Scores = -3.23 &amp; -2.57</t>
  </si>
  <si>
    <t>-3.23 &amp; -2.57</t>
  </si>
  <si>
    <t>PT: RFG2511; D86 - Distillation, Auto, 30 &amp; 70%, °F (EPA), Z-Scores = -2.13, -2.08, -8.67, &amp; -9.30</t>
  </si>
  <si>
    <t>-2.13, -2.08, -8.67, &amp; -9.30</t>
  </si>
  <si>
    <t>PT: RFG2511; D86 - Distillation, Auto, 70%, °F (EPA), Z-Score = 32.78</t>
  </si>
  <si>
    <t>PT: RFG2511; D2622 - Sulfur, by WDXRF (EPA), Z-Score = 2.21</t>
  </si>
  <si>
    <t>PT: RFG2511; D86 - Distillation, Auto, 5%, °F (EPA), Z-Score = 2.15</t>
  </si>
  <si>
    <t>PT: RFG2511; D4052 - API Gravity &amp; Density, Digital, 15 °C, Z-Scores = -3.20 &amp; 2.49</t>
  </si>
  <si>
    <t>-3.20 &amp; 2.49</t>
  </si>
  <si>
    <t>PT: RFG2511; D5580 - Aromatic Type, Total Aromatics, by GC, Z-Score = -2.88</t>
  </si>
  <si>
    <t>PT: RFG2511; D5769 - Aromatic Type, Total Aromatics, by GC/MS, Z-Score = -2.05</t>
  </si>
  <si>
    <t>PT: RFG2511; D1319 - HC Type, Olefins &amp; Saturates, Corrected &amp; Oxy-Free, &amp; (EPA), Z-Scores = Multiple Outliers</t>
  </si>
  <si>
    <t>PT: RFG2511; D5191 - Vapor Pressure, DVPE &amp; TVP, 1L, &amp; (EPA), Z-Scores = 3.24, 3.44, &amp; 3.17</t>
  </si>
  <si>
    <t>3.24, 3.44, &amp; 3.17</t>
  </si>
  <si>
    <t>PT: RFG2511; D5769 - Aromatic Type, Total Aromatics, by GC/MS (EPA), Z-Score = -4.21</t>
  </si>
  <si>
    <t>-4.21</t>
  </si>
  <si>
    <t>PT: RFG2511; D5453 - Sulfur, by UVF, Z-Score = 2.22</t>
  </si>
  <si>
    <t>PT: RFG2511; D1319 - HC Type, Aromatics, Oxy-Free, &amp; (EPA), Z-Scores = 2.92 &amp; 2.90</t>
  </si>
  <si>
    <t>2.92 &amp; 2.90</t>
  </si>
  <si>
    <t>PT: RFG2511; D86 - Distillation, Auto, 5% &amp; 40%, °F (EPA), Z-Scores = -2.74, -2.10, &amp; -2.02</t>
  </si>
  <si>
    <t>-2.74, -2.10, &amp; -2.02</t>
  </si>
  <si>
    <t>PT: RFG2511; D86 - Distillation, Auto, E300°F, % (EPA), Z-Score = 2.01</t>
  </si>
  <si>
    <t>PT: RFG2511; D86 - Distillation, Auto, 90%, Z-Score = -12.29</t>
  </si>
  <si>
    <t>-12.29</t>
  </si>
  <si>
    <t>PT: R-1363; D2699 &amp; D2700 - Octane Number, Z-Scores = Results Rejected</t>
  </si>
  <si>
    <t>PT: R-1364; D2699 &amp; D2700 - Octane Number &amp; Duplicate, Z-Scores = Results Rejected</t>
  </si>
  <si>
    <t>PT: R-1365; D2699 &amp; D2700 - Octane Number &amp; Duplicate, Z-Scores = Results Rejected</t>
  </si>
  <si>
    <t>PT: NP2510; D5443 - HC Type, C8 Paraffins, by MD-GC, Z-Score = -2.25</t>
  </si>
  <si>
    <t>PT: iis25C04; E394 - Iron Content, by UV, Z-Score = 4.08</t>
  </si>
  <si>
    <t>PT: DF22510; D524 - Carbon Residue, Rammsbottom, Z-Score = -2.20</t>
  </si>
  <si>
    <t>PT: DF22510; D86 - Distillation, Auto, 70%, Z-Score = -90.20</t>
  </si>
  <si>
    <t>PT: DF22510; D7042 - Viscosity, Stabinger, Kin, 40°C, Z-Score = 5.85</t>
  </si>
  <si>
    <t>PT: DF22510; D4737 - Cetane Index by Four Var Eq, Z-Score = -6.38</t>
  </si>
  <si>
    <t>-6.38</t>
  </si>
  <si>
    <t>PT: DF22510; D445 - Viscosity, Kinematic, 40 °C, Z-Score = -2.96</t>
  </si>
  <si>
    <t>PT: DF22510; D7042 - Viscosity, Stabinger, Kin, 40 °C, Z-Score = -2.62</t>
  </si>
  <si>
    <t>PT: DF22510; D1500 - ASTM Color, Z-Score = 2.00</t>
  </si>
  <si>
    <t>PT: DF22510; D664 - Acid Number, A, 60mL, inflection EP, Z-Score = 5.70</t>
  </si>
  <si>
    <t>PT: DF22510; D5186 - HC Type, by SFC, Total Aromatics, Z-Score = -2.12</t>
  </si>
  <si>
    <t>PT: DF22510; D6304 - Water, by Coul KF, Meth A Direct Injection, mg/kg, Z-Score = 6.10</t>
  </si>
  <si>
    <t>PT: DF22510; D86 - Distillation, Auto, 30%, Z-Score = 2.66</t>
  </si>
  <si>
    <t>PT: DF22510; D4052 - Density &amp; API Gravity, Digital, 15 °C &amp; 60 °F, Z-Scores = 210.53 &amp; 2.38</t>
  </si>
  <si>
    <t>210.53 &amp; 2.38</t>
  </si>
  <si>
    <t>PT: DF22510; D664 - Acid Number, A, 125 mL, inflection EP</t>
  </si>
  <si>
    <t>PT: DF22510; D86 - Distillation, Auto, 20%, Z-Score = -6.62</t>
  </si>
  <si>
    <t>-6.62</t>
  </si>
  <si>
    <t>PT: DF22510; D6079 - Lubricity, HFRR, Scar Diameter, Z-Score = -2.20</t>
  </si>
  <si>
    <t>PT: DF22510; D6217 - Particulates, Lab Filtration, mg/L, Z-Score = 12.48</t>
  </si>
  <si>
    <t>PT: DF22510; D6304 - Water, by Coul KF, Meth A Direct Injection, mg/kg, Z-Score = 3.60</t>
  </si>
  <si>
    <t>PT: DF22510; D445 - Viscosity, Kinematic, 40 °C, Z-Score = -2.33</t>
  </si>
  <si>
    <t>PT: DF22510; D6468 - Stability, High Temp, 180 &amp; 90 min. aging, Z-Scores = -9.10 &amp; -7.00</t>
  </si>
  <si>
    <t>-9.10 &amp; -7.00</t>
  </si>
  <si>
    <t>PT: DF22510; D4052 - API Gravity, Digital, 60 °F, Z-Score = 2.38</t>
  </si>
  <si>
    <t>PT: DF22510; D189 - Carbon Residue, Conradson, Z-Score = 6.85</t>
  </si>
  <si>
    <t>6.85</t>
  </si>
  <si>
    <t>PT: DF22510; D86 - Distillation, Auto, % Loss</t>
  </si>
  <si>
    <t>PT: DF22510; D5186 - HC Type, by SFC, PAH, Z-Score = -2.05</t>
  </si>
  <si>
    <t>PT: DF22510; D5950 - Pour Point, Auto Tilt, Z-Score = -4.90</t>
  </si>
  <si>
    <t>-4.90</t>
  </si>
  <si>
    <t>PT: DF22510; D445 - Viscosity, Kinematic, 40 °C, Z-Score = 2.46</t>
  </si>
  <si>
    <t>PT: DF22510; D4052 - Density, Digital, 15 °C, Z-Score = -2.40</t>
  </si>
  <si>
    <t>-2.4</t>
  </si>
  <si>
    <t>PT: DF22510; D5453 - Sulfur, by UVF, Z-Score = 3.46</t>
  </si>
  <si>
    <t>PT: DF22510; D86 - Distillation, Auto, 40%, 60%, &amp; 80%, Z-Scores = 2.42, 2.24, &amp; 2.10</t>
  </si>
  <si>
    <t>2.42, 2.24, &amp; 2.10</t>
  </si>
  <si>
    <t>PT: DF22510; D6079 - Lubricity, HFRR, Scar Diameter, Z-Score = -2.80</t>
  </si>
  <si>
    <t>PT: DF22510; D664 - Acid Number, A 60 mL, inflection EP</t>
  </si>
  <si>
    <t>PT: DF22510; D240 - Heat of Combustion, Gross, by Bomb Calorimeter, Z-Score = -3.05</t>
  </si>
  <si>
    <t>PT: DF22510; D86 - Distillation, Auto, 60%, 70%, &amp; 80%, Z-Scores = -2.51, -2.18, &amp; -2.15</t>
  </si>
  <si>
    <t>-2.51, -2.18, &amp; -2.15</t>
  </si>
  <si>
    <t>PT: DF22510; D1319 - HC Type, Saturates, Oxy-Free, Z-Score = -2.07</t>
  </si>
  <si>
    <t>PT: DF22510; D664 - Acid Number, A, 125 mL, Buffer EP</t>
  </si>
  <si>
    <t>PT: DF22510; D2500 - Cloud Point, Z-Score = 2.40</t>
  </si>
  <si>
    <t>PT: DF22510; D1319 - HC Type, Saturates &amp; Aromatics, Oxy-Free, Z-Scores = -4.44 &amp; 2.49</t>
  </si>
  <si>
    <t>-4.44 &amp; 2.49</t>
  </si>
  <si>
    <t>PT: DF22510; D4294 - Sulfur, by EDXRF</t>
  </si>
  <si>
    <t>PT: DF22510; D445 - Viscosity, Kinematic, 40°C, Z-Score = 9.79</t>
  </si>
  <si>
    <t>PT: DF22510; D7042 - Viscosity, Stabinger, Kin, 40°C, Z-Score = 9.43</t>
  </si>
  <si>
    <t>PT: DF22510; D6304 - Water, by Coul KF, Meth A Direct Injection, mg/kg, Z-Score = -3.80</t>
  </si>
  <si>
    <t>PT: RFG2512; D86 - Distillation, Auto, % Resid (EPA)</t>
  </si>
  <si>
    <t>PT: RFG2512; D86 - Distillation, Auto, 90%, &amp; 90%, °F (EPA), Z-Scores = -2.71 &amp; -2.39</t>
  </si>
  <si>
    <t>-2.71 &amp; -2.39</t>
  </si>
  <si>
    <t>PT: RFG2512; D4815 - Oxygenates, Total Oxygen, by GC, Z-Score = -2.91</t>
  </si>
  <si>
    <t>PT: RFG2512; D5191 - Vapor Pressure, 1L</t>
  </si>
  <si>
    <t>PT: RFG2512; D86 - Distillation, Auto, FBP, °F (EPA), Z-Scores = 2.54</t>
  </si>
  <si>
    <t>PT: RFG2512; D5191 - Vapor Pressure, TVP, 1L (EPA)</t>
  </si>
  <si>
    <t>PT: RFG2512; D4052 - Density, Digital, 15 °C (EPA) &amp; Manual Injection, Z-Scores = 2.21 &amp; 2.19</t>
  </si>
  <si>
    <t>2.21 &amp; 2.19</t>
  </si>
  <si>
    <t>PT: RFG2512; D5769 - Aromatic Type, Total Aromatics, by GC/MS &amp; (EPA), Z-Scores = 6.34 &amp; 5.20</t>
  </si>
  <si>
    <t>6.34 &amp; 5.20</t>
  </si>
  <si>
    <t>PT: RFG2512; D86 - Distillation, Auto, E200 °F, % (EPA)</t>
  </si>
  <si>
    <t>PT: RFG2512; D86 - Distillation, Auto, 60%, °F (EPA) &amp; % Evap, Z-Scores = 11.94 &amp; -5.89</t>
  </si>
  <si>
    <t>11.94 &amp; -5.89</t>
  </si>
  <si>
    <t>PT: RFG2512; D5191 - Vapor Pressure, DVPE, 1L, Z-Score = -2.16</t>
  </si>
  <si>
    <t>PT: RFG2512; D86 - Distillation, 60%, °F (EPA), Z-Score = 2.34</t>
  </si>
  <si>
    <t>PT: RFG2512; D2622 - Sulfur, by WDXRF (EPA), Z-Score = -2.64</t>
  </si>
  <si>
    <t>PT: RFG2512; D5769 - Aromatic Type, Total Aromatics, by GC/MS, Z-Score = -2.21</t>
  </si>
  <si>
    <t>PT: RFG2512; D1319 - HC Type, Saturates, Oxy-Free (EPA)</t>
  </si>
  <si>
    <t>PT: RFG2512; D5769 - Aromatic Type, Benzene &amp; Total Aromatics, by GC/MS, Z-Scores = 5.13 &amp; -5.88</t>
  </si>
  <si>
    <t>5.13 &amp; -5.88</t>
  </si>
  <si>
    <t>PT: RFG2512; D6550 - HC Type, Olefins, by SFC, Z-Score = -2.63</t>
  </si>
  <si>
    <t>PT: RFG2512; D86 - Distillation, Auto, % Evap (EPA), Z-Score = 1390.52</t>
  </si>
  <si>
    <t>PT: RFG2512; D86 - Distillation, 90%, °F (EPA), Z-Score = -2.09</t>
  </si>
  <si>
    <t>PT: RFG2512; D2622 - Sulfur, by WDXRF, Z-Score = -2.88</t>
  </si>
  <si>
    <t>PT: RFG2512; D5453 - Sulfur, by UVF, Z-Score = -2.17</t>
  </si>
  <si>
    <t>PT: RFG2512; D86 - Distillation, 70% &amp; 95%, Z-Scores = -2.26 &amp; -2.02</t>
  </si>
  <si>
    <t>-2.26 &amp; -2.02</t>
  </si>
  <si>
    <t>PT: RFG2512; D86 - Distillation, 95%, Z-Score = -2.19</t>
  </si>
  <si>
    <t>PT: RFG2512; D5191 - Vapor Pressure, TVP, 1L &amp; (EPA)</t>
  </si>
  <si>
    <t>2.11 &amp; 2.06</t>
  </si>
  <si>
    <t>PT: RFG2512; D4052 - API Gravity, Digital, 15 °C , Z-Score = -2.99</t>
  </si>
  <si>
    <t>PT: RFG2512; D1319 - HC Type, Aromatics, Corrected, &amp; Saturates, Oxy-Free , Z-Scores = 2.09 &amp; -2.02</t>
  </si>
  <si>
    <t>2.09 &amp; -2.02</t>
  </si>
  <si>
    <t>PT: RFG2512; D1319 - HC Type, Aromatics, Corrected (EPA) , Z-Score = 2.06</t>
  </si>
  <si>
    <t>PT: RFG2512; D4815 - Oxygenates, Ethanol, by GC OFID , Z-Score = 2.16</t>
  </si>
  <si>
    <t>PT: M997; CAN/CGSB-3.0 No. 14.3 - Olefins, Z-Score = 27.9</t>
  </si>
  <si>
    <t xml:space="preserve">PT: M997; D86 - Distillation, Auto, % Evaporated @ 93°C </t>
  </si>
  <si>
    <t>PT: T356; D3338 - Net Heat of Combustion, Z-Score = 5.43</t>
  </si>
  <si>
    <t>PT: T356; D86 - Distillation, Auto, 5% Recovered &amp; FBP Recovered, Z-Scores = -2.56 &amp; -2.15</t>
  </si>
  <si>
    <t>-2.56 &amp; -2.15</t>
  </si>
  <si>
    <t>PT: D350; D445 - Viscosity at 40°C, Kinematic, Z-Score = 2.38</t>
  </si>
  <si>
    <t>PT: D350; D4052 - Density, at 15°C, Z-Score = -159.40</t>
  </si>
  <si>
    <t>-159.4</t>
  </si>
  <si>
    <t>PT: D350; D611 - Aniline Point, Z-Score = 248.09</t>
  </si>
  <si>
    <t>PT: D350; D6079 - HFRR, Minor Axis</t>
  </si>
  <si>
    <t>PT: D350; D6304 - Water Content, Procedure A, Z-Score = -2.11</t>
  </si>
  <si>
    <t>PT: D350; D86 - Distillation, Auto, 80% Recovered, Z-Score = 2.12</t>
  </si>
  <si>
    <t>PT: P129; D2163 - Composition, Multiple Parameters, Z-Scores = Multiple Outliers</t>
  </si>
  <si>
    <t>CARs/PTOs still open (run 02.22.26)</t>
  </si>
  <si>
    <t>Month initiated</t>
  </si>
  <si>
    <t>TOTALS</t>
  </si>
  <si>
    <t>Location</t>
  </si>
  <si>
    <t>Area</t>
  </si>
  <si>
    <t>A&amp;B Labs - Baton Rouge, LA</t>
  </si>
  <si>
    <t>A&amp;B-BR</t>
  </si>
  <si>
    <t>A&amp;B Labs - Houston, TX</t>
  </si>
  <si>
    <t>A&amp;B-HOU</t>
  </si>
  <si>
    <t>A&amp;B Labs - Nederland, TX</t>
  </si>
  <si>
    <t>A&amp;B-NED</t>
  </si>
  <si>
    <t>A&amp;B Labs - Tempe, AZ</t>
  </si>
  <si>
    <t>A&amp;B-TEM</t>
  </si>
  <si>
    <t>USGC</t>
  </si>
  <si>
    <t>USNE, USMW &amp; Canada</t>
  </si>
  <si>
    <t>SE &amp; Caribbean</t>
  </si>
  <si>
    <t>Baltimore (Glen Burnie), MD</t>
  </si>
  <si>
    <t>USWC</t>
  </si>
  <si>
    <t>Corporate</t>
  </si>
  <si>
    <t>Corpus Christi, TX (CITGO Lab)</t>
  </si>
  <si>
    <t>120W</t>
  </si>
  <si>
    <t>Calibration</t>
  </si>
  <si>
    <t>155A</t>
  </si>
  <si>
    <t>Midland, TX</t>
  </si>
  <si>
    <t>120a</t>
  </si>
  <si>
    <t>Phoenix, AZ</t>
  </si>
  <si>
    <t>160A</t>
  </si>
  <si>
    <t>Port Lavaca, TX</t>
  </si>
  <si>
    <t>VOIDED ASSMT/CAR/PAR NO</t>
  </si>
  <si>
    <t>Extras</t>
  </si>
  <si>
    <t>Warehouse</t>
  </si>
  <si>
    <t>Additives East Coast</t>
  </si>
  <si>
    <t>Additives Gulf Coast</t>
  </si>
  <si>
    <t>Utah</t>
  </si>
  <si>
    <t>Cameron LNG</t>
  </si>
  <si>
    <t>Specialty</t>
  </si>
  <si>
    <t>Kenner, LA</t>
  </si>
  <si>
    <t>Santurce, Puerto Rico</t>
  </si>
  <si>
    <t>Boucherville,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</si>
</sst>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mm/dd/yy;@"/>
    <numFmt numFmtId="166" formatCode="m/d/yy;@"/>
    <numFmt numFmtId="167" formatCode="#,##0.0"/>
  </numFmts>
  <fonts count="31">
    <font>
      <sz val="11"/>
      <color theme="1"/>
      <name val="Aptos Narrow"/>
      <family val="2"/>
      <scheme val="minor"/>
    </font>
    <font>
      <b/>
      <sz val="11"/>
      <color theme="1"/>
      <name val="Aptos Narrow"/>
      <family val="2"/>
      <scheme val="minor"/>
    </font>
    <font>
      <b/>
      <i/>
      <sz val="11"/>
      <color theme="1"/>
      <name val="Aptos Narrow"/>
      <family val="2"/>
      <scheme val="minor"/>
    </font>
    <font>
      <sz val="14"/>
      <color theme="1"/>
      <name val="Aptos Narrow"/>
      <family val="2"/>
      <scheme val="minor"/>
    </font>
    <font>
      <sz val="10"/>
      <color theme="1"/>
      <name val="Aptos Narrow"/>
      <family val="2"/>
      <scheme val="minor"/>
    </font>
    <font>
      <sz val="11"/>
      <color rgb="FF000000"/>
      <name val="Calibri"/>
      <family val="2"/>
    </font>
    <font>
      <sz val="11"/>
      <name val="Calibri"/>
      <family val="2"/>
    </font>
    <font>
      <sz val="11"/>
      <name val="Aptos Narrow"/>
      <family val="2"/>
      <scheme val="minor"/>
    </font>
    <font>
      <sz val="11"/>
      <color rgb="FF444444"/>
      <name val="Calibri"/>
      <family val="2"/>
    </font>
    <font>
      <sz val="11"/>
      <color rgb="FF000000"/>
      <name val="Aptos Narrow"/>
      <family val="2"/>
      <scheme val="minor"/>
    </font>
    <font>
      <sz val="10"/>
      <color rgb="FF000000"/>
      <name val="Calibri"/>
      <family val="2"/>
    </font>
    <font>
      <sz val="11"/>
      <color theme="1"/>
      <name val="Aptos Narrow"/>
      <family val="2"/>
      <scheme val="minor"/>
    </font>
    <font>
      <sz val="11"/>
      <color rgb="FFFF0000"/>
      <name val="Aptos Narrow"/>
      <family val="2"/>
      <scheme val="minor"/>
    </font>
    <font>
      <b/>
      <sz val="14"/>
      <color theme="1"/>
      <name val="Aptos Narrow"/>
      <family val="2"/>
      <scheme val="minor"/>
    </font>
    <font>
      <b/>
      <i/>
      <sz val="11"/>
      <name val="Aptos Narrow"/>
      <family val="2"/>
      <scheme val="minor"/>
    </font>
    <font>
      <i/>
      <sz val="11"/>
      <color theme="1"/>
      <name val="Aptos Narrow"/>
      <family val="2"/>
      <scheme val="minor"/>
    </font>
    <font>
      <sz val="11"/>
      <color rgb="FF000000"/>
      <name val="Calibri"/>
      <family val="2"/>
      <charset val="1"/>
    </font>
    <font>
      <sz val="8"/>
      <color theme="1"/>
      <name val="Aptos Narrow"/>
      <family val="2"/>
      <scheme val="minor"/>
    </font>
    <font>
      <sz val="11"/>
      <name val="Calibri"/>
      <family val="2"/>
      <charset val="1"/>
    </font>
    <font>
      <sz val="11"/>
      <color rgb="FF444444"/>
      <name val="Calibri"/>
      <family val="2"/>
      <charset val="1"/>
    </font>
    <font>
      <sz val="11"/>
      <color rgb="FF000000"/>
      <name val="Aptos Narrow"/>
      <family val="2"/>
    </font>
    <font>
      <sz val="11"/>
      <color rgb="FF242424"/>
      <name val="Aptos Narrow"/>
      <family val="2"/>
    </font>
    <font>
      <sz val="11"/>
      <color theme="1"/>
      <name val="Calibri"/>
      <family val="2"/>
    </font>
    <font>
      <sz val="14"/>
      <color rgb="FF000000"/>
      <name val="Aptos Narrow"/>
      <family val="2"/>
      <scheme val="minor"/>
    </font>
    <font>
      <sz val="8"/>
      <color rgb="FF000000"/>
      <name val="Calibri"/>
      <family val="2"/>
    </font>
    <font>
      <sz val="12"/>
      <color rgb="FF000000"/>
      <name val="Calibri"/>
      <family val="2"/>
      <charset val="1"/>
    </font>
    <font>
      <sz val="11"/>
      <color theme="1"/>
      <name val="Aptos"/>
      <family val="2"/>
    </font>
    <font>
      <sz val="11"/>
      <color rgb="FFFF0000"/>
      <name val="Calibri"/>
      <family val="2"/>
      <charset val="1"/>
    </font>
    <font>
      <b/>
      <sz val="14"/>
      <color rgb="FFFF0000"/>
      <name val="Aptos Narrow"/>
      <family val="2"/>
      <scheme val="minor"/>
    </font>
    <font>
      <b/>
      <sz val="11"/>
      <color rgb="FFFF0000"/>
      <name val="Aptos Narrow"/>
      <family val="2"/>
      <scheme val="minor"/>
    </font>
    <font>
      <sz val="14"/>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C00000"/>
        <bgColor indexed="64"/>
      </patternFill>
    </fill>
    <fill>
      <patternFill patternType="solid">
        <fgColor rgb="FF92D05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79998168889431442"/>
        <bgColor theme="4" tint="0.79998168889431442"/>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theme="4" tint="0.39997558519241921"/>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rgb="FF000000"/>
      </left>
      <right/>
      <top/>
      <bottom/>
      <diagonal/>
    </border>
    <border>
      <left/>
      <right style="thin">
        <color rgb="FF000000"/>
      </right>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theme="4" tint="0.39997558519241921"/>
      </top>
      <bottom style="thin">
        <color theme="4" tint="0.39997558519241921"/>
      </bottom>
      <diagonal/>
    </border>
    <border>
      <left/>
      <right/>
      <top style="thin">
        <color theme="4" tint="0.39997558519241921"/>
      </top>
      <bottom style="thin">
        <color rgb="FF000000"/>
      </bottom>
      <diagonal/>
    </border>
    <border>
      <left style="thin">
        <color rgb="FF000000"/>
      </left>
      <right/>
      <top/>
      <bottom style="thin">
        <color rgb="FF000000"/>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1">
    <xf numFmtId="0" fontId="0" fillId="0" borderId="0"/>
  </cellStyleXfs>
  <cellXfs count="60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17" fontId="1" fillId="0" borderId="1" xfId="0" applyNumberFormat="1" applyFont="1" applyBorder="1" applyAlignment="1">
      <alignment horizontal="center" vertical="center"/>
    </xf>
    <xf numFmtId="0" fontId="2" fillId="0" borderId="1" xfId="0" applyFont="1" applyBorder="1" applyAlignment="1">
      <alignment horizontal="center" vertical="center"/>
    </xf>
    <xf numFmtId="0" fontId="0" fillId="3" borderId="1" xfId="0" quotePrefix="1"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0" borderId="1" xfId="0" quotePrefix="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4" fillId="0" borderId="0" xfId="0" applyFont="1"/>
    <xf numFmtId="0" fontId="0" fillId="3" borderId="1" xfId="0" applyFill="1" applyBorder="1" applyAlignment="1">
      <alignment horizontal="center" vertical="center"/>
    </xf>
    <xf numFmtId="0" fontId="3" fillId="0" borderId="1" xfId="0" applyFont="1" applyBorder="1" applyAlignment="1">
      <alignment horizontal="center" vertical="center" wrapText="1"/>
    </xf>
    <xf numFmtId="14" fontId="0" fillId="0" borderId="4" xfId="0" applyNumberForma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left" vertical="center" wrapText="1"/>
    </xf>
    <xf numFmtId="0" fontId="0" fillId="0" borderId="2" xfId="0" quotePrefix="1" applyBorder="1" applyAlignment="1">
      <alignment horizontal="center" vertical="center" wrapText="1"/>
    </xf>
    <xf numFmtId="0" fontId="7" fillId="0" borderId="1" xfId="0" applyFont="1" applyBorder="1" applyAlignment="1">
      <alignment horizontal="left" vertical="center" wrapText="1"/>
    </xf>
    <xf numFmtId="0" fontId="9" fillId="3" borderId="1" xfId="0" applyFont="1" applyFill="1" applyBorder="1" applyAlignment="1">
      <alignment horizontal="left" vertical="center" wrapText="1"/>
    </xf>
    <xf numFmtId="0" fontId="9" fillId="0" borderId="1" xfId="0" applyFont="1" applyBorder="1" applyAlignment="1">
      <alignment horizontal="left" vertical="center" wrapText="1"/>
    </xf>
    <xf numFmtId="14" fontId="0" fillId="0" borderId="4" xfId="0" quotePrefix="1" applyNumberFormat="1" applyBorder="1" applyAlignment="1">
      <alignment horizontal="center" vertical="center" wrapText="1"/>
    </xf>
    <xf numFmtId="0" fontId="5" fillId="3" borderId="1" xfId="0" applyFont="1" applyFill="1" applyBorder="1" applyAlignment="1">
      <alignment horizontal="left" vertical="center" wrapText="1"/>
    </xf>
    <xf numFmtId="0" fontId="5" fillId="0" borderId="1" xfId="0" applyFont="1" applyBorder="1" applyAlignment="1">
      <alignment horizontal="left" vertical="center" wrapText="1"/>
    </xf>
    <xf numFmtId="165" fontId="0" fillId="3" borderId="1" xfId="0" quotePrefix="1" applyNumberFormat="1" applyFill="1" applyBorder="1" applyAlignment="1">
      <alignment horizontal="left" vertical="center" wrapText="1"/>
    </xf>
    <xf numFmtId="0" fontId="0" fillId="3" borderId="2" xfId="0" quotePrefix="1" applyFill="1" applyBorder="1" applyAlignment="1">
      <alignment horizontal="center" vertical="center" wrapText="1"/>
    </xf>
    <xf numFmtId="0" fontId="4" fillId="0" borderId="0" xfId="0" applyFont="1" applyAlignment="1">
      <alignment horizontal="center" vertical="center"/>
    </xf>
    <xf numFmtId="0" fontId="0" fillId="0" borderId="7" xfId="0" applyBorder="1" applyAlignment="1">
      <alignment horizontal="left" vertical="center" wrapText="1"/>
    </xf>
    <xf numFmtId="0" fontId="0" fillId="0" borderId="7" xfId="0" applyBorder="1" applyAlignment="1">
      <alignment horizontal="center" vertical="center" wrapText="1"/>
    </xf>
    <xf numFmtId="0" fontId="0" fillId="0" borderId="7" xfId="0" quotePrefix="1" applyBorder="1" applyAlignment="1">
      <alignment horizontal="center" vertical="center" wrapText="1"/>
    </xf>
    <xf numFmtId="0" fontId="0" fillId="0" borderId="7" xfId="0"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1" fillId="0" borderId="0" xfId="0" applyFont="1"/>
    <xf numFmtId="0" fontId="0" fillId="6" borderId="1" xfId="0" applyFill="1" applyBorder="1" applyAlignment="1">
      <alignment horizontal="center" vertical="center"/>
    </xf>
    <xf numFmtId="0" fontId="0" fillId="7" borderId="1" xfId="0" applyFill="1" applyBorder="1"/>
    <xf numFmtId="0" fontId="13" fillId="0" borderId="1" xfId="0" applyFont="1" applyBorder="1" applyAlignment="1">
      <alignment horizontal="center" vertical="center"/>
    </xf>
    <xf numFmtId="0" fontId="13" fillId="6" borderId="1" xfId="0" applyFont="1" applyFill="1" applyBorder="1" applyAlignment="1">
      <alignment horizontal="center" vertical="center"/>
    </xf>
    <xf numFmtId="0" fontId="13" fillId="7" borderId="1" xfId="0" applyFont="1" applyFill="1" applyBorder="1" applyAlignment="1">
      <alignment horizontal="center" vertical="center"/>
    </xf>
    <xf numFmtId="0" fontId="3" fillId="0" borderId="0" xfId="0" applyFont="1"/>
    <xf numFmtId="0" fontId="14" fillId="8" borderId="12" xfId="0" applyFont="1" applyFill="1" applyBorder="1" applyAlignment="1">
      <alignment vertical="center"/>
    </xf>
    <xf numFmtId="0" fontId="14" fillId="8" borderId="12" xfId="0" applyFont="1" applyFill="1" applyBorder="1" applyAlignment="1">
      <alignment horizontal="center" vertical="center"/>
    </xf>
    <xf numFmtId="0" fontId="0" fillId="8" borderId="13" xfId="0" applyFill="1" applyBorder="1"/>
    <xf numFmtId="0" fontId="0" fillId="8" borderId="13" xfId="0" applyFill="1" applyBorder="1" applyAlignment="1">
      <alignment horizontal="center"/>
    </xf>
    <xf numFmtId="0" fontId="0" fillId="8" borderId="2" xfId="0" applyFill="1" applyBorder="1"/>
    <xf numFmtId="0" fontId="0" fillId="8" borderId="1" xfId="0" applyFill="1" applyBorder="1" applyAlignment="1">
      <alignment vertical="center"/>
    </xf>
    <xf numFmtId="0" fontId="0" fillId="8" borderId="1" xfId="0" applyFill="1" applyBorder="1" applyAlignment="1">
      <alignment horizontal="center"/>
    </xf>
    <xf numFmtId="0" fontId="0" fillId="8" borderId="1" xfId="0" applyFill="1" applyBorder="1"/>
    <xf numFmtId="0" fontId="0" fillId="8" borderId="1" xfId="0" applyFill="1" applyBorder="1" applyAlignment="1">
      <alignment vertical="center" wrapText="1"/>
    </xf>
    <xf numFmtId="0" fontId="0" fillId="8" borderId="0" xfId="0" applyFill="1"/>
    <xf numFmtId="0" fontId="15" fillId="8" borderId="1" xfId="0" applyFont="1" applyFill="1" applyBorder="1" applyAlignment="1">
      <alignment vertical="center" wrapText="1"/>
    </xf>
    <xf numFmtId="0" fontId="15" fillId="8" borderId="1" xfId="0" applyFont="1" applyFill="1" applyBorder="1" applyAlignment="1">
      <alignment horizontal="center"/>
    </xf>
    <xf numFmtId="0" fontId="0" fillId="8" borderId="1" xfId="0" applyFill="1" applyBorder="1" applyAlignment="1">
      <alignment horizontal="center" vertical="center"/>
    </xf>
    <xf numFmtId="0" fontId="0" fillId="8" borderId="2" xfId="0" applyFill="1" applyBorder="1" applyAlignment="1">
      <alignment vertical="center"/>
    </xf>
    <xf numFmtId="0" fontId="15" fillId="8" borderId="2" xfId="0" applyFont="1" applyFill="1" applyBorder="1"/>
    <xf numFmtId="0" fontId="0" fillId="8" borderId="7" xfId="0" applyFill="1" applyBorder="1"/>
    <xf numFmtId="0" fontId="0" fillId="8" borderId="7" xfId="0" applyFill="1" applyBorder="1" applyAlignment="1">
      <alignment horizontal="center"/>
    </xf>
    <xf numFmtId="0" fontId="0" fillId="0" borderId="20" xfId="0" applyBorder="1" applyAlignment="1" applyProtection="1">
      <alignment horizontal="left" vertical="center" wrapText="1"/>
      <protection locked="0"/>
    </xf>
    <xf numFmtId="0" fontId="0" fillId="0" borderId="20" xfId="0" applyBorder="1" applyAlignment="1">
      <alignment horizontal="center" vertical="center" wrapText="1"/>
    </xf>
    <xf numFmtId="0" fontId="0" fillId="0" borderId="20"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 xfId="0" quotePrefix="1"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164" fontId="0" fillId="0" borderId="1" xfId="0" applyNumberFormat="1" applyBorder="1" applyAlignment="1" applyProtection="1">
      <alignment horizontal="center" vertical="center" wrapText="1"/>
      <protection locked="0"/>
    </xf>
    <xf numFmtId="166" fontId="0" fillId="0" borderId="1" xfId="0" applyNumberFormat="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165" fontId="0" fillId="0" borderId="1" xfId="0" quotePrefix="1" applyNumberFormat="1" applyBorder="1" applyAlignment="1">
      <alignment horizontal="left" vertical="center" wrapText="1"/>
    </xf>
    <xf numFmtId="14" fontId="0" fillId="0" borderId="15" xfId="0" applyNumberFormat="1" applyBorder="1" applyAlignment="1" applyProtection="1">
      <alignment horizontal="center" vertical="center" wrapText="1"/>
      <protection locked="0"/>
    </xf>
    <xf numFmtId="0" fontId="0" fillId="0" borderId="13" xfId="0" quotePrefix="1" applyBorder="1" applyAlignment="1">
      <alignment horizontal="center" vertical="center" wrapText="1"/>
    </xf>
    <xf numFmtId="14" fontId="0" fillId="0" borderId="1" xfId="0" quotePrefix="1" applyNumberFormat="1" applyBorder="1" applyAlignment="1">
      <alignment horizontal="center" vertical="center" wrapText="1"/>
    </xf>
    <xf numFmtId="14" fontId="0" fillId="0" borderId="1" xfId="0" applyNumberFormat="1" applyBorder="1" applyAlignment="1">
      <alignment horizontal="center" vertical="center" wrapText="1"/>
    </xf>
    <xf numFmtId="166" fontId="0" fillId="0" borderId="1" xfId="0" applyNumberFormat="1" applyBorder="1" applyAlignment="1">
      <alignment horizontal="center" vertical="center" wrapText="1"/>
    </xf>
    <xf numFmtId="166" fontId="0" fillId="3" borderId="1" xfId="0" applyNumberFormat="1" applyFill="1" applyBorder="1" applyAlignment="1">
      <alignment horizontal="center" vertical="center" wrapText="1"/>
    </xf>
    <xf numFmtId="0" fontId="0" fillId="0" borderId="1" xfId="0" quotePrefix="1" applyBorder="1" applyAlignment="1">
      <alignment horizontal="left" vertical="center" wrapText="1"/>
    </xf>
    <xf numFmtId="164" fontId="0" fillId="0" borderId="15" xfId="0" applyNumberFormat="1" applyBorder="1" applyAlignment="1" applyProtection="1">
      <alignment horizontal="center" vertical="center" wrapText="1"/>
      <protection locked="0"/>
    </xf>
    <xf numFmtId="14" fontId="0" fillId="3" borderId="1" xfId="0" quotePrefix="1" applyNumberFormat="1" applyFill="1" applyBorder="1" applyAlignment="1">
      <alignment horizontal="center" vertical="center" wrapText="1"/>
    </xf>
    <xf numFmtId="0" fontId="0" fillId="0" borderId="15" xfId="0"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7" fillId="0" borderId="1" xfId="0" applyFont="1" applyBorder="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9" fillId="0" borderId="0" xfId="0" applyFont="1" applyAlignment="1">
      <alignment horizontal="left" vertical="center" wrapText="1"/>
    </xf>
    <xf numFmtId="0" fontId="0" fillId="9" borderId="1" xfId="0" applyFill="1" applyBorder="1" applyAlignment="1" applyProtection="1">
      <alignment horizontal="left" vertical="center" wrapText="1"/>
      <protection locked="0"/>
    </xf>
    <xf numFmtId="0" fontId="0" fillId="10" borderId="1" xfId="0" applyFill="1" applyBorder="1" applyAlignment="1" applyProtection="1">
      <alignment horizontal="left" vertical="center" wrapText="1"/>
      <protection locked="0"/>
    </xf>
    <xf numFmtId="0" fontId="11" fillId="0" borderId="1" xfId="0" quotePrefix="1" applyFont="1" applyBorder="1" applyAlignment="1">
      <alignment horizontal="center" vertical="center" wrapText="1"/>
    </xf>
    <xf numFmtId="0" fontId="0" fillId="0" borderId="15" xfId="0" applyBorder="1" applyAlignment="1" applyProtection="1">
      <alignment horizontal="center" vertical="center"/>
      <protection locked="0"/>
    </xf>
    <xf numFmtId="0" fontId="0" fillId="0" borderId="1" xfId="0" quotePrefix="1" applyBorder="1" applyAlignment="1">
      <alignment horizontal="left" vertical="center"/>
    </xf>
    <xf numFmtId="0" fontId="0" fillId="2" borderId="1" xfId="0" applyFill="1" applyBorder="1" applyAlignment="1" applyProtection="1">
      <alignment horizontal="left" vertical="center" wrapText="1"/>
      <protection locked="0"/>
    </xf>
    <xf numFmtId="0" fontId="0" fillId="0" borderId="0" xfId="0" applyAlignment="1">
      <alignment horizontal="left"/>
    </xf>
    <xf numFmtId="0" fontId="0" fillId="0" borderId="0" xfId="0" applyAlignment="1" applyProtection="1">
      <alignment horizontal="center" vertical="center"/>
      <protection locked="0"/>
    </xf>
    <xf numFmtId="0" fontId="0" fillId="5" borderId="10" xfId="0" applyFill="1" applyBorder="1" applyAlignment="1" applyProtection="1">
      <alignment horizontal="center" vertical="center" wrapText="1"/>
      <protection locked="0"/>
    </xf>
    <xf numFmtId="0" fontId="0" fillId="5" borderId="10" xfId="0" applyFill="1" applyBorder="1" applyAlignment="1">
      <alignment horizontal="center" vertical="center" wrapText="1"/>
    </xf>
    <xf numFmtId="1" fontId="0" fillId="5" borderId="10" xfId="0" applyNumberFormat="1" applyFill="1" applyBorder="1" applyAlignment="1" applyProtection="1">
      <alignment horizontal="center" vertical="center" wrapText="1"/>
      <protection locked="0"/>
    </xf>
    <xf numFmtId="0" fontId="0" fillId="5" borderId="17" xfId="0" applyFill="1" applyBorder="1" applyAlignment="1">
      <alignment horizontal="center" vertical="center" wrapText="1"/>
    </xf>
    <xf numFmtId="0" fontId="0" fillId="0" borderId="13" xfId="0" applyBorder="1" applyAlignment="1" applyProtection="1">
      <alignment horizontal="left" vertical="center" wrapText="1"/>
      <protection locked="0"/>
    </xf>
    <xf numFmtId="0" fontId="0" fillId="0" borderId="13" xfId="0" applyBorder="1" applyAlignment="1">
      <alignment horizontal="center" vertical="center" wrapText="1"/>
    </xf>
    <xf numFmtId="2" fontId="0" fillId="0" borderId="13" xfId="0" quotePrefix="1" applyNumberFormat="1" applyBorder="1" applyAlignment="1">
      <alignment horizontal="center" vertical="center" wrapText="1"/>
    </xf>
    <xf numFmtId="0" fontId="3" fillId="0" borderId="13" xfId="0" quotePrefix="1" applyFont="1" applyBorder="1" applyAlignment="1">
      <alignment horizontal="center" vertical="center" wrapText="1"/>
    </xf>
    <xf numFmtId="0" fontId="5" fillId="0" borderId="15" xfId="0" applyFont="1" applyBorder="1" applyAlignment="1">
      <alignment horizontal="left" vertical="center"/>
    </xf>
    <xf numFmtId="0" fontId="0" fillId="0" borderId="13" xfId="0" quotePrefix="1" applyBorder="1" applyAlignment="1" applyProtection="1">
      <alignment horizontal="center" vertical="center" wrapText="1"/>
      <protection locked="0"/>
    </xf>
    <xf numFmtId="0" fontId="0" fillId="0" borderId="13" xfId="0" quotePrefix="1" applyBorder="1" applyAlignment="1" applyProtection="1">
      <alignment horizontal="left" vertical="center" wrapText="1"/>
      <protection locked="0"/>
    </xf>
    <xf numFmtId="164" fontId="0" fillId="0" borderId="13" xfId="0" applyNumberFormat="1" applyBorder="1" applyAlignment="1" applyProtection="1">
      <alignment horizontal="center" vertical="center" wrapText="1"/>
      <protection locked="0"/>
    </xf>
    <xf numFmtId="166" fontId="0" fillId="0" borderId="13" xfId="0" applyNumberFormat="1"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9" fillId="0" borderId="1" xfId="0" applyFont="1" applyBorder="1" applyAlignment="1">
      <alignment horizontal="center" vertical="center" wrapText="1"/>
    </xf>
    <xf numFmtId="0" fontId="9" fillId="0" borderId="1" xfId="0" quotePrefix="1" applyFont="1" applyBorder="1" applyAlignment="1">
      <alignment horizontal="center" vertical="center" wrapText="1"/>
    </xf>
    <xf numFmtId="0" fontId="9" fillId="0" borderId="1" xfId="0" applyFont="1" applyBorder="1" applyAlignment="1" applyProtection="1">
      <alignment horizontal="center" vertical="center" wrapText="1"/>
      <protection locked="0"/>
    </xf>
    <xf numFmtId="0" fontId="0" fillId="0" borderId="1" xfId="0" quotePrefix="1" applyBorder="1" applyAlignment="1" applyProtection="1">
      <alignment horizontal="center" vertical="center" wrapText="1"/>
      <protection locked="0"/>
    </xf>
    <xf numFmtId="0" fontId="5" fillId="0" borderId="15" xfId="0" applyFont="1" applyBorder="1" applyAlignment="1">
      <alignment vertical="center"/>
    </xf>
    <xf numFmtId="0" fontId="5" fillId="0" borderId="0" xfId="0" applyFont="1" applyAlignment="1">
      <alignment horizontal="left" vertical="center" wrapText="1"/>
    </xf>
    <xf numFmtId="0" fontId="5" fillId="0" borderId="17" xfId="0" applyFont="1" applyBorder="1" applyAlignment="1">
      <alignment horizontal="center" vertical="center" wrapText="1"/>
    </xf>
    <xf numFmtId="165" fontId="0" fillId="0" borderId="1" xfId="0" quotePrefix="1" applyNumberFormat="1" applyBorder="1" applyAlignment="1">
      <alignment horizontal="center" vertical="center" wrapText="1"/>
    </xf>
    <xf numFmtId="0" fontId="5" fillId="0" borderId="1" xfId="0" applyFont="1" applyBorder="1" applyAlignment="1">
      <alignment horizontal="left" vertical="center"/>
    </xf>
    <xf numFmtId="49" fontId="0" fillId="0" borderId="1" xfId="0" applyNumberFormat="1" applyBorder="1" applyAlignment="1" applyProtection="1">
      <alignment horizontal="center" vertical="center" wrapText="1"/>
      <protection locked="0"/>
    </xf>
    <xf numFmtId="2" fontId="0" fillId="9" borderId="13" xfId="0" quotePrefix="1" applyNumberFormat="1" applyFill="1" applyBorder="1" applyAlignment="1">
      <alignment horizontal="center" vertical="center" wrapText="1"/>
    </xf>
    <xf numFmtId="0" fontId="19" fillId="0" borderId="0" xfId="0" applyFont="1" applyAlignment="1">
      <alignment vertical="center"/>
    </xf>
    <xf numFmtId="0" fontId="19" fillId="0" borderId="23" xfId="0" applyFont="1" applyBorder="1" applyAlignment="1">
      <alignment vertical="center"/>
    </xf>
    <xf numFmtId="0" fontId="19" fillId="0" borderId="0" xfId="0" applyFont="1" applyAlignment="1">
      <alignment horizontal="center" vertical="center"/>
    </xf>
    <xf numFmtId="165" fontId="0" fillId="0" borderId="15" xfId="0" quotePrefix="1" applyNumberFormat="1" applyBorder="1" applyAlignment="1">
      <alignment horizontal="center" vertical="center" wrapText="1"/>
    </xf>
    <xf numFmtId="0" fontId="19" fillId="0" borderId="0" xfId="0" applyFont="1" applyAlignment="1">
      <alignment vertical="center" wrapText="1"/>
    </xf>
    <xf numFmtId="0" fontId="5" fillId="0" borderId="1" xfId="0" applyFont="1" applyBorder="1" applyAlignment="1">
      <alignment vertical="center"/>
    </xf>
    <xf numFmtId="0" fontId="0" fillId="0" borderId="7" xfId="0" applyBorder="1" applyAlignment="1" applyProtection="1">
      <alignment horizontal="left" vertical="center" wrapText="1"/>
      <protection locked="0"/>
    </xf>
    <xf numFmtId="0" fontId="0" fillId="0" borderId="4" xfId="0" applyBorder="1" applyAlignment="1" applyProtection="1">
      <alignment horizontal="center" vertical="center" wrapText="1"/>
      <protection locked="0"/>
    </xf>
    <xf numFmtId="0" fontId="9" fillId="0" borderId="17" xfId="0" applyFont="1" applyBorder="1" applyAlignment="1">
      <alignment horizontal="center" vertical="center" wrapText="1"/>
    </xf>
    <xf numFmtId="0" fontId="9" fillId="0" borderId="23" xfId="0" applyFont="1" applyBorder="1" applyAlignment="1">
      <alignment horizontal="left" vertical="center" wrapText="1"/>
    </xf>
    <xf numFmtId="0" fontId="0" fillId="11" borderId="1" xfId="0" applyFill="1" applyBorder="1" applyAlignment="1" applyProtection="1">
      <alignment horizontal="left" vertical="center" wrapText="1"/>
      <protection locked="0"/>
    </xf>
    <xf numFmtId="2" fontId="0" fillId="11" borderId="13" xfId="0" quotePrefix="1" applyNumberFormat="1" applyFill="1" applyBorder="1" applyAlignment="1">
      <alignment horizontal="center" vertical="center" wrapText="1"/>
    </xf>
    <xf numFmtId="164" fontId="0" fillId="0" borderId="7" xfId="0" applyNumberFormat="1" applyBorder="1" applyAlignment="1" applyProtection="1">
      <alignment horizontal="center" vertical="center" wrapText="1"/>
      <protection locked="0"/>
    </xf>
    <xf numFmtId="0" fontId="5" fillId="0" borderId="0" xfId="0" applyFont="1" applyAlignment="1">
      <alignment horizontal="center" vertical="center" wrapText="1"/>
    </xf>
    <xf numFmtId="164" fontId="0" fillId="0" borderId="24" xfId="0" applyNumberFormat="1" applyBorder="1" applyAlignment="1" applyProtection="1">
      <alignment horizontal="center" vertical="center" wrapText="1"/>
      <protection locked="0"/>
    </xf>
    <xf numFmtId="166" fontId="0" fillId="0" borderId="4" xfId="0" applyNumberFormat="1" applyBorder="1" applyAlignment="1" applyProtection="1">
      <alignment horizontal="center" vertical="center" wrapText="1"/>
      <protection locked="0"/>
    </xf>
    <xf numFmtId="0" fontId="20" fillId="0" borderId="0" xfId="0" applyFont="1" applyAlignment="1">
      <alignment horizontal="left" vertical="center"/>
    </xf>
    <xf numFmtId="0" fontId="0" fillId="0" borderId="7" xfId="0" applyBorder="1" applyAlignment="1" applyProtection="1">
      <alignment horizontal="center" vertical="center" wrapText="1"/>
      <protection locked="0"/>
    </xf>
    <xf numFmtId="0" fontId="0" fillId="0" borderId="10" xfId="0" applyBorder="1" applyAlignment="1">
      <alignment horizontal="left" vertical="center" wrapText="1"/>
    </xf>
    <xf numFmtId="0" fontId="0" fillId="0" borderId="10" xfId="0" applyBorder="1" applyAlignment="1">
      <alignment horizontal="center" vertical="center" wrapText="1"/>
    </xf>
    <xf numFmtId="164" fontId="0" fillId="0" borderId="4" xfId="0" applyNumberFormat="1" applyBorder="1" applyAlignment="1" applyProtection="1">
      <alignment horizontal="center" vertical="center" wrapText="1"/>
      <protection locked="0"/>
    </xf>
    <xf numFmtId="0" fontId="0" fillId="0" borderId="4" xfId="0" applyBorder="1" applyAlignment="1">
      <alignment horizontal="center" vertical="center" wrapText="1"/>
    </xf>
    <xf numFmtId="0" fontId="0" fillId="0" borderId="4" xfId="0" quotePrefix="1" applyBorder="1" applyAlignment="1">
      <alignment horizontal="center" vertical="center" wrapText="1"/>
    </xf>
    <xf numFmtId="49" fontId="0" fillId="0" borderId="1" xfId="0" quotePrefix="1" applyNumberFormat="1" applyBorder="1" applyAlignment="1">
      <alignment horizontal="center" vertical="center" wrapText="1"/>
    </xf>
    <xf numFmtId="0" fontId="0" fillId="0" borderId="13" xfId="0" applyBorder="1" applyAlignment="1">
      <alignment horizontal="left" vertical="center" wrapText="1"/>
    </xf>
    <xf numFmtId="14" fontId="0" fillId="0" borderId="13" xfId="0" applyNumberFormat="1" applyBorder="1" applyAlignment="1">
      <alignment horizontal="center" vertical="center" wrapText="1"/>
    </xf>
    <xf numFmtId="166" fontId="0" fillId="0" borderId="13" xfId="0" applyNumberFormat="1" applyBorder="1" applyAlignment="1">
      <alignment horizontal="center" vertical="center" wrapText="1"/>
    </xf>
    <xf numFmtId="2" fontId="0" fillId="2" borderId="13" xfId="0" quotePrefix="1" applyNumberFormat="1" applyFill="1" applyBorder="1" applyAlignment="1">
      <alignment horizontal="center" vertical="center" wrapText="1"/>
    </xf>
    <xf numFmtId="14" fontId="0" fillId="0" borderId="13" xfId="0" quotePrefix="1" applyNumberFormat="1" applyBorder="1" applyAlignment="1">
      <alignment horizontal="center" vertical="center" wrapText="1"/>
    </xf>
    <xf numFmtId="0" fontId="21" fillId="0" borderId="0" xfId="0" applyFont="1"/>
    <xf numFmtId="2" fontId="0" fillId="0" borderId="1" xfId="0" quotePrefix="1" applyNumberFormat="1" applyBorder="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left" vertical="center"/>
    </xf>
    <xf numFmtId="0" fontId="6" fillId="0" borderId="1" xfId="0" applyFont="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166" fontId="0" fillId="0" borderId="15" xfId="0" applyNumberFormat="1" applyBorder="1" applyAlignment="1" applyProtection="1">
      <alignment horizontal="center" vertical="center" wrapText="1"/>
      <protection locked="0"/>
    </xf>
    <xf numFmtId="0" fontId="6" fillId="0" borderId="1" xfId="0" quotePrefix="1" applyFont="1" applyBorder="1" applyAlignment="1">
      <alignment horizontal="center" vertical="center" wrapText="1"/>
    </xf>
    <xf numFmtId="0" fontId="6" fillId="0" borderId="1" xfId="0" applyFont="1" applyBorder="1" applyAlignment="1">
      <alignment horizontal="center" vertical="center" wrapText="1"/>
    </xf>
    <xf numFmtId="0" fontId="10" fillId="0" borderId="17" xfId="0" applyFont="1" applyBorder="1" applyAlignment="1">
      <alignment horizontal="center" vertical="center" wrapText="1"/>
    </xf>
    <xf numFmtId="0" fontId="9" fillId="0" borderId="22" xfId="0" applyFont="1" applyBorder="1" applyAlignment="1">
      <alignment horizontal="center" vertical="center" wrapText="1"/>
    </xf>
    <xf numFmtId="0" fontId="0" fillId="0" borderId="14" xfId="0" quotePrefix="1" applyBorder="1" applyAlignment="1">
      <alignment horizontal="center" vertical="center" wrapText="1"/>
    </xf>
    <xf numFmtId="0" fontId="5" fillId="0" borderId="13" xfId="0" applyFont="1" applyBorder="1" applyAlignment="1">
      <alignment horizontal="center" vertical="center" wrapText="1"/>
    </xf>
    <xf numFmtId="0" fontId="5" fillId="0" borderId="13" xfId="0" applyFont="1" applyBorder="1" applyAlignment="1">
      <alignment horizontal="left" vertical="center" wrapText="1"/>
    </xf>
    <xf numFmtId="0" fontId="5" fillId="0" borderId="1" xfId="0" applyFont="1" applyBorder="1" applyAlignment="1">
      <alignment vertical="center" wrapText="1"/>
    </xf>
    <xf numFmtId="0" fontId="5" fillId="0" borderId="1" xfId="0" quotePrefix="1" applyFont="1" applyBorder="1" applyAlignment="1">
      <alignment horizontal="center" vertical="center" wrapText="1"/>
    </xf>
    <xf numFmtId="0" fontId="3" fillId="0" borderId="13" xfId="0" applyFont="1" applyBorder="1" applyAlignment="1">
      <alignment horizontal="center" vertical="center" wrapText="1"/>
    </xf>
    <xf numFmtId="0" fontId="5" fillId="0" borderId="13" xfId="0" quotePrefix="1" applyFont="1" applyBorder="1" applyAlignment="1">
      <alignment horizontal="center" vertical="center" wrapText="1"/>
    </xf>
    <xf numFmtId="0" fontId="0" fillId="0" borderId="1" xfId="0" applyBorder="1" applyAlignment="1" applyProtection="1">
      <alignment horizontal="center" vertical="center"/>
      <protection locked="0"/>
    </xf>
    <xf numFmtId="0" fontId="8" fillId="0" borderId="10" xfId="0" applyFont="1" applyBorder="1" applyAlignment="1">
      <alignment horizontal="left" vertical="center" wrapText="1"/>
    </xf>
    <xf numFmtId="0" fontId="0" fillId="0" borderId="7" xfId="0" quotePrefix="1" applyBorder="1" applyAlignment="1" applyProtection="1">
      <alignment horizontal="center" vertical="center" wrapText="1"/>
      <protection locked="0"/>
    </xf>
    <xf numFmtId="0" fontId="7" fillId="0" borderId="10" xfId="0" applyFont="1" applyBorder="1" applyAlignment="1">
      <alignment horizontal="left" vertical="center" wrapText="1"/>
    </xf>
    <xf numFmtId="0" fontId="7" fillId="0" borderId="10" xfId="0" quotePrefix="1" applyFont="1" applyBorder="1" applyAlignment="1">
      <alignment horizontal="center" vertical="center" wrapText="1"/>
    </xf>
    <xf numFmtId="166" fontId="0" fillId="0" borderId="7" xfId="0" applyNumberFormat="1" applyBorder="1" applyAlignment="1" applyProtection="1">
      <alignment horizontal="center" vertical="center" wrapText="1"/>
      <protection locked="0"/>
    </xf>
    <xf numFmtId="0" fontId="22" fillId="0" borderId="10" xfId="0" applyFont="1" applyBorder="1" applyAlignment="1">
      <alignment horizontal="left" vertical="center" wrapText="1"/>
    </xf>
    <xf numFmtId="0" fontId="22" fillId="0" borderId="10" xfId="0" applyFont="1" applyBorder="1" applyAlignment="1">
      <alignment horizontal="center" vertical="center" wrapText="1"/>
    </xf>
    <xf numFmtId="0" fontId="21" fillId="0" borderId="0" xfId="0" applyFont="1" applyAlignment="1">
      <alignment horizontal="center" vertical="center"/>
    </xf>
    <xf numFmtId="0" fontId="0" fillId="9" borderId="7" xfId="0" applyFill="1" applyBorder="1" applyAlignment="1" applyProtection="1">
      <alignment horizontal="left" vertical="center" wrapText="1"/>
      <protection locked="0"/>
    </xf>
    <xf numFmtId="0" fontId="0" fillId="0" borderId="0" xfId="0" applyAlignment="1">
      <alignment horizontal="left" vertical="center" wrapText="1"/>
    </xf>
    <xf numFmtId="0" fontId="5" fillId="0" borderId="1" xfId="0" applyFont="1" applyBorder="1"/>
    <xf numFmtId="2" fontId="0" fillId="2" borderId="1" xfId="0" quotePrefix="1" applyNumberFormat="1" applyFill="1" applyBorder="1" applyAlignment="1">
      <alignment horizontal="center" vertical="center" wrapText="1"/>
    </xf>
    <xf numFmtId="2" fontId="0" fillId="9" borderId="1" xfId="0" quotePrefix="1" applyNumberFormat="1" applyFill="1" applyBorder="1" applyAlignment="1">
      <alignment horizontal="center" vertical="center" wrapText="1"/>
    </xf>
    <xf numFmtId="2" fontId="0" fillId="0" borderId="7" xfId="0" quotePrefix="1" applyNumberFormat="1" applyBorder="1" applyAlignment="1">
      <alignment horizontal="center" vertical="center" wrapText="1"/>
    </xf>
    <xf numFmtId="2" fontId="0" fillId="10" borderId="7" xfId="0" quotePrefix="1" applyNumberFormat="1" applyFill="1" applyBorder="1" applyAlignment="1">
      <alignment horizontal="center" vertical="center" wrapText="1"/>
    </xf>
    <xf numFmtId="0" fontId="0" fillId="2" borderId="7" xfId="0" applyFill="1" applyBorder="1" applyAlignment="1" applyProtection="1">
      <alignment horizontal="left" vertical="center" wrapText="1"/>
      <protection locked="0"/>
    </xf>
    <xf numFmtId="2" fontId="0" fillId="2" borderId="7" xfId="0" quotePrefix="1" applyNumberFormat="1" applyFill="1" applyBorder="1" applyAlignment="1">
      <alignment horizontal="center" vertical="center" wrapText="1"/>
    </xf>
    <xf numFmtId="2" fontId="0" fillId="9" borderId="7" xfId="0" quotePrefix="1" applyNumberFormat="1" applyFill="1" applyBorder="1" applyAlignment="1">
      <alignment horizontal="center" vertical="center" wrapText="1"/>
    </xf>
    <xf numFmtId="0" fontId="0" fillId="11" borderId="7" xfId="0" applyFill="1" applyBorder="1" applyAlignment="1" applyProtection="1">
      <alignment horizontal="left" vertical="center" wrapText="1"/>
      <protection locked="0"/>
    </xf>
    <xf numFmtId="2" fontId="0" fillId="11" borderId="7" xfId="0" quotePrefix="1" applyNumberFormat="1" applyFill="1" applyBorder="1" applyAlignment="1">
      <alignment horizontal="center" vertical="center" wrapText="1"/>
    </xf>
    <xf numFmtId="0" fontId="24" fillId="0" borderId="1" xfId="0" applyFont="1" applyBorder="1"/>
    <xf numFmtId="0" fontId="24" fillId="2" borderId="1" xfId="0" applyFont="1" applyFill="1" applyBorder="1"/>
    <xf numFmtId="0" fontId="5" fillId="2" borderId="1" xfId="0" applyFont="1" applyFill="1" applyBorder="1"/>
    <xf numFmtId="0" fontId="17" fillId="0" borderId="15" xfId="0" applyFont="1" applyBorder="1" applyAlignment="1">
      <alignment horizontal="center"/>
    </xf>
    <xf numFmtId="0" fontId="0" fillId="0" borderId="0" xfId="0" applyAlignment="1" applyProtection="1">
      <alignment horizontal="left" vertical="center"/>
      <protection locked="0"/>
    </xf>
    <xf numFmtId="1" fontId="0" fillId="0" borderId="0" xfId="0" applyNumberFormat="1" applyAlignment="1" applyProtection="1">
      <alignment horizontal="center" vertical="center"/>
      <protection locked="0"/>
    </xf>
    <xf numFmtId="1" fontId="0" fillId="0" borderId="0" xfId="0" applyNumberFormat="1" applyAlignment="1">
      <alignment horizontal="center" vertical="center"/>
    </xf>
    <xf numFmtId="0" fontId="24" fillId="0" borderId="7" xfId="0" applyFont="1" applyBorder="1"/>
    <xf numFmtId="2" fontId="9" fillId="0" borderId="7" xfId="0" quotePrefix="1" applyNumberFormat="1" applyFont="1" applyBorder="1" applyAlignment="1">
      <alignment horizontal="center" vertical="center" wrapText="1"/>
    </xf>
    <xf numFmtId="0" fontId="20" fillId="0" borderId="1" xfId="0" applyFont="1" applyBorder="1" applyAlignment="1">
      <alignment horizontal="left" vertical="center"/>
    </xf>
    <xf numFmtId="0" fontId="0" fillId="0" borderId="1" xfId="0" applyBorder="1" applyAlignment="1">
      <alignment horizontal="center"/>
    </xf>
    <xf numFmtId="0" fontId="16" fillId="11" borderId="7" xfId="0" applyFont="1" applyFill="1" applyBorder="1" applyAlignment="1">
      <alignment horizontal="center" vertical="center"/>
    </xf>
    <xf numFmtId="0" fontId="21" fillId="0" borderId="1" xfId="0" applyFont="1" applyBorder="1" applyAlignment="1">
      <alignment horizontal="center" vertical="center"/>
    </xf>
    <xf numFmtId="0" fontId="7" fillId="0" borderId="1" xfId="0" applyFont="1" applyBorder="1" applyAlignment="1">
      <alignment horizontal="center" vertical="center" wrapText="1"/>
    </xf>
    <xf numFmtId="0" fontId="19" fillId="0" borderId="1" xfId="0" applyFont="1" applyBorder="1" applyAlignment="1">
      <alignment horizontal="left" vertical="center"/>
    </xf>
    <xf numFmtId="0" fontId="19" fillId="0" borderId="1" xfId="0" applyFont="1" applyBorder="1" applyAlignment="1">
      <alignment vertical="center"/>
    </xf>
    <xf numFmtId="0" fontId="16" fillId="11" borderId="7" xfId="0" applyFont="1" applyFill="1" applyBorder="1" applyAlignment="1">
      <alignment horizontal="left" vertical="center"/>
    </xf>
    <xf numFmtId="0" fontId="18" fillId="0" borderId="1" xfId="0" applyFont="1" applyBorder="1" applyAlignment="1">
      <alignment horizontal="left" vertical="center"/>
    </xf>
    <xf numFmtId="0" fontId="19" fillId="0" borderId="1" xfId="0" applyFont="1" applyBorder="1" applyAlignment="1">
      <alignment horizontal="center" vertical="center"/>
    </xf>
    <xf numFmtId="0" fontId="21" fillId="9" borderId="1" xfId="0" applyFont="1" applyFill="1" applyBorder="1" applyAlignment="1">
      <alignment horizontal="center" vertical="center"/>
    </xf>
    <xf numFmtId="0" fontId="16" fillId="0" borderId="1" xfId="0" applyFont="1" applyBorder="1" applyAlignment="1">
      <alignment horizontal="center" vertical="center"/>
    </xf>
    <xf numFmtId="166" fontId="0" fillId="3" borderId="4" xfId="0" applyNumberFormat="1" applyFill="1" applyBorder="1" applyAlignment="1">
      <alignment horizontal="center" vertical="center" wrapText="1"/>
    </xf>
    <xf numFmtId="0" fontId="0" fillId="4" borderId="6" xfId="0" applyFill="1" applyBorder="1" applyAlignment="1" applyProtection="1">
      <alignment horizontal="left" vertical="center" wrapText="1"/>
      <protection locked="0"/>
    </xf>
    <xf numFmtId="0" fontId="0" fillId="4" borderId="6" xfId="0" applyFill="1" applyBorder="1" applyAlignment="1">
      <alignment horizontal="center" vertical="center" wrapText="1"/>
    </xf>
    <xf numFmtId="0" fontId="0" fillId="5" borderId="6" xfId="0" applyFill="1" applyBorder="1" applyAlignment="1" applyProtection="1">
      <alignment horizontal="center" vertical="center" wrapText="1"/>
      <protection locked="0"/>
    </xf>
    <xf numFmtId="2" fontId="0" fillId="0" borderId="16" xfId="0" quotePrefix="1" applyNumberFormat="1"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pplyProtection="1">
      <alignment horizontal="left" vertical="center"/>
      <protection locked="0"/>
    </xf>
    <xf numFmtId="0" fontId="0" fillId="0" borderId="13" xfId="0" applyBorder="1" applyAlignment="1" applyProtection="1">
      <alignment horizontal="center" vertical="center"/>
      <protection locked="0"/>
    </xf>
    <xf numFmtId="0" fontId="0" fillId="0" borderId="13" xfId="0" applyBorder="1" applyAlignment="1" applyProtection="1">
      <alignment horizontal="left" vertical="center"/>
      <protection locked="0"/>
    </xf>
    <xf numFmtId="164" fontId="0" fillId="0" borderId="13" xfId="0" applyNumberFormat="1" applyBorder="1" applyAlignment="1" applyProtection="1">
      <alignment horizontal="center" vertical="center"/>
      <protection locked="0"/>
    </xf>
    <xf numFmtId="166" fontId="0" fillId="0" borderId="13" xfId="0" applyNumberFormat="1" applyBorder="1" applyAlignment="1" applyProtection="1">
      <alignment horizontal="center" vertical="center"/>
      <protection locked="0"/>
    </xf>
    <xf numFmtId="1" fontId="0" fillId="0" borderId="14" xfId="0" applyNumberFormat="1" applyBorder="1" applyAlignment="1" applyProtection="1">
      <alignment horizontal="center" vertical="center"/>
      <protection locked="0"/>
    </xf>
    <xf numFmtId="0" fontId="0" fillId="2" borderId="13" xfId="0" applyFill="1" applyBorder="1" applyAlignment="1">
      <alignment horizontal="center" vertical="center"/>
    </xf>
    <xf numFmtId="164" fontId="0" fillId="2" borderId="13" xfId="0" applyNumberFormat="1" applyFill="1" applyBorder="1" applyAlignment="1" applyProtection="1">
      <alignment horizontal="center" vertical="center"/>
      <protection locked="0"/>
    </xf>
    <xf numFmtId="166" fontId="0" fillId="2" borderId="1" xfId="0" applyNumberFormat="1" applyFill="1" applyBorder="1" applyAlignment="1" applyProtection="1">
      <alignment horizontal="center" vertical="center"/>
      <protection locked="0"/>
    </xf>
    <xf numFmtId="1" fontId="0" fillId="0" borderId="15" xfId="0" applyNumberFormat="1" applyBorder="1" applyAlignment="1" applyProtection="1">
      <alignment horizontal="center" vertical="center"/>
      <protection locked="0"/>
    </xf>
    <xf numFmtId="0" fontId="3" fillId="0" borderId="13" xfId="0" quotePrefix="1" applyFont="1" applyBorder="1" applyAlignment="1">
      <alignment horizontal="center" vertical="center"/>
    </xf>
    <xf numFmtId="0" fontId="0" fillId="0" borderId="13" xfId="0" quotePrefix="1" applyBorder="1" applyAlignment="1" applyProtection="1">
      <alignment horizontal="center" vertical="center"/>
      <protection locked="0"/>
    </xf>
    <xf numFmtId="0" fontId="0" fillId="0" borderId="13" xfId="0" quotePrefix="1" applyBorder="1" applyAlignment="1" applyProtection="1">
      <alignment horizontal="left" vertical="center"/>
      <protection locked="0"/>
    </xf>
    <xf numFmtId="166" fontId="0" fillId="0" borderId="1" xfId="0" applyNumberForma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9" fillId="0" borderId="1" xfId="0" applyFont="1" applyBorder="1" applyAlignment="1">
      <alignment horizontal="left" vertical="center"/>
    </xf>
    <xf numFmtId="0" fontId="9" fillId="0" borderId="1" xfId="0" applyFont="1" applyBorder="1" applyAlignment="1">
      <alignment horizontal="center" vertical="center"/>
    </xf>
    <xf numFmtId="164" fontId="0" fillId="0" borderId="1" xfId="0" applyNumberFormat="1" applyBorder="1" applyAlignment="1" applyProtection="1">
      <alignment horizontal="center" vertical="center"/>
      <protection locked="0"/>
    </xf>
    <xf numFmtId="0" fontId="0" fillId="10" borderId="1" xfId="0" applyFill="1" applyBorder="1" applyAlignment="1" applyProtection="1">
      <alignment horizontal="left" vertical="center"/>
      <protection locked="0"/>
    </xf>
    <xf numFmtId="0" fontId="0" fillId="10" borderId="1" xfId="0" applyFill="1" applyBorder="1" applyAlignment="1" applyProtection="1">
      <alignment horizontal="center" vertical="center"/>
      <protection locked="0"/>
    </xf>
    <xf numFmtId="0" fontId="0" fillId="10" borderId="1" xfId="0" quotePrefix="1" applyFill="1" applyBorder="1" applyAlignment="1" applyProtection="1">
      <alignment horizontal="center" vertical="center"/>
      <protection locked="0"/>
    </xf>
    <xf numFmtId="164" fontId="0" fillId="10" borderId="1" xfId="0" applyNumberFormat="1" applyFill="1" applyBorder="1" applyAlignment="1" applyProtection="1">
      <alignment horizontal="center" vertical="center"/>
      <protection locked="0"/>
    </xf>
    <xf numFmtId="14" fontId="0" fillId="0" borderId="1" xfId="0" quotePrefix="1" applyNumberFormat="1" applyBorder="1" applyAlignment="1">
      <alignment horizontal="center" vertical="center"/>
    </xf>
    <xf numFmtId="0" fontId="0" fillId="0" borderId="1" xfId="0" quotePrefix="1" applyBorder="1" applyAlignment="1" applyProtection="1">
      <alignment horizontal="center" vertical="center"/>
      <protection locked="0"/>
    </xf>
    <xf numFmtId="49" fontId="5" fillId="0" borderId="1" xfId="0" applyNumberFormat="1" applyFont="1" applyBorder="1" applyAlignment="1">
      <alignment horizontal="center" vertical="center"/>
    </xf>
    <xf numFmtId="0" fontId="0" fillId="0" borderId="17"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1" xfId="0" applyBorder="1" applyAlignment="1">
      <alignment horizontal="left" vertical="center"/>
    </xf>
    <xf numFmtId="0" fontId="9" fillId="0" borderId="1" xfId="0" quotePrefix="1" applyFont="1" applyBorder="1" applyAlignment="1">
      <alignment horizontal="center" vertical="center"/>
    </xf>
    <xf numFmtId="165" fontId="0" fillId="0" borderId="1" xfId="0" quotePrefix="1" applyNumberFormat="1" applyBorder="1" applyAlignment="1">
      <alignment horizontal="left" vertical="center"/>
    </xf>
    <xf numFmtId="165" fontId="0" fillId="0" borderId="0" xfId="0" quotePrefix="1" applyNumberFormat="1" applyAlignment="1">
      <alignment horizontal="left" vertical="center"/>
    </xf>
    <xf numFmtId="2" fontId="0" fillId="0" borderId="1" xfId="0" applyNumberFormat="1" applyBorder="1" applyAlignment="1">
      <alignment horizontal="center" vertical="center"/>
    </xf>
    <xf numFmtId="165" fontId="0" fillId="0" borderId="1" xfId="0" quotePrefix="1" applyNumberFormat="1" applyBorder="1" applyAlignment="1">
      <alignment horizontal="center" vertical="center"/>
    </xf>
    <xf numFmtId="49" fontId="0" fillId="0" borderId="1" xfId="0" applyNumberFormat="1" applyBorder="1" applyAlignment="1" applyProtection="1">
      <alignment horizontal="center" vertical="center"/>
      <protection locked="0"/>
    </xf>
    <xf numFmtId="0" fontId="0" fillId="0" borderId="23" xfId="0" applyBorder="1" applyAlignment="1" applyProtection="1">
      <alignment horizontal="left" vertical="center"/>
      <protection locked="0"/>
    </xf>
    <xf numFmtId="0" fontId="19" fillId="0" borderId="7" xfId="0" applyFont="1" applyBorder="1" applyAlignment="1">
      <alignment vertical="center"/>
    </xf>
    <xf numFmtId="0" fontId="0" fillId="0" borderId="15" xfId="0" applyBorder="1" applyAlignment="1">
      <alignment horizontal="center" vertical="center"/>
    </xf>
    <xf numFmtId="0" fontId="0" fillId="0" borderId="10" xfId="0" applyBorder="1" applyAlignment="1">
      <alignment horizontal="left" vertical="center"/>
    </xf>
    <xf numFmtId="0" fontId="0" fillId="0" borderId="7"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0" fillId="0" borderId="4" xfId="0" applyBorder="1" applyAlignment="1" applyProtection="1">
      <alignment horizontal="center" vertical="center"/>
      <protection locked="0"/>
    </xf>
    <xf numFmtId="0" fontId="0" fillId="0" borderId="1" xfId="0" quotePrefix="1" applyBorder="1" applyAlignment="1">
      <alignment horizontal="center" vertical="center"/>
    </xf>
    <xf numFmtId="0" fontId="0" fillId="3" borderId="1" xfId="0" applyFill="1" applyBorder="1" applyAlignment="1">
      <alignment horizontal="left" vertical="center"/>
    </xf>
    <xf numFmtId="14" fontId="0" fillId="3" borderId="1" xfId="0" applyNumberFormat="1" applyFill="1" applyBorder="1" applyAlignment="1">
      <alignment horizontal="center" vertical="center"/>
    </xf>
    <xf numFmtId="14" fontId="0" fillId="3" borderId="1" xfId="0" quotePrefix="1" applyNumberFormat="1" applyFill="1" applyBorder="1" applyAlignment="1">
      <alignment horizontal="center" vertical="center"/>
    </xf>
    <xf numFmtId="166" fontId="0" fillId="0" borderId="1" xfId="0" applyNumberFormat="1" applyBorder="1" applyAlignment="1">
      <alignment horizontal="center" vertical="center"/>
    </xf>
    <xf numFmtId="0" fontId="21" fillId="0" borderId="1" xfId="0" applyFont="1" applyBorder="1"/>
    <xf numFmtId="14" fontId="0" fillId="0" borderId="1" xfId="0" applyNumberFormat="1" applyBorder="1" applyAlignment="1">
      <alignment horizontal="center" vertical="center"/>
    </xf>
    <xf numFmtId="2" fontId="0" fillId="0" borderId="1" xfId="0" quotePrefix="1" applyNumberFormat="1" applyBorder="1" applyAlignment="1">
      <alignment horizontal="center" vertical="center"/>
    </xf>
    <xf numFmtId="166" fontId="0" fillId="3" borderId="1" xfId="0" applyNumberFormat="1" applyFill="1" applyBorder="1" applyAlignment="1">
      <alignment horizontal="center" vertical="center"/>
    </xf>
    <xf numFmtId="14" fontId="0" fillId="0" borderId="7" xfId="0" quotePrefix="1" applyNumberFormat="1" applyBorder="1" applyAlignment="1">
      <alignment horizontal="center" vertical="center"/>
    </xf>
    <xf numFmtId="0" fontId="0" fillId="3" borderId="1" xfId="0" quotePrefix="1" applyFill="1" applyBorder="1" applyAlignment="1">
      <alignment horizontal="center" vertical="center"/>
    </xf>
    <xf numFmtId="14" fontId="0" fillId="3" borderId="15" xfId="0" applyNumberFormat="1" applyFill="1" applyBorder="1" applyAlignment="1">
      <alignment horizontal="center" vertical="center"/>
    </xf>
    <xf numFmtId="164" fontId="0" fillId="0" borderId="24" xfId="0" applyNumberFormat="1" applyBorder="1" applyAlignment="1" applyProtection="1">
      <alignment horizontal="center" vertical="center"/>
      <protection locked="0"/>
    </xf>
    <xf numFmtId="166" fontId="0" fillId="3" borderId="4" xfId="0" applyNumberFormat="1" applyFill="1" applyBorder="1" applyAlignment="1">
      <alignment horizontal="center" vertical="center"/>
    </xf>
    <xf numFmtId="14" fontId="0" fillId="0" borderId="15" xfId="0" applyNumberFormat="1" applyBorder="1" applyAlignment="1">
      <alignment horizontal="center" vertical="center"/>
    </xf>
    <xf numFmtId="166" fontId="0" fillId="0" borderId="4" xfId="0" applyNumberFormat="1" applyBorder="1" applyAlignment="1" applyProtection="1">
      <alignment horizontal="center" vertical="center"/>
      <protection locked="0"/>
    </xf>
    <xf numFmtId="1" fontId="0" fillId="0" borderId="25" xfId="0" applyNumberFormat="1" applyBorder="1" applyAlignment="1" applyProtection="1">
      <alignment horizontal="center" vertical="center"/>
      <protection locked="0"/>
    </xf>
    <xf numFmtId="0" fontId="6" fillId="0" borderId="1" xfId="0" applyFont="1" applyBorder="1" applyAlignment="1" applyProtection="1">
      <alignment horizontal="left" vertical="center"/>
      <protection locked="0"/>
    </xf>
    <xf numFmtId="0" fontId="6" fillId="0" borderId="1" xfId="0" applyFont="1" applyBorder="1" applyAlignment="1" applyProtection="1">
      <alignment horizontal="center" vertical="center"/>
      <protection locked="0"/>
    </xf>
    <xf numFmtId="0" fontId="0" fillId="0" borderId="0" xfId="0" applyAlignment="1">
      <alignment horizontal="left" vertical="center"/>
    </xf>
    <xf numFmtId="0" fontId="0" fillId="0" borderId="7" xfId="0" applyBorder="1" applyAlignment="1" applyProtection="1">
      <alignment horizontal="center" vertical="center"/>
      <protection locked="0"/>
    </xf>
    <xf numFmtId="0" fontId="0" fillId="0" borderId="10" xfId="0" applyBorder="1" applyAlignment="1" applyProtection="1">
      <alignment horizontal="center" vertical="center"/>
      <protection locked="0"/>
    </xf>
    <xf numFmtId="14" fontId="0" fillId="0" borderId="4" xfId="0" applyNumberFormat="1" applyBorder="1" applyAlignment="1">
      <alignment horizontal="center" vertical="center"/>
    </xf>
    <xf numFmtId="0" fontId="0" fillId="0" borderId="16" xfId="0" applyBorder="1" applyAlignment="1" applyProtection="1">
      <alignment horizontal="left" vertical="center"/>
      <protection locked="0"/>
    </xf>
    <xf numFmtId="166" fontId="0" fillId="0" borderId="1" xfId="0" quotePrefix="1" applyNumberFormat="1" applyBorder="1" applyAlignment="1">
      <alignment horizontal="center" vertical="center"/>
    </xf>
    <xf numFmtId="0" fontId="0" fillId="3" borderId="1" xfId="0" applyFill="1" applyBorder="1" applyAlignment="1" applyProtection="1">
      <alignment horizontal="center" vertical="center"/>
      <protection locked="0"/>
    </xf>
    <xf numFmtId="164" fontId="0" fillId="0" borderId="18" xfId="0" applyNumberFormat="1" applyBorder="1" applyAlignment="1" applyProtection="1">
      <alignment horizontal="center" vertical="center"/>
      <protection locked="0"/>
    </xf>
    <xf numFmtId="166" fontId="0" fillId="0" borderId="18" xfId="0" applyNumberFormat="1" applyBorder="1" applyAlignment="1" applyProtection="1">
      <alignment horizontal="center" vertical="center"/>
      <protection locked="0"/>
    </xf>
    <xf numFmtId="14" fontId="0" fillId="0" borderId="13" xfId="0" quotePrefix="1" applyNumberFormat="1" applyBorder="1" applyAlignment="1">
      <alignment horizontal="center" vertical="center"/>
    </xf>
    <xf numFmtId="166" fontId="0" fillId="0" borderId="13" xfId="0" applyNumberFormat="1" applyBorder="1" applyAlignment="1">
      <alignment horizontal="center" vertical="center"/>
    </xf>
    <xf numFmtId="0" fontId="7" fillId="0" borderId="1" xfId="0" applyFont="1" applyBorder="1" applyAlignment="1" applyProtection="1">
      <alignment horizontal="left" vertical="center"/>
      <protection locked="0"/>
    </xf>
    <xf numFmtId="0" fontId="7" fillId="0" borderId="7" xfId="0" applyFont="1" applyBorder="1" applyAlignment="1" applyProtection="1">
      <alignment horizontal="center" vertical="center"/>
      <protection locked="0"/>
    </xf>
    <xf numFmtId="0" fontId="6" fillId="0" borderId="7" xfId="0" applyFont="1" applyBorder="1" applyAlignment="1">
      <alignment horizontal="left" vertical="center"/>
    </xf>
    <xf numFmtId="0" fontId="6" fillId="0" borderId="7" xfId="0" quotePrefix="1" applyFont="1" applyBorder="1" applyAlignment="1">
      <alignment horizontal="center" vertical="center"/>
    </xf>
    <xf numFmtId="0" fontId="10" fillId="0" borderId="10" xfId="0" applyFont="1" applyBorder="1" applyAlignment="1">
      <alignment horizontal="center" vertical="center"/>
    </xf>
    <xf numFmtId="164" fontId="0" fillId="0" borderId="4" xfId="0" applyNumberFormat="1" applyBorder="1" applyAlignment="1" applyProtection="1">
      <alignment horizontal="center" vertical="center"/>
      <protection locked="0"/>
    </xf>
    <xf numFmtId="0" fontId="9" fillId="0" borderId="13" xfId="0" applyFont="1" applyBorder="1" applyAlignment="1">
      <alignment horizontal="center" vertical="center"/>
    </xf>
    <xf numFmtId="0" fontId="9" fillId="0" borderId="13" xfId="0" applyFont="1" applyBorder="1" applyAlignment="1">
      <alignment horizontal="left" vertical="center"/>
    </xf>
    <xf numFmtId="0" fontId="9" fillId="0" borderId="0" xfId="0" quotePrefix="1" applyFont="1" applyAlignment="1">
      <alignment horizontal="center" vertical="center"/>
    </xf>
    <xf numFmtId="0" fontId="5" fillId="0" borderId="1" xfId="0" quotePrefix="1" applyFont="1" applyBorder="1" applyAlignment="1">
      <alignment horizontal="center" vertical="center"/>
    </xf>
    <xf numFmtId="166" fontId="0" fillId="0" borderId="15" xfId="0" applyNumberFormat="1"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1" fontId="0" fillId="0" borderId="26" xfId="0" applyNumberFormat="1" applyBorder="1" applyAlignment="1" applyProtection="1">
      <alignment horizontal="center" vertical="center"/>
      <protection locked="0"/>
    </xf>
    <xf numFmtId="0" fontId="19" fillId="0" borderId="10" xfId="0" applyFont="1" applyBorder="1" applyAlignment="1">
      <alignment horizontal="center" vertical="center"/>
    </xf>
    <xf numFmtId="0" fontId="0" fillId="0" borderId="17" xfId="0" applyBorder="1" applyAlignment="1" applyProtection="1">
      <alignment horizontal="left" vertical="center"/>
      <protection locked="0"/>
    </xf>
    <xf numFmtId="0" fontId="0" fillId="0" borderId="22" xfId="0" quotePrefix="1" applyBorder="1" applyAlignment="1" applyProtection="1">
      <alignment horizontal="center" vertical="center"/>
      <protection locked="0"/>
    </xf>
    <xf numFmtId="0" fontId="0" fillId="0" borderId="14" xfId="0" applyBorder="1" applyAlignment="1" applyProtection="1">
      <alignment horizontal="left" vertical="center"/>
      <protection locked="0"/>
    </xf>
    <xf numFmtId="0" fontId="3" fillId="0" borderId="16" xfId="0" quotePrefix="1" applyFont="1" applyBorder="1" applyAlignment="1">
      <alignment horizontal="center" vertical="center"/>
    </xf>
    <xf numFmtId="0" fontId="0" fillId="0" borderId="7" xfId="0" quotePrefix="1" applyBorder="1" applyAlignment="1" applyProtection="1">
      <alignment horizontal="center" vertical="center"/>
      <protection locked="0"/>
    </xf>
    <xf numFmtId="164" fontId="0" fillId="0" borderId="7" xfId="0" applyNumberFormat="1" applyBorder="1" applyAlignment="1" applyProtection="1">
      <alignment horizontal="center" vertical="center"/>
      <protection locked="0"/>
    </xf>
    <xf numFmtId="0" fontId="0" fillId="0" borderId="1" xfId="0" applyBorder="1" applyAlignment="1" applyProtection="1">
      <alignment vertical="center"/>
      <protection locked="0"/>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7" fillId="0" borderId="13" xfId="0" quotePrefix="1" applyFont="1" applyBorder="1" applyAlignment="1">
      <alignment horizontal="center" vertical="center"/>
    </xf>
    <xf numFmtId="0" fontId="3" fillId="0" borderId="13"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6" fillId="0" borderId="1" xfId="0" quotePrefix="1" applyFont="1" applyBorder="1" applyAlignment="1">
      <alignment horizontal="center" vertical="center"/>
    </xf>
    <xf numFmtId="0" fontId="0" fillId="0" borderId="4" xfId="0" applyBorder="1" applyAlignment="1" applyProtection="1">
      <alignment horizontal="left" vertical="center"/>
      <protection locked="0"/>
    </xf>
    <xf numFmtId="0" fontId="22" fillId="0" borderId="15" xfId="0" applyFont="1" applyBorder="1" applyAlignment="1">
      <alignment horizontal="left" vertical="center"/>
    </xf>
    <xf numFmtId="0" fontId="22" fillId="0" borderId="10" xfId="0" applyFont="1" applyBorder="1" applyAlignment="1">
      <alignment horizontal="center" vertical="center"/>
    </xf>
    <xf numFmtId="0" fontId="22" fillId="0" borderId="4" xfId="0" applyFont="1" applyBorder="1" applyAlignment="1">
      <alignment horizontal="left" vertical="center"/>
    </xf>
    <xf numFmtId="0" fontId="22" fillId="0" borderId="1" xfId="0" applyFont="1" applyBorder="1" applyAlignment="1">
      <alignment horizontal="center" vertical="center"/>
    </xf>
    <xf numFmtId="0" fontId="3" fillId="0" borderId="14" xfId="0" quotePrefix="1" applyFont="1" applyBorder="1" applyAlignment="1">
      <alignment horizontal="center" vertical="center"/>
    </xf>
    <xf numFmtId="0" fontId="0" fillId="0" borderId="10" xfId="0" quotePrefix="1" applyBorder="1" applyAlignment="1" applyProtection="1">
      <alignment horizontal="center" vertical="center"/>
      <protection locked="0"/>
    </xf>
    <xf numFmtId="166" fontId="0" fillId="0" borderId="7" xfId="0" applyNumberFormat="1" applyBorder="1" applyAlignment="1" applyProtection="1">
      <alignment horizontal="center" vertical="center"/>
      <protection locked="0"/>
    </xf>
    <xf numFmtId="0" fontId="3" fillId="0" borderId="14" xfId="0" applyFont="1" applyBorder="1" applyAlignment="1">
      <alignment horizontal="center" vertical="center"/>
    </xf>
    <xf numFmtId="14" fontId="0" fillId="0" borderId="1" xfId="0" applyNumberFormat="1" applyBorder="1" applyAlignment="1" applyProtection="1">
      <alignment horizontal="center" vertical="center"/>
      <protection locked="0"/>
    </xf>
    <xf numFmtId="0" fontId="8" fillId="0" borderId="7" xfId="0" applyFont="1" applyBorder="1" applyAlignment="1">
      <alignment horizontal="center" vertical="center"/>
    </xf>
    <xf numFmtId="0" fontId="0" fillId="0" borderId="19"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0" xfId="0" quotePrefix="1" applyAlignment="1" applyProtection="1">
      <alignment horizontal="center" vertical="center"/>
      <protection locked="0"/>
    </xf>
    <xf numFmtId="0" fontId="3" fillId="11" borderId="13" xfId="0" quotePrefix="1" applyFont="1" applyFill="1" applyBorder="1" applyAlignment="1">
      <alignment horizontal="center" vertical="center"/>
    </xf>
    <xf numFmtId="0" fontId="0" fillId="11" borderId="1" xfId="0" quotePrefix="1" applyFill="1" applyBorder="1" applyAlignment="1">
      <alignment horizontal="left" vertical="center"/>
    </xf>
    <xf numFmtId="0" fontId="0" fillId="11" borderId="1" xfId="0" applyFill="1" applyBorder="1" applyAlignment="1" applyProtection="1">
      <alignment horizontal="center" vertical="center"/>
      <protection locked="0"/>
    </xf>
    <xf numFmtId="0" fontId="0" fillId="11" borderId="1" xfId="0" quotePrefix="1" applyFill="1" applyBorder="1" applyAlignment="1">
      <alignment horizontal="center" vertical="center"/>
    </xf>
    <xf numFmtId="164" fontId="0" fillId="11" borderId="1" xfId="0" applyNumberFormat="1" applyFill="1" applyBorder="1" applyAlignment="1" applyProtection="1">
      <alignment horizontal="center" vertical="center"/>
      <protection locked="0"/>
    </xf>
    <xf numFmtId="166" fontId="0" fillId="11" borderId="1" xfId="0" applyNumberFormat="1" applyFill="1" applyBorder="1" applyAlignment="1" applyProtection="1">
      <alignment horizontal="center" vertical="center"/>
      <protection locked="0"/>
    </xf>
    <xf numFmtId="0" fontId="3" fillId="9" borderId="13" xfId="0" quotePrefix="1" applyFont="1" applyFill="1" applyBorder="1" applyAlignment="1">
      <alignment horizontal="center" vertical="center"/>
    </xf>
    <xf numFmtId="0" fontId="0" fillId="9" borderId="1" xfId="0" applyFill="1" applyBorder="1" applyAlignment="1" applyProtection="1">
      <alignment horizontal="left" vertical="center"/>
      <protection locked="0"/>
    </xf>
    <xf numFmtId="0" fontId="0" fillId="9" borderId="1" xfId="0" applyFill="1" applyBorder="1" applyAlignment="1" applyProtection="1">
      <alignment horizontal="center" vertical="center"/>
      <protection locked="0"/>
    </xf>
    <xf numFmtId="0" fontId="0" fillId="9" borderId="1" xfId="0" quotePrefix="1" applyFill="1" applyBorder="1" applyAlignment="1" applyProtection="1">
      <alignment horizontal="center" vertical="center"/>
      <protection locked="0"/>
    </xf>
    <xf numFmtId="164" fontId="0" fillId="9" borderId="1" xfId="0" applyNumberFormat="1" applyFill="1" applyBorder="1" applyAlignment="1" applyProtection="1">
      <alignment horizontal="center" vertical="center"/>
      <protection locked="0"/>
    </xf>
    <xf numFmtId="166" fontId="0" fillId="9" borderId="1" xfId="0" applyNumberFormat="1" applyFill="1" applyBorder="1" applyAlignment="1" applyProtection="1">
      <alignment horizontal="center" vertical="center"/>
      <protection locked="0"/>
    </xf>
    <xf numFmtId="0" fontId="0" fillId="11" borderId="1" xfId="0" applyFill="1" applyBorder="1" applyAlignment="1" applyProtection="1">
      <alignment horizontal="left" vertical="center"/>
      <protection locked="0"/>
    </xf>
    <xf numFmtId="49" fontId="0" fillId="0" borderId="1" xfId="0" quotePrefix="1" applyNumberFormat="1" applyBorder="1" applyAlignment="1">
      <alignment horizontal="center" vertical="center"/>
    </xf>
    <xf numFmtId="0" fontId="3" fillId="2" borderId="13" xfId="0" applyFont="1" applyFill="1" applyBorder="1" applyAlignment="1">
      <alignment horizontal="center" vertical="center"/>
    </xf>
    <xf numFmtId="164" fontId="0" fillId="2" borderId="1" xfId="0" applyNumberFormat="1" applyFill="1" applyBorder="1" applyAlignment="1" applyProtection="1">
      <alignment horizontal="center" vertical="center"/>
      <protection locked="0"/>
    </xf>
    <xf numFmtId="0" fontId="9" fillId="0" borderId="1" xfId="0" applyFont="1" applyBorder="1" applyAlignment="1" applyProtection="1">
      <alignment horizontal="left" vertical="center"/>
      <protection locked="0"/>
    </xf>
    <xf numFmtId="0" fontId="9" fillId="0" borderId="1" xfId="0" applyFont="1" applyBorder="1" applyAlignment="1" applyProtection="1">
      <alignment horizontal="center" vertical="center"/>
      <protection locked="0"/>
    </xf>
    <xf numFmtId="0" fontId="0" fillId="0" borderId="1" xfId="0" quotePrefix="1" applyBorder="1" applyAlignment="1" applyProtection="1">
      <alignment horizontal="left" vertical="center"/>
      <protection locked="0"/>
    </xf>
    <xf numFmtId="0" fontId="9" fillId="0" borderId="7" xfId="0" applyFont="1" applyBorder="1" applyAlignment="1">
      <alignment horizontal="left" vertical="center"/>
    </xf>
    <xf numFmtId="0" fontId="9" fillId="0" borderId="7" xfId="0" applyFont="1" applyBorder="1" applyAlignment="1">
      <alignment horizontal="center" vertical="center"/>
    </xf>
    <xf numFmtId="166" fontId="0" fillId="0" borderId="7" xfId="0" applyNumberFormat="1" applyBorder="1" applyAlignment="1">
      <alignment horizontal="center" vertical="center"/>
    </xf>
    <xf numFmtId="0" fontId="0" fillId="9" borderId="7" xfId="0" applyFill="1" applyBorder="1" applyAlignment="1" applyProtection="1">
      <alignment horizontal="left" vertical="center"/>
      <protection locked="0"/>
    </xf>
    <xf numFmtId="0" fontId="0" fillId="9" borderId="7" xfId="0" applyFill="1" applyBorder="1" applyAlignment="1" applyProtection="1">
      <alignment horizontal="center" vertical="center"/>
      <protection locked="0"/>
    </xf>
    <xf numFmtId="164" fontId="0" fillId="9" borderId="7" xfId="0" applyNumberFormat="1" applyFill="1" applyBorder="1" applyAlignment="1" applyProtection="1">
      <alignment horizontal="center" vertical="center"/>
      <protection locked="0"/>
    </xf>
    <xf numFmtId="166" fontId="0" fillId="9" borderId="7" xfId="0" applyNumberFormat="1" applyFill="1" applyBorder="1" applyAlignment="1" applyProtection="1">
      <alignment horizontal="center" vertical="center"/>
      <protection locked="0"/>
    </xf>
    <xf numFmtId="0" fontId="21" fillId="0" borderId="7" xfId="0" applyFont="1" applyBorder="1"/>
    <xf numFmtId="0" fontId="3" fillId="9" borderId="13" xfId="0" applyFont="1" applyFill="1" applyBorder="1" applyAlignment="1">
      <alignment horizontal="center" vertical="center"/>
    </xf>
    <xf numFmtId="0" fontId="0" fillId="9" borderId="7" xfId="0" quotePrefix="1" applyFill="1" applyBorder="1" applyAlignment="1" applyProtection="1">
      <alignment horizontal="center" vertical="center"/>
      <protection locked="0"/>
    </xf>
    <xf numFmtId="0" fontId="0" fillId="0" borderId="7" xfId="0" applyBorder="1" applyAlignment="1">
      <alignment horizontal="left" vertical="center"/>
    </xf>
    <xf numFmtId="0" fontId="0" fillId="9" borderId="7" xfId="0" applyFill="1" applyBorder="1" applyAlignment="1">
      <alignment horizontal="left" vertical="center"/>
    </xf>
    <xf numFmtId="0" fontId="0" fillId="9" borderId="7" xfId="0" applyFill="1" applyBorder="1" applyAlignment="1">
      <alignment horizontal="center" vertical="center"/>
    </xf>
    <xf numFmtId="0" fontId="0" fillId="9" borderId="7" xfId="0" quotePrefix="1" applyFill="1" applyBorder="1" applyAlignment="1">
      <alignment horizontal="center" vertical="center"/>
    </xf>
    <xf numFmtId="14" fontId="0" fillId="9" borderId="7" xfId="0" applyNumberFormat="1" applyFill="1" applyBorder="1" applyAlignment="1">
      <alignment horizontal="center" vertical="center"/>
    </xf>
    <xf numFmtId="14" fontId="0" fillId="9" borderId="7" xfId="0" quotePrefix="1" applyNumberFormat="1" applyFill="1" applyBorder="1" applyAlignment="1">
      <alignment horizontal="center" vertical="center"/>
    </xf>
    <xf numFmtId="166" fontId="0" fillId="9" borderId="7" xfId="0" applyNumberFormat="1" applyFill="1" applyBorder="1" applyAlignment="1">
      <alignment horizontal="center" vertical="center"/>
    </xf>
    <xf numFmtId="14" fontId="0" fillId="12" borderId="7" xfId="0" applyNumberFormat="1" applyFill="1" applyBorder="1" applyAlignment="1">
      <alignment horizontal="center" vertical="center"/>
    </xf>
    <xf numFmtId="14" fontId="0" fillId="12" borderId="7" xfId="0" quotePrefix="1" applyNumberFormat="1" applyFill="1" applyBorder="1" applyAlignment="1">
      <alignment horizontal="center" vertical="center"/>
    </xf>
    <xf numFmtId="166" fontId="0" fillId="12" borderId="7" xfId="0" applyNumberFormat="1" applyFill="1" applyBorder="1" applyAlignment="1">
      <alignment horizontal="center" vertical="center"/>
    </xf>
    <xf numFmtId="1" fontId="0" fillId="9" borderId="26" xfId="0" applyNumberFormat="1" applyFill="1" applyBorder="1" applyAlignment="1" applyProtection="1">
      <alignment horizontal="center" vertical="center"/>
      <protection locked="0"/>
    </xf>
    <xf numFmtId="0" fontId="0" fillId="11" borderId="7" xfId="0" applyFill="1" applyBorder="1" applyAlignment="1" applyProtection="1">
      <alignment horizontal="left" vertical="center"/>
      <protection locked="0"/>
    </xf>
    <xf numFmtId="0" fontId="0" fillId="11" borderId="7" xfId="0" applyFill="1" applyBorder="1" applyAlignment="1" applyProtection="1">
      <alignment horizontal="center" vertical="center"/>
      <protection locked="0"/>
    </xf>
    <xf numFmtId="0" fontId="0" fillId="11" borderId="7" xfId="0" quotePrefix="1" applyFill="1" applyBorder="1" applyAlignment="1" applyProtection="1">
      <alignment horizontal="center" vertical="center"/>
      <protection locked="0"/>
    </xf>
    <xf numFmtId="164" fontId="0" fillId="11" borderId="7" xfId="0" applyNumberFormat="1" applyFill="1" applyBorder="1" applyAlignment="1" applyProtection="1">
      <alignment horizontal="center" vertical="center"/>
      <protection locked="0"/>
    </xf>
    <xf numFmtId="166" fontId="0" fillId="11" borderId="7" xfId="0" applyNumberFormat="1" applyFill="1" applyBorder="1" applyAlignment="1" applyProtection="1">
      <alignment horizontal="center" vertical="center"/>
      <protection locked="0"/>
    </xf>
    <xf numFmtId="166" fontId="0" fillId="10" borderId="1" xfId="0" applyNumberFormat="1" applyFill="1" applyBorder="1" applyAlignment="1" applyProtection="1">
      <alignment horizontal="center" vertical="center"/>
      <protection locked="0"/>
    </xf>
    <xf numFmtId="0" fontId="3" fillId="10" borderId="13" xfId="0" quotePrefix="1" applyFont="1" applyFill="1" applyBorder="1" applyAlignment="1">
      <alignment horizontal="center" vertical="center"/>
    </xf>
    <xf numFmtId="0" fontId="3" fillId="10" borderId="13" xfId="0" applyFont="1" applyFill="1" applyBorder="1" applyAlignment="1">
      <alignment horizontal="center" vertical="center"/>
    </xf>
    <xf numFmtId="0" fontId="0" fillId="10" borderId="13" xfId="0" applyFill="1" applyBorder="1" applyAlignment="1">
      <alignment horizontal="center" vertical="center"/>
    </xf>
    <xf numFmtId="0" fontId="0" fillId="9" borderId="13" xfId="0" applyFill="1" applyBorder="1" applyAlignment="1">
      <alignment horizontal="center" vertical="center"/>
    </xf>
    <xf numFmtId="0" fontId="3" fillId="2" borderId="1" xfId="0" quotePrefix="1" applyFont="1" applyFill="1" applyBorder="1" applyAlignment="1">
      <alignment horizontal="center" vertical="center"/>
    </xf>
    <xf numFmtId="0" fontId="3" fillId="0" borderId="1" xfId="0" quotePrefix="1" applyFont="1" applyBorder="1" applyAlignment="1">
      <alignment horizontal="center" vertical="center"/>
    </xf>
    <xf numFmtId="0" fontId="3" fillId="0" borderId="1" xfId="0" applyFont="1" applyBorder="1" applyAlignment="1">
      <alignment horizontal="center" vertical="center"/>
    </xf>
    <xf numFmtId="0" fontId="0" fillId="11" borderId="1" xfId="0" applyFill="1" applyBorder="1" applyAlignment="1">
      <alignment horizontal="center" vertical="center"/>
    </xf>
    <xf numFmtId="0" fontId="0" fillId="11" borderId="0" xfId="0" applyFill="1" applyAlignment="1" applyProtection="1">
      <alignment horizontal="center" vertical="center"/>
      <protection locked="0"/>
    </xf>
    <xf numFmtId="0" fontId="0" fillId="9" borderId="1" xfId="0" applyFill="1" applyBorder="1" applyAlignment="1">
      <alignment horizontal="center" vertical="center"/>
    </xf>
    <xf numFmtId="0" fontId="3" fillId="11" borderId="1" xfId="0" quotePrefix="1" applyFont="1" applyFill="1" applyBorder="1" applyAlignment="1">
      <alignment horizontal="center" vertical="center"/>
    </xf>
    <xf numFmtId="14" fontId="0" fillId="11" borderId="1" xfId="0" applyNumberFormat="1" applyFill="1" applyBorder="1" applyAlignment="1">
      <alignment horizontal="center" vertical="center"/>
    </xf>
    <xf numFmtId="0" fontId="18" fillId="0" borderId="1" xfId="0" applyFont="1" applyBorder="1" applyAlignment="1">
      <alignment horizontal="center" vertical="center"/>
    </xf>
    <xf numFmtId="0" fontId="3" fillId="9" borderId="1" xfId="0" quotePrefix="1" applyFont="1" applyFill="1" applyBorder="1" applyAlignment="1">
      <alignment horizontal="center" vertical="center"/>
    </xf>
    <xf numFmtId="0" fontId="5" fillId="9" borderId="1" xfId="0" applyFont="1" applyFill="1" applyBorder="1" applyAlignment="1">
      <alignment vertical="center"/>
    </xf>
    <xf numFmtId="0" fontId="5" fillId="9" borderId="1" xfId="0" applyFont="1" applyFill="1" applyBorder="1" applyAlignment="1">
      <alignment horizontal="center" vertical="center"/>
    </xf>
    <xf numFmtId="1" fontId="0" fillId="9" borderId="15" xfId="0" applyNumberFormat="1" applyFill="1" applyBorder="1" applyAlignment="1" applyProtection="1">
      <alignment horizontal="center" vertical="center"/>
      <protection locked="0"/>
    </xf>
    <xf numFmtId="0" fontId="3" fillId="9" borderId="1" xfId="0" applyFont="1" applyFill="1" applyBorder="1" applyAlignment="1">
      <alignment horizontal="center" vertical="center"/>
    </xf>
    <xf numFmtId="0" fontId="0" fillId="10" borderId="1" xfId="0" applyFill="1" applyBorder="1" applyAlignment="1">
      <alignment horizontal="center" vertical="center"/>
    </xf>
    <xf numFmtId="0" fontId="0" fillId="2" borderId="1" xfId="0" applyFill="1" applyBorder="1" applyAlignment="1">
      <alignment horizontal="center" vertical="center"/>
    </xf>
    <xf numFmtId="0" fontId="3" fillId="2" borderId="1" xfId="0" applyFont="1" applyFill="1" applyBorder="1" applyAlignment="1">
      <alignment horizontal="center" vertical="center"/>
    </xf>
    <xf numFmtId="0" fontId="23" fillId="0" borderId="1" xfId="0" quotePrefix="1" applyFont="1" applyBorder="1" applyAlignment="1">
      <alignment horizontal="center" vertical="center"/>
    </xf>
    <xf numFmtId="0" fontId="0" fillId="10" borderId="10" xfId="0" applyFill="1" applyBorder="1" applyAlignment="1" applyProtection="1">
      <alignment horizontal="center" vertical="center"/>
      <protection locked="0"/>
    </xf>
    <xf numFmtId="0" fontId="3" fillId="10" borderId="1" xfId="0" quotePrefix="1" applyFont="1" applyFill="1" applyBorder="1" applyAlignment="1">
      <alignment horizontal="center" vertical="center"/>
    </xf>
    <xf numFmtId="0" fontId="3" fillId="10" borderId="1" xfId="0" applyFont="1" applyFill="1" applyBorder="1" applyAlignment="1">
      <alignment horizontal="center" vertical="center"/>
    </xf>
    <xf numFmtId="0" fontId="0" fillId="11" borderId="1" xfId="0" quotePrefix="1" applyFill="1" applyBorder="1" applyAlignment="1" applyProtection="1">
      <alignment horizontal="center" vertical="center"/>
      <protection locked="0"/>
    </xf>
    <xf numFmtId="0" fontId="3" fillId="11" borderId="1" xfId="0" applyFont="1" applyFill="1" applyBorder="1" applyAlignment="1">
      <alignment horizontal="center" vertical="center"/>
    </xf>
    <xf numFmtId="14" fontId="0" fillId="9" borderId="1" xfId="0" applyNumberFormat="1" applyFill="1" applyBorder="1" applyAlignment="1">
      <alignment horizontal="center" vertical="center"/>
    </xf>
    <xf numFmtId="164" fontId="0" fillId="2" borderId="7" xfId="0" applyNumberFormat="1" applyFill="1" applyBorder="1" applyAlignment="1" applyProtection="1">
      <alignment horizontal="center" vertical="center"/>
      <protection locked="0"/>
    </xf>
    <xf numFmtId="166" fontId="0" fillId="2" borderId="7" xfId="0" applyNumberFormat="1" applyFill="1" applyBorder="1" applyAlignment="1" applyProtection="1">
      <alignment horizontal="center" vertical="center"/>
      <protection locked="0"/>
    </xf>
    <xf numFmtId="14" fontId="0" fillId="10" borderId="1" xfId="0" applyNumberFormat="1" applyFill="1"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0" fillId="0" borderId="1" xfId="0" applyBorder="1"/>
    <xf numFmtId="0" fontId="0" fillId="0" borderId="10" xfId="0" applyBorder="1"/>
    <xf numFmtId="1" fontId="0" fillId="0" borderId="1" xfId="0" applyNumberFormat="1" applyBorder="1" applyAlignment="1" applyProtection="1">
      <alignment horizontal="center" vertical="center"/>
      <protection locked="0"/>
    </xf>
    <xf numFmtId="164" fontId="7" fillId="0" borderId="4" xfId="0" applyNumberFormat="1" applyFont="1" applyBorder="1" applyAlignment="1" applyProtection="1">
      <alignment horizontal="center" vertical="center" wrapText="1"/>
      <protection locked="0"/>
    </xf>
    <xf numFmtId="0" fontId="25" fillId="0" borderId="1" xfId="0" applyFont="1" applyBorder="1" applyAlignment="1">
      <alignment horizontal="left" vertical="center"/>
    </xf>
    <xf numFmtId="0" fontId="0" fillId="9" borderId="1" xfId="0" quotePrefix="1" applyFill="1" applyBorder="1" applyAlignment="1">
      <alignment horizontal="center" vertical="center"/>
    </xf>
    <xf numFmtId="0" fontId="7" fillId="0" borderId="1" xfId="0" quotePrefix="1" applyFont="1" applyBorder="1" applyAlignment="1">
      <alignment horizontal="center" vertical="center"/>
    </xf>
    <xf numFmtId="0" fontId="11" fillId="0" borderId="1" xfId="0" applyFont="1" applyBorder="1" applyAlignment="1">
      <alignment horizontal="center" vertical="center"/>
    </xf>
    <xf numFmtId="0" fontId="0" fillId="10" borderId="1" xfId="0" quotePrefix="1" applyFill="1" applyBorder="1" applyAlignment="1">
      <alignment horizontal="center" vertical="center"/>
    </xf>
    <xf numFmtId="14" fontId="0" fillId="0" borderId="1" xfId="0" applyNumberFormat="1" applyBorder="1" applyAlignment="1" applyProtection="1">
      <alignment horizontal="left" vertical="center"/>
      <protection locked="0"/>
    </xf>
    <xf numFmtId="0" fontId="0" fillId="0" borderId="1" xfId="0" applyBorder="1" applyAlignment="1" applyProtection="1">
      <alignment horizontal="left" vertical="top"/>
      <protection locked="0"/>
    </xf>
    <xf numFmtId="0" fontId="0" fillId="0" borderId="13" xfId="0" quotePrefix="1" applyBorder="1" applyAlignment="1">
      <alignment horizontal="center" vertical="center"/>
    </xf>
    <xf numFmtId="0" fontId="11" fillId="0" borderId="1" xfId="0" quotePrefix="1" applyFont="1" applyBorder="1" applyAlignment="1">
      <alignment horizontal="center" vertical="center"/>
    </xf>
    <xf numFmtId="14" fontId="0" fillId="0" borderId="4" xfId="0" quotePrefix="1" applyNumberFormat="1" applyBorder="1" applyAlignment="1">
      <alignment horizontal="center" vertical="center"/>
    </xf>
    <xf numFmtId="166" fontId="7" fillId="0" borderId="1" xfId="0" applyNumberFormat="1" applyFont="1" applyBorder="1" applyAlignment="1" applyProtection="1">
      <alignment horizontal="center" vertical="center"/>
      <protection locked="0"/>
    </xf>
    <xf numFmtId="165" fontId="0" fillId="0" borderId="1" xfId="0" quotePrefix="1" applyNumberFormat="1" applyBorder="1" applyAlignment="1">
      <alignment horizontal="left" vertical="top"/>
    </xf>
    <xf numFmtId="16" fontId="0" fillId="0" borderId="1" xfId="0" applyNumberFormat="1" applyBorder="1" applyAlignment="1" applyProtection="1">
      <alignment horizontal="left" vertical="center"/>
      <protection locked="0"/>
    </xf>
    <xf numFmtId="0" fontId="0" fillId="0" borderId="7" xfId="0" quotePrefix="1" applyBorder="1" applyAlignment="1">
      <alignment horizontal="center" vertical="center"/>
    </xf>
    <xf numFmtId="0" fontId="0" fillId="0" borderId="15" xfId="0" quotePrefix="1" applyBorder="1" applyAlignment="1">
      <alignment horizontal="center" vertical="center"/>
    </xf>
    <xf numFmtId="0" fontId="0" fillId="0" borderId="20" xfId="0" quotePrefix="1" applyBorder="1" applyAlignment="1">
      <alignment horizontal="center" vertical="center"/>
    </xf>
    <xf numFmtId="14" fontId="0" fillId="0" borderId="1" xfId="0" applyNumberFormat="1" applyBorder="1" applyAlignment="1">
      <alignment horizontal="left" vertical="center"/>
    </xf>
    <xf numFmtId="166" fontId="12" fillId="0" borderId="1" xfId="0" applyNumberFormat="1" applyFont="1" applyBorder="1" applyAlignment="1">
      <alignment horizontal="center" vertical="center"/>
    </xf>
    <xf numFmtId="165" fontId="0" fillId="0" borderId="1" xfId="0" applyNumberFormat="1" applyBorder="1" applyAlignment="1">
      <alignment horizontal="left" vertical="center"/>
    </xf>
    <xf numFmtId="165" fontId="0" fillId="0" borderId="1" xfId="0" applyNumberFormat="1" applyBorder="1" applyAlignment="1">
      <alignment horizontal="left" vertical="top"/>
    </xf>
    <xf numFmtId="0" fontId="9" fillId="0" borderId="1" xfId="0" quotePrefix="1" applyFont="1" applyBorder="1" applyAlignment="1" applyProtection="1">
      <alignment horizontal="center" vertical="center" wrapText="1"/>
      <protection locked="0"/>
    </xf>
    <xf numFmtId="0" fontId="5" fillId="0" borderId="22" xfId="0" quotePrefix="1" applyFont="1" applyBorder="1" applyAlignment="1">
      <alignment horizontal="center" vertical="center" wrapText="1"/>
    </xf>
    <xf numFmtId="49" fontId="5" fillId="0" borderId="1" xfId="0" quotePrefix="1" applyNumberFormat="1" applyFont="1" applyBorder="1" applyAlignment="1">
      <alignment horizontal="center" vertical="center" wrapText="1"/>
    </xf>
    <xf numFmtId="0" fontId="19" fillId="0" borderId="0" xfId="0" quotePrefix="1" applyFont="1" applyAlignment="1">
      <alignment horizontal="center" vertical="center"/>
    </xf>
    <xf numFmtId="0" fontId="0" fillId="0" borderId="4" xfId="0" quotePrefix="1" applyBorder="1" applyAlignment="1" applyProtection="1">
      <alignment horizontal="center" vertical="center" wrapText="1"/>
      <protection locked="0"/>
    </xf>
    <xf numFmtId="0" fontId="9" fillId="0" borderId="0" xfId="0" quotePrefix="1" applyFont="1" applyAlignment="1">
      <alignment horizontal="center" vertical="center" wrapText="1"/>
    </xf>
    <xf numFmtId="0" fontId="5" fillId="0" borderId="0" xfId="0" applyFont="1" applyAlignment="1">
      <alignment horizontal="center"/>
    </xf>
    <xf numFmtId="0" fontId="7" fillId="0" borderId="23" xfId="0" applyFont="1" applyBorder="1" applyAlignment="1">
      <alignment horizontal="center" vertical="center" wrapText="1"/>
    </xf>
    <xf numFmtId="0" fontId="7" fillId="0" borderId="23" xfId="0" applyFont="1" applyBorder="1" applyAlignment="1">
      <alignment horizontal="left" vertical="center" wrapText="1"/>
    </xf>
    <xf numFmtId="0" fontId="7" fillId="0" borderId="0" xfId="0" applyFont="1" applyAlignment="1">
      <alignment horizontal="center" vertical="center" wrapText="1"/>
    </xf>
    <xf numFmtId="0" fontId="16" fillId="0" borderId="0" xfId="0" quotePrefix="1" applyFont="1" applyAlignment="1">
      <alignment horizontal="center" vertical="center"/>
    </xf>
    <xf numFmtId="0" fontId="16" fillId="0" borderId="0" xfId="0" applyFont="1" applyAlignment="1">
      <alignment horizontal="left" vertical="center" wrapText="1"/>
    </xf>
    <xf numFmtId="0" fontId="16" fillId="0" borderId="10" xfId="0" applyFont="1" applyBorder="1" applyAlignment="1">
      <alignment horizontal="center" vertical="center"/>
    </xf>
    <xf numFmtId="0" fontId="16" fillId="0" borderId="10" xfId="0" applyFont="1" applyBorder="1" applyAlignment="1">
      <alignment horizontal="left" vertical="center"/>
    </xf>
    <xf numFmtId="0" fontId="18" fillId="0" borderId="15" xfId="0" applyFont="1" applyBorder="1" applyAlignment="1">
      <alignment horizontal="center" vertical="center" wrapText="1"/>
    </xf>
    <xf numFmtId="0" fontId="19" fillId="0" borderId="30" xfId="0" applyFont="1" applyBorder="1" applyAlignment="1">
      <alignment horizontal="center" vertical="center" wrapText="1"/>
    </xf>
    <xf numFmtId="0" fontId="0" fillId="0" borderId="26" xfId="0" applyBorder="1" applyAlignment="1" applyProtection="1">
      <alignment horizontal="center" vertical="center" wrapText="1"/>
      <protection locked="0"/>
    </xf>
    <xf numFmtId="0" fontId="19" fillId="0" borderId="27" xfId="0" applyFont="1" applyBorder="1" applyAlignment="1">
      <alignment horizontal="center" vertical="center" wrapText="1"/>
    </xf>
    <xf numFmtId="0" fontId="8" fillId="0" borderId="0" xfId="0" applyFont="1" applyAlignment="1">
      <alignment horizontal="center" vertical="center" wrapText="1"/>
    </xf>
    <xf numFmtId="166" fontId="9" fillId="0" borderId="1" xfId="0" applyNumberFormat="1" applyFont="1" applyBorder="1" applyAlignment="1" applyProtection="1">
      <alignment horizontal="center" vertical="center" wrapText="1"/>
      <protection locked="0"/>
    </xf>
    <xf numFmtId="0" fontId="27" fillId="0" borderId="27" xfId="0" applyFont="1" applyBorder="1" applyAlignment="1">
      <alignment horizontal="center" vertical="center" wrapText="1"/>
    </xf>
    <xf numFmtId="49" fontId="0" fillId="0" borderId="1" xfId="0" quotePrefix="1" applyNumberFormat="1" applyBorder="1" applyAlignment="1" applyProtection="1">
      <alignment horizontal="center" vertical="center" wrapText="1"/>
      <protection locked="0"/>
    </xf>
    <xf numFmtId="0" fontId="28" fillId="0" borderId="13" xfId="0" quotePrefix="1" applyFont="1" applyBorder="1" applyAlignment="1">
      <alignment horizontal="center" vertical="center" wrapText="1"/>
    </xf>
    <xf numFmtId="0" fontId="29" fillId="0" borderId="15" xfId="0" applyFont="1" applyBorder="1" applyAlignment="1" applyProtection="1">
      <alignment horizontal="center" vertical="center" wrapText="1"/>
      <protection locked="0"/>
    </xf>
    <xf numFmtId="0" fontId="7" fillId="0" borderId="1" xfId="0" quotePrefix="1" applyFont="1" applyBorder="1" applyAlignment="1" applyProtection="1">
      <alignment horizontal="center" vertical="center" wrapText="1"/>
      <protection locked="0"/>
    </xf>
    <xf numFmtId="0" fontId="8" fillId="0" borderId="10" xfId="0" quotePrefix="1" applyFont="1" applyBorder="1" applyAlignment="1">
      <alignment horizontal="center" vertical="center" wrapText="1"/>
    </xf>
    <xf numFmtId="0" fontId="21" fillId="0" borderId="19" xfId="0" applyFont="1" applyBorder="1" applyAlignment="1">
      <alignment horizontal="center" vertical="center"/>
    </xf>
    <xf numFmtId="0" fontId="29" fillId="0" borderId="26" xfId="0" applyFont="1" applyBorder="1" applyAlignment="1" applyProtection="1">
      <alignment horizontal="center" vertical="center" wrapText="1"/>
      <protection locked="0"/>
    </xf>
    <xf numFmtId="0" fontId="9" fillId="0" borderId="26" xfId="0" applyFont="1" applyBorder="1" applyAlignment="1" applyProtection="1">
      <alignment horizontal="center" vertical="center" wrapText="1"/>
      <protection locked="0"/>
    </xf>
    <xf numFmtId="0" fontId="0" fillId="3" borderId="2" xfId="0" applyFill="1" applyBorder="1" applyAlignment="1">
      <alignment horizontal="left" vertical="center" wrapText="1"/>
    </xf>
    <xf numFmtId="0" fontId="0" fillId="3" borderId="2" xfId="0" applyFill="1" applyBorder="1" applyAlignment="1">
      <alignment horizontal="center" vertical="center" wrapText="1"/>
    </xf>
    <xf numFmtId="2" fontId="0" fillId="3" borderId="2" xfId="0" quotePrefix="1" applyNumberFormat="1" applyFill="1" applyBorder="1" applyAlignment="1">
      <alignment horizontal="center" vertical="center" wrapText="1"/>
    </xf>
    <xf numFmtId="0" fontId="3" fillId="3" borderId="2" xfId="0" quotePrefix="1" applyFont="1" applyFill="1" applyBorder="1" applyAlignment="1">
      <alignment horizontal="center" vertical="center" wrapText="1"/>
    </xf>
    <xf numFmtId="0" fontId="0" fillId="3" borderId="15" xfId="0" applyFill="1" applyBorder="1" applyAlignment="1">
      <alignment horizontal="left" vertical="center" wrapText="1"/>
    </xf>
    <xf numFmtId="0" fontId="0" fillId="3" borderId="2" xfId="0" quotePrefix="1" applyFill="1" applyBorder="1" applyAlignment="1">
      <alignment horizontal="left" vertical="center" wrapText="1"/>
    </xf>
    <xf numFmtId="164" fontId="0" fillId="3" borderId="2" xfId="0" applyNumberFormat="1" applyFill="1" applyBorder="1" applyAlignment="1">
      <alignment horizontal="center" vertical="center" wrapText="1"/>
    </xf>
    <xf numFmtId="166" fontId="0" fillId="3" borderId="2" xfId="0" applyNumberFormat="1" applyFill="1" applyBorder="1" applyAlignment="1">
      <alignment horizontal="center" vertical="center" wrapText="1"/>
    </xf>
    <xf numFmtId="0" fontId="7" fillId="3" borderId="2" xfId="0" applyFont="1" applyFill="1" applyBorder="1" applyAlignment="1">
      <alignment horizontal="center" vertical="center" wrapText="1"/>
    </xf>
    <xf numFmtId="0" fontId="0" fillId="0" borderId="2" xfId="0" applyBorder="1" applyAlignment="1">
      <alignment horizontal="center" vertical="center" wrapText="1"/>
    </xf>
    <xf numFmtId="2" fontId="0" fillId="0" borderId="2" xfId="0" quotePrefix="1" applyNumberFormat="1" applyBorder="1" applyAlignment="1">
      <alignment horizontal="center" vertical="center" wrapText="1"/>
    </xf>
    <xf numFmtId="0" fontId="28" fillId="0" borderId="2" xfId="0" quotePrefix="1" applyFont="1" applyBorder="1" applyAlignment="1">
      <alignment horizontal="center" vertical="center" wrapText="1"/>
    </xf>
    <xf numFmtId="0" fontId="0" fillId="0" borderId="15" xfId="0" applyBorder="1" applyAlignment="1">
      <alignment horizontal="left" vertical="center" wrapText="1"/>
    </xf>
    <xf numFmtId="0" fontId="0" fillId="0" borderId="2" xfId="0" quotePrefix="1" applyBorder="1" applyAlignment="1">
      <alignment horizontal="left" vertical="center" wrapText="1"/>
    </xf>
    <xf numFmtId="164" fontId="0" fillId="0" borderId="2" xfId="0" applyNumberFormat="1" applyBorder="1" applyAlignment="1">
      <alignment horizontal="center" vertical="center" wrapText="1"/>
    </xf>
    <xf numFmtId="14" fontId="29" fillId="0" borderId="15" xfId="0" applyNumberFormat="1" applyFont="1" applyBorder="1" applyAlignment="1">
      <alignment horizontal="center" vertical="center" wrapText="1"/>
    </xf>
    <xf numFmtId="0" fontId="7" fillId="3" borderId="15" xfId="0" applyFont="1" applyFill="1" applyBorder="1" applyAlignment="1">
      <alignment horizontal="center" vertical="center" wrapText="1"/>
    </xf>
    <xf numFmtId="164" fontId="0" fillId="3" borderId="1" xfId="0" applyNumberFormat="1" applyFill="1" applyBorder="1" applyAlignment="1">
      <alignment horizontal="center" vertical="center" wrapText="1"/>
    </xf>
    <xf numFmtId="0" fontId="28" fillId="3" borderId="2" xfId="0" quotePrefix="1" applyFont="1" applyFill="1" applyBorder="1" applyAlignment="1">
      <alignment horizontal="center" vertical="center" wrapText="1"/>
    </xf>
    <xf numFmtId="14" fontId="29" fillId="3" borderId="15" xfId="0" applyNumberFormat="1" applyFont="1" applyFill="1" applyBorder="1" applyAlignment="1">
      <alignment horizontal="center" vertical="center" wrapText="1"/>
    </xf>
    <xf numFmtId="0" fontId="3" fillId="0" borderId="2" xfId="0" quotePrefix="1" applyFont="1" applyBorder="1" applyAlignment="1">
      <alignment horizontal="center" vertical="center" wrapText="1"/>
    </xf>
    <xf numFmtId="0" fontId="7" fillId="0" borderId="15" xfId="0" applyFont="1" applyBorder="1" applyAlignment="1">
      <alignment horizontal="center" vertical="center" wrapText="1"/>
    </xf>
    <xf numFmtId="0" fontId="5" fillId="3" borderId="1" xfId="0" applyFont="1" applyFill="1" applyBorder="1" applyAlignment="1">
      <alignment horizontal="left" vertical="center"/>
    </xf>
    <xf numFmtId="0" fontId="9" fillId="3" borderId="1" xfId="0" quotePrefix="1" applyFont="1" applyFill="1" applyBorder="1" applyAlignment="1">
      <alignment horizontal="center" vertical="center" wrapText="1"/>
    </xf>
    <xf numFmtId="0" fontId="3" fillId="0" borderId="2" xfId="0" applyFont="1" applyBorder="1" applyAlignment="1">
      <alignment horizontal="center" vertical="center" wrapText="1"/>
    </xf>
    <xf numFmtId="0" fontId="5" fillId="3" borderId="5" xfId="0" applyFont="1" applyFill="1" applyBorder="1" applyAlignment="1">
      <alignment horizontal="left" vertical="center" wrapText="1"/>
    </xf>
    <xf numFmtId="0" fontId="5" fillId="3" borderId="11" xfId="0" applyFont="1" applyFill="1" applyBorder="1" applyAlignment="1">
      <alignment horizontal="center" vertical="center" wrapText="1"/>
    </xf>
    <xf numFmtId="0" fontId="5" fillId="3" borderId="28" xfId="0" quotePrefix="1" applyFont="1" applyFill="1" applyBorder="1" applyAlignment="1">
      <alignment horizontal="center" vertical="center" wrapText="1"/>
    </xf>
    <xf numFmtId="0" fontId="5" fillId="3" borderId="1" xfId="0" applyFont="1" applyFill="1" applyBorder="1"/>
    <xf numFmtId="165" fontId="0" fillId="3" borderId="1" xfId="0" quotePrefix="1" applyNumberFormat="1" applyFill="1" applyBorder="1" applyAlignment="1">
      <alignment horizontal="center" vertical="center" wrapText="1"/>
    </xf>
    <xf numFmtId="0" fontId="5" fillId="3" borderId="1" xfId="0" applyFont="1" applyFill="1" applyBorder="1" applyAlignment="1">
      <alignment horizontal="center" vertical="center"/>
    </xf>
    <xf numFmtId="0" fontId="5" fillId="3" borderId="1" xfId="0" quotePrefix="1" applyFont="1" applyFill="1" applyBorder="1" applyAlignment="1">
      <alignment horizontal="center" vertical="center"/>
    </xf>
    <xf numFmtId="0" fontId="0" fillId="0" borderId="2" xfId="0" applyBorder="1" applyAlignment="1">
      <alignment horizontal="left" vertical="center" wrapText="1"/>
    </xf>
    <xf numFmtId="49" fontId="5" fillId="3" borderId="1" xfId="0" quotePrefix="1" applyNumberFormat="1" applyFont="1" applyFill="1" applyBorder="1" applyAlignment="1">
      <alignment horizontal="center" vertical="center" wrapText="1"/>
    </xf>
    <xf numFmtId="49" fontId="0" fillId="3" borderId="1" xfId="0" quotePrefix="1" applyNumberFormat="1" applyFill="1" applyBorder="1" applyAlignment="1">
      <alignment horizontal="center" vertical="center" wrapText="1"/>
    </xf>
    <xf numFmtId="0" fontId="16" fillId="3" borderId="5" xfId="0" applyFont="1" applyFill="1" applyBorder="1" applyAlignment="1">
      <alignment horizontal="center" vertical="center"/>
    </xf>
    <xf numFmtId="0" fontId="16" fillId="0" borderId="29" xfId="0" applyFont="1" applyBorder="1" applyAlignment="1">
      <alignment horizontal="center" vertical="center"/>
    </xf>
    <xf numFmtId="0" fontId="16" fillId="3" borderId="5" xfId="0" quotePrefix="1" applyFont="1" applyFill="1" applyBorder="1" applyAlignment="1">
      <alignment horizontal="center" vertical="center"/>
    </xf>
    <xf numFmtId="0" fontId="0" fillId="3" borderId="4" xfId="0" quotePrefix="1" applyFill="1" applyBorder="1" applyAlignment="1">
      <alignment horizontal="center" vertical="center" wrapText="1"/>
    </xf>
    <xf numFmtId="0" fontId="9" fillId="0" borderId="5" xfId="0" applyFont="1" applyBorder="1" applyAlignment="1">
      <alignment horizontal="left" vertical="center" wrapText="1"/>
    </xf>
    <xf numFmtId="0" fontId="9" fillId="0" borderId="5" xfId="0" quotePrefix="1" applyFont="1" applyBorder="1" applyAlignment="1">
      <alignment horizontal="center" vertical="center" wrapText="1"/>
    </xf>
    <xf numFmtId="0" fontId="5" fillId="0" borderId="5" xfId="0" quotePrefix="1" applyFont="1" applyBorder="1" applyAlignment="1">
      <alignment horizontal="center"/>
    </xf>
    <xf numFmtId="164" fontId="0" fillId="0" borderId="3" xfId="0" applyNumberFormat="1" applyBorder="1" applyAlignment="1">
      <alignment horizontal="center" vertical="center" wrapText="1"/>
    </xf>
    <xf numFmtId="0" fontId="6" fillId="0" borderId="5" xfId="0" applyFont="1" applyBorder="1" applyAlignment="1">
      <alignment horizontal="center" vertical="center" wrapText="1"/>
    </xf>
    <xf numFmtId="2" fontId="0" fillId="3" borderId="1" xfId="0" quotePrefix="1" applyNumberFormat="1" applyFill="1" applyBorder="1" applyAlignment="1">
      <alignment horizontal="center" vertical="center" wrapText="1"/>
    </xf>
    <xf numFmtId="164" fontId="0" fillId="3" borderId="15" xfId="0" applyNumberFormat="1" applyFill="1" applyBorder="1" applyAlignment="1">
      <alignment horizontal="center" vertical="center" wrapText="1"/>
    </xf>
    <xf numFmtId="164" fontId="0" fillId="3" borderId="24" xfId="0" applyNumberFormat="1" applyFill="1" applyBorder="1" applyAlignment="1">
      <alignment horizontal="center" vertical="center" wrapText="1"/>
    </xf>
    <xf numFmtId="0" fontId="6" fillId="3" borderId="5" xfId="0" applyFont="1" applyFill="1" applyBorder="1" applyAlignment="1">
      <alignment horizontal="center" vertical="center" wrapText="1"/>
    </xf>
    <xf numFmtId="164" fontId="0" fillId="0" borderId="15" xfId="0" applyNumberFormat="1" applyBorder="1" applyAlignment="1">
      <alignment horizontal="center" vertical="center" wrapText="1"/>
    </xf>
    <xf numFmtId="164" fontId="0" fillId="0" borderId="24" xfId="0" applyNumberFormat="1" applyBorder="1" applyAlignment="1">
      <alignment horizontal="center" vertical="center" wrapText="1"/>
    </xf>
    <xf numFmtId="166" fontId="0" fillId="0" borderId="4" xfId="0" applyNumberFormat="1" applyBorder="1" applyAlignment="1">
      <alignment horizontal="center" vertical="center" wrapText="1"/>
    </xf>
    <xf numFmtId="1" fontId="0" fillId="0" borderId="1" xfId="0" applyNumberFormat="1" applyBorder="1" applyAlignment="1">
      <alignment horizontal="center" vertical="center"/>
    </xf>
    <xf numFmtId="1" fontId="0" fillId="0" borderId="13" xfId="0" applyNumberFormat="1" applyBorder="1" applyAlignment="1">
      <alignment horizontal="center" vertical="center"/>
    </xf>
    <xf numFmtId="0" fontId="0" fillId="0" borderId="8" xfId="0" applyBorder="1" applyAlignment="1" applyProtection="1">
      <alignment horizontal="center" vertical="center" wrapText="1"/>
      <protection locked="0"/>
    </xf>
    <xf numFmtId="1" fontId="0" fillId="0" borderId="8" xfId="0" applyNumberFormat="1" applyBorder="1" applyAlignment="1" applyProtection="1">
      <alignment horizontal="center" vertical="center" wrapText="1"/>
      <protection locked="0"/>
    </xf>
    <xf numFmtId="0" fontId="4" fillId="0" borderId="0" xfId="0" applyFont="1" applyAlignment="1">
      <alignment wrapText="1"/>
    </xf>
    <xf numFmtId="0" fontId="0" fillId="0" borderId="10" xfId="0" quotePrefix="1" applyBorder="1" applyAlignment="1">
      <alignment horizontal="center" vertical="center"/>
    </xf>
    <xf numFmtId="0" fontId="0" fillId="0" borderId="21" xfId="0" applyBorder="1" applyAlignment="1" applyProtection="1">
      <alignment horizontal="left" vertical="center"/>
      <protection locked="0"/>
    </xf>
    <xf numFmtId="0" fontId="11" fillId="0" borderId="1" xfId="0" applyFont="1" applyBorder="1" applyAlignment="1">
      <alignment horizontal="left" vertical="center"/>
    </xf>
    <xf numFmtId="164" fontId="0" fillId="9" borderId="4" xfId="0" applyNumberFormat="1" applyFill="1" applyBorder="1" applyAlignment="1" applyProtection="1">
      <alignment horizontal="center" vertical="center"/>
      <protection locked="0"/>
    </xf>
    <xf numFmtId="164" fontId="0" fillId="10" borderId="4" xfId="0" applyNumberFormat="1" applyFill="1" applyBorder="1" applyAlignment="1" applyProtection="1">
      <alignment horizontal="center" vertical="center"/>
      <protection locked="0"/>
    </xf>
    <xf numFmtId="0" fontId="4" fillId="0" borderId="0" xfId="0" applyFont="1" applyAlignment="1">
      <alignment horizontal="left" vertical="center" wrapText="1"/>
    </xf>
    <xf numFmtId="0" fontId="0" fillId="0" borderId="0" xfId="0" pivotButton="1"/>
    <xf numFmtId="167" fontId="0" fillId="0" borderId="0" xfId="0" applyNumberFormat="1" applyAlignment="1">
      <alignment horizontal="center" vertical="center"/>
    </xf>
    <xf numFmtId="167" fontId="0" fillId="0" borderId="0" xfId="0" applyNumberFormat="1"/>
    <xf numFmtId="167" fontId="4" fillId="0" borderId="0" xfId="0" applyNumberFormat="1" applyFont="1" applyAlignment="1">
      <alignment horizontal="center" vertical="center"/>
    </xf>
    <xf numFmtId="0" fontId="15" fillId="0" borderId="0" xfId="0" applyFont="1" applyAlignment="1">
      <alignment horizontal="center"/>
    </xf>
    <xf numFmtId="17" fontId="1" fillId="6" borderId="1" xfId="0" applyNumberFormat="1" applyFont="1" applyFill="1" applyBorder="1" applyAlignment="1">
      <alignment horizontal="center" vertical="center"/>
    </xf>
    <xf numFmtId="0" fontId="1" fillId="0" borderId="15" xfId="0" applyFont="1" applyBorder="1"/>
    <xf numFmtId="0" fontId="1" fillId="6" borderId="38" xfId="0" applyFont="1" applyFill="1" applyBorder="1" applyAlignment="1">
      <alignment horizontal="center" vertical="center" wrapText="1"/>
    </xf>
    <xf numFmtId="0" fontId="1" fillId="6" borderId="39" xfId="0" applyFont="1" applyFill="1" applyBorder="1" applyAlignment="1">
      <alignment horizontal="center" vertical="center" wrapText="1"/>
    </xf>
    <xf numFmtId="0" fontId="1" fillId="7" borderId="39" xfId="0" applyFont="1" applyFill="1" applyBorder="1" applyAlignment="1">
      <alignment horizontal="center" vertical="center" wrapText="1"/>
    </xf>
    <xf numFmtId="0" fontId="1" fillId="6" borderId="40"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pplyProtection="1">
      <alignment horizontal="left" vertical="center" wrapText="1"/>
      <protection locked="0"/>
    </xf>
    <xf numFmtId="0" fontId="4" fillId="0" borderId="1" xfId="0" applyFont="1" applyBorder="1" applyAlignment="1">
      <alignment horizontal="center" vertical="center" wrapText="1"/>
    </xf>
    <xf numFmtId="2" fontId="4" fillId="0" borderId="13" xfId="0" quotePrefix="1" applyNumberFormat="1" applyFont="1" applyBorder="1" applyAlignment="1">
      <alignment horizontal="center" vertical="center" wrapText="1"/>
    </xf>
    <xf numFmtId="0" fontId="4" fillId="0" borderId="1" xfId="0" applyFont="1" applyBorder="1" applyAlignment="1" applyProtection="1">
      <alignment horizontal="left" vertical="center"/>
      <protection locked="0"/>
    </xf>
    <xf numFmtId="0" fontId="4" fillId="0" borderId="1" xfId="0" applyFont="1" applyBorder="1" applyAlignment="1" applyProtection="1">
      <alignment horizontal="center" vertical="center"/>
      <protection locked="0"/>
    </xf>
    <xf numFmtId="164" fontId="4" fillId="0" borderId="1" xfId="0" applyNumberFormat="1" applyFont="1" applyBorder="1" applyAlignment="1" applyProtection="1">
      <alignment horizontal="center" vertical="center"/>
      <protection locked="0"/>
    </xf>
    <xf numFmtId="0" fontId="7" fillId="0" borderId="13" xfId="0" quotePrefix="1" applyFont="1" applyBorder="1" applyAlignment="1">
      <alignment horizontal="center" vertical="center" wrapText="1"/>
    </xf>
    <xf numFmtId="0" fontId="30" fillId="0" borderId="13" xfId="0" quotePrefix="1" applyFont="1" applyBorder="1" applyAlignment="1">
      <alignment horizontal="center" vertical="center" wrapText="1"/>
    </xf>
    <xf numFmtId="0" fontId="7" fillId="0" borderId="13" xfId="0" applyFont="1" applyBorder="1" applyAlignment="1" applyProtection="1">
      <alignment horizontal="center" vertical="center" wrapText="1"/>
      <protection locked="0"/>
    </xf>
    <xf numFmtId="0" fontId="7" fillId="0" borderId="13" xfId="0" applyFont="1" applyBorder="1" applyAlignment="1" applyProtection="1">
      <alignment horizontal="left" vertical="center" wrapText="1"/>
      <protection locked="0"/>
    </xf>
    <xf numFmtId="164" fontId="7" fillId="0" borderId="13" xfId="0" applyNumberFormat="1" applyFont="1" applyBorder="1" applyAlignment="1" applyProtection="1">
      <alignment horizontal="center" vertical="center" wrapText="1"/>
      <protection locked="0"/>
    </xf>
    <xf numFmtId="166" fontId="7" fillId="0" borderId="13" xfId="0" applyNumberFormat="1" applyFont="1" applyBorder="1" applyAlignment="1" applyProtection="1">
      <alignment horizontal="center" vertical="center" wrapText="1"/>
      <protection locked="0"/>
    </xf>
    <xf numFmtId="0" fontId="30" fillId="2" borderId="13" xfId="0" quotePrefix="1" applyFont="1" applyFill="1" applyBorder="1" applyAlignment="1">
      <alignment horizontal="center" vertical="center" wrapText="1"/>
    </xf>
    <xf numFmtId="164" fontId="7" fillId="2" borderId="13" xfId="0" applyNumberFormat="1" applyFont="1" applyFill="1" applyBorder="1" applyAlignment="1" applyProtection="1">
      <alignment horizontal="center" vertical="center" wrapText="1"/>
      <protection locked="0"/>
    </xf>
    <xf numFmtId="166" fontId="7" fillId="2" borderId="13" xfId="0" applyNumberFormat="1" applyFont="1" applyFill="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164" fontId="7" fillId="0" borderId="1" xfId="0" applyNumberFormat="1" applyFont="1" applyBorder="1" applyAlignment="1" applyProtection="1">
      <alignment horizontal="center" vertical="center" wrapText="1"/>
      <protection locked="0"/>
    </xf>
    <xf numFmtId="164" fontId="7" fillId="2" borderId="1" xfId="0" applyNumberFormat="1" applyFont="1" applyFill="1" applyBorder="1" applyAlignment="1" applyProtection="1">
      <alignment horizontal="center" vertical="center" wrapText="1"/>
      <protection locked="0"/>
    </xf>
    <xf numFmtId="49" fontId="7" fillId="0" borderId="1" xfId="0" applyNumberFormat="1" applyFont="1" applyBorder="1" applyAlignment="1" applyProtection="1">
      <alignment horizontal="center" vertical="center" wrapText="1"/>
      <protection locked="0"/>
    </xf>
    <xf numFmtId="14" fontId="7" fillId="0" borderId="1" xfId="0" applyNumberFormat="1" applyFont="1" applyBorder="1" applyAlignment="1">
      <alignment horizontal="center" vertical="center" wrapText="1"/>
    </xf>
    <xf numFmtId="165" fontId="7" fillId="0" borderId="1" xfId="0" quotePrefix="1" applyNumberFormat="1" applyFont="1" applyBorder="1" applyAlignment="1">
      <alignment horizontal="left" vertical="center" wrapText="1"/>
    </xf>
    <xf numFmtId="165" fontId="7" fillId="0" borderId="1" xfId="0" quotePrefix="1" applyNumberFormat="1" applyFont="1" applyBorder="1" applyAlignment="1">
      <alignment horizontal="center" vertical="center" wrapText="1"/>
    </xf>
    <xf numFmtId="2" fontId="7" fillId="0" borderId="1" xfId="0" quotePrefix="1" applyNumberFormat="1" applyFont="1" applyBorder="1" applyAlignment="1">
      <alignment horizontal="center" vertical="center" wrapText="1"/>
    </xf>
    <xf numFmtId="166" fontId="7" fillId="0" borderId="1" xfId="0" applyNumberFormat="1" applyFont="1" applyBorder="1" applyAlignment="1" applyProtection="1">
      <alignment horizontal="center" vertical="center" wrapText="1"/>
      <protection locked="0"/>
    </xf>
    <xf numFmtId="0" fontId="7" fillId="0" borderId="1" xfId="0" quotePrefix="1" applyFont="1" applyBorder="1" applyAlignment="1">
      <alignment horizontal="center" vertical="center" wrapText="1"/>
    </xf>
    <xf numFmtId="0" fontId="30" fillId="9" borderId="13" xfId="0" quotePrefix="1" applyFont="1" applyFill="1" applyBorder="1" applyAlignment="1">
      <alignment horizontal="center" vertical="center" wrapText="1"/>
    </xf>
    <xf numFmtId="0" fontId="7" fillId="9" borderId="1" xfId="0" applyFont="1" applyFill="1" applyBorder="1" applyAlignment="1" applyProtection="1">
      <alignment horizontal="left" vertical="center" wrapText="1"/>
      <protection locked="0"/>
    </xf>
    <xf numFmtId="0" fontId="7" fillId="9" borderId="1" xfId="0" applyFont="1" applyFill="1" applyBorder="1" applyAlignment="1" applyProtection="1">
      <alignment horizontal="center" vertical="center" wrapText="1"/>
      <protection locked="0"/>
    </xf>
    <xf numFmtId="0" fontId="7" fillId="9" borderId="1" xfId="0" quotePrefix="1" applyFont="1" applyFill="1" applyBorder="1" applyAlignment="1" applyProtection="1">
      <alignment horizontal="center" vertical="center" wrapText="1"/>
      <protection locked="0"/>
    </xf>
    <xf numFmtId="164" fontId="7" fillId="9" borderId="1" xfId="0" applyNumberFormat="1" applyFont="1" applyFill="1" applyBorder="1" applyAlignment="1" applyProtection="1">
      <alignment horizontal="center" vertical="center" wrapText="1"/>
      <protection locked="0"/>
    </xf>
    <xf numFmtId="166" fontId="7" fillId="9" borderId="1" xfId="0" applyNumberFormat="1" applyFont="1" applyFill="1" applyBorder="1" applyAlignment="1" applyProtection="1">
      <alignment horizontal="center" vertical="center" wrapText="1"/>
      <protection locked="0"/>
    </xf>
    <xf numFmtId="0" fontId="3" fillId="2" borderId="1" xfId="0" applyFont="1" applyFill="1" applyBorder="1" applyAlignment="1">
      <alignment horizontal="center" vertical="center" wrapText="1"/>
    </xf>
    <xf numFmtId="166" fontId="0" fillId="2" borderId="1" xfId="0" applyNumberFormat="1" applyFill="1" applyBorder="1" applyAlignment="1" applyProtection="1">
      <alignment horizontal="center" vertical="center" wrapText="1"/>
      <protection locked="0"/>
    </xf>
    <xf numFmtId="0" fontId="3" fillId="0" borderId="1" xfId="0" quotePrefix="1" applyFont="1" applyBorder="1" applyAlignment="1">
      <alignment horizontal="center" vertical="center" wrapText="1"/>
    </xf>
    <xf numFmtId="0" fontId="11" fillId="0" borderId="1" xfId="0" applyFont="1" applyBorder="1" applyAlignment="1">
      <alignment horizontal="center" vertical="center" wrapText="1"/>
    </xf>
    <xf numFmtId="0" fontId="3" fillId="9" borderId="1" xfId="0" applyFont="1" applyFill="1" applyBorder="1" applyAlignment="1">
      <alignment horizontal="center" vertical="center" wrapText="1"/>
    </xf>
    <xf numFmtId="166" fontId="0" fillId="9" borderId="1" xfId="0" applyNumberFormat="1" applyFill="1" applyBorder="1" applyAlignment="1" applyProtection="1">
      <alignment horizontal="center" vertical="center" wrapText="1"/>
      <protection locked="0"/>
    </xf>
    <xf numFmtId="0" fontId="0" fillId="9" borderId="13" xfId="0" quotePrefix="1" applyFill="1" applyBorder="1" applyAlignment="1">
      <alignment horizontal="center" vertical="center"/>
    </xf>
    <xf numFmtId="0" fontId="0" fillId="0" borderId="0" xfId="0" quotePrefix="1" applyAlignment="1">
      <alignment horizontal="center" vertical="center"/>
    </xf>
    <xf numFmtId="0" fontId="26" fillId="0" borderId="1" xfId="0" applyFont="1" applyBorder="1"/>
    <xf numFmtId="0" fontId="0" fillId="0" borderId="0" xfId="0" applyAlignment="1" applyProtection="1">
      <alignment horizontal="left" vertical="center" wrapText="1"/>
      <protection locked="0"/>
    </xf>
    <xf numFmtId="0" fontId="9" fillId="0" borderId="0" xfId="0" applyFont="1" applyAlignment="1">
      <alignment horizontal="left" vertical="center"/>
    </xf>
    <xf numFmtId="0" fontId="0" fillId="0" borderId="9" xfId="0" applyBorder="1" applyAlignment="1" applyProtection="1">
      <alignment horizontal="left" vertical="center"/>
      <protection locked="0"/>
    </xf>
    <xf numFmtId="0" fontId="1" fillId="7" borderId="40" xfId="0" applyFont="1" applyFill="1" applyBorder="1" applyAlignment="1">
      <alignment horizontal="center" vertical="center" wrapText="1"/>
    </xf>
    <xf numFmtId="0" fontId="0" fillId="7" borderId="1" xfId="0" applyFill="1" applyBorder="1" applyAlignment="1">
      <alignment horizontal="center" vertical="center"/>
    </xf>
    <xf numFmtId="164" fontId="7" fillId="0" borderId="1" xfId="0" applyNumberFormat="1" applyFont="1" applyBorder="1" applyAlignment="1" applyProtection="1">
      <alignment horizontal="center" vertical="center"/>
      <protection locked="0"/>
    </xf>
    <xf numFmtId="0" fontId="13" fillId="6" borderId="36" xfId="0" applyFont="1" applyFill="1" applyBorder="1" applyAlignment="1">
      <alignment horizontal="center"/>
    </xf>
    <xf numFmtId="0" fontId="13" fillId="6" borderId="25" xfId="0" applyFont="1" applyFill="1" applyBorder="1" applyAlignment="1">
      <alignment horizontal="center"/>
    </xf>
    <xf numFmtId="0" fontId="13" fillId="6" borderId="4" xfId="0" applyFont="1" applyFill="1" applyBorder="1" applyAlignment="1">
      <alignment horizontal="center"/>
    </xf>
    <xf numFmtId="0" fontId="13" fillId="6" borderId="15" xfId="0" applyFont="1" applyFill="1" applyBorder="1" applyAlignment="1">
      <alignment horizontal="center"/>
    </xf>
    <xf numFmtId="0" fontId="13" fillId="6" borderId="31" xfId="0" applyFont="1" applyFill="1" applyBorder="1" applyAlignment="1">
      <alignment horizontal="center"/>
    </xf>
    <xf numFmtId="0" fontId="13" fillId="6" borderId="32" xfId="0" applyFont="1" applyFill="1" applyBorder="1" applyAlignment="1">
      <alignment horizontal="center"/>
    </xf>
    <xf numFmtId="0" fontId="13" fillId="6" borderId="33" xfId="0" applyFont="1" applyFill="1" applyBorder="1" applyAlignment="1">
      <alignment horizontal="center"/>
    </xf>
    <xf numFmtId="0" fontId="13" fillId="7" borderId="15" xfId="0" applyFont="1" applyFill="1" applyBorder="1" applyAlignment="1">
      <alignment horizontal="center"/>
    </xf>
    <xf numFmtId="0" fontId="13" fillId="7" borderId="25" xfId="0" applyFont="1" applyFill="1" applyBorder="1" applyAlignment="1">
      <alignment horizontal="center"/>
    </xf>
    <xf numFmtId="0" fontId="13" fillId="7" borderId="4" xfId="0" applyFont="1" applyFill="1" applyBorder="1" applyAlignment="1">
      <alignment horizontal="center"/>
    </xf>
    <xf numFmtId="0" fontId="13" fillId="6" borderId="34" xfId="0" applyFont="1" applyFill="1" applyBorder="1" applyAlignment="1">
      <alignment horizontal="center"/>
    </xf>
    <xf numFmtId="0" fontId="13" fillId="6" borderId="35" xfId="0" applyFont="1" applyFill="1" applyBorder="1" applyAlignment="1">
      <alignment horizontal="center"/>
    </xf>
    <xf numFmtId="0" fontId="13" fillId="7" borderId="34" xfId="0" applyFont="1" applyFill="1" applyBorder="1" applyAlignment="1">
      <alignment horizontal="center"/>
    </xf>
    <xf numFmtId="0" fontId="13" fillId="7" borderId="32" xfId="0" applyFont="1" applyFill="1" applyBorder="1" applyAlignment="1">
      <alignment horizontal="center"/>
    </xf>
    <xf numFmtId="0" fontId="13" fillId="7" borderId="33" xfId="0" applyFont="1" applyFill="1" applyBorder="1" applyAlignment="1">
      <alignment horizontal="center"/>
    </xf>
    <xf numFmtId="0" fontId="15" fillId="0" borderId="0" xfId="0" applyFont="1" applyAlignment="1">
      <alignment horizontal="center"/>
    </xf>
    <xf numFmtId="0" fontId="13" fillId="7" borderId="37" xfId="0" applyFont="1" applyFill="1" applyBorder="1" applyAlignment="1">
      <alignment horizontal="center"/>
    </xf>
    <xf numFmtId="0" fontId="13" fillId="7" borderId="36" xfId="0" applyFont="1" applyFill="1" applyBorder="1" applyAlignment="1">
      <alignment horizontal="center"/>
    </xf>
    <xf numFmtId="0" fontId="13" fillId="7" borderId="31" xfId="0" applyFont="1" applyFill="1" applyBorder="1" applyAlignment="1">
      <alignment horizontal="center"/>
    </xf>
    <xf numFmtId="0" fontId="13" fillId="7" borderId="35" xfId="0" applyFont="1" applyFill="1" applyBorder="1" applyAlignment="1">
      <alignment horizontal="center"/>
    </xf>
    <xf numFmtId="0" fontId="13" fillId="6" borderId="37" xfId="0" applyFont="1" applyFill="1" applyBorder="1" applyAlignment="1">
      <alignment horizontal="center"/>
    </xf>
    <xf numFmtId="0" fontId="1" fillId="0" borderId="1" xfId="0" applyFont="1" applyBorder="1" applyAlignment="1">
      <alignment horizontal="center"/>
    </xf>
  </cellXfs>
  <cellStyles count="1">
    <cellStyle name="Normal" xfId="0" builtinId="0"/>
  </cellStyles>
  <dxfs count="69">
    <dxf>
      <font>
        <b val="0"/>
        <i val="0"/>
        <strike val="0"/>
        <condense val="0"/>
        <extend val="0"/>
        <outline val="0"/>
        <shadow val="0"/>
        <u val="none"/>
        <vertAlign val="baseline"/>
        <sz val="11"/>
        <color theme="1"/>
        <name val="Aptos Narrow"/>
        <scheme val="minor"/>
      </font>
      <fill>
        <patternFill patternType="solid">
          <fgColor indexed="64"/>
          <bgColor theme="4" tint="0.59999389629810485"/>
        </patternFill>
      </fill>
      <border diagonalUp="0" diagonalDown="0">
        <left style="thin">
          <color indexed="64"/>
        </left>
        <right style="thin">
          <color indexed="64"/>
        </right>
        <top style="thin">
          <color theme="4" tint="0.39997558519241921"/>
        </top>
        <bottom style="thin">
          <color indexed="64"/>
        </bottom>
        <vertical/>
        <horizontal/>
      </border>
    </dxf>
    <dxf>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Aptos Narrow"/>
        <scheme val="minor"/>
      </font>
    </dxf>
    <dxf>
      <font>
        <b val="0"/>
        <i val="0"/>
        <strike val="0"/>
        <condense val="0"/>
        <extend val="0"/>
        <outline val="0"/>
        <shadow val="0"/>
        <u val="none"/>
        <vertAlign val="baseline"/>
        <sz val="10"/>
        <color theme="1"/>
        <name val="Aptos Narrow"/>
        <family val="2"/>
        <scheme val="minor"/>
      </font>
      <numFmt numFmtId="164"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Aptos Narrow"/>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0"/>
        <color theme="1"/>
        <name val="Aptos Narrow"/>
        <family val="2"/>
        <scheme val="minor"/>
      </font>
      <numFmt numFmtId="2" formatCode="0.00"/>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bottom style="thin">
          <color rgb="FF000000"/>
        </bottom>
      </border>
    </dxf>
    <dxf>
      <border outline="0">
        <top style="thin">
          <color rgb="FF000000"/>
        </top>
        <bottom style="thin">
          <color indexed="64"/>
        </bottom>
      </border>
    </dxf>
    <dxf>
      <fill>
        <patternFill patternType="solid">
          <fgColor indexed="64"/>
          <bgColor rgb="FFC00000"/>
        </patternFill>
      </fill>
      <alignment horizontal="center" vertical="center" textRotation="0" wrapText="1" indent="0" justifyLastLine="0" shrinkToFit="0" readingOrder="0"/>
      <border diagonalUp="0" diagonalDown="0" outline="0">
        <left style="thin">
          <color rgb="FF000000"/>
        </left>
        <right style="thin">
          <color rgb="FF000000"/>
        </right>
        <top/>
        <bottom/>
      </border>
      <protection locked="0" hidden="0"/>
    </dxf>
    <dxf>
      <fill>
        <patternFill>
          <bgColor theme="5" tint="0.39994506668294322"/>
        </patternFill>
      </fill>
    </dxf>
    <dxf>
      <fill>
        <patternFill>
          <bgColor theme="5" tint="0.39994506668294322"/>
        </patternFill>
      </fill>
    </dxf>
    <dxf>
      <fill>
        <patternFill>
          <bgColor theme="5" tint="0.39994506668294322"/>
        </patternFill>
      </fill>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4" formatCode="m/d/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theme="4" tint="0.39997558519241921"/>
        </bottom>
      </border>
    </dxf>
    <dxf>
      <border outline="0">
        <top style="thin">
          <color rgb="FF000000"/>
        </top>
        <bottom style="thin">
          <color indexed="64"/>
        </bottom>
      </border>
    </dxf>
    <dxf>
      <alignment textRotation="0" wrapText="0" indent="0" justifyLastLine="0" shrinkToFit="0" readingOrder="0"/>
    </dxf>
    <dxf>
      <alignment horizontal="center" vertical="center" textRotation="0" wrapText="1" indent="0" justifyLastLine="0" shrinkToFit="0" readingOrder="0"/>
      <border diagonalUp="0" diagonalDown="0" outline="0">
        <left style="thin">
          <color rgb="FF000000"/>
        </left>
        <right style="thin">
          <color rgb="FF000000"/>
        </right>
        <top/>
        <bottom/>
      </border>
      <protection locked="0" hidden="0"/>
    </dxf>
    <dxf>
      <fill>
        <patternFill>
          <bgColor theme="8"/>
        </patternFill>
      </fill>
    </dxf>
    <dxf>
      <fill>
        <patternFill>
          <bgColor theme="8" tint="0.39994506668294322"/>
        </patternFill>
      </fill>
    </dxf>
    <dxf>
      <alignment vertical="center"/>
    </dxf>
    <dxf>
      <alignment horizontal="center"/>
    </dxf>
    <dxf>
      <numFmt numFmtId="167" formatCode="#,##0.0"/>
    </dxf>
    <dxf>
      <numFmt numFmtId="1" formatCode="0"/>
    </dxf>
    <dxf>
      <numFmt numFmtId="1" formatCode="0"/>
    </dxf>
    <dxf>
      <numFmt numFmtId="1" formatCode="0"/>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numFmt numFmtId="167" formatCode="#,##0.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externalLink" Target="externalLinks/externalLink3.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mSpec%20Group\Downloads\2025%20-%20Corporate%20CAR-PAR-Assessment-CAF-PTO_tracking%20(3).xlsx" TargetMode="External"/><Relationship Id="rId1" Type="http://schemas.openxmlformats.org/officeDocument/2006/relationships/externalLinkPath" Target="file:///C:\Users\AmSpec%20Group\Downloads\2025%20-%20Corporate%20CAR-PAR-Assessment-CAF-PTO_tracking%20(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Spec%20Group\Downloads\2023%20-%20Corporate%20CAR-PAR-Assessment-CAF_tracking%20(2).xlsx" TargetMode="External"/><Relationship Id="rId1" Type="http://schemas.openxmlformats.org/officeDocument/2006/relationships/externalLinkPath" Target="file:///C:\Users\AmSpec%20Group\Downloads\2023%20-%20Corporate%20CAR-PAR-Assessment-CAF_tracking%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mSpec%20Group\Downloads\2026%20-%20Corporate%20CAR-PAR-Assessment-CAF-PTO_tracking%20(1).xlsx" TargetMode="External"/><Relationship Id="rId1" Type="http://schemas.openxmlformats.org/officeDocument/2006/relationships/externalLinkPath" Target="file:///C:\Users\AmSpec%20Group\Downloads\2026%20-%20Corporate%20CAR-PAR-Assessment-CAF-PTO_tracking%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ssment '25"/>
      <sheetName val="CAR '25"/>
      <sheetName val="PAR '25"/>
      <sheetName val="List source"/>
      <sheetName val="CAF '25"/>
      <sheetName val="PTO '25"/>
      <sheetName val="Sheet1"/>
      <sheetName val="2025 - Corporate CAR-PAR-Assess"/>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 tracking 2023"/>
      <sheetName val="CAR tracking 2023"/>
      <sheetName val="Assessment tracking 2023"/>
      <sheetName val="PTO tracking"/>
      <sheetName val="CAF tracking 2023"/>
      <sheetName val="List source"/>
      <sheetName val="2023 - Corporate CAR-PAR-Assess"/>
    </sheetNames>
    <sheetDataSet>
      <sheetData sheetId="0"/>
      <sheetData sheetId="1"/>
      <sheetData sheetId="2"/>
      <sheetData sheetId="3"/>
      <sheetData sheetId="4"/>
      <sheetData sheetId="5">
        <row r="2">
          <cell r="D2" t="str">
            <v>AGRI (HTC)</v>
          </cell>
        </row>
      </sheetData>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ssment '26"/>
      <sheetName val="CAR '26"/>
      <sheetName val="PAR '26"/>
      <sheetName val="List source"/>
      <sheetName val="CAF '26"/>
      <sheetName val="PTO '26"/>
      <sheetName val="Sheet1"/>
      <sheetName val="2026 - Corporate CAR-PAR-Assess"/>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Katherine Archambault" id="{D490E400-5273-40E6-A7E2-5594F47F3AFF}" userId="Katherine Archambault"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Spec Group" refreshedDate="46078.422341319441" createdVersion="8" refreshedVersion="8" minRefreshableVersion="3" recordCount="742" xr:uid="{AAC3B0BD-65FF-43FD-8B86-3F7F6E53CABC}">
  <cacheSource type="worksheet">
    <worksheetSource name="Table2"/>
  </cacheSource>
  <cacheFields count="14">
    <cacheField name="Location _x000a_(drop-down)" numFmtId="0">
      <sharedItems containsBlank="1" count="61">
        <s v="Montreal, QC"/>
        <s v="Puerto Rico"/>
        <s v="Bellingham (Ferndale), WA"/>
        <s v="Houston (HTC), TX "/>
        <s v="St Croix, USVI"/>
        <s v="Brownsville, TX"/>
        <s v="New Haven, CT"/>
        <s v="Port Arthur (Beaumont), TX"/>
        <s v="Boston (Everett), MA"/>
        <s v="Chicago, IL"/>
        <s v="Hamilton (Burlington), ON"/>
        <s v="San Francisco (Concord), CA"/>
        <s v="Los Angeles (Signal Hill), CA"/>
        <s v="Marcus Hook, PA"/>
        <s v="Memphis, TN"/>
        <s v="Avenel (NYH), NJ"/>
        <s v="HOFTI / Channelview, TX"/>
        <s v="Mobile, AL"/>
        <s v="Savannah, GA / Charleston, SC"/>
        <s v="Mickleton (Philly), NJ "/>
        <s v="CORPORATE, NJ"/>
        <s v="Providence, RI"/>
        <s v="Pittsburgh, PA"/>
        <s v="Portland, ME"/>
        <s v="Corpus Christi, TX"/>
        <s v="Mont Belvieu, TX"/>
        <s v="Decatur, AL"/>
        <s v="St Louis, MO"/>
        <s v="Texas City, TX"/>
        <s v="Pecos (West Texas), TX"/>
        <s v="Freeport, TX"/>
        <s v="Baton Rouge (Gonzales), LA"/>
        <s v="Halifax (Dartmouth), NS"/>
        <s v="Ft Lauderdale (Davie), FL"/>
        <s v="Cincinnati (Erlanger), OH"/>
        <s v="Tampa, FL"/>
        <s v="Lake Charles (Sulfur), LA  "/>
        <s v="Levis (Quebec City), Quebec"/>
        <s v="New Orleans (Destrehan), LA"/>
        <s v="Yorktown (Norfolk), VA"/>
        <s v="Kenai, AK"/>
        <s v="Cape Canaveral, FL"/>
        <s v="St James, LA"/>
        <s v="Port Arthur (Sabine Blending Lab), TX"/>
        <s v="AGRI (HTC)"/>
        <s v="Bahamas (Freeport), GBI"/>
        <s v="Seabrook (Chemicals), TX"/>
        <s v="St John, NB"/>
        <s v="Newfoundland (Arnold's Cove)"/>
        <s v="Bostco, TX"/>
        <s v="Baytown, TX"/>
        <s v="Valdez, AK"/>
        <s v="HST Weights &amp; Measures"/>
        <s v="Cushing, OK"/>
        <s v="Ingleside, TX"/>
        <s v="Tacoma, WA"/>
        <s v="Belle Chasse, LA"/>
        <s v="Albany, NY"/>
        <s v="Collins (Purvis), MS"/>
        <s v="Minot, ND"/>
        <m u="1"/>
      </sharedItems>
    </cacheField>
    <cacheField name="Location ID" numFmtId="0">
      <sharedItems containsMixedTypes="1" containsNumber="1" containsInteger="1" minValue="101" maxValue="215"/>
    </cacheField>
    <cacheField name="#" numFmtId="0">
      <sharedItems containsMixedTypes="1" containsNumber="1" containsInteger="1" minValue="164" maxValue="530"/>
    </cacheField>
    <cacheField name="CAR #" numFmtId="0">
      <sharedItems/>
    </cacheField>
    <cacheField name="CAR Type" numFmtId="0">
      <sharedItems/>
    </cacheField>
    <cacheField name="ASSOCIATED ORGANIZATION_x000a_(required for Complaints, Customer audits/alerts, _x000a_3rd party audits)" numFmtId="0">
      <sharedItems containsBlank="1"/>
    </cacheField>
    <cacheField name="BRIEF DESCRIPTION OF NC_x000a_if VOID:  &quot;VOID, Location, type, _x000a_details (initials, date)&quot;" numFmtId="0">
      <sharedItems containsDate="1" containsMixedTypes="1" minDate="2025-03-11T00:00:00" maxDate="2025-03-12T00:00:00"/>
    </cacheField>
    <cacheField name="Area _x000a_(Lab, Ops, Misc.)_x000a_(drop-down)" numFmtId="0">
      <sharedItems containsBlank="1"/>
    </cacheField>
    <cacheField name="QA team member initials" numFmtId="0">
      <sharedItems containsBlank="1"/>
    </cacheField>
    <cacheField name="CAR initialized date" numFmtId="0">
      <sharedItems containsSemiMixedTypes="0" containsNonDate="0" containsDate="1" containsString="0" minDate="2023-01-11T00:00:00" maxDate="2026-02-24T00:00:00" count="173">
        <d v="2024-08-29T00:00:00"/>
        <d v="2024-09-24T00:00:00"/>
        <d v="2023-01-11T00:00:00"/>
        <d v="2023-06-13T00:00:00"/>
        <d v="2024-06-25T00:00:00"/>
        <d v="2024-12-31T00:00:00"/>
        <d v="2024-01-26T00:00:00"/>
        <d v="2024-05-07T00:00:00"/>
        <d v="2024-08-07T00:00:00"/>
        <d v="2025-01-10T00:00:00"/>
        <d v="2024-10-23T00:00:00"/>
        <d v="2024-08-23T00:00:00"/>
        <d v="2023-07-25T00:00:00"/>
        <d v="2024-11-06T00:00:00"/>
        <d v="2025-01-09T00:00:00"/>
        <d v="2024-11-14T00:00:00"/>
        <d v="2023-09-14T00:00:00"/>
        <d v="2025-01-02T00:00:00"/>
        <d v="2024-11-19T00:00:00"/>
        <d v="2024-12-11T00:00:00"/>
        <d v="2025-01-29T00:00:00"/>
        <d v="2024-03-12T00:00:00"/>
        <d v="2024-03-20T00:00:00"/>
        <d v="2024-08-27T00:00:00"/>
        <d v="2024-08-02T00:00:00"/>
        <d v="2024-09-17T00:00:00"/>
        <d v="2025-01-14T00:00:00"/>
        <d v="2025-01-24T00:00:00"/>
        <d v="2024-08-05T00:00:00"/>
        <d v="2024-08-13T00:00:00"/>
        <d v="2025-01-30T00:00:00"/>
        <d v="2025-02-07T00:00:00"/>
        <d v="2024-11-11T00:00:00"/>
        <d v="2025-02-21T00:00:00"/>
        <d v="2025-01-27T00:00:00"/>
        <d v="2025-02-06T00:00:00"/>
        <d v="2025-02-18T00:00:00"/>
        <d v="2025-02-20T00:00:00"/>
        <d v="2025-02-10T00:00:00"/>
        <d v="2024-12-10T00:00:00"/>
        <d v="2025-02-25T00:00:00"/>
        <d v="2025-02-19T00:00:00"/>
        <d v="2025-03-11T00:00:00"/>
        <d v="2025-02-28T00:00:00"/>
        <d v="2025-03-25T00:00:00"/>
        <d v="2025-03-18T00:00:00"/>
        <d v="2024-08-26T00:00:00"/>
        <d v="2025-03-07T00:00:00"/>
        <d v="2025-03-05T00:00:00"/>
        <d v="2025-03-24T00:00:00"/>
        <d v="2024-05-01T00:00:00"/>
        <d v="2025-04-22T00:00:00"/>
        <d v="2025-02-03T00:00:00"/>
        <d v="2025-04-17T00:00:00"/>
        <d v="2025-03-31T00:00:00"/>
        <d v="2025-03-28T00:00:00"/>
        <d v="2025-04-07T00:00:00"/>
        <d v="2024-12-18T00:00:00"/>
        <d v="2025-05-05T00:00:00"/>
        <d v="2024-06-07T00:00:00"/>
        <d v="2023-06-30T00:00:00"/>
        <d v="2025-04-29T00:00:00"/>
        <d v="2025-03-27T00:00:00"/>
        <d v="2024-11-20T00:00:00"/>
        <d v="2024-02-09T00:00:00"/>
        <d v="2025-04-09T00:00:00"/>
        <d v="2024-07-16T00:00:00"/>
        <d v="2024-04-05T00:00:00"/>
        <d v="2024-03-18T00:00:00"/>
        <d v="2025-05-09T00:00:00"/>
        <d v="2025-05-29T00:00:00"/>
        <d v="2025-06-06T00:00:00"/>
        <d v="2025-05-22T00:00:00"/>
        <d v="2025-05-12T00:00:00"/>
        <d v="2025-05-21T00:00:00"/>
        <d v="2025-06-23T00:00:00"/>
        <d v="2025-05-06T00:00:00"/>
        <d v="2025-05-23T00:00:00"/>
        <d v="2023-06-22T00:00:00"/>
        <d v="2025-05-15T00:00:00"/>
        <d v="2025-06-12T00:00:00"/>
        <d v="2025-01-07T00:00:00"/>
        <d v="2025-06-27T00:00:00"/>
        <d v="2024-06-19T00:00:00"/>
        <d v="2025-06-11T00:00:00"/>
        <d v="2025-06-05T00:00:00"/>
        <d v="2025-06-17T00:00:00"/>
        <d v="2025-05-30T00:00:00"/>
        <d v="2025-07-08T00:00:00"/>
        <d v="2025-07-11T00:00:00"/>
        <d v="2025-07-29T00:00:00"/>
        <d v="2025-07-22T00:00:00"/>
        <d v="2025-07-15T00:00:00"/>
        <d v="2025-06-04T00:00:00"/>
        <d v="2025-07-30T00:00:00"/>
        <d v="2025-08-08T00:00:00"/>
        <d v="2025-07-16T00:00:00"/>
        <d v="2025-07-07T00:00:00"/>
        <d v="2025-07-14T00:00:00"/>
        <d v="2025-08-20T00:00:00"/>
        <d v="2025-08-11T00:00:00"/>
        <d v="2025-08-15T00:00:00"/>
        <d v="2024-07-25T00:00:00"/>
        <d v="2024-09-06T00:00:00"/>
        <d v="2025-08-25T00:00:00"/>
        <d v="2024-08-28T00:00:00"/>
        <d v="2024-04-19T00:00:00"/>
        <d v="2025-06-15T00:00:00"/>
        <d v="2025-09-15T00:00:00"/>
        <d v="2025-09-05T00:00:00"/>
        <d v="2023-06-27T00:00:00"/>
        <d v="2025-09-25T00:00:00"/>
        <d v="2025-09-04T00:00:00"/>
        <d v="2025-09-16T00:00:00"/>
        <d v="2025-02-13T00:00:00"/>
        <d v="2025-01-28T00:00:00"/>
        <d v="2025-09-03T00:00:00"/>
        <d v="2025-10-01T00:00:00"/>
        <d v="2025-10-23T00:00:00"/>
        <d v="2025-10-15T00:00:00"/>
        <d v="2025-10-10T00:00:00"/>
        <d v="2025-09-09T00:00:00"/>
        <d v="2025-10-20T00:00:00"/>
        <d v="2025-08-19T00:00:00"/>
        <d v="2025-06-25T00:00:00"/>
        <d v="2025-10-13T00:00:00"/>
        <d v="2025-10-30T00:00:00"/>
        <d v="2025-10-28T00:00:00"/>
        <d v="2025-11-20T00:00:00"/>
        <d v="2025-09-19T00:00:00"/>
        <d v="2025-11-24T00:00:00"/>
        <d v="2025-11-21T00:00:00"/>
        <d v="2025-08-27T00:00:00"/>
        <d v="2025-10-24T00:00:00"/>
        <d v="2025-11-12T00:00:00"/>
        <d v="2025-10-27T00:00:00"/>
        <d v="2025-10-14T00:00:00"/>
        <d v="2025-03-04T00:00:00"/>
        <d v="2025-12-10T00:00:00"/>
        <d v="2023-11-27T00:00:00"/>
        <d v="2024-04-16T00:00:00"/>
        <d v="2024-09-13T00:00:00"/>
        <d v="2025-12-08T00:00:00"/>
        <d v="2026-01-20T00:00:00"/>
        <d v="2026-01-15T00:00:00"/>
        <d v="2025-09-23T00:00:00"/>
        <d v="2026-01-14T00:00:00"/>
        <d v="2026-01-06T00:00:00"/>
        <d v="2025-12-18T00:00:00"/>
        <d v="2025-07-24T00:00:00"/>
        <d v="2025-12-04T00:00:00"/>
        <d v="2025-12-11T00:00:00"/>
        <d v="2026-01-30T00:00:00"/>
        <d v="2026-01-12T00:00:00"/>
        <d v="2025-10-21T00:00:00"/>
        <d v="2026-01-16T00:00:00"/>
        <d v="2026-02-10T00:00:00"/>
        <d v="2025-12-12T00:00:00"/>
        <d v="2025-02-17T00:00:00"/>
        <d v="2026-01-23T00:00:00"/>
        <d v="2026-02-19T00:00:00"/>
        <d v="2025-11-11T00:00:00"/>
        <d v="2025-09-22T00:00:00"/>
        <d v="2026-01-21T00:00:00"/>
        <d v="2025-08-07T00:00:00"/>
        <d v="2026-02-04T00:00:00"/>
        <d v="2026-02-09T00:00:00"/>
        <d v="2025-11-03T00:00:00"/>
        <d v="2026-01-26T00:00:00"/>
        <d v="2025-06-02T00:00:00"/>
        <d v="2026-02-11T00:00:00"/>
        <d v="2026-02-23T00:00:00"/>
        <d v="2025-12-05T00:00:00"/>
      </sharedItems>
    </cacheField>
    <cacheField name="Effectiveness Review &amp; date deemed effective" numFmtId="166">
      <sharedItems containsNonDate="0" containsDate="1" containsString="0" containsBlank="1" minDate="2024-05-24T00:00:00" maxDate="2026-02-25T00:00:00" count="203">
        <d v="2025-01-02T00:00:00"/>
        <d v="2025-01-29T00:00:00"/>
        <d v="2025-04-30T00:00:00"/>
        <d v="2025-02-27T00:00:00"/>
        <d v="2025-01-13T00:00:00"/>
        <d v="2025-05-30T00:00:00"/>
        <d v="2025-01-14T00:00:00"/>
        <d v="2025-01-16T00:00:00"/>
        <d v="2025-01-17T00:00:00"/>
        <d v="2025-01-19T00:00:00"/>
        <d v="2025-01-20T00:00:00"/>
        <d v="2025-02-25T00:00:00"/>
        <d v="2025-01-21T00:00:00"/>
        <d v="2025-01-22T00:00:00"/>
        <d v="2025-05-07T00:00:00"/>
        <d v="2025-01-24T00:00:00"/>
        <d v="2025-02-20T00:00:00"/>
        <d v="2025-05-06T00:00:00"/>
        <d v="2025-01-30T00:00:00"/>
        <d v="2025-10-16T00:00:00"/>
        <d v="2025-01-31T00:00:00"/>
        <d v="2025-02-01T00:00:00"/>
        <d v="2025-02-07T00:00:00"/>
        <d v="2025-02-10T00:00:00"/>
        <d v="2025-02-11T00:00:00"/>
        <d v="2025-02-12T00:00:00"/>
        <d v="2025-02-17T00:00:00"/>
        <d v="2025-02-19T00:00:00"/>
        <d v="2025-02-26T00:00:00"/>
        <d v="2025-04-08T00:00:00"/>
        <d v="2025-02-24T00:00:00"/>
        <d v="2025-04-22T00:00:00"/>
        <d v="2025-04-25T00:00:00"/>
        <d v="2025-03-03T00:00:00"/>
        <d v="2025-03-04T00:00:00"/>
        <d v="2025-03-05T00:00:00"/>
        <d v="2025-03-06T00:00:00"/>
        <d v="2025-03-09T00:00:00"/>
        <d v="2025-03-10T00:00:00"/>
        <d v="2025-03-11T00:00:00"/>
        <d v="2025-03-12T00:00:00"/>
        <d v="2025-03-13T00:00:00"/>
        <d v="2025-03-17T00:00:00"/>
        <d v="2025-03-19T00:00:00"/>
        <d v="2025-03-21T00:00:00"/>
        <d v="2025-03-24T00:00:00"/>
        <d v="2025-03-25T00:00:00"/>
        <d v="2025-03-26T00:00:00"/>
        <d v="2025-03-27T00:00:00"/>
        <d v="2025-03-28T00:00:00"/>
        <d v="2025-04-01T00:00:00"/>
        <d v="2025-04-02T00:00:00"/>
        <d v="2025-05-08T00:00:00"/>
        <d v="2025-04-07T00:00:00"/>
        <d v="2025-07-07T00:00:00"/>
        <d v="2025-04-09T00:00:00"/>
        <d v="2025-04-11T00:00:00"/>
        <d v="2025-04-15T00:00:00"/>
        <d v="2025-09-27T00:00:00"/>
        <d v="2025-04-16T00:00:00"/>
        <d v="2025-04-17T00:00:00"/>
        <d v="2025-04-21T00:00:00"/>
        <d v="2025-01-07T00:00:00"/>
        <d v="2025-04-23T00:00:00"/>
        <d v="2025-04-24T00:00:00"/>
        <d v="2025-04-28T00:00:00"/>
        <d v="2025-04-29T00:00:00"/>
        <d v="2025-05-02T00:00:00"/>
        <d v="2025-05-03T00:00:00"/>
        <d v="2025-05-05T00:00:00"/>
        <d v="2025-05-09T00:00:00"/>
        <d v="2025-05-10T00:00:00"/>
        <d v="2025-05-14T00:00:00"/>
        <d v="2025-05-15T00:00:00"/>
        <d v="2025-05-16T00:00:00"/>
        <d v="2025-05-17T00:00:00"/>
        <d v="2025-05-19T00:00:00"/>
        <d v="2025-05-20T00:00:00"/>
        <d v="2025-05-22T00:00:00"/>
        <d v="2025-05-23T00:00:00"/>
        <d v="2025-05-28T00:00:00"/>
        <d v="2025-05-29T00:00:00"/>
        <d v="2025-07-04T00:00:00"/>
        <d v="2025-06-05T00:00:00"/>
        <d v="2025-06-09T00:00:00"/>
        <d v="2025-06-10T00:00:00"/>
        <d v="2025-06-16T00:00:00"/>
        <d v="2025-06-17T00:00:00"/>
        <d v="2025-06-20T00:00:00"/>
        <d v="2025-06-23T00:00:00"/>
        <d v="2025-06-24T00:00:00"/>
        <d v="2025-06-26T00:00:00"/>
        <d v="2025-06-29T00:00:00"/>
        <d v="2025-06-30T00:00:00"/>
        <d v="2025-07-01T00:00:00"/>
        <d v="2025-07-02T00:00:00"/>
        <d v="2025-07-03T00:00:00"/>
        <d v="2025-10-10T00:00:00"/>
        <d v="2025-07-09T00:00:00"/>
        <d v="2025-07-10T00:00:00"/>
        <d v="2025-07-11T00:00:00"/>
        <d v="2025-07-14T00:00:00"/>
        <d v="2025-07-15T00:00:00"/>
        <d v="2025-07-18T00:00:00"/>
        <d v="2025-07-27T00:00:00"/>
        <d v="2025-07-28T00:00:00"/>
        <d v="2025-07-30T00:00:00"/>
        <d v="2025-07-31T00:00:00"/>
        <d v="2025-08-02T00:00:00"/>
        <d v="2025-08-05T00:00:00"/>
        <d v="2025-08-06T00:00:00"/>
        <d v="2025-08-07T00:00:00"/>
        <d v="2025-08-08T00:00:00"/>
        <d v="2025-08-09T00:00:00"/>
        <d v="2025-08-11T00:00:00"/>
        <d v="2025-08-13T00:00:00"/>
        <d v="2025-08-14T00:00:00"/>
        <d v="2025-08-19T00:00:00"/>
        <d v="2025-08-20T00:00:00"/>
        <d v="2025-08-22T00:00:00"/>
        <d v="2025-08-25T00:00:00"/>
        <d v="2025-08-27T00:00:00"/>
        <d v="2025-08-29T00:00:00"/>
        <d v="2025-09-02T00:00:00"/>
        <d v="2025-09-03T00:00:00"/>
        <d v="2025-09-04T00:00:00"/>
        <d v="2025-09-08T00:00:00"/>
        <d v="2025-09-10T00:00:00"/>
        <d v="2025-09-11T00:00:00"/>
        <d v="2025-09-15T00:00:00"/>
        <d v="2025-09-16T00:00:00"/>
        <d v="2025-09-18T00:00:00"/>
        <d v="2025-09-19T00:00:00"/>
        <d v="2025-09-24T00:00:00"/>
        <d v="2025-09-29T00:00:00"/>
        <d v="2025-09-30T00:00:00"/>
        <d v="2025-10-01T00:00:00"/>
        <d v="2025-10-03T00:00:00"/>
        <d v="2025-10-07T00:00:00"/>
        <d v="2025-10-09T00:00:00"/>
        <d v="2025-02-13T00:00:00"/>
        <d v="2025-10-14T00:00:00"/>
        <d v="2025-10-20T00:00:00"/>
        <d v="2025-10-21T00:00:00"/>
        <d v="2025-10-22T00:00:00"/>
        <d v="2025-10-23T00:00:00"/>
        <d v="2025-10-27T00:00:00"/>
        <d v="2025-10-28T00:00:00"/>
        <d v="2025-10-31T00:00:00"/>
        <d v="2025-11-03T00:00:00"/>
        <d v="2025-11-04T00:00:00"/>
        <d v="2025-11-06T00:00:00"/>
        <d v="2025-11-07T00:00:00"/>
        <d v="2025-11-10T00:00:00"/>
        <d v="2025-11-11T00:00:00"/>
        <d v="2025-11-12T00:00:00"/>
        <d v="2025-11-14T00:00:00"/>
        <d v="2025-11-17T00:00:00"/>
        <d v="2025-11-19T00:00:00"/>
        <d v="2025-11-20T00:00:00"/>
        <d v="2025-11-24T00:00:00"/>
        <d v="2025-12-01T00:00:00"/>
        <d v="2025-12-02T00:00:00"/>
        <d v="2025-12-03T00:00:00"/>
        <d v="2025-12-09T00:00:00"/>
        <d v="2025-12-11T00:00:00"/>
        <d v="2025-12-12T00:00:00"/>
        <d v="2025-12-15T00:00:00"/>
        <d v="2025-12-16T00:00:00"/>
        <m/>
        <d v="2025-12-19T00:00:00"/>
        <d v="2025-12-22T00:00:00"/>
        <d v="2025-12-23T00:00:00"/>
        <d v="2025-12-29T00:00:00"/>
        <d v="2026-01-02T00:00:00"/>
        <d v="2026-01-26T00:00:00"/>
        <d v="2026-01-06T00:00:00"/>
        <d v="2026-01-07T00:00:00"/>
        <d v="2026-01-12T00:00:00"/>
        <d v="2026-01-13T00:00:00"/>
        <d v="2026-01-14T00:00:00"/>
        <d v="2026-01-19T00:00:00"/>
        <d v="2026-01-21T00:00:00"/>
        <d v="2026-01-22T00:00:00"/>
        <d v="2026-01-15T00:00:00"/>
        <d v="2026-01-27T00:00:00"/>
        <d v="2026-02-11T00:00:00"/>
        <d v="2026-01-28T00:00:00"/>
        <d v="2026-01-29T00:00:00"/>
        <d v="2026-01-30T00:00:00"/>
        <d v="2026-01-31T00:00:00"/>
        <d v="2026-02-03T00:00:00"/>
        <d v="2026-02-06T00:00:00"/>
        <d v="2026-02-09T00:00:00"/>
        <d v="2026-02-12T00:00:00"/>
        <d v="2026-02-13T00:00:00"/>
        <d v="2026-02-16T00:00:00"/>
        <d v="2026-02-17T00:00:00"/>
        <d v="2026-02-19T00:00:00"/>
        <d v="2026-02-20T00:00:00"/>
        <d v="2026-02-24T00:00:00"/>
        <d v="2025-12-17T00:00:00"/>
        <d v="2024-05-24T00:00:00" u="1"/>
      </sharedItems>
    </cacheField>
    <cacheField name="Days open if not closed" numFmtId="0">
      <sharedItems containsString="0" containsBlank="1" containsNumber="1" containsInteger="1" minValue="2" maxValue="561"/>
    </cacheField>
    <cacheField name="Status" numFmtId="0">
      <sharedItems containsBlank="1" count="3">
        <s v="CLOSED"/>
        <s v="OPEN"/>
        <m u="1"/>
      </sharedItems>
    </cacheField>
    <cacheField name="Days to close" numFmtId="0">
      <sharedItems containsString="0" containsBlank="1" containsNumber="1" containsInteger="1" minValue="0" maxValue="840"/>
    </cacheField>
  </cacheFields>
  <extLst>
    <ext xmlns:x14="http://schemas.microsoft.com/office/spreadsheetml/2009/9/main" uri="{725AE2AE-9491-48be-B2B4-4EB974FC3084}">
      <x14:pivotCacheDefinition pivotCacheId="497529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2">
  <r>
    <x v="0"/>
    <n v="197"/>
    <s v="380"/>
    <s v="C380-197-24"/>
    <s v="Internal assessment (9001 &amp; 17025)"/>
    <m/>
    <s v="IA:  Clause 6.4.10"/>
    <s v="Lab"/>
    <s v="KA"/>
    <x v="0"/>
    <x v="0"/>
    <m/>
    <x v="0"/>
    <n v="126"/>
  </r>
  <r>
    <x v="1"/>
    <n v="192"/>
    <s v="415"/>
    <s v="C415-192-24"/>
    <s v="3rd party audit (DNV, A2LA, AASHTO…)"/>
    <s v="USCBP"/>
    <s v="Laboratory Analysis Records"/>
    <s v="Lab"/>
    <s v="Eco"/>
    <x v="1"/>
    <x v="0"/>
    <m/>
    <x v="0"/>
    <n v="100"/>
  </r>
  <r>
    <x v="2"/>
    <n v="132"/>
    <s v="004"/>
    <s v="C004-132-23"/>
    <s v="PT"/>
    <m/>
    <s v="PT: D-1187; D445 - Viscosity at 40°C, Z-Score = -6.54"/>
    <m/>
    <s v="JN"/>
    <x v="2"/>
    <x v="1"/>
    <m/>
    <x v="0"/>
    <n v="749"/>
  </r>
  <r>
    <x v="2"/>
    <n v="132"/>
    <s v="003"/>
    <s v="C003-132-23"/>
    <s v="PT"/>
    <m/>
    <s v="PT: CO2207; D4294 - Sulfur, by EDXRF, Z-Score = 3.18"/>
    <m/>
    <s v="JN"/>
    <x v="2"/>
    <x v="2"/>
    <m/>
    <x v="0"/>
    <n v="840"/>
  </r>
  <r>
    <x v="2"/>
    <n v="132"/>
    <s v="368"/>
    <s v="C368-132-23"/>
    <s v="PT"/>
    <m/>
    <s v="PT: R-1331; D2699 - Research Octane Number, Z-Score = -21.48"/>
    <m/>
    <s v="JN"/>
    <x v="3"/>
    <x v="3"/>
    <m/>
    <x v="0"/>
    <n v="625"/>
  </r>
  <r>
    <x v="3"/>
    <n v="120"/>
    <s v="267"/>
    <s v="C267-120-24"/>
    <s v="Internal assessment (9001 &amp; 17025)"/>
    <m/>
    <s v="IA: Clause 6.4.9"/>
    <s v="Lab"/>
    <s v="KA"/>
    <x v="4"/>
    <x v="4"/>
    <m/>
    <x v="0"/>
    <n v="202"/>
  </r>
  <r>
    <x v="4"/>
    <n v="210"/>
    <s v="506"/>
    <s v="C506-210-24"/>
    <s v="Internal assessment (9001 &amp; 17025)"/>
    <m/>
    <s v="Clause 6.4.13 Software/Firmware"/>
    <s v="Lab"/>
    <s v="MT"/>
    <x v="5"/>
    <x v="4"/>
    <m/>
    <x v="0"/>
    <n v="13"/>
  </r>
  <r>
    <x v="4"/>
    <n v="210"/>
    <s v="510"/>
    <s v="C510-210-24"/>
    <s v="Internal assessment (9001 &amp; 17025)"/>
    <m/>
    <s v="Clause 7.8.3.1 a Reporting"/>
    <s v="Lab"/>
    <s v="MT"/>
    <x v="5"/>
    <x v="4"/>
    <m/>
    <x v="0"/>
    <n v="13"/>
  </r>
  <r>
    <x v="2"/>
    <n v="132"/>
    <s v="370"/>
    <s v="C370-132-23"/>
    <s v="PT"/>
    <m/>
    <s v="PT: R-1334; Sulfur, Z-Score = -4.65"/>
    <m/>
    <s v="JN"/>
    <x v="3"/>
    <x v="5"/>
    <m/>
    <x v="0"/>
    <n v="717"/>
  </r>
  <r>
    <x v="5"/>
    <n v="158"/>
    <s v="026"/>
    <s v="C026-158-24"/>
    <s v="Internal assessment (9001 &amp; 17025)"/>
    <m/>
    <s v="IA - Clause 7.7"/>
    <s v="Lab"/>
    <s v="RB"/>
    <x v="6"/>
    <x v="6"/>
    <m/>
    <x v="0"/>
    <n v="354"/>
  </r>
  <r>
    <x v="3"/>
    <n v="120"/>
    <s v="266"/>
    <s v="C266-120-24"/>
    <s v="Internal assessment (9001 &amp; 17025)"/>
    <m/>
    <s v="IA: Clause 6.4.4"/>
    <s v="Lab"/>
    <s v="KA"/>
    <x v="4"/>
    <x v="6"/>
    <m/>
    <x v="0"/>
    <n v="203"/>
  </r>
  <r>
    <x v="3"/>
    <n v="120"/>
    <s v="269"/>
    <s v="C269-120-24"/>
    <s v="Internal assessment (9001 &amp; 17025)"/>
    <m/>
    <s v="IA: Clause 6.5.1"/>
    <s v="Lab"/>
    <s v="KA"/>
    <x v="4"/>
    <x v="6"/>
    <m/>
    <x v="0"/>
    <n v="203"/>
  </r>
  <r>
    <x v="6"/>
    <n v="145"/>
    <s v="187"/>
    <s v="C187-145-24"/>
    <s v="Internal assessment (9001 &amp; 17025)"/>
    <m/>
    <s v="IA: Inspector Training records"/>
    <s v="Operations"/>
    <s v="AH"/>
    <x v="7"/>
    <x v="6"/>
    <m/>
    <x v="0"/>
    <n v="252"/>
  </r>
  <r>
    <x v="6"/>
    <n v="145"/>
    <s v="188"/>
    <s v="C188-145-24"/>
    <s v="Internal assessment (9001 &amp; 17025)"/>
    <m/>
    <s v="IA: Corporate documents "/>
    <s v="Operations"/>
    <s v="AH"/>
    <x v="7"/>
    <x v="6"/>
    <m/>
    <x v="0"/>
    <n v="252"/>
  </r>
  <r>
    <x v="7"/>
    <n v="160"/>
    <s v="299"/>
    <s v="C299-160-24"/>
    <s v="Internal assessment (9001 &amp; 17025)"/>
    <m/>
    <s v="ISO 17025 Clause 6.4.4 Lab equipment"/>
    <s v="Lab"/>
    <s v="AH"/>
    <x v="8"/>
    <x v="6"/>
    <m/>
    <x v="0"/>
    <n v="160"/>
  </r>
  <r>
    <x v="4"/>
    <n v="210"/>
    <s v="511"/>
    <s v="C511-210-24"/>
    <s v="Internal assessment (9001 &amp; 17025)"/>
    <m/>
    <s v="Clause 8.9.1 Management review"/>
    <s v="Lab"/>
    <s v="MT"/>
    <x v="5"/>
    <x v="7"/>
    <m/>
    <x v="0"/>
    <n v="16"/>
  </r>
  <r>
    <x v="8"/>
    <n v="141"/>
    <s v="004"/>
    <s v="C004-141-25"/>
    <s v="Complaint"/>
    <s v="Irving"/>
    <s v="Failing to send email to correct distribution"/>
    <s v="Operations"/>
    <s v="MT"/>
    <x v="9"/>
    <x v="8"/>
    <m/>
    <x v="0"/>
    <n v="7"/>
  </r>
  <r>
    <x v="3"/>
    <n v="120"/>
    <s v="437"/>
    <s v="C437-120-24"/>
    <s v="Customer audit   "/>
    <s v="Irving"/>
    <s v="Daily temp checks not recorded on gauge tickets or in a log."/>
    <s v="Operations"/>
    <m/>
    <x v="10"/>
    <x v="8"/>
    <m/>
    <x v="0"/>
    <n v="86"/>
  </r>
  <r>
    <x v="3"/>
    <n v="120"/>
    <s v="439"/>
    <s v="C439-120-24"/>
    <s v="Customer audit   "/>
    <s v="Irving"/>
    <s v="Vessels not measured to the nearest tape graduation (mm or 1/8”)."/>
    <s v="Operations"/>
    <m/>
    <x v="10"/>
    <x v="8"/>
    <m/>
    <x v="0"/>
    <n v="86"/>
  </r>
  <r>
    <x v="3"/>
    <n v="120"/>
    <s v="440"/>
    <s v="C440-120-24"/>
    <s v="Customer audit   "/>
    <s v="Irving"/>
    <s v="Calibration certificates were not provided for several pieces of equipment."/>
    <s v="Operations"/>
    <m/>
    <x v="10"/>
    <x v="8"/>
    <m/>
    <x v="0"/>
    <n v="86"/>
  </r>
  <r>
    <x v="3"/>
    <n v="120"/>
    <s v="436"/>
    <s v="C436-120-24"/>
    <s v="Customer audit   "/>
    <s v="Irving"/>
    <s v="Raw data very hard to understand and not labelled well in the inspector field books."/>
    <s v="Operations"/>
    <m/>
    <x v="10"/>
    <x v="9"/>
    <m/>
    <x v="0"/>
    <n v="88"/>
  </r>
  <r>
    <x v="3"/>
    <n v="120"/>
    <s v="438"/>
    <s v="C438-120-24"/>
    <s v="Customer audit   "/>
    <s v="Irving"/>
    <s v="Monthly equipment checks for numerous pieces of equipment not provided."/>
    <s v="Operations"/>
    <m/>
    <x v="10"/>
    <x v="9"/>
    <m/>
    <x v="0"/>
    <n v="88"/>
  </r>
  <r>
    <x v="3"/>
    <n v="120"/>
    <s v="441"/>
    <s v="C441-120-24"/>
    <s v="Customer audit   "/>
    <s v="Irving"/>
    <s v="Deficient gauge tickets. No space for 2nd gauge."/>
    <s v="Operations"/>
    <m/>
    <x v="10"/>
    <x v="9"/>
    <m/>
    <x v="0"/>
    <n v="88"/>
  </r>
  <r>
    <x v="9"/>
    <n v="136"/>
    <s v="355"/>
    <s v="C355-136-24"/>
    <s v="Customer audit   "/>
    <s v="Marathon"/>
    <s v="Inspector Instrument/Record"/>
    <s v="Operations"/>
    <s v="JP"/>
    <x v="11"/>
    <x v="10"/>
    <m/>
    <x v="0"/>
    <n v="150"/>
  </r>
  <r>
    <x v="2"/>
    <n v="132"/>
    <s v="505"/>
    <s v="C505-132-23"/>
    <s v="PT"/>
    <m/>
    <s v="PT: DF22302; D4530 - Carbon Residue, Micro, 10% btm, Z-Score = 14.78"/>
    <m/>
    <s v="HM"/>
    <x v="12"/>
    <x v="11"/>
    <m/>
    <x v="0"/>
    <n v="581"/>
  </r>
  <r>
    <x v="4"/>
    <n v="210"/>
    <s v="505"/>
    <s v="C505-210-24"/>
    <s v="Internal assessment (9001 &amp; 17025)"/>
    <m/>
    <s v="Clause 6.2.5 Training record"/>
    <s v="Lab"/>
    <s v="MT"/>
    <x v="5"/>
    <x v="12"/>
    <m/>
    <x v="0"/>
    <n v="21"/>
  </r>
  <r>
    <x v="10"/>
    <n v="189"/>
    <s v="454"/>
    <s v="C454-189-24"/>
    <s v="Internal assessment (9001 &amp; 17025)"/>
    <m/>
    <s v="Job File not complete"/>
    <s v="Operations"/>
    <s v="GF"/>
    <x v="13"/>
    <x v="13"/>
    <m/>
    <x v="0"/>
    <n v="77"/>
  </r>
  <r>
    <x v="11"/>
    <n v="131"/>
    <s v="003"/>
    <s v="C003-131-25"/>
    <s v="Other (QC, customer alert, improper procedure)"/>
    <s v="Amspec"/>
    <s v="CQI Reporting"/>
    <s v="Operations"/>
    <s v="HM"/>
    <x v="14"/>
    <x v="13"/>
    <m/>
    <x v="0"/>
    <n v="13"/>
  </r>
  <r>
    <x v="2"/>
    <n v="132"/>
    <s v="504"/>
    <s v="C504-132-23"/>
    <s v="PT"/>
    <m/>
    <s v="PT: DF22302; D664 - Acid Number, A, 125 mL, inflection EP, Z-Score = 13.43"/>
    <m/>
    <s v="JN"/>
    <x v="12"/>
    <x v="14"/>
    <m/>
    <x v="0"/>
    <n v="652"/>
  </r>
  <r>
    <x v="12"/>
    <n v="130"/>
    <s v="469"/>
    <s v="C469-130-24"/>
    <s v="Complaint"/>
    <s v="Chevron  "/>
    <s v="Chevron - D5191 / D5188 Discrepancies"/>
    <s v="Lab"/>
    <s v="Ecu"/>
    <x v="15"/>
    <x v="15"/>
    <m/>
    <x v="0"/>
    <n v="71"/>
  </r>
  <r>
    <x v="2"/>
    <n v="132"/>
    <s v="612"/>
    <s v="C612-132-23"/>
    <s v="Internal assessment (9001 &amp; 17025)"/>
    <m/>
    <s v="ISO 17025 Clause 6.4.1 Equipment"/>
    <m/>
    <s v="AH"/>
    <x v="16"/>
    <x v="16"/>
    <m/>
    <x v="0"/>
    <n v="525"/>
  </r>
  <r>
    <x v="2"/>
    <n v="132"/>
    <s v="615"/>
    <s v="C615-132-23"/>
    <s v="Internal assessment (9001 &amp; 17025)"/>
    <m/>
    <s v="ISO 17025 Clause 6.4.13 Equipment"/>
    <m/>
    <s v="AH"/>
    <x v="16"/>
    <x v="17"/>
    <m/>
    <x v="0"/>
    <n v="600"/>
  </r>
  <r>
    <x v="13"/>
    <n v="179"/>
    <s v="515"/>
    <s v="C515-179-24"/>
    <s v="Internal assessment (9001 &amp; 17025)"/>
    <m/>
    <s v="IA: chemical inventory"/>
    <s v="Lab"/>
    <s v="KA"/>
    <x v="17"/>
    <x v="1"/>
    <m/>
    <x v="0"/>
    <n v="27"/>
  </r>
  <r>
    <x v="14"/>
    <n v="191"/>
    <s v="473"/>
    <s v="C473-191-24"/>
    <s v="Internal assessment (9001 &amp; 17025)"/>
    <m/>
    <s v="Sample management - SOP for prep composite"/>
    <s v="Lab"/>
    <s v="MT"/>
    <x v="18"/>
    <x v="1"/>
    <m/>
    <x v="0"/>
    <n v="71"/>
  </r>
  <r>
    <x v="14"/>
    <n v="191"/>
    <s v="478"/>
    <s v="C478-191-24"/>
    <s v="Internal assessment (9001 &amp; 17025)"/>
    <m/>
    <s v="Clause 6.4.13 (e) Acceptance criter"/>
    <s v="Lab"/>
    <s v="MT"/>
    <x v="18"/>
    <x v="1"/>
    <m/>
    <x v="0"/>
    <n v="71"/>
  </r>
  <r>
    <x v="14"/>
    <n v="191"/>
    <s v="480"/>
    <s v="C480-191-24"/>
    <s v="Internal assessment (9001 &amp; 17025)"/>
    <m/>
    <s v="Clause 7.7.1 Validity of Results"/>
    <s v="Lab"/>
    <s v="MT"/>
    <x v="18"/>
    <x v="1"/>
    <m/>
    <x v="0"/>
    <n v="71"/>
  </r>
  <r>
    <x v="14"/>
    <n v="191"/>
    <s v="493"/>
    <s v="C493-191-24"/>
    <s v="3rd party audit (DNV, A2LA, AASHTO…)"/>
    <s v="A2LA"/>
    <s v="ISO 17025 Clause 8.3.2"/>
    <s v="Lab"/>
    <s v="AH"/>
    <x v="19"/>
    <x v="1"/>
    <m/>
    <x v="0"/>
    <n v="49"/>
  </r>
  <r>
    <x v="7"/>
    <n v="160"/>
    <s v="302"/>
    <s v="C302-160-24"/>
    <s v="Internal assessment (9001 &amp; 17025)"/>
    <m/>
    <s v="ISO 17025 Clause 7.5.1 Technical record"/>
    <s v="Lab"/>
    <s v="AH"/>
    <x v="8"/>
    <x v="1"/>
    <m/>
    <x v="0"/>
    <n v="175"/>
  </r>
  <r>
    <x v="15"/>
    <n v="110"/>
    <s v="023"/>
    <s v="C023-110-25"/>
    <s v="Complaint"/>
    <s v="Irving Oil"/>
    <s v="Irving - using additives not registered with EPA"/>
    <s v="Operations"/>
    <s v="MT"/>
    <x v="20"/>
    <x v="18"/>
    <m/>
    <x v="0"/>
    <n v="1"/>
  </r>
  <r>
    <x v="16"/>
    <n v="128"/>
    <s v="081"/>
    <s v="C081-128-24"/>
    <s v="Internal assessment (9001 &amp; 17025)"/>
    <m/>
    <s v="IA: QC"/>
    <s v="Lab"/>
    <s v="KA"/>
    <x v="21"/>
    <x v="18"/>
    <m/>
    <x v="0"/>
    <n v="324"/>
  </r>
  <r>
    <x v="14"/>
    <n v="191"/>
    <s v="494"/>
    <s v="C494-191-24"/>
    <s v="3rd party audit (DNV, A2LA, AASHTO…)"/>
    <s v="A2LA"/>
    <s v="ISO 17025 Clause 7.7.1"/>
    <s v="Lab"/>
    <s v="AH"/>
    <x v="19"/>
    <x v="18"/>
    <m/>
    <x v="0"/>
    <n v="50"/>
  </r>
  <r>
    <x v="17"/>
    <n v="146"/>
    <s v="445"/>
    <s v="C445-146-24"/>
    <s v="Internal assessment (9001 &amp; 17025)"/>
    <m/>
    <s v="ISO 17025: Clause 6.2 Lab training records"/>
    <s v="Lab"/>
    <s v="AH"/>
    <x v="18"/>
    <x v="18"/>
    <m/>
    <x v="0"/>
    <n v="72"/>
  </r>
  <r>
    <x v="17"/>
    <n v="146"/>
    <s v="449"/>
    <s v="C449-146-24"/>
    <s v="Internal assessment (9001 &amp; 17025)"/>
    <m/>
    <s v="ISO 17025 Clause 7.2 Method deviations"/>
    <s v="Lab"/>
    <s v="AH"/>
    <x v="18"/>
    <x v="18"/>
    <m/>
    <x v="0"/>
    <n v="72"/>
  </r>
  <r>
    <x v="2"/>
    <n v="132"/>
    <s v="618"/>
    <s v="C618-132-23"/>
    <s v="Internal assessment (9001 &amp; 17025)"/>
    <m/>
    <s v="ISO 17025 Clause 7.7.1 Validity of results"/>
    <m/>
    <s v="AH"/>
    <x v="16"/>
    <x v="19"/>
    <m/>
    <x v="0"/>
    <n v="763"/>
  </r>
  <r>
    <x v="2"/>
    <n v="132"/>
    <s v="105"/>
    <s v="C105-132-24"/>
    <s v="Other (QC, customer alert, improper procedure)"/>
    <m/>
    <s v="D4928 - Water Content Chart Range Discrepancy Identified"/>
    <s v="Lab"/>
    <s v="HM"/>
    <x v="22"/>
    <x v="1"/>
    <m/>
    <x v="0"/>
    <n v="315"/>
  </r>
  <r>
    <x v="14"/>
    <n v="191"/>
    <s v="481"/>
    <s v="C481-191-24"/>
    <s v="Internal assessment (9001 &amp; 17025)"/>
    <m/>
    <s v="Clause 7.8.1.2 Reporting"/>
    <s v="Lab"/>
    <s v="MT"/>
    <x v="18"/>
    <x v="20"/>
    <m/>
    <x v="0"/>
    <n v="73"/>
  </r>
  <r>
    <x v="6"/>
    <n v="145"/>
    <s v="186"/>
    <s v="C186-145-24"/>
    <s v="Internal assessment (9001 &amp; 17025)"/>
    <m/>
    <s v="IA: Test Witnessing"/>
    <s v="Lab"/>
    <s v="AH"/>
    <x v="7"/>
    <x v="20"/>
    <m/>
    <x v="0"/>
    <n v="269"/>
  </r>
  <r>
    <x v="18"/>
    <n v="144"/>
    <s v="363"/>
    <s v="C363-144-24"/>
    <s v="Internal assessment (9001 &amp; 17025)"/>
    <m/>
    <s v="IA:  FIT test"/>
    <s v="Operations"/>
    <s v="KA"/>
    <x v="23"/>
    <x v="20"/>
    <m/>
    <x v="0"/>
    <n v="157"/>
  </r>
  <r>
    <x v="14"/>
    <n v="191"/>
    <s v="479"/>
    <s v="C479-191-24"/>
    <s v="Internal assessment (9001 &amp; 17025)"/>
    <m/>
    <s v="Clause 7.5.1 Technical record"/>
    <s v="Lab"/>
    <s v="MT"/>
    <x v="18"/>
    <x v="21"/>
    <m/>
    <x v="0"/>
    <n v="74"/>
  </r>
  <r>
    <x v="3"/>
    <n v="120"/>
    <s v="275"/>
    <s v="C275-120-24"/>
    <s v="Internal assessment (9001 &amp; 17025)"/>
    <m/>
    <s v="IA: Clause 8.3.2"/>
    <s v="Lab"/>
    <s v="KA"/>
    <x v="4"/>
    <x v="22"/>
    <m/>
    <x v="0"/>
    <n v="227"/>
  </r>
  <r>
    <x v="13"/>
    <n v="179"/>
    <s v="514"/>
    <s v="C514-179-24"/>
    <s v="Internal assessment (9001 &amp; 17025)"/>
    <m/>
    <s v="IA:  File review"/>
    <s v="Operations"/>
    <s v="KA"/>
    <x v="17"/>
    <x v="22"/>
    <m/>
    <x v="0"/>
    <n v="36"/>
  </r>
  <r>
    <x v="2"/>
    <n v="132"/>
    <s v="314"/>
    <s v="C314-132-24"/>
    <s v="Other (QC, customer alert, improper procedure)"/>
    <m/>
    <s v="Action plan to Resolve the high number of overdue CARs"/>
    <s v="Lab &amp; Ops"/>
    <s v="HM"/>
    <x v="24"/>
    <x v="16"/>
    <m/>
    <x v="0"/>
    <n v="202"/>
  </r>
  <r>
    <x v="19"/>
    <n v="180"/>
    <s v="405"/>
    <s v="C405-180-24"/>
    <s v="Internal assessment (9001 &amp; 17025)"/>
    <m/>
    <s v="IA - Clause 6.4.4 and 6.4.13 Equipment Conforms to Requirements / Records"/>
    <s v="Lab"/>
    <s v="RB"/>
    <x v="25"/>
    <x v="23"/>
    <m/>
    <x v="0"/>
    <n v="146"/>
  </r>
  <r>
    <x v="11"/>
    <n v="131"/>
    <s v="005"/>
    <s v="C005-131-25"/>
    <s v="Customer audit   "/>
    <s v="Chevron"/>
    <s v="D6299: Chilling of the Toluene Standard Fuel"/>
    <s v="Lab"/>
    <s v="HM"/>
    <x v="26"/>
    <x v="23"/>
    <m/>
    <x v="0"/>
    <n v="27"/>
  </r>
  <r>
    <x v="20"/>
    <n v="101"/>
    <s v="012"/>
    <s v="C012-101-25"/>
    <s v="Other (QC, customer alert, improper procedure)"/>
    <s v="Methanex"/>
    <s v="Delay in investigating PT outlier"/>
    <s v="Lab"/>
    <s v="MT"/>
    <x v="27"/>
    <x v="24"/>
    <m/>
    <x v="0"/>
    <n v="18"/>
  </r>
  <r>
    <x v="21"/>
    <n v="140"/>
    <s v="503"/>
    <s v="C503-140-24"/>
    <s v="Internal assessment (9001 &amp; 17025)"/>
    <m/>
    <s v="Sample and internal STD weights not documented for applicable GC methods"/>
    <s v="Lab"/>
    <s v="AH"/>
    <x v="28"/>
    <x v="24"/>
    <m/>
    <x v="0"/>
    <n v="190"/>
  </r>
  <r>
    <x v="21"/>
    <n v="140"/>
    <s v="504"/>
    <s v="C504-140-24"/>
    <s v="Internal assessment (9001 &amp; 17025)"/>
    <m/>
    <s v="Retain status for samples not documented"/>
    <s v="Lab"/>
    <s v="AH"/>
    <x v="28"/>
    <x v="25"/>
    <m/>
    <x v="0"/>
    <n v="191"/>
  </r>
  <r>
    <x v="2"/>
    <n v="132"/>
    <s v="328"/>
    <s v="C328-132-24"/>
    <s v="Internal assessment (9001 &amp; 17025)"/>
    <m/>
    <s v="Safety - gas cylinders and waste manifest"/>
    <s v="Operations"/>
    <s v="MT"/>
    <x v="29"/>
    <x v="23"/>
    <m/>
    <x v="0"/>
    <n v="181"/>
  </r>
  <r>
    <x v="2"/>
    <n v="132"/>
    <s v="320"/>
    <s v="C320-132-24"/>
    <s v="Internal assessment (9001 &amp; 17025)"/>
    <m/>
    <s v="Clasue 6.5 metrological traceability"/>
    <s v="Lab"/>
    <s v="MT"/>
    <x v="29"/>
    <x v="26"/>
    <m/>
    <x v="0"/>
    <n v="188"/>
  </r>
  <r>
    <x v="10"/>
    <n v="189"/>
    <s v="455"/>
    <s v="C455-189-24"/>
    <s v="Internal assessment (9001 &amp; 17025)"/>
    <m/>
    <s v="Training binders not up to date"/>
    <s v="Operations"/>
    <s v="GF"/>
    <x v="13"/>
    <x v="26"/>
    <m/>
    <x v="0"/>
    <n v="103"/>
  </r>
  <r>
    <x v="14"/>
    <n v="191"/>
    <s v="476"/>
    <s v="C476-191-24"/>
    <s v="Internal assessment (9001 &amp; 17025)"/>
    <m/>
    <s v="Clause 6.4.8 Equipment status / labeling"/>
    <s v="Lab"/>
    <s v="MT"/>
    <x v="18"/>
    <x v="26"/>
    <m/>
    <x v="0"/>
    <n v="90"/>
  </r>
  <r>
    <x v="6"/>
    <n v="145"/>
    <s v="189"/>
    <s v="C189-145-24"/>
    <s v="Internal assessment (9001 &amp; 17025)"/>
    <m/>
    <s v="IA: Job File review"/>
    <s v="Lab &amp; Ops"/>
    <s v="AH"/>
    <x v="7"/>
    <x v="26"/>
    <m/>
    <x v="0"/>
    <n v="286"/>
  </r>
  <r>
    <x v="7"/>
    <n v="160"/>
    <s v="303"/>
    <s v="C303-160-24"/>
    <s v="Internal assessment (9001 &amp; 17025)"/>
    <m/>
    <s v="ISO 17025 Clause 7.7 Validity of results"/>
    <s v="Lab"/>
    <s v="AH"/>
    <x v="8"/>
    <x v="26"/>
    <m/>
    <x v="0"/>
    <n v="194"/>
  </r>
  <r>
    <x v="11"/>
    <n v="131"/>
    <s v="027"/>
    <s v="C027-131-25"/>
    <s v="Internal assessment (9001 &amp; 17025)"/>
    <m/>
    <s v="Incomplete / missing MOCs"/>
    <s v="Lab"/>
    <s v="Ecu"/>
    <x v="30"/>
    <x v="26"/>
    <m/>
    <x v="0"/>
    <n v="18"/>
  </r>
  <r>
    <x v="11"/>
    <n v="131"/>
    <s v="006"/>
    <s v="C006-131-25"/>
    <s v="Customer audit   "/>
    <s v="Chevron"/>
    <s v="D445: Incorrect Determinability"/>
    <s v="Lab"/>
    <s v="HM"/>
    <x v="26"/>
    <x v="27"/>
    <m/>
    <x v="0"/>
    <n v="36"/>
  </r>
  <r>
    <x v="2"/>
    <n v="132"/>
    <s v="325"/>
    <s v="C325-132-24"/>
    <s v="Internal assessment (9001 &amp; 17025)"/>
    <m/>
    <s v="Clause 7.5.1 Technical record"/>
    <s v="Lab"/>
    <s v="MT"/>
    <x v="29"/>
    <x v="16"/>
    <m/>
    <x v="0"/>
    <n v="191"/>
  </r>
  <r>
    <x v="2"/>
    <n v="132"/>
    <s v="323"/>
    <s v="C323-132-24"/>
    <s v="Internal assessment (9001 &amp; 17025)"/>
    <m/>
    <s v="Clause 6.4.13 Equipment firmware &amp; software"/>
    <s v="Lab"/>
    <s v="MT"/>
    <x v="29"/>
    <x v="28"/>
    <m/>
    <x v="0"/>
    <n v="197"/>
  </r>
  <r>
    <x v="2"/>
    <n v="132"/>
    <s v="322"/>
    <s v="C322-132-24"/>
    <s v="Internal assessment (9001 &amp; 17025)"/>
    <m/>
    <s v="Clause 6.4.10 Equipment verifications"/>
    <s v="Lab"/>
    <s v="MT"/>
    <x v="29"/>
    <x v="29"/>
    <m/>
    <x v="0"/>
    <n v="238"/>
  </r>
  <r>
    <x v="17"/>
    <n v="146"/>
    <s v="451"/>
    <s v="C451-146-24"/>
    <s v="Internal assessment (9001 &amp; 17025)"/>
    <m/>
    <s v="ISO Clause 7.5 Technical records / Job file review"/>
    <s v="Lab"/>
    <s v="AH"/>
    <x v="18"/>
    <x v="16"/>
    <m/>
    <x v="0"/>
    <n v="93"/>
  </r>
  <r>
    <x v="22"/>
    <n v="178"/>
    <s v="046"/>
    <s v="C046-178-25"/>
    <s v="Internal assessment (9001 &amp; 17025)"/>
    <m/>
    <s v="SQC"/>
    <s v="Lab"/>
    <s v="MT"/>
    <x v="31"/>
    <x v="30"/>
    <m/>
    <x v="0"/>
    <n v="17"/>
  </r>
  <r>
    <x v="2"/>
    <n v="132"/>
    <s v="316"/>
    <s v="C316-132-24"/>
    <s v="Internal assessment (9001 &amp; 17025)"/>
    <m/>
    <s v="Inspector TRB"/>
    <s v="Operations"/>
    <s v="MT"/>
    <x v="29"/>
    <x v="31"/>
    <m/>
    <x v="0"/>
    <n v="252"/>
  </r>
  <r>
    <x v="2"/>
    <n v="132"/>
    <s v="317"/>
    <s v="C317-132-24"/>
    <s v="Internal assessment (9001 &amp; 17025)"/>
    <m/>
    <s v="File Review"/>
    <s v="Lab &amp; Ops"/>
    <s v="MT"/>
    <x v="29"/>
    <x v="32"/>
    <m/>
    <x v="0"/>
    <n v="255"/>
  </r>
  <r>
    <x v="2"/>
    <n v="132"/>
    <s v="327"/>
    <s v="C327-132-24"/>
    <s v="Internal assessment (9001 &amp; 17025)"/>
    <m/>
    <s v="Clause 6.2.5 Training record"/>
    <s v="Lab"/>
    <s v="MT"/>
    <x v="29"/>
    <x v="17"/>
    <m/>
    <x v="0"/>
    <n v="266"/>
  </r>
  <r>
    <x v="23"/>
    <n v="142"/>
    <s v="462"/>
    <s v="C462-142-24"/>
    <s v="Customer audit   "/>
    <s v="Irving Oil"/>
    <s v="Test Witnessing - D3242, D1322"/>
    <s v="Lab"/>
    <s v="Ecu"/>
    <x v="32"/>
    <x v="3"/>
    <m/>
    <x v="0"/>
    <n v="108"/>
  </r>
  <r>
    <x v="11"/>
    <n v="131"/>
    <s v="099"/>
    <s v="C099-131-25"/>
    <s v="Other (QC, customer alert, improper procedure)"/>
    <s v="Valero"/>
    <s v="D613 - Lab did not follow nonconformance policy when rechecking results."/>
    <s v="Lab"/>
    <s v="HM"/>
    <x v="33"/>
    <x v="3"/>
    <m/>
    <x v="0"/>
    <n v="6"/>
  </r>
  <r>
    <x v="13"/>
    <n v="179"/>
    <s v="516"/>
    <s v="C516-179-24"/>
    <s v="Internal assessment (9001 &amp; 17025)"/>
    <m/>
    <s v="IA:  Lab training  "/>
    <s v="Lab"/>
    <s v="KA"/>
    <x v="17"/>
    <x v="33"/>
    <m/>
    <x v="0"/>
    <n v="60"/>
  </r>
  <r>
    <x v="3"/>
    <n v="120"/>
    <s v="270"/>
    <s v="C270-120-24"/>
    <s v="Internal assessment (9001 &amp; 17025)"/>
    <m/>
    <s v="IA: Clause 7.5.1"/>
    <s v="Lab"/>
    <s v="KA"/>
    <x v="4"/>
    <x v="34"/>
    <m/>
    <x v="0"/>
    <n v="252"/>
  </r>
  <r>
    <x v="3"/>
    <n v="120"/>
    <s v="274"/>
    <s v="C274-120-24"/>
    <s v="Internal assessment (9001 &amp; 17025)"/>
    <m/>
    <s v="IA: Clause 7.10.2"/>
    <s v="Lab"/>
    <s v="KA"/>
    <x v="4"/>
    <x v="34"/>
    <m/>
    <x v="0"/>
    <n v="252"/>
  </r>
  <r>
    <x v="13"/>
    <n v="179"/>
    <s v="512"/>
    <s v="C512-179-24"/>
    <s v="Internal assessment (9001 &amp; 17025)"/>
    <m/>
    <s v="IA:  Thermometer ice point"/>
    <s v="Lab"/>
    <s v="KA"/>
    <x v="17"/>
    <x v="34"/>
    <m/>
    <x v="0"/>
    <n v="61"/>
  </r>
  <r>
    <x v="5"/>
    <n v="158"/>
    <s v="018"/>
    <s v="C018-158-25"/>
    <s v="Internal assessment (9001 &amp; 17025)"/>
    <m/>
    <s v="ISO 17025 Clause 6.4 Solutions prep records"/>
    <s v="Lab"/>
    <s v="AH"/>
    <x v="34"/>
    <x v="35"/>
    <m/>
    <x v="0"/>
    <n v="37"/>
  </r>
  <r>
    <x v="3"/>
    <n v="120"/>
    <s v="272"/>
    <s v="C272-120-24"/>
    <s v="Internal assessment (9001 &amp; 17025)"/>
    <m/>
    <s v="IA: Clause 7.8.3.1"/>
    <s v="Lab"/>
    <s v="KA"/>
    <x v="4"/>
    <x v="35"/>
    <m/>
    <x v="0"/>
    <n v="253"/>
  </r>
  <r>
    <x v="17"/>
    <n v="146"/>
    <s v="054"/>
    <s v="C054-146-25"/>
    <s v="3rd party audit (DNV, A2LA, AASHTO…)"/>
    <s v="A2LA"/>
    <s v="A2LA: ISO 17025 Clause 6.4.1"/>
    <s v="Lab"/>
    <s v="KA"/>
    <x v="35"/>
    <x v="35"/>
    <m/>
    <x v="0"/>
    <n v="27"/>
  </r>
  <r>
    <x v="22"/>
    <n v="178"/>
    <s v="045"/>
    <s v="C045-178-25"/>
    <s v="Internal assessment (9001 &amp; 17025)"/>
    <m/>
    <s v="Test Witnessing"/>
    <s v="Lab"/>
    <s v="MT"/>
    <x v="31"/>
    <x v="36"/>
    <m/>
    <x v="0"/>
    <n v="27"/>
  </r>
  <r>
    <x v="11"/>
    <n v="131"/>
    <s v="008"/>
    <s v="C008-131-25"/>
    <s v="Customer audit   "/>
    <s v="Chevron"/>
    <s v="D445: Inconsistent Bath Temperature"/>
    <s v="Lab"/>
    <s v="HM"/>
    <x v="26"/>
    <x v="36"/>
    <m/>
    <x v="0"/>
    <n v="51"/>
  </r>
  <r>
    <x v="24"/>
    <n v="155"/>
    <s v="070"/>
    <s v="C070-155-25"/>
    <s v="Internal assessment (9001 &amp; 17025)"/>
    <m/>
    <s v="IA: Clause 6.2.5"/>
    <s v="Lab"/>
    <s v="KA"/>
    <x v="36"/>
    <x v="37"/>
    <m/>
    <x v="0"/>
    <n v="19"/>
  </r>
  <r>
    <x v="16"/>
    <n v="128"/>
    <s v="090"/>
    <s v="C090-128-25"/>
    <s v="Internal assessment (9001 &amp; 17025)"/>
    <m/>
    <s v="ISO 9001: Calibration certs not reviewed by lab staff"/>
    <s v="Lab"/>
    <s v="AH"/>
    <x v="33"/>
    <x v="37"/>
    <m/>
    <x v="0"/>
    <n v="16"/>
  </r>
  <r>
    <x v="16"/>
    <n v="128"/>
    <s v="096"/>
    <s v="C096-128-25"/>
    <s v="Internal assessment (9001 &amp; 17025)"/>
    <m/>
    <s v="ISO 9001: MOC / Equipment management"/>
    <s v="Lab"/>
    <s v="AH"/>
    <x v="33"/>
    <x v="37"/>
    <m/>
    <x v="0"/>
    <n v="16"/>
  </r>
  <r>
    <x v="16"/>
    <n v="128"/>
    <s v="097"/>
    <s v="C097-128-25"/>
    <s v="Internal assessment (9001 &amp; 17025)"/>
    <m/>
    <s v="ISO 9001: Document control"/>
    <s v="Lab &amp; Ops"/>
    <s v="AH"/>
    <x v="33"/>
    <x v="37"/>
    <m/>
    <x v="0"/>
    <n v="16"/>
  </r>
  <r>
    <x v="25"/>
    <s v="120a"/>
    <s v="009"/>
    <s v="C009-120a-25"/>
    <s v="Internal assessment (9001 &amp; 17025)"/>
    <m/>
    <s v="Technical Record"/>
    <s v="Lab"/>
    <s v="MT"/>
    <x v="27"/>
    <x v="37"/>
    <m/>
    <x v="0"/>
    <n v="44"/>
  </r>
  <r>
    <x v="26"/>
    <n v="147"/>
    <s v="086"/>
    <s v="C086-147-25"/>
    <s v="Complaint"/>
    <s v="Citgo"/>
    <s v="Citgo - Equipment/Probe Checks and In-Transit Difference Comparisons."/>
    <s v="Operations"/>
    <s v="DA"/>
    <x v="37"/>
    <x v="38"/>
    <m/>
    <x v="0"/>
    <n v="18"/>
  </r>
  <r>
    <x v="27"/>
    <n v="139"/>
    <s v="048"/>
    <s v="C048-139-25"/>
    <s v="Internal assessment (9001 &amp; 17025)"/>
    <m/>
    <s v="Inspection Equipment / Records"/>
    <s v="Operations"/>
    <s v="Ecu"/>
    <x v="38"/>
    <x v="38"/>
    <m/>
    <x v="0"/>
    <n v="28"/>
  </r>
  <r>
    <x v="28"/>
    <n v="150"/>
    <s v="435"/>
    <s v="C435-150-24"/>
    <s v="3rd party audit (DNV, A2LA, AASHTO…)"/>
    <s v="A2LA"/>
    <s v="Clause 7.10.1 Impact analysis"/>
    <s v="Lab"/>
    <s v="MT"/>
    <x v="10"/>
    <x v="38"/>
    <m/>
    <x v="0"/>
    <n v="138"/>
  </r>
  <r>
    <x v="16"/>
    <n v="128"/>
    <s v="088"/>
    <s v="C088-128-25"/>
    <s v="Internal assessment (9001 &amp; 17025)"/>
    <m/>
    <s v="ISO 9001: Inspector field equipment records"/>
    <s v="Operations"/>
    <s v="AH"/>
    <x v="33"/>
    <x v="39"/>
    <m/>
    <x v="0"/>
    <n v="18"/>
  </r>
  <r>
    <x v="25"/>
    <s v="120a"/>
    <s v="010"/>
    <s v="C010-120a-25"/>
    <s v="Internal assessment (9001 &amp; 17025)"/>
    <m/>
    <s v="TMA"/>
    <s v="Lab"/>
    <s v="MT"/>
    <x v="27"/>
    <x v="39"/>
    <m/>
    <x v="0"/>
    <n v="46"/>
  </r>
  <r>
    <x v="25"/>
    <s v="120a"/>
    <s v="011"/>
    <s v="C011-120a-25"/>
    <s v="Internal assessment (9001 &amp; 17025)"/>
    <m/>
    <s v="SQC"/>
    <s v="Lab"/>
    <s v="MT"/>
    <x v="27"/>
    <x v="39"/>
    <m/>
    <x v="0"/>
    <n v="46"/>
  </r>
  <r>
    <x v="29"/>
    <n v="156"/>
    <s v="491"/>
    <s v="C491-156-24"/>
    <s v="Customer audit   "/>
    <s v="Marathon"/>
    <s v="Method findings"/>
    <s v="Lab"/>
    <s v="HB"/>
    <x v="39"/>
    <x v="39"/>
    <m/>
    <x v="0"/>
    <n v="91"/>
  </r>
  <r>
    <x v="22"/>
    <n v="178"/>
    <s v="044"/>
    <s v="C044-178-25"/>
    <s v="Internal assessment (9001 &amp; 17025)"/>
    <m/>
    <s v="Lab Equipment"/>
    <s v="Lab"/>
    <s v="MT"/>
    <x v="31"/>
    <x v="40"/>
    <m/>
    <x v="0"/>
    <n v="33"/>
  </r>
  <r>
    <x v="22"/>
    <n v="178"/>
    <s v="041"/>
    <s v="C041-178-25"/>
    <s v="Internal assessment (9001 &amp; 17025)"/>
    <m/>
    <s v="Purchase Order"/>
    <s v="Lab &amp; Ops"/>
    <s v="MT"/>
    <x v="31"/>
    <x v="41"/>
    <m/>
    <x v="0"/>
    <n v="34"/>
  </r>
  <r>
    <x v="16"/>
    <n v="128"/>
    <s v="089"/>
    <s v="C089-128-25"/>
    <s v="Internal assessment (9001 &amp; 17025)"/>
    <m/>
    <s v="ISO 9001: Inspector training records"/>
    <s v="Operations"/>
    <s v="AH"/>
    <x v="33"/>
    <x v="42"/>
    <m/>
    <x v="0"/>
    <n v="24"/>
  </r>
  <r>
    <x v="17"/>
    <n v="146"/>
    <s v="448"/>
    <s v="C448-146-24"/>
    <s v="Internal assessment (9001 &amp; 17025)"/>
    <m/>
    <s v="ISO 17025 Clause 6.5 Metrological traceability"/>
    <s v="Lab"/>
    <s v="AH"/>
    <x v="18"/>
    <x v="42"/>
    <m/>
    <x v="0"/>
    <n v="118"/>
  </r>
  <r>
    <x v="7"/>
    <n v="160"/>
    <s v="107"/>
    <s v="C107-160-25"/>
    <s v="Customer audit   "/>
    <s v="Citgo"/>
    <s v="Citgo findings for D2699 and D2700"/>
    <s v="Lab"/>
    <s v="HB"/>
    <x v="40"/>
    <x v="43"/>
    <m/>
    <x v="0"/>
    <n v="22"/>
  </r>
  <r>
    <x v="27"/>
    <n v="139"/>
    <s v="047"/>
    <s v="C047-139-25"/>
    <s v="Internal assessment (9001 &amp; 17025)"/>
    <m/>
    <s v="File Review"/>
    <s v="Lab &amp; Ops"/>
    <s v="Ecu"/>
    <x v="38"/>
    <x v="43"/>
    <m/>
    <x v="0"/>
    <n v="37"/>
  </r>
  <r>
    <x v="27"/>
    <n v="139"/>
    <s v="049"/>
    <s v="C049-139-25"/>
    <s v="Internal assessment (9001 &amp; 17025)"/>
    <m/>
    <s v="Lab Equipment"/>
    <s v="Lab"/>
    <s v="Ecu"/>
    <x v="38"/>
    <x v="43"/>
    <m/>
    <x v="0"/>
    <n v="37"/>
  </r>
  <r>
    <x v="27"/>
    <n v="139"/>
    <s v="050"/>
    <s v="C050-139-25"/>
    <s v="Internal assessment (9001 &amp; 17025)"/>
    <m/>
    <s v="SQC"/>
    <s v="Lab"/>
    <s v="Ecu"/>
    <x v="38"/>
    <x v="43"/>
    <m/>
    <x v="0"/>
    <n v="37"/>
  </r>
  <r>
    <x v="27"/>
    <n v="139"/>
    <s v="051"/>
    <s v="C051-139-25"/>
    <s v="Internal assessment (9001 &amp; 17025)"/>
    <m/>
    <s v="Training Records"/>
    <s v="Lab"/>
    <s v="Ecu"/>
    <x v="38"/>
    <x v="43"/>
    <m/>
    <x v="0"/>
    <n v="37"/>
  </r>
  <r>
    <x v="30"/>
    <n v="157"/>
    <s v="080"/>
    <s v="C080-157-25"/>
    <s v="Internal assessment (9001 &amp; 17025)"/>
    <m/>
    <s v="IA: Incomplete / missing MOCs"/>
    <s v="Lab"/>
    <s v="Ecu"/>
    <x v="41"/>
    <x v="44"/>
    <m/>
    <x v="0"/>
    <n v="30"/>
  </r>
  <r>
    <x v="30"/>
    <n v="157"/>
    <s v="081"/>
    <s v="C081-157-25"/>
    <s v="Internal assessment (9001 &amp; 17025)"/>
    <m/>
    <s v="IA: QCs"/>
    <s v="Lab"/>
    <s v="Ecu"/>
    <x v="41"/>
    <x v="44"/>
    <m/>
    <x v="0"/>
    <n v="30"/>
  </r>
  <r>
    <x v="30"/>
    <n v="157"/>
    <s v="082"/>
    <s v="C082-157-25"/>
    <s v="Internal assessment (9001 &amp; 17025)"/>
    <m/>
    <s v="IA: Lab training records"/>
    <s v="Lab"/>
    <s v="Ecu"/>
    <x v="41"/>
    <x v="44"/>
    <m/>
    <x v="0"/>
    <n v="30"/>
  </r>
  <r>
    <x v="30"/>
    <n v="157"/>
    <s v="083"/>
    <s v="C083-157-25"/>
    <s v="Internal assessment (9001 &amp; 17025)"/>
    <m/>
    <s v="IA: File review"/>
    <s v="Lab &amp; Ops"/>
    <s v="Ecu"/>
    <x v="41"/>
    <x v="44"/>
    <m/>
    <x v="0"/>
    <n v="30"/>
  </r>
  <r>
    <x v="30"/>
    <n v="157"/>
    <s v="085"/>
    <s v="C085-157-25"/>
    <s v="Internal assessment (9001 &amp; 17025)"/>
    <m/>
    <s v="IA: Lab equipment"/>
    <s v="Lab"/>
    <s v="Ecu"/>
    <x v="41"/>
    <x v="44"/>
    <m/>
    <x v="0"/>
    <n v="30"/>
  </r>
  <r>
    <x v="30"/>
    <n v="157"/>
    <s v="084"/>
    <s v="C084-157-25"/>
    <s v="Internal assessment (9001 &amp; 17025)"/>
    <m/>
    <s v="IA: Certificates not being signed / dated for review"/>
    <s v="Lab &amp; Ops"/>
    <s v="Ecu"/>
    <x v="41"/>
    <x v="45"/>
    <m/>
    <x v="0"/>
    <n v="33"/>
  </r>
  <r>
    <x v="17"/>
    <n v="146"/>
    <s v="055"/>
    <s v="C055-146-25"/>
    <s v="3rd party audit (DNV, A2LA, AASHTO…)"/>
    <s v="A2LA"/>
    <s v="A2LA: ISO 17025 Clause 7.8.3.1 / 7.8.3.1.e"/>
    <s v="Lab"/>
    <s v="KA"/>
    <x v="35"/>
    <x v="46"/>
    <m/>
    <x v="0"/>
    <n v="47"/>
  </r>
  <r>
    <x v="31"/>
    <n v="190"/>
    <s v="128"/>
    <s v="C128-190-25"/>
    <s v="Internal assessment (9001 &amp; 17025)"/>
    <m/>
    <s v="Clause 7.5 Technical Records"/>
    <s v="Lab"/>
    <s v="MT"/>
    <x v="42"/>
    <x v="47"/>
    <m/>
    <x v="0"/>
    <n v="15"/>
  </r>
  <r>
    <x v="31"/>
    <n v="190"/>
    <s v="131"/>
    <s v="C131-190-25"/>
    <s v="Internal assessment (9001 &amp; 17025)"/>
    <m/>
    <s v="Clause 8.3 Document Control "/>
    <s v="Lab"/>
    <s v="MT"/>
    <x v="42"/>
    <x v="47"/>
    <m/>
    <x v="0"/>
    <n v="15"/>
  </r>
  <r>
    <x v="8"/>
    <n v="141"/>
    <s v="108"/>
    <s v="C108-141-25"/>
    <s v="Internal assessment (9001 &amp; 17025)"/>
    <m/>
    <s v="IA: D445 bath temp record on LW"/>
    <s v="Lab"/>
    <s v="KA"/>
    <x v="43"/>
    <x v="47"/>
    <m/>
    <x v="0"/>
    <n v="26"/>
  </r>
  <r>
    <x v="8"/>
    <n v="141"/>
    <s v="111"/>
    <s v="C111-141-25"/>
    <s v="Internal assessment (9001 &amp; 17025)"/>
    <m/>
    <s v="IA: Flash unit FL 15.3 - no record of thermometer"/>
    <s v="Lab"/>
    <s v="KA"/>
    <x v="43"/>
    <x v="47"/>
    <m/>
    <x v="0"/>
    <n v="26"/>
  </r>
  <r>
    <x v="8"/>
    <n v="141"/>
    <s v="112"/>
    <s v="C112-141-25"/>
    <s v="Internal assessment (9001 &amp; 17025)"/>
    <m/>
    <s v="IA: D5453 training records"/>
    <s v="Lab"/>
    <s v="KA"/>
    <x v="43"/>
    <x v="47"/>
    <m/>
    <x v="0"/>
    <n v="26"/>
  </r>
  <r>
    <x v="19"/>
    <n v="180"/>
    <s v="404"/>
    <s v="C404-180-24"/>
    <s v="Internal assessment (9001 &amp; 17025)"/>
    <m/>
    <s v="IA - Clause 7.7.1 and 7.7.3 Validity of Results"/>
    <s v="Lab"/>
    <s v="RB"/>
    <x v="25"/>
    <x v="47"/>
    <m/>
    <x v="0"/>
    <n v="190"/>
  </r>
  <r>
    <x v="19"/>
    <n v="180"/>
    <s v="407"/>
    <s v="C407-180-24"/>
    <s v="Internal assessment (9001 &amp; 17025)"/>
    <m/>
    <s v="IA - Clause 6.5 Traceability"/>
    <s v="Lab"/>
    <s v="RB"/>
    <x v="25"/>
    <x v="47"/>
    <m/>
    <x v="0"/>
    <n v="190"/>
  </r>
  <r>
    <x v="11"/>
    <n v="131"/>
    <s v="024"/>
    <s v="C024-131-25"/>
    <s v="Internal assessment (9001 &amp; 17025)"/>
    <m/>
    <s v="Technical Bulletin Review"/>
    <s v="Lab"/>
    <s v="Ecu"/>
    <x v="30"/>
    <x v="47"/>
    <m/>
    <x v="0"/>
    <n v="55"/>
  </r>
  <r>
    <x v="11"/>
    <n v="131"/>
    <s v="025"/>
    <s v="C025-131-25"/>
    <s v="Internal assessment (9001 &amp; 17025)"/>
    <m/>
    <s v="Inspector Training Records"/>
    <s v="Operations"/>
    <s v="Ecu"/>
    <x v="30"/>
    <x v="47"/>
    <m/>
    <x v="0"/>
    <n v="55"/>
  </r>
  <r>
    <x v="11"/>
    <n v="131"/>
    <s v="039"/>
    <s v="C039-131-25"/>
    <s v="Internal assessment (9001 &amp; 17025)"/>
    <m/>
    <s v="ISO 17025 Clause 8.3 Document control"/>
    <s v="Lab"/>
    <s v="Ecu"/>
    <x v="30"/>
    <x v="47"/>
    <m/>
    <x v="0"/>
    <n v="55"/>
  </r>
  <r>
    <x v="5"/>
    <n v="158"/>
    <s v="017"/>
    <s v="C017-158-25"/>
    <s v="Internal assessment (9001 &amp; 17025)"/>
    <m/>
    <s v="ISO 17025 Clause 8.2, 8.3 Document control"/>
    <s v="Lab"/>
    <s v="AH"/>
    <x v="34"/>
    <x v="48"/>
    <m/>
    <x v="0"/>
    <n v="59"/>
  </r>
  <r>
    <x v="7"/>
    <n v="160"/>
    <s v="141"/>
    <s v="C141-160-25"/>
    <s v="Other (QC, customer alert, improper procedure)"/>
    <s v="Unipec/ATMI/Aramco"/>
    <s v="LD descripencies"/>
    <s v="Operations"/>
    <s v="MT"/>
    <x v="44"/>
    <x v="48"/>
    <m/>
    <x v="0"/>
    <n v="2"/>
  </r>
  <r>
    <x v="7"/>
    <n v="160"/>
    <s v="142"/>
    <s v="C142-160-25"/>
    <s v="Other (QC, customer alert, improper procedure)"/>
    <s v="Unipec/ATMI"/>
    <s v="ILS Documentation"/>
    <s v="Operations"/>
    <s v="MT"/>
    <x v="44"/>
    <x v="48"/>
    <m/>
    <x v="0"/>
    <n v="2"/>
  </r>
  <r>
    <x v="30"/>
    <n v="157"/>
    <s v="140"/>
    <s v="C140-157-25"/>
    <s v="Complaint"/>
    <s v="P66"/>
    <s v="Web 331; Web 351 - barges overloaded"/>
    <s v="Operations"/>
    <s v="MT"/>
    <x v="45"/>
    <x v="49"/>
    <m/>
    <x v="0"/>
    <n v="10"/>
  </r>
  <r>
    <x v="17"/>
    <n v="146"/>
    <s v="053"/>
    <s v="C053-146-25"/>
    <s v="3rd party audit (DNV, A2LA, AASHTO…)"/>
    <s v="A2LA"/>
    <s v="A2LA: ISO 17025 Clause 6.4.5"/>
    <s v="Lab"/>
    <s v="KA"/>
    <x v="35"/>
    <x v="49"/>
    <m/>
    <x v="0"/>
    <n v="50"/>
  </r>
  <r>
    <x v="17"/>
    <n v="146"/>
    <s v="444"/>
    <s v="C444-146-24"/>
    <s v="Internal assessment (9001 &amp; 17025)"/>
    <m/>
    <s v="ISO 9001: Job file review"/>
    <s v="Operations"/>
    <s v="AH"/>
    <x v="18"/>
    <x v="50"/>
    <m/>
    <x v="0"/>
    <n v="133"/>
  </r>
  <r>
    <x v="7"/>
    <n v="160"/>
    <s v="308"/>
    <s v="C308-160-24"/>
    <s v="Internal assessment (9001 &amp; 17025)"/>
    <m/>
    <s v="ISO 9001: Job file review"/>
    <s v="Lab &amp; Ops"/>
    <s v="AH"/>
    <x v="8"/>
    <x v="50"/>
    <m/>
    <x v="0"/>
    <n v="237"/>
  </r>
  <r>
    <x v="32"/>
    <n v="198"/>
    <s v="358"/>
    <s v="C358-198-24"/>
    <s v="Internal assessment (9001 &amp; 17025)"/>
    <m/>
    <s v="SQC"/>
    <s v="Lab"/>
    <s v="MT"/>
    <x v="46"/>
    <x v="51"/>
    <m/>
    <x v="0"/>
    <n v="219"/>
  </r>
  <r>
    <x v="2"/>
    <n v="132"/>
    <s v="315"/>
    <s v="C315-132-24"/>
    <s v="Internal assessment (9001 &amp; 17025)"/>
    <m/>
    <s v="Daily probe check"/>
    <s v="Operations"/>
    <s v="MT"/>
    <x v="29"/>
    <x v="52"/>
    <m/>
    <x v="0"/>
    <n v="268"/>
  </r>
  <r>
    <x v="24"/>
    <n v="155"/>
    <s v="066"/>
    <s v="C066-155-25"/>
    <s v="Internal assessment (9001 &amp; 17025)"/>
    <m/>
    <s v="IA: Daily probe check records"/>
    <s v="Operations"/>
    <s v="KA"/>
    <x v="36"/>
    <x v="53"/>
    <m/>
    <x v="0"/>
    <n v="48"/>
  </r>
  <r>
    <x v="14"/>
    <n v="191"/>
    <s v="492"/>
    <s v="C492-191-24"/>
    <s v="3rd party audit (DNV, A2LA, AASHTO…)"/>
    <s v="A2LA"/>
    <s v="ISO 17025 A2LA Policy P102, Sec T5"/>
    <s v="Lab"/>
    <s v="AH"/>
    <x v="19"/>
    <x v="53"/>
    <m/>
    <x v="0"/>
    <n v="117"/>
  </r>
  <r>
    <x v="22"/>
    <n v="178"/>
    <s v="042"/>
    <s v="C042-178-25"/>
    <s v="Internal assessment (9001 &amp; 17025)"/>
    <m/>
    <s v="Inspection Raw Data"/>
    <s v="Operations"/>
    <s v="MT"/>
    <x v="31"/>
    <x v="53"/>
    <m/>
    <x v="0"/>
    <n v="59"/>
  </r>
  <r>
    <x v="22"/>
    <n v="178"/>
    <s v="043"/>
    <s v="C043-178-25"/>
    <s v="Internal assessment (9001 &amp; 17025)"/>
    <m/>
    <s v="Inspection Equipment"/>
    <s v="Operations"/>
    <s v="MT"/>
    <x v="31"/>
    <x v="53"/>
    <m/>
    <x v="0"/>
    <n v="59"/>
  </r>
  <r>
    <x v="2"/>
    <n v="132"/>
    <s v="319"/>
    <s v="C319-132-24"/>
    <s v="Internal assessment (9001 &amp; 17025)"/>
    <m/>
    <s v="Clause 6.4.4 Lab equipment"/>
    <s v="Lab"/>
    <s v="MT"/>
    <x v="29"/>
    <x v="54"/>
    <m/>
    <x v="0"/>
    <n v="328"/>
  </r>
  <r>
    <x v="32"/>
    <n v="198"/>
    <s v="118"/>
    <s v="C118-198-25"/>
    <s v="Customer audit   "/>
    <s v="Irving Oil"/>
    <s v="D5191- Equipment log for in/out of service was not filled in for most recent unit taken out of service. "/>
    <s v="Lab"/>
    <s v="GF"/>
    <x v="47"/>
    <x v="29"/>
    <m/>
    <x v="0"/>
    <n v="32"/>
  </r>
  <r>
    <x v="32"/>
    <n v="198"/>
    <s v="119"/>
    <s v="C119-198-25"/>
    <s v="Customer audit   "/>
    <s v="Irving Oil"/>
    <s v="Thermometer verification - document had improper value for calibrated thermometer temperature on  one of the rows. "/>
    <s v="Lab"/>
    <s v="GF"/>
    <x v="47"/>
    <x v="29"/>
    <m/>
    <x v="0"/>
    <n v="32"/>
  </r>
  <r>
    <x v="16"/>
    <n v="128"/>
    <s v="094"/>
    <s v="C094-128-25"/>
    <s v="Internal assessment (9001 &amp; 17025)"/>
    <m/>
    <s v="ISO 9001: Lab equipment"/>
    <s v="Lab"/>
    <s v="AH"/>
    <x v="33"/>
    <x v="29"/>
    <m/>
    <x v="0"/>
    <n v="46"/>
  </r>
  <r>
    <x v="3"/>
    <n v="120"/>
    <s v="117"/>
    <s v="C117-120-25"/>
    <s v="3rd party audit (DNV, A2LA, AASHTO…)"/>
    <s v="BQ 9000"/>
    <s v="BQ 9000: Outsourcing of Tests"/>
    <s v="Lab"/>
    <s v="AH"/>
    <x v="48"/>
    <x v="29"/>
    <m/>
    <x v="0"/>
    <n v="34"/>
  </r>
  <r>
    <x v="17"/>
    <n v="146"/>
    <s v="450"/>
    <s v="C450-146-24"/>
    <s v="Internal assessment (9001 &amp; 17025)"/>
    <m/>
    <s v="ISO 17025 Clause 7.7 Validity of results"/>
    <s v="Lab"/>
    <s v="AH"/>
    <x v="18"/>
    <x v="29"/>
    <m/>
    <x v="0"/>
    <n v="140"/>
  </r>
  <r>
    <x v="11"/>
    <n v="131"/>
    <s v="028"/>
    <s v="C028-131-25"/>
    <s v="Internal assessment (9001 &amp; 17025)"/>
    <m/>
    <s v="Chemical inventory"/>
    <s v="Lab"/>
    <s v="Ecu"/>
    <x v="30"/>
    <x v="55"/>
    <m/>
    <x v="0"/>
    <n v="69"/>
  </r>
  <r>
    <x v="11"/>
    <n v="131"/>
    <s v="031"/>
    <s v="C031-131-25"/>
    <s v="Internal assessment (9001 &amp; 17025)"/>
    <m/>
    <s v="ISO 17025 Clause 6.4.9 and 7.10  Deviation"/>
    <s v="Lab"/>
    <s v="Ecu"/>
    <x v="30"/>
    <x v="55"/>
    <m/>
    <x v="0"/>
    <n v="69"/>
  </r>
  <r>
    <x v="33"/>
    <n v="125"/>
    <s v="137"/>
    <s v="C137-125-25"/>
    <s v="Internal assessment (9001 &amp; 17025)"/>
    <m/>
    <s v="Laboratory Equipment"/>
    <s v="Lab"/>
    <s v="MT"/>
    <x v="49"/>
    <x v="56"/>
    <m/>
    <x v="0"/>
    <n v="18"/>
  </r>
  <r>
    <x v="3"/>
    <n v="120"/>
    <s v="116"/>
    <s v="C116-120-25"/>
    <s v="3rd party audit (DNV, A2LA, AASHTO…)"/>
    <s v="BQ 9000"/>
    <s v="BQ 9000: Data and Record Management"/>
    <s v="Lab"/>
    <s v="AH"/>
    <x v="48"/>
    <x v="56"/>
    <m/>
    <x v="0"/>
    <n v="37"/>
  </r>
  <r>
    <x v="0"/>
    <n v="197"/>
    <s v="385"/>
    <s v="C385-197-24"/>
    <s v="Internal assessment (9001 &amp; 17025)"/>
    <m/>
    <s v="IA:  Clause 7.8.3"/>
    <s v="Lab"/>
    <s v="KA"/>
    <x v="0"/>
    <x v="56"/>
    <m/>
    <x v="0"/>
    <n v="225"/>
  </r>
  <r>
    <x v="32"/>
    <n v="198"/>
    <s v="357"/>
    <s v="C357-198-24"/>
    <s v="Internal assessment (9001 &amp; 17025)"/>
    <m/>
    <s v="Test Witnessing"/>
    <s v="Lab"/>
    <s v="MT"/>
    <x v="46"/>
    <x v="57"/>
    <m/>
    <x v="0"/>
    <n v="232"/>
  </r>
  <r>
    <x v="2"/>
    <n v="132"/>
    <s v="326"/>
    <s v="C326-132-24"/>
    <s v="Internal assessment (9001 &amp; 17025)"/>
    <m/>
    <s v="Clasue 7.7.3 QC charts"/>
    <s v="Lab"/>
    <s v="MT"/>
    <x v="29"/>
    <x v="58"/>
    <m/>
    <x v="0"/>
    <n v="410"/>
  </r>
  <r>
    <x v="20"/>
    <n v="101"/>
    <s v="079"/>
    <s v="C079-101-25"/>
    <s v="Other (QC, customer alert, improper procedure)"/>
    <m/>
    <s v="INSCAL forms not being used according to QSM requirements"/>
    <s v="Operations"/>
    <s v="KA"/>
    <x v="41"/>
    <x v="59"/>
    <m/>
    <x v="0"/>
    <n v="56"/>
  </r>
  <r>
    <x v="33"/>
    <n v="125"/>
    <s v="135"/>
    <s v="C135-125-25"/>
    <s v="Internal assessment (9001 &amp; 17025)"/>
    <m/>
    <s v="Document Control"/>
    <s v="Lab"/>
    <s v="MT"/>
    <x v="49"/>
    <x v="60"/>
    <m/>
    <x v="0"/>
    <n v="24"/>
  </r>
  <r>
    <x v="5"/>
    <n v="158"/>
    <s v="014"/>
    <s v="C014-158-25"/>
    <s v="Internal assessment (9001 &amp; 17025)"/>
    <m/>
    <s v="ISO 17025 Clause 7.2.1 Test witnessing"/>
    <s v="Lab"/>
    <s v="AH"/>
    <x v="34"/>
    <x v="61"/>
    <m/>
    <x v="0"/>
    <n v="84"/>
  </r>
  <r>
    <x v="5"/>
    <n v="158"/>
    <s v="016"/>
    <s v="C016-158-25"/>
    <s v="Internal assessment (9001 &amp; 17025)"/>
    <m/>
    <s v="ISO 17025 Clause 7.8 Reporting results"/>
    <s v="Lab"/>
    <s v="AH"/>
    <x v="34"/>
    <x v="61"/>
    <m/>
    <x v="0"/>
    <n v="84"/>
  </r>
  <r>
    <x v="34"/>
    <n v="138"/>
    <s v="100"/>
    <s v="C100-138-25"/>
    <s v="Internal assessment (9001 &amp; 17025)"/>
    <m/>
    <s v="CQI - Failed to meet TMA two consecutive years &amp; PT asphalt not reported"/>
    <s v="Lab &amp; Ops"/>
    <s v="MT"/>
    <x v="43"/>
    <x v="61"/>
    <m/>
    <x v="0"/>
    <n v="52"/>
  </r>
  <r>
    <x v="34"/>
    <n v="138"/>
    <s v="103"/>
    <s v="C103-138-25"/>
    <s v="Internal assessment (9001 &amp; 17025)"/>
    <m/>
    <s v="lab raw data"/>
    <s v="Lab"/>
    <s v="MT"/>
    <x v="43"/>
    <x v="61"/>
    <m/>
    <x v="0"/>
    <n v="52"/>
  </r>
  <r>
    <x v="16"/>
    <n v="128"/>
    <s v="091"/>
    <s v="C091-128-25"/>
    <s v="Internal assessment (9001 &amp; 17025)"/>
    <m/>
    <s v="ISO 9001: Lab training records"/>
    <s v="Lab"/>
    <s v="AH"/>
    <x v="33"/>
    <x v="61"/>
    <m/>
    <x v="0"/>
    <n v="59"/>
  </r>
  <r>
    <x v="16"/>
    <n v="128"/>
    <s v="095"/>
    <s v="C095-128-25"/>
    <s v="Internal assessment (9001 &amp; 17025)"/>
    <m/>
    <s v="ISO 9001: Technical / Quality Bulletins"/>
    <s v="Lab &amp; Ops"/>
    <s v="AH"/>
    <x v="33"/>
    <x v="61"/>
    <m/>
    <x v="0"/>
    <n v="59"/>
  </r>
  <r>
    <x v="35"/>
    <n v="126"/>
    <s v="184"/>
    <s v="C184-126-24"/>
    <s v="Internal assessment (9001 &amp; 17025)"/>
    <m/>
    <s v="IA - Training Records"/>
    <s v="Lab"/>
    <s v="RB"/>
    <x v="50"/>
    <x v="61"/>
    <m/>
    <x v="0"/>
    <n v="355"/>
  </r>
  <r>
    <x v="2"/>
    <n v="132"/>
    <s v="466"/>
    <s v="C466-132-24"/>
    <s v="Customer audit   "/>
    <s v="BP"/>
    <s v="#8.4 Houskeeping"/>
    <s v="Lab"/>
    <s v="MT"/>
    <x v="32"/>
    <x v="62"/>
    <m/>
    <x v="0"/>
    <n v="57"/>
  </r>
  <r>
    <x v="5"/>
    <n v="158"/>
    <s v="013"/>
    <s v="C013-158-25"/>
    <s v="Internal assessment (9001 &amp; 17025)"/>
    <m/>
    <s v="Cal certs for field inspection equipment not reviewed"/>
    <s v="Operations"/>
    <s v="AH"/>
    <x v="34"/>
    <x v="31"/>
    <m/>
    <x v="0"/>
    <n v="85"/>
  </r>
  <r>
    <x v="24"/>
    <n v="155"/>
    <s v="065"/>
    <s v="C065-155-25"/>
    <s v="Internal assessment (9001 &amp; 17025)"/>
    <m/>
    <s v="IA: File review"/>
    <s v="Lab &amp; Ops"/>
    <s v="KA"/>
    <x v="36"/>
    <x v="31"/>
    <m/>
    <x v="0"/>
    <n v="63"/>
  </r>
  <r>
    <x v="35"/>
    <n v="126"/>
    <s v="183"/>
    <s v="C183-126-24"/>
    <s v="Internal assessment (9001 &amp; 17025)"/>
    <m/>
    <s v="IA - Original observed data recorded on uncontrolled datasheets"/>
    <s v="Lab"/>
    <s v="RB"/>
    <x v="50"/>
    <x v="31"/>
    <m/>
    <x v="0"/>
    <n v="356"/>
  </r>
  <r>
    <x v="34"/>
    <n v="138"/>
    <s v="104"/>
    <s v="C104-138-25"/>
    <s v="Internal assessment (9001 &amp; 17025)"/>
    <m/>
    <s v="Lab Equipment"/>
    <s v="Lab"/>
    <s v="MT"/>
    <x v="43"/>
    <x v="63"/>
    <m/>
    <x v="0"/>
    <n v="54"/>
  </r>
  <r>
    <x v="19"/>
    <n v="180"/>
    <s v="179"/>
    <s v="C179-180-25"/>
    <s v="Other (QC, customer alert, improper procedure)"/>
    <m/>
    <s v="Oxygenates samples tested using out of service equipment"/>
    <s v="Lab"/>
    <s v="AH"/>
    <x v="51"/>
    <x v="63"/>
    <m/>
    <x v="0"/>
    <n v="1"/>
  </r>
  <r>
    <x v="3"/>
    <n v="120"/>
    <s v="268"/>
    <s v="C268-120-24"/>
    <s v="Internal assessment (9001 &amp; 17025)"/>
    <m/>
    <s v="IA: Clause 6.4.13"/>
    <s v="Lab"/>
    <s v="KA"/>
    <x v="4"/>
    <x v="64"/>
    <m/>
    <x v="0"/>
    <n v="303"/>
  </r>
  <r>
    <x v="2"/>
    <n v="132"/>
    <s v="467"/>
    <s v="C467-132-24"/>
    <s v="Customer audit   "/>
    <s v="BP"/>
    <s v="#8.5 Odors in lab &amp; retain, octane room temp"/>
    <s v="Lab"/>
    <s v="MT"/>
    <x v="32"/>
    <x v="62"/>
    <m/>
    <x v="0"/>
    <n v="57"/>
  </r>
  <r>
    <x v="36"/>
    <n v="165"/>
    <s v="132"/>
    <s v="C132-165-25"/>
    <s v="Other (QC, customer alert, improper procedure)"/>
    <s v="Lotte"/>
    <s v="Gauging - improper procedure"/>
    <s v="Operations"/>
    <s v="HB"/>
    <x v="42"/>
    <x v="65"/>
    <m/>
    <x v="0"/>
    <n v="48"/>
  </r>
  <r>
    <x v="12"/>
    <n v="130"/>
    <s v="040"/>
    <s v="C040-130-25"/>
    <s v="Other (QC, customer alert, improper procedure)"/>
    <s v="PBF"/>
    <s v=" Inspector compiling/providing an incorrect VEF"/>
    <s v="Operations"/>
    <s v="HM"/>
    <x v="52"/>
    <x v="66"/>
    <m/>
    <x v="0"/>
    <n v="85"/>
  </r>
  <r>
    <x v="2"/>
    <n v="132"/>
    <s v="465"/>
    <s v="C465-132-24"/>
    <s v="Customer audit   "/>
    <s v="BP"/>
    <s v="#1.2 No fire alarm systen"/>
    <s v="Lab"/>
    <s v="MT"/>
    <x v="32"/>
    <x v="53"/>
    <m/>
    <x v="0"/>
    <n v="147"/>
  </r>
  <r>
    <x v="37"/>
    <n v="194"/>
    <s v="177"/>
    <s v="C177-194-25"/>
    <s v="Internal assessment (9001 &amp; 17025)"/>
    <m/>
    <s v="IA: Cluase 7.4"/>
    <s v="Lab"/>
    <s v="Ecu"/>
    <x v="53"/>
    <x v="2"/>
    <m/>
    <x v="0"/>
    <n v="13"/>
  </r>
  <r>
    <x v="37"/>
    <n v="194"/>
    <s v="178"/>
    <s v="C178-194-25"/>
    <s v="Internal assessment (9001 &amp; 17025)"/>
    <m/>
    <s v="IA: Clause 8.3"/>
    <s v="Lab"/>
    <s v="Ecu"/>
    <x v="53"/>
    <x v="2"/>
    <m/>
    <x v="0"/>
    <n v="13"/>
  </r>
  <r>
    <x v="38"/>
    <n v="170"/>
    <s v="120"/>
    <s v="C120-170-25"/>
    <s v="Complaint"/>
    <s v="PBF"/>
    <s v="NOLA SimDist bias result for heavy crude oil."/>
    <s v="Lab"/>
    <s v="DA"/>
    <x v="42"/>
    <x v="2"/>
    <m/>
    <x v="0"/>
    <n v="50"/>
  </r>
  <r>
    <x v="11"/>
    <n v="131"/>
    <s v="026"/>
    <s v="C026-131-25"/>
    <s v="Internal assessment (9001 &amp; 17025)"/>
    <m/>
    <s v="Job File Review"/>
    <s v="Lab &amp; Ops"/>
    <s v="Ecu"/>
    <x v="30"/>
    <x v="2"/>
    <m/>
    <x v="0"/>
    <n v="90"/>
  </r>
  <r>
    <x v="11"/>
    <n v="131"/>
    <s v="034"/>
    <s v="C034-131-25"/>
    <s v="Internal assessment (9001 &amp; 17025)"/>
    <m/>
    <s v="ISO 17025 Clause 7.1 Contract Review"/>
    <s v="Lab &amp; Ops"/>
    <s v="Ecu"/>
    <x v="30"/>
    <x v="2"/>
    <m/>
    <x v="0"/>
    <n v="90"/>
  </r>
  <r>
    <x v="11"/>
    <n v="131"/>
    <s v="036"/>
    <s v="C036-131-25"/>
    <s v="Internal assessment (9001 &amp; 17025)"/>
    <m/>
    <s v="ISO 17025 Clause 7.5 Technical records"/>
    <s v="Lab"/>
    <s v="Ecu"/>
    <x v="30"/>
    <x v="2"/>
    <m/>
    <x v="0"/>
    <n v="90"/>
  </r>
  <r>
    <x v="11"/>
    <n v="131"/>
    <s v="038"/>
    <s v="C038-131-25"/>
    <s v="Internal assessment (9001 &amp; 17025)"/>
    <m/>
    <s v="ISO 17025 Clause 7.8 Reporting results"/>
    <s v="Lab"/>
    <s v="Ecu"/>
    <x v="30"/>
    <x v="2"/>
    <m/>
    <x v="0"/>
    <n v="90"/>
  </r>
  <r>
    <x v="11"/>
    <n v="131"/>
    <s v="162"/>
    <s v="C162-131-25"/>
    <s v="Complaint"/>
    <s v="PBF"/>
    <s v=" Incorrect tube used on two separate loads from the Webb Moffett."/>
    <s v="Operations"/>
    <s v="HM"/>
    <x v="54"/>
    <x v="67"/>
    <m/>
    <x v="0"/>
    <n v="32"/>
  </r>
  <r>
    <x v="31"/>
    <n v="190"/>
    <s v="127"/>
    <s v="C127-190-25"/>
    <s v="Internal assessment (9001 &amp; 17025)"/>
    <m/>
    <s v="Clause 7.2.1.7 Method Deviations"/>
    <s v="Lab"/>
    <s v="MT"/>
    <x v="42"/>
    <x v="68"/>
    <m/>
    <x v="0"/>
    <n v="53"/>
  </r>
  <r>
    <x v="7"/>
    <n v="160"/>
    <n v="164"/>
    <s v="C164-160-25"/>
    <s v="Complaint"/>
    <s v="ATA"/>
    <s v="Transcription error on D1160"/>
    <s v="Lab"/>
    <s v="MT"/>
    <x v="55"/>
    <x v="69"/>
    <m/>
    <x v="0"/>
    <n v="38"/>
  </r>
  <r>
    <x v="7"/>
    <n v="160"/>
    <s v="163"/>
    <s v="C163-160-25"/>
    <s v="Complaint"/>
    <s v="ATA"/>
    <s v="Transcription error on metal result"/>
    <s v="Lab"/>
    <s v="MT"/>
    <x v="55"/>
    <x v="69"/>
    <m/>
    <x v="0"/>
    <n v="38"/>
  </r>
  <r>
    <x v="1"/>
    <n v="192"/>
    <s v="166"/>
    <s v="C166-192-25"/>
    <s v="Internal assessment (9001 &amp; 17025)"/>
    <m/>
    <s v="Inspector Training Records"/>
    <s v="Operations"/>
    <s v="MT"/>
    <x v="56"/>
    <x v="69"/>
    <m/>
    <x v="0"/>
    <n v="28"/>
  </r>
  <r>
    <x v="39"/>
    <n v="185"/>
    <s v="058"/>
    <s v="C058-185-25"/>
    <s v="Internal assessment (9001 &amp; 17025)"/>
    <m/>
    <s v="ISO 9001: Lab equipment status"/>
    <s v="Lab"/>
    <s v="AH"/>
    <x v="36"/>
    <x v="69"/>
    <m/>
    <x v="0"/>
    <n v="76"/>
  </r>
  <r>
    <x v="2"/>
    <n v="132"/>
    <s v="496"/>
    <s v="C496-132-24"/>
    <s v="Customer audit   "/>
    <s v="Shell"/>
    <s v="Records retention is shorter than Shell’s_x000a_requirements._x000a_"/>
    <s v="Lab &amp; Ops"/>
    <s v="HM"/>
    <x v="57"/>
    <x v="4"/>
    <m/>
    <x v="0"/>
    <n v="26"/>
  </r>
  <r>
    <x v="2"/>
    <n v="132"/>
    <s v="500"/>
    <s v="C500-132-24"/>
    <s v="Customer audit   "/>
    <s v="Shell"/>
    <s v="Training records for laboratory personnel were not complete."/>
    <s v="Lab"/>
    <s v="HM"/>
    <x v="57"/>
    <x v="15"/>
    <m/>
    <x v="0"/>
    <n v="37"/>
  </r>
  <r>
    <x v="2"/>
    <n v="132"/>
    <s v="498"/>
    <s v="C498-132-24"/>
    <s v="Customer audit   "/>
    <s v="Shell"/>
    <s v="Non-compliance with the ASTM D86_x000a_Distillation test condenser temperature for jet fuel._x000a_"/>
    <s v="Lab"/>
    <s v="HM"/>
    <x v="57"/>
    <x v="20"/>
    <m/>
    <x v="0"/>
    <n v="44"/>
  </r>
  <r>
    <x v="31"/>
    <n v="190"/>
    <s v="121"/>
    <s v="C121-190-25"/>
    <s v="Internal assessment (9001 &amp; 17025)"/>
    <m/>
    <s v="Inspection equipment and TRB"/>
    <s v="Operations"/>
    <s v="MT"/>
    <x v="42"/>
    <x v="52"/>
    <m/>
    <x v="0"/>
    <n v="58"/>
  </r>
  <r>
    <x v="31"/>
    <n v="190"/>
    <s v="125"/>
    <s v="C125-190-25"/>
    <s v="Internal assessment (9001 &amp; 17025)"/>
    <m/>
    <d v="2025-03-11T00:00:00"/>
    <s v="Lab"/>
    <s v="MT"/>
    <x v="42"/>
    <x v="52"/>
    <m/>
    <x v="0"/>
    <n v="58"/>
  </r>
  <r>
    <x v="2"/>
    <n v="132"/>
    <s v="497"/>
    <s v="C497-132-24"/>
    <s v="Customer audit   "/>
    <s v="Shell"/>
    <s v="Jet fuel COAs  lack statements for traceability  or conformance to specifications."/>
    <s v="Lab"/>
    <s v="HM"/>
    <x v="57"/>
    <x v="59"/>
    <m/>
    <x v="0"/>
    <n v="119"/>
  </r>
  <r>
    <x v="37"/>
    <n v="194"/>
    <s v="175"/>
    <s v="C175-194-25"/>
    <s v="Internal assessment (9001 &amp; 17025)"/>
    <m/>
    <s v="IA: Clause 6.4.1 and 6.4.5"/>
    <s v="Lab"/>
    <s v="Ecu"/>
    <x v="53"/>
    <x v="52"/>
    <m/>
    <x v="0"/>
    <n v="21"/>
  </r>
  <r>
    <x v="11"/>
    <n v="131"/>
    <s v="161"/>
    <s v="C161-131-25"/>
    <s v="Complaint"/>
    <s v="PBF"/>
    <s v="Incorrect S&amp;W results "/>
    <s v="Lab"/>
    <s v="HM"/>
    <x v="54"/>
    <x v="52"/>
    <m/>
    <x v="0"/>
    <n v="38"/>
  </r>
  <r>
    <x v="39"/>
    <n v="185"/>
    <s v="060"/>
    <s v="C060-185-25"/>
    <s v="Internal assessment (9001 &amp; 17025)"/>
    <m/>
    <s v="ISO 9001: Lab training records"/>
    <s v="Lab"/>
    <s v="AH"/>
    <x v="36"/>
    <x v="52"/>
    <m/>
    <x v="0"/>
    <n v="79"/>
  </r>
  <r>
    <x v="31"/>
    <n v="190"/>
    <s v="122"/>
    <s v="C122-190-25"/>
    <s v="Internal assessment (9001 &amp; 17025)"/>
    <m/>
    <s v="Job files"/>
    <s v="Operations"/>
    <s v="MT"/>
    <x v="42"/>
    <x v="70"/>
    <m/>
    <x v="0"/>
    <n v="59"/>
  </r>
  <r>
    <x v="31"/>
    <n v="190"/>
    <s v="123"/>
    <s v="C123-190-25"/>
    <s v="Internal assessment (9001 &amp; 17025)"/>
    <m/>
    <s v="Ops not review TB/QB"/>
    <s v="Operations"/>
    <s v="MT"/>
    <x v="42"/>
    <x v="70"/>
    <m/>
    <x v="0"/>
    <n v="59"/>
  </r>
  <r>
    <x v="12"/>
    <n v="130"/>
    <s v="204"/>
    <s v="C204-130-25"/>
    <s v="Customer audit   "/>
    <s v="Chevron"/>
    <s v="D7754 - The laboratory control sample must be prepared like regular samples."/>
    <s v="Lab"/>
    <s v="HM"/>
    <x v="58"/>
    <x v="70"/>
    <m/>
    <x v="0"/>
    <n v="4"/>
  </r>
  <r>
    <x v="14"/>
    <n v="191"/>
    <s v="470"/>
    <s v="C470-191-24"/>
    <s v="Internal assessment (9001 &amp; 17025)"/>
    <m/>
    <s v="Job files (ops)"/>
    <s v="Operations"/>
    <s v="MT"/>
    <x v="18"/>
    <x v="71"/>
    <m/>
    <x v="0"/>
    <n v="172"/>
  </r>
  <r>
    <x v="31"/>
    <n v="190"/>
    <s v="106"/>
    <s v="C106-190-25"/>
    <s v="Other (QC, customer alert, improper procedure)"/>
    <m/>
    <s v="Training Records for Lab staff"/>
    <s v="Lab"/>
    <s v="KA / LJ"/>
    <x v="40"/>
    <x v="72"/>
    <m/>
    <x v="0"/>
    <n v="78"/>
  </r>
  <r>
    <x v="31"/>
    <n v="190"/>
    <s v="129"/>
    <s v="C129-190-25"/>
    <s v="Internal assessment (9001 &amp; 17025)"/>
    <m/>
    <s v="Clause 7.7.1 Validity Check"/>
    <s v="Lab"/>
    <s v="MT"/>
    <x v="42"/>
    <x v="72"/>
    <m/>
    <x v="0"/>
    <n v="64"/>
  </r>
  <r>
    <x v="8"/>
    <n v="141"/>
    <s v="110"/>
    <s v="C110-141-25"/>
    <s v="Internal assessment (9001 &amp; 17025)"/>
    <m/>
    <s v="IA: H2S cylinder expired"/>
    <s v="Operations"/>
    <s v="KA"/>
    <x v="43"/>
    <x v="72"/>
    <m/>
    <x v="0"/>
    <n v="75"/>
  </r>
  <r>
    <x v="14"/>
    <n v="191"/>
    <s v="472"/>
    <s v="C472-191-24"/>
    <s v="Internal assessment (9001 &amp; 17025)"/>
    <m/>
    <s v="Field Equipment"/>
    <s v="Operations"/>
    <s v="MT"/>
    <x v="18"/>
    <x v="72"/>
    <m/>
    <x v="0"/>
    <n v="176"/>
  </r>
  <r>
    <x v="28"/>
    <n v="150"/>
    <s v="152"/>
    <s v="C152-150-25"/>
    <s v="Internal assessment (9001 &amp; 17025)"/>
    <m/>
    <s v="IA: Clause  6.4.5"/>
    <s v="Lab"/>
    <s v="Ecu"/>
    <x v="55"/>
    <x v="72"/>
    <m/>
    <x v="0"/>
    <n v="47"/>
  </r>
  <r>
    <x v="5"/>
    <n v="158"/>
    <s v="519"/>
    <s v="C519-158-24"/>
    <s v="Customer audit   "/>
    <s v="Citgo"/>
    <s v="QC - control of nonconforming work"/>
    <s v="Lab"/>
    <s v="MT"/>
    <x v="59"/>
    <x v="73"/>
    <m/>
    <x v="0"/>
    <n v="342"/>
  </r>
  <r>
    <x v="40"/>
    <n v="133"/>
    <s v="422"/>
    <s v="C422-133-23"/>
    <s v="Internal assessment (9001 &amp; 17025)"/>
    <m/>
    <s v="IA - QC"/>
    <m/>
    <s v="RB"/>
    <x v="60"/>
    <x v="73"/>
    <m/>
    <x v="0"/>
    <n v="685"/>
  </r>
  <r>
    <x v="11"/>
    <n v="131"/>
    <s v="007"/>
    <s v="C007-131-25"/>
    <s v="Customer audit   "/>
    <s v="Chevron"/>
    <s v="D3948: QA chart  failing TPI."/>
    <s v="Lab"/>
    <s v="HM"/>
    <x v="26"/>
    <x v="73"/>
    <m/>
    <x v="0"/>
    <n v="121"/>
  </r>
  <r>
    <x v="5"/>
    <n v="158"/>
    <s v="517"/>
    <s v="C517-158-24"/>
    <s v="Customer audit   "/>
    <s v="Citgo"/>
    <s v="QC Data Evaluation"/>
    <s v="Lab"/>
    <s v="MT"/>
    <x v="59"/>
    <x v="74"/>
    <m/>
    <x v="0"/>
    <n v="343"/>
  </r>
  <r>
    <x v="5"/>
    <n v="158"/>
    <s v="518"/>
    <s v="C518-158-24"/>
    <s v="Customer audit   "/>
    <s v="Citgo"/>
    <s v="QC chart corrupted"/>
    <s v="Lab"/>
    <s v="MT"/>
    <x v="59"/>
    <x v="74"/>
    <m/>
    <x v="0"/>
    <n v="343"/>
  </r>
  <r>
    <x v="20"/>
    <n v="101"/>
    <s v="087"/>
    <s v="C087-101-25"/>
    <s v="Complaint"/>
    <s v="Irving Oil"/>
    <s v="Inspectors sampler tape and tube fell into vessels tank. "/>
    <s v="Operations"/>
    <s v="GF"/>
    <x v="37"/>
    <x v="74"/>
    <m/>
    <x v="0"/>
    <n v="85"/>
  </r>
  <r>
    <x v="24"/>
    <n v="155"/>
    <s v="191"/>
    <s v="C191-155-25"/>
    <s v="Complaint"/>
    <s v="Irving Oil"/>
    <s v="Irving -not gauging to nearestmm"/>
    <s v="Operations"/>
    <s v="MT"/>
    <x v="61"/>
    <x v="74"/>
    <m/>
    <x v="0"/>
    <n v="17"/>
  </r>
  <r>
    <x v="31"/>
    <n v="190"/>
    <s v="130"/>
    <s v="C130-190-25"/>
    <s v="Internal assessment (9001 &amp; 17025)"/>
    <m/>
    <s v="Clause 7.8 Reporting"/>
    <s v="Lab"/>
    <s v="MT"/>
    <x v="42"/>
    <x v="75"/>
    <m/>
    <x v="0"/>
    <n v="67"/>
  </r>
  <r>
    <x v="1"/>
    <n v="192"/>
    <s v="165"/>
    <s v="C165-192-25"/>
    <s v="Internal assessment (9001 &amp; 17025)"/>
    <m/>
    <s v="Reports"/>
    <s v="Lab &amp; Ops"/>
    <s v="MT"/>
    <x v="56"/>
    <x v="76"/>
    <m/>
    <x v="0"/>
    <n v="42"/>
  </r>
  <r>
    <x v="11"/>
    <n v="131"/>
    <s v="160"/>
    <s v="C160-131-25"/>
    <s v="Other (QC, customer alert, improper procedure)"/>
    <m/>
    <s v="Delay in requesting the initiation of CARs"/>
    <s v="Lab &amp; Ops"/>
    <s v="HM"/>
    <x v="54"/>
    <x v="76"/>
    <m/>
    <x v="0"/>
    <n v="49"/>
  </r>
  <r>
    <x v="39"/>
    <n v="185"/>
    <s v="059"/>
    <s v="C059-185-25"/>
    <s v="Internal assessment (9001 &amp; 17025)"/>
    <m/>
    <s v="ISO 9001: Master thermometer not within expiry dates during last verification period"/>
    <s v="Lab"/>
    <s v="AH"/>
    <x v="36"/>
    <x v="76"/>
    <m/>
    <x v="0"/>
    <n v="90"/>
  </r>
  <r>
    <x v="31"/>
    <n v="190"/>
    <s v="124"/>
    <s v="C124-190-25"/>
    <s v="Internal assessment (9001 &amp; 17025)"/>
    <m/>
    <s v="Clause 7.4.1 Sample management"/>
    <s v="Operations"/>
    <s v="MT"/>
    <x v="42"/>
    <x v="77"/>
    <m/>
    <x v="0"/>
    <n v="70"/>
  </r>
  <r>
    <x v="41"/>
    <n v="127"/>
    <s v="143"/>
    <s v="C143-127-25"/>
    <s v="Internal assessment (9001 &amp; 17025)"/>
    <m/>
    <s v="ISO 9001: Lab equipment"/>
    <s v="Lab"/>
    <s v="AH"/>
    <x v="62"/>
    <x v="77"/>
    <m/>
    <x v="0"/>
    <n v="54"/>
  </r>
  <r>
    <x v="16"/>
    <n v="128"/>
    <s v="093"/>
    <s v="C093-128-25"/>
    <s v="Internal assessment (9001 &amp; 17025)"/>
    <m/>
    <s v="ISO 9001: Test witnessing"/>
    <s v="Lab"/>
    <s v="AH"/>
    <x v="33"/>
    <x v="77"/>
    <m/>
    <x v="0"/>
    <n v="88"/>
  </r>
  <r>
    <x v="15"/>
    <n v="110"/>
    <s v="482"/>
    <s v="C482-110-24"/>
    <s v="Internal assessment (9001 &amp; 17025)"/>
    <m/>
    <s v="No record of biennial document review"/>
    <s v="Lab"/>
    <s v="Ecu"/>
    <x v="63"/>
    <x v="78"/>
    <m/>
    <x v="0"/>
    <n v="183"/>
  </r>
  <r>
    <x v="15"/>
    <n v="110"/>
    <s v="483"/>
    <s v="C483-110-24"/>
    <s v="Internal assessment (9001 &amp; 17025)"/>
    <m/>
    <s v="Overdue TMAs"/>
    <s v="Lab"/>
    <s v="Ecu"/>
    <x v="63"/>
    <x v="78"/>
    <m/>
    <x v="0"/>
    <n v="183"/>
  </r>
  <r>
    <x v="15"/>
    <n v="110"/>
    <s v="486"/>
    <s v="C486-110-24"/>
    <s v="Internal assessment (9001 &amp; 17025)"/>
    <m/>
    <s v="Reporting - COAs"/>
    <s v="Lab"/>
    <s v="Ecu"/>
    <x v="63"/>
    <x v="78"/>
    <m/>
    <x v="0"/>
    <n v="183"/>
  </r>
  <r>
    <x v="17"/>
    <n v="146"/>
    <s v="035"/>
    <s v="C035-146-24"/>
    <s v="3rd party audit (DNV, A2LA, AASHTO…)"/>
    <m/>
    <s v="Equipment OOS - D3606, D5599, D4815 and D1840"/>
    <s v="Lab"/>
    <s v="MT"/>
    <x v="64"/>
    <x v="78"/>
    <m/>
    <x v="0"/>
    <n v="468"/>
  </r>
  <r>
    <x v="11"/>
    <n v="131"/>
    <s v="030"/>
    <s v="C030-131-25"/>
    <s v="Internal assessment (9001 &amp; 17025)"/>
    <m/>
    <s v="ISO 17025 Clause 6.4 Equipment Records"/>
    <s v="Lab"/>
    <s v="Ecu"/>
    <x v="30"/>
    <x v="78"/>
    <m/>
    <x v="0"/>
    <n v="112"/>
  </r>
  <r>
    <x v="11"/>
    <n v="131"/>
    <s v="033"/>
    <s v="C033-131-25"/>
    <s v="Internal assessment (9001 &amp; 17025)"/>
    <m/>
    <s v="ISO 17025 Clause 6.6.2c Ext. Products"/>
    <s v="Lab"/>
    <s v="Ecu"/>
    <x v="30"/>
    <x v="78"/>
    <m/>
    <x v="0"/>
    <n v="112"/>
  </r>
  <r>
    <x v="11"/>
    <n v="131"/>
    <s v="035"/>
    <s v="C035-131-25"/>
    <s v="Internal assessment (9001 &amp; 17025)"/>
    <m/>
    <s v="ISO 17025 Clause 7.2.1 Test witnessing"/>
    <s v="Lab"/>
    <s v="Ecu"/>
    <x v="30"/>
    <x v="78"/>
    <m/>
    <x v="0"/>
    <n v="112"/>
  </r>
  <r>
    <x v="24"/>
    <n v="155"/>
    <s v="067"/>
    <s v="C067-155-25"/>
    <s v="Internal assessment (9001 &amp; 17025)"/>
    <m/>
    <s v="IA: Chemical/Reference stds inventory lists"/>
    <s v="Lab"/>
    <s v="KA"/>
    <x v="36"/>
    <x v="79"/>
    <m/>
    <x v="0"/>
    <n v="94"/>
  </r>
  <r>
    <x v="24"/>
    <n v="155"/>
    <s v="074"/>
    <s v="C074-155-25"/>
    <s v="Internal assessment (9001 &amp; 17025)"/>
    <m/>
    <s v="IA: Clause 7.5"/>
    <s v="Lab"/>
    <s v="KA"/>
    <x v="36"/>
    <x v="79"/>
    <m/>
    <x v="0"/>
    <n v="94"/>
  </r>
  <r>
    <x v="16"/>
    <n v="128"/>
    <s v="092"/>
    <s v="C092-128-25"/>
    <s v="Internal assessment (9001 &amp; 17025)"/>
    <m/>
    <s v="ISO 9001: Quality control + charts"/>
    <s v="Lab"/>
    <s v="AH"/>
    <x v="33"/>
    <x v="79"/>
    <m/>
    <x v="0"/>
    <n v="91"/>
  </r>
  <r>
    <x v="6"/>
    <n v="145"/>
    <s v="171"/>
    <s v="C171-145-25"/>
    <s v="Internal assessment (9001 &amp; 17025)"/>
    <m/>
    <s v="IA: D6079 QC"/>
    <s v="Lab"/>
    <s v="KA"/>
    <x v="65"/>
    <x v="79"/>
    <m/>
    <x v="0"/>
    <n v="44"/>
  </r>
  <r>
    <x v="18"/>
    <n v="144"/>
    <s v="370"/>
    <s v="C370-144-24"/>
    <s v="Internal assessment (9001 &amp; 17025)"/>
    <m/>
    <s v="IA:  Lab training binders"/>
    <s v="Lab"/>
    <s v="KA"/>
    <x v="23"/>
    <x v="79"/>
    <m/>
    <x v="0"/>
    <n v="269"/>
  </r>
  <r>
    <x v="42"/>
    <n v="171"/>
    <s v="283"/>
    <s v="C283-171-24"/>
    <s v="Internal assessment (9001 &amp; 17025)"/>
    <m/>
    <s v="IA:  RFA overdue"/>
    <s v="Operations"/>
    <s v="KA"/>
    <x v="66"/>
    <x v="79"/>
    <m/>
    <x v="0"/>
    <n v="311"/>
  </r>
  <r>
    <x v="28"/>
    <n v="150"/>
    <s v="153"/>
    <s v="C153-150-25"/>
    <s v="Internal assessment (9001 &amp; 17025)"/>
    <m/>
    <s v="IA: Clause 6.5.3"/>
    <s v="Lab"/>
    <s v="Ecu"/>
    <x v="55"/>
    <x v="79"/>
    <m/>
    <x v="0"/>
    <n v="56"/>
  </r>
  <r>
    <x v="28"/>
    <n v="150"/>
    <s v="155"/>
    <s v="C155-150-25"/>
    <s v="Internal assessment (9001 &amp; 17025)"/>
    <m/>
    <s v="IA: Clause 7.5.1"/>
    <s v="Lab"/>
    <s v="Ecu"/>
    <x v="55"/>
    <x v="79"/>
    <m/>
    <x v="0"/>
    <n v="56"/>
  </r>
  <r>
    <x v="1"/>
    <n v="192"/>
    <s v="168"/>
    <s v="C168-192-25"/>
    <s v="Internal assessment (9001 &amp; 17025)"/>
    <m/>
    <s v="D4052 method deviation."/>
    <s v="Lab"/>
    <s v="MT"/>
    <x v="56"/>
    <x v="80"/>
    <m/>
    <x v="0"/>
    <n v="51"/>
  </r>
  <r>
    <x v="18"/>
    <n v="144"/>
    <s v="367"/>
    <s v="C367-144-24"/>
    <s v="Internal assessment (9001 &amp; 17025)"/>
    <m/>
    <s v="IA:  TMAs"/>
    <s v="Lab"/>
    <s v="KA"/>
    <x v="23"/>
    <x v="80"/>
    <m/>
    <x v="0"/>
    <n v="274"/>
  </r>
  <r>
    <x v="3"/>
    <n v="120"/>
    <s v="273"/>
    <s v="C273-120-24"/>
    <s v="Internal assessment (9001 &amp; 17025)"/>
    <m/>
    <s v="IA: Clause 7.8.8.1"/>
    <s v="Lab"/>
    <s v="KA"/>
    <x v="4"/>
    <x v="81"/>
    <m/>
    <x v="0"/>
    <n v="338"/>
  </r>
  <r>
    <x v="38"/>
    <n v="170"/>
    <s v="121"/>
    <s v="C121-170-24"/>
    <s v="Internal assessment (9001 &amp; 17025)"/>
    <m/>
    <s v="IA:  Clause 6.4.4"/>
    <s v="Lab"/>
    <s v="KA"/>
    <x v="67"/>
    <x v="81"/>
    <m/>
    <x v="0"/>
    <n v="419"/>
  </r>
  <r>
    <x v="11"/>
    <n v="131"/>
    <s v="029"/>
    <s v="C029-131-25"/>
    <s v="Internal assessment (9001 &amp; 17025)"/>
    <m/>
    <s v="ISO 17025 Clause 6.2.5 Training records"/>
    <s v="Lab"/>
    <s v="Ecu"/>
    <x v="30"/>
    <x v="81"/>
    <m/>
    <x v="0"/>
    <n v="119"/>
  </r>
  <r>
    <x v="2"/>
    <n v="132"/>
    <s v="501"/>
    <s v="C501-132-24"/>
    <s v="Customer audit   "/>
    <s v="Shell"/>
    <s v="The laboratory  is not effectively managing the root cause analysis (RCA)  process for proficiency testing schemes."/>
    <s v="Lab"/>
    <s v="HM"/>
    <x v="57"/>
    <x v="82"/>
    <m/>
    <x v="0"/>
    <n v="198"/>
  </r>
  <r>
    <x v="5"/>
    <n v="158"/>
    <s v="019"/>
    <s v="C019-158-25"/>
    <s v="Internal assessment (9001 &amp; 17025)"/>
    <m/>
    <s v="ISO 17025 Clause 6.2 Training records"/>
    <s v="Lab"/>
    <s v="AH"/>
    <x v="34"/>
    <x v="5"/>
    <m/>
    <x v="0"/>
    <n v="123"/>
  </r>
  <r>
    <x v="24"/>
    <n v="155"/>
    <s v="068"/>
    <s v="C068-155-25"/>
    <s v="Internal assessment (9001 &amp; 17025)"/>
    <m/>
    <s v="IA: Clause 5.7.a"/>
    <s v="Lab"/>
    <s v="KA"/>
    <x v="36"/>
    <x v="5"/>
    <m/>
    <x v="0"/>
    <n v="101"/>
  </r>
  <r>
    <x v="24"/>
    <n v="155"/>
    <s v="073"/>
    <s v="C073-155-25"/>
    <s v="Internal assessment (9001 &amp; 17025)"/>
    <m/>
    <s v="IA: Clause 7.1.5"/>
    <s v="Lab"/>
    <s v="KA"/>
    <x v="36"/>
    <x v="5"/>
    <m/>
    <x v="0"/>
    <n v="101"/>
  </r>
  <r>
    <x v="28"/>
    <n v="150"/>
    <s v="097"/>
    <s v="C097-150-24"/>
    <s v="Internal assessment (9001 &amp; 17025)"/>
    <m/>
    <s v="IA Clause 6.4.13"/>
    <s v="Lab"/>
    <s v="AH"/>
    <x v="68"/>
    <x v="5"/>
    <m/>
    <x v="0"/>
    <n v="438"/>
  </r>
  <r>
    <x v="39"/>
    <n v="185"/>
    <s v="061"/>
    <s v="C061-185-25"/>
    <s v="Internal assessment (9001 &amp; 17025)"/>
    <m/>
    <s v="ISO 9001: Test witnessing"/>
    <s v="Lab"/>
    <s v="AH"/>
    <x v="36"/>
    <x v="5"/>
    <m/>
    <x v="0"/>
    <n v="101"/>
  </r>
  <r>
    <x v="8"/>
    <n v="141"/>
    <s v="109"/>
    <s v="C109-141-25"/>
    <s v="Internal assessment (9001 &amp; 17025)"/>
    <m/>
    <s v="IA: Inspector draft marks and safety quizzes"/>
    <s v="Operations"/>
    <s v="KA"/>
    <x v="43"/>
    <x v="83"/>
    <m/>
    <x v="0"/>
    <n v="97"/>
  </r>
  <r>
    <x v="19"/>
    <n v="180"/>
    <s v="203"/>
    <s v="C203-180-25"/>
    <s v="Other (QC, customer alert, improper procedure)"/>
    <m/>
    <s v="PBF - Not notify product contamination and wrong sample"/>
    <s v="Operations"/>
    <s v="MT"/>
    <x v="58"/>
    <x v="83"/>
    <m/>
    <x v="0"/>
    <n v="31"/>
  </r>
  <r>
    <x v="37"/>
    <n v="194"/>
    <s v="176"/>
    <s v="C176-194-25"/>
    <s v="Internal assessment (9001 &amp; 17025)"/>
    <m/>
    <s v="IA: Clause 6.5.2"/>
    <s v="Lab"/>
    <s v="Ecu"/>
    <x v="53"/>
    <x v="84"/>
    <m/>
    <x v="0"/>
    <n v="53"/>
  </r>
  <r>
    <x v="12"/>
    <n v="130"/>
    <s v="214"/>
    <s v="C214-130-25"/>
    <s v="Internal assessment (9001 &amp; 17025)"/>
    <m/>
    <s v="IA: Clause 6.6.2"/>
    <s v="Lab"/>
    <s v="Ecu"/>
    <x v="69"/>
    <x v="84"/>
    <m/>
    <x v="0"/>
    <n v="31"/>
  </r>
  <r>
    <x v="12"/>
    <n v="130"/>
    <s v="217"/>
    <s v="C217-130-25"/>
    <s v="Internal assessment (9001 &amp; 17025)"/>
    <m/>
    <s v="IA: Clause 7.5.2"/>
    <s v="Lab"/>
    <s v="Ecu"/>
    <x v="69"/>
    <x v="84"/>
    <m/>
    <x v="0"/>
    <n v="31"/>
  </r>
  <r>
    <x v="12"/>
    <n v="130"/>
    <s v="219"/>
    <s v="C219-130-25"/>
    <s v="Internal assessment (9001 &amp; 17025)"/>
    <m/>
    <s v="IA: Clause 7.81.2 and 7.8.2"/>
    <s v="Lab"/>
    <s v="Ecu"/>
    <x v="69"/>
    <x v="84"/>
    <m/>
    <x v="0"/>
    <n v="31"/>
  </r>
  <r>
    <x v="12"/>
    <n v="130"/>
    <s v="221"/>
    <s v="C221-130-25"/>
    <s v="Internal assessment (9001 &amp; 17025)"/>
    <m/>
    <s v="IA: Biodiesel Test  Witnessing"/>
    <s v="Lab"/>
    <s v="Ecu"/>
    <x v="69"/>
    <x v="84"/>
    <m/>
    <x v="0"/>
    <n v="31"/>
  </r>
  <r>
    <x v="12"/>
    <n v="130"/>
    <s v="222"/>
    <s v="C222-130-25"/>
    <s v="Internal assessment (9001 &amp; 17025)"/>
    <m/>
    <s v="IA: Biodiesel Training Records"/>
    <s v="Lab"/>
    <s v="Ecu"/>
    <x v="69"/>
    <x v="84"/>
    <m/>
    <x v="0"/>
    <n v="31"/>
  </r>
  <r>
    <x v="28"/>
    <n v="150"/>
    <s v="255"/>
    <s v="C255-150-25"/>
    <s v="Other (QC, customer alert, improper procedure)"/>
    <s v="USCBP"/>
    <s v="USCBP- signatory list"/>
    <s v="Operations"/>
    <s v="HB"/>
    <x v="70"/>
    <x v="84"/>
    <m/>
    <x v="0"/>
    <n v="11"/>
  </r>
  <r>
    <x v="39"/>
    <n v="185"/>
    <s v="062"/>
    <s v="C062-185-25"/>
    <s v="Internal assessment (9001 &amp; 17025)"/>
    <m/>
    <s v="ISO 9001: Solutions prep + records"/>
    <s v="Lab"/>
    <s v="AH"/>
    <x v="36"/>
    <x v="84"/>
    <m/>
    <x v="0"/>
    <n v="111"/>
  </r>
  <r>
    <x v="5"/>
    <n v="158"/>
    <s v="015"/>
    <s v="C015-158-25"/>
    <s v="Internal assessment (9001 &amp; 17025)"/>
    <m/>
    <s v="ISO 17025 Clause 7.5 Technical records"/>
    <s v="Lab"/>
    <s v="AH"/>
    <x v="34"/>
    <x v="85"/>
    <m/>
    <x v="0"/>
    <n v="134"/>
  </r>
  <r>
    <x v="7"/>
    <n v="160"/>
    <s v="262"/>
    <s v="C262-160-25"/>
    <s v="3rd party audit (DNV, A2LA, AASHTO…)"/>
    <s v="A2LA"/>
    <s v="Clause 6.5.2: D1319 - ISO 17034 accreditation missing from steel ruler"/>
    <s v="Lab"/>
    <s v="Ecu"/>
    <x v="71"/>
    <x v="85"/>
    <m/>
    <x v="0"/>
    <n v="4"/>
  </r>
  <r>
    <x v="39"/>
    <n v="185"/>
    <s v="063"/>
    <s v="C063-185-25"/>
    <s v="Internal assessment (9001 &amp; 17025)"/>
    <m/>
    <s v="ISO 9001: No maintenance records for D6463 pH probe"/>
    <s v="Lab"/>
    <s v="AH"/>
    <x v="36"/>
    <x v="85"/>
    <m/>
    <x v="0"/>
    <n v="112"/>
  </r>
  <r>
    <x v="3"/>
    <n v="120"/>
    <s v="241"/>
    <s v="C241-120-25"/>
    <s v="Complaint"/>
    <s v="Valero"/>
    <s v="Valero - Jet fuel flash point off spec and recheck was on spec"/>
    <s v="Lab &amp; Ops"/>
    <s v="HB"/>
    <x v="72"/>
    <x v="86"/>
    <m/>
    <x v="0"/>
    <n v="25"/>
  </r>
  <r>
    <x v="15"/>
    <n v="110"/>
    <s v="485"/>
    <s v="C485-110-24"/>
    <s v="Internal assessment (9001 &amp; 17025)"/>
    <m/>
    <s v="Calibrations / Verifications"/>
    <s v="Lab"/>
    <s v="Ecu"/>
    <x v="63"/>
    <x v="87"/>
    <m/>
    <x v="0"/>
    <n v="209"/>
  </r>
  <r>
    <x v="17"/>
    <n v="146"/>
    <s v="446"/>
    <s v="C446-146-24"/>
    <s v="Internal assessment (9001 &amp; 17025)"/>
    <m/>
    <s v="ISO 17025: Clause 6.4 Lab equipment"/>
    <s v="Lab"/>
    <s v="AH"/>
    <x v="18"/>
    <x v="87"/>
    <m/>
    <x v="0"/>
    <n v="210"/>
  </r>
  <r>
    <x v="17"/>
    <n v="146"/>
    <s v="020"/>
    <s v="C020-146-25"/>
    <s v="Other (QC, customer alert, improper procedure)"/>
    <m/>
    <s v="CAR and PTO are not closed in timely manner"/>
    <s v="Lab"/>
    <s v="MT"/>
    <x v="27"/>
    <x v="87"/>
    <m/>
    <x v="0"/>
    <n v="144"/>
  </r>
  <r>
    <x v="28"/>
    <n v="150"/>
    <s v="223"/>
    <s v="C223-150-25"/>
    <s v="Complaint"/>
    <s v="Tricon"/>
    <s v="Tricon - sampling issue"/>
    <s v="Operations"/>
    <s v="CS"/>
    <x v="73"/>
    <x v="87"/>
    <m/>
    <x v="0"/>
    <n v="36"/>
  </r>
  <r>
    <x v="16"/>
    <n v="128"/>
    <s v="098"/>
    <s v="C098-128-25"/>
    <s v="Internal assessment (9001 &amp; 17025)"/>
    <m/>
    <s v="ISO 9001: Job file review"/>
    <s v="Lab &amp; Ops"/>
    <s v="AH"/>
    <x v="33"/>
    <x v="88"/>
    <m/>
    <x v="0"/>
    <n v="119"/>
  </r>
  <r>
    <x v="29"/>
    <n v="156"/>
    <s v="228"/>
    <s v="C228-156-25"/>
    <s v="Internal assessment (9001 &amp; 17025)"/>
    <m/>
    <s v="Lab Reporting"/>
    <s v="Lab"/>
    <s v="MT"/>
    <x v="74"/>
    <x v="88"/>
    <m/>
    <x v="0"/>
    <n v="30"/>
  </r>
  <r>
    <x v="29"/>
    <n v="156"/>
    <s v="230"/>
    <s v="C230-156-25"/>
    <s v="Internal assessment (9001 &amp; 17025)"/>
    <m/>
    <s v="Lab Witnessing"/>
    <s v="Lab"/>
    <s v="MT"/>
    <x v="74"/>
    <x v="88"/>
    <m/>
    <x v="0"/>
    <n v="30"/>
  </r>
  <r>
    <x v="29"/>
    <n v="156"/>
    <s v="227"/>
    <s v="C227-156-25"/>
    <s v="Internal assessment (9001 &amp; 17025)"/>
    <m/>
    <s v="Job files"/>
    <s v="Operations"/>
    <s v="MT"/>
    <x v="74"/>
    <x v="89"/>
    <m/>
    <x v="0"/>
    <n v="33"/>
  </r>
  <r>
    <x v="29"/>
    <n v="156"/>
    <s v="229"/>
    <s v="C229-156-25"/>
    <s v="Internal assessment (9001 &amp; 17025)"/>
    <m/>
    <s v=" Lab Equipment"/>
    <s v="Lab"/>
    <s v="MT"/>
    <x v="74"/>
    <x v="89"/>
    <m/>
    <x v="0"/>
    <n v="33"/>
  </r>
  <r>
    <x v="5"/>
    <n v="158"/>
    <s v="280"/>
    <s v="C280-158-25"/>
    <s v="3rd party audit (DNV, A2LA, AASHTO…)"/>
    <s v="A2LA"/>
    <s v="Clause 6.4.13a Equipment software and Firmware versions"/>
    <s v="Lab"/>
    <s v="Ecu"/>
    <x v="75"/>
    <x v="90"/>
    <m/>
    <x v="0"/>
    <n v="1"/>
  </r>
  <r>
    <x v="43"/>
    <s v="160A"/>
    <s v="202"/>
    <s v="C202-160A-25"/>
    <s v="Internal assessment (9001 &amp; 17025)"/>
    <m/>
    <s v="Miscellaneous"/>
    <s v="Lab"/>
    <s v="MT"/>
    <x v="58"/>
    <x v="90"/>
    <m/>
    <x v="0"/>
    <n v="50"/>
  </r>
  <r>
    <x v="5"/>
    <n v="158"/>
    <s v="024"/>
    <s v="C024-158-24"/>
    <s v="Internal assessment (9001 &amp; 17025)"/>
    <m/>
    <s v="IA - Clause 6.4.10 &amp; 6.4.13"/>
    <s v="Lab"/>
    <s v="RB"/>
    <x v="6"/>
    <x v="91"/>
    <m/>
    <x v="0"/>
    <n v="517"/>
  </r>
  <r>
    <x v="12"/>
    <n v="130"/>
    <s v="213"/>
    <s v="C213-130-25"/>
    <s v="Internal assessment (9001 &amp; 17025)"/>
    <m/>
    <s v="IA: Clause 6.5.3"/>
    <s v="Lab"/>
    <s v="Ecu"/>
    <x v="69"/>
    <x v="92"/>
    <m/>
    <x v="0"/>
    <n v="51"/>
  </r>
  <r>
    <x v="12"/>
    <n v="130"/>
    <s v="215"/>
    <s v="C215-130-25"/>
    <s v="Internal assessment (9001 &amp; 17025)"/>
    <m/>
    <s v="IA: Clause 7.2.1.7"/>
    <s v="Lab"/>
    <s v="Ecu"/>
    <x v="69"/>
    <x v="92"/>
    <m/>
    <x v="0"/>
    <n v="51"/>
  </r>
  <r>
    <x v="12"/>
    <n v="130"/>
    <s v="220"/>
    <s v="C220-130-25"/>
    <s v="Internal assessment (9001 &amp; 17025)"/>
    <m/>
    <s v="IA: Biodiesel Equipment"/>
    <s v="Lab"/>
    <s v="Ecu"/>
    <x v="69"/>
    <x v="92"/>
    <m/>
    <x v="0"/>
    <n v="51"/>
  </r>
  <r>
    <x v="44"/>
    <n v="119"/>
    <s v="205"/>
    <s v="C205-119-25"/>
    <s v="Internal assessment (9001 &amp; 17025)"/>
    <m/>
    <s v="H2S Cylinder"/>
    <s v="Operations"/>
    <s v="AH"/>
    <x v="76"/>
    <x v="93"/>
    <m/>
    <x v="0"/>
    <n v="55"/>
  </r>
  <r>
    <x v="45"/>
    <n v="215"/>
    <s v="145"/>
    <s v="C145-215-25"/>
    <s v="Internal assessment (9001 &amp; 17025)"/>
    <m/>
    <s v="IA: TMA schedule"/>
    <s v="Lab"/>
    <s v="KA"/>
    <x v="55"/>
    <x v="93"/>
    <m/>
    <x v="0"/>
    <n v="94"/>
  </r>
  <r>
    <x v="45"/>
    <n v="215"/>
    <s v="146"/>
    <s v="C146-215-25"/>
    <s v="Internal assessment (9001 &amp; 17025)"/>
    <m/>
    <s v="IA: QC charts (delays in entries)"/>
    <s v="Lab"/>
    <s v="KA"/>
    <x v="55"/>
    <x v="93"/>
    <m/>
    <x v="0"/>
    <n v="94"/>
  </r>
  <r>
    <x v="41"/>
    <n v="127"/>
    <s v="144"/>
    <s v="C144-127-25"/>
    <s v="Internal assessment (9001 &amp; 17025)"/>
    <m/>
    <s v="ISO 9001: Job File review"/>
    <s v="Lab"/>
    <s v="AH"/>
    <x v="62"/>
    <x v="93"/>
    <m/>
    <x v="0"/>
    <n v="95"/>
  </r>
  <r>
    <x v="24"/>
    <n v="155"/>
    <s v="072"/>
    <s v="C072-155-25"/>
    <s v="Internal assessment (9001 &amp; 17025)"/>
    <m/>
    <s v="IA: Clause 6.5.2.a, b"/>
    <s v="Lab"/>
    <s v="KA"/>
    <x v="36"/>
    <x v="93"/>
    <m/>
    <x v="0"/>
    <n v="132"/>
  </r>
  <r>
    <x v="24"/>
    <n v="155"/>
    <s v="076"/>
    <s v="C076-155-25"/>
    <s v="Internal assessment (9001 &amp; 17025)"/>
    <m/>
    <s v="IA: Clause 7.8, 7.8.3.1.e"/>
    <s v="Lab"/>
    <s v="KA"/>
    <x v="36"/>
    <x v="93"/>
    <m/>
    <x v="0"/>
    <n v="132"/>
  </r>
  <r>
    <x v="12"/>
    <n v="130"/>
    <s v="212"/>
    <s v="C212-130-25"/>
    <s v="Internal assessment (9001 &amp; 17025)"/>
    <m/>
    <s v="IA: Clause 6.4.5 and 6.4.13"/>
    <s v="Lab"/>
    <s v="Ecu"/>
    <x v="69"/>
    <x v="93"/>
    <m/>
    <x v="0"/>
    <n v="52"/>
  </r>
  <r>
    <x v="38"/>
    <n v="170"/>
    <s v="183"/>
    <s v="C183-170-25"/>
    <s v="Internal assessment (9001 &amp; 17025)"/>
    <m/>
    <s v="IA: Clause 6.6 Externally provided products + services"/>
    <s v="Lab"/>
    <s v="AH"/>
    <x v="58"/>
    <x v="93"/>
    <m/>
    <x v="0"/>
    <n v="56"/>
  </r>
  <r>
    <x v="7"/>
    <n v="160"/>
    <s v="244"/>
    <s v="C244-160-25"/>
    <s v="Internal assessment (9001 &amp; 17025)"/>
    <m/>
    <s v="Clause 6.4 Lab Equipment"/>
    <s v="Lab"/>
    <s v="AH"/>
    <x v="77"/>
    <x v="93"/>
    <m/>
    <x v="0"/>
    <n v="38"/>
  </r>
  <r>
    <x v="35"/>
    <n v="126"/>
    <s v="251"/>
    <s v="C251-126-25"/>
    <s v="Internal assessment (9001 &amp; 17025)"/>
    <m/>
    <s v="QC + Control Charts"/>
    <s v="Lab"/>
    <s v="AH"/>
    <x v="77"/>
    <x v="93"/>
    <m/>
    <x v="0"/>
    <n v="38"/>
  </r>
  <r>
    <x v="14"/>
    <n v="191"/>
    <s v="477"/>
    <s v="C477-191-24"/>
    <s v="Internal assessment (9001 &amp; 17025)"/>
    <m/>
    <s v="Clause 6.4.9 Expired chemicals/reagents"/>
    <s v="Lab"/>
    <s v="MT"/>
    <x v="18"/>
    <x v="94"/>
    <m/>
    <x v="0"/>
    <n v="224"/>
  </r>
  <r>
    <x v="7"/>
    <n v="160"/>
    <s v="245"/>
    <s v="C245-160-25"/>
    <s v="Internal assessment (9001 &amp; 17025)"/>
    <m/>
    <s v="Clause 7.2.1.7 Test witnessing"/>
    <s v="Lab"/>
    <s v="AH"/>
    <x v="77"/>
    <x v="94"/>
    <m/>
    <x v="0"/>
    <n v="39"/>
  </r>
  <r>
    <x v="7"/>
    <n v="160"/>
    <s v="246"/>
    <s v="C246-160-25"/>
    <s v="Internal assessment (9001 &amp; 17025)"/>
    <m/>
    <s v="Clause 7.5 Technical records"/>
    <s v="Lab"/>
    <s v="AH"/>
    <x v="77"/>
    <x v="94"/>
    <m/>
    <x v="0"/>
    <n v="39"/>
  </r>
  <r>
    <x v="0"/>
    <n v="197"/>
    <s v="397"/>
    <s v="C397-197-23"/>
    <s v="Internal assessment (9001 &amp; 17025)"/>
    <m/>
    <s v="Clause 7.7.1 - Validity of results (D3831, D3237, D3241, D130, D2386, D3948/D7724, TM-0172, CGSB-3.0 No 60.32, CGSB-3.0 No 14.3)"/>
    <m/>
    <s v="AH"/>
    <x v="78"/>
    <x v="95"/>
    <m/>
    <x v="0"/>
    <n v="741"/>
  </r>
  <r>
    <x v="0"/>
    <n v="197"/>
    <s v="377"/>
    <s v="C377-197-24"/>
    <s v="Internal assessment (9001 &amp; 17025)"/>
    <m/>
    <s v="IA:  Clause 5.7a, b"/>
    <s v="Lab"/>
    <s v="KA"/>
    <x v="0"/>
    <x v="95"/>
    <m/>
    <x v="0"/>
    <n v="307"/>
  </r>
  <r>
    <x v="14"/>
    <n v="191"/>
    <s v="474"/>
    <s v="C474-191-24"/>
    <s v="Internal assessment (9001 &amp; 17025)"/>
    <m/>
    <s v="Clause 6.2.3 &amp; 6.2.5 f Competency"/>
    <s v="Lab"/>
    <s v="MT"/>
    <x v="18"/>
    <x v="96"/>
    <m/>
    <x v="0"/>
    <n v="226"/>
  </r>
  <r>
    <x v="38"/>
    <n v="170"/>
    <s v="181"/>
    <s v="C181-170-25"/>
    <s v="Internal assessment (9001 &amp; 17025)"/>
    <m/>
    <s v="IA: Clause 6.4 Lab Equipment"/>
    <s v="Lab"/>
    <s v="AH"/>
    <x v="58"/>
    <x v="96"/>
    <m/>
    <x v="0"/>
    <n v="59"/>
  </r>
  <r>
    <x v="4"/>
    <n v="210"/>
    <s v="225"/>
    <s v="C225-210-25"/>
    <s v="3rd party audit (DNV, A2LA, AASHTO…)"/>
    <s v="USCBP"/>
    <s v="USCBP - #4: 19 CFR §151.12 (f)(3)(iv)(A)-Equipment "/>
    <s v="Lab"/>
    <s v="JP"/>
    <x v="79"/>
    <x v="96"/>
    <m/>
    <x v="0"/>
    <n v="49"/>
  </r>
  <r>
    <x v="4"/>
    <n v="210"/>
    <s v="226"/>
    <s v="C226-210-25"/>
    <s v="3rd party audit (DNV, A2LA, AASHTO…)"/>
    <s v="USCBP"/>
    <s v="USCBP - #1: 19 CFR §151.13 (h)(2)(iv)-Gauging records _x000a_"/>
    <s v="Lab"/>
    <s v="JP"/>
    <x v="79"/>
    <x v="96"/>
    <m/>
    <x v="0"/>
    <n v="49"/>
  </r>
  <r>
    <x v="4"/>
    <n v="210"/>
    <s v="271"/>
    <s v="C271-210-25"/>
    <s v="3rd party audit (DNV, A2LA, AASHTO…)"/>
    <s v="USCBP"/>
    <s v="USCBP - #2: 19 CFR §151.13 (h) (2)-Recordkeeping requirements"/>
    <s v="Operations"/>
    <s v="JP"/>
    <x v="80"/>
    <x v="96"/>
    <m/>
    <x v="0"/>
    <n v="21"/>
  </r>
  <r>
    <x v="4"/>
    <n v="210"/>
    <s v="272"/>
    <s v="C272-210-25"/>
    <s v="3rd party audit (DNV, A2LA, AASHTO…)"/>
    <s v="USCBP"/>
    <s v="USCBP - #5: 19 CFR §151.12 (f)(3)(iii)- Determination of competence"/>
    <s v="Lab"/>
    <s v="JP"/>
    <x v="80"/>
    <x v="96"/>
    <m/>
    <x v="0"/>
    <n v="21"/>
  </r>
  <r>
    <x v="4"/>
    <n v="210"/>
    <s v="276"/>
    <s v="C276-210-25"/>
    <s v="3rd party audit (DNV, A2LA, AASHTO…)"/>
    <s v="USCBP"/>
    <s v="USCBP - #3: 19 CFR §151.12(j)(3)-Recordkeeping requirements"/>
    <s v="Lab"/>
    <s v="JP"/>
    <x v="80"/>
    <x v="96"/>
    <m/>
    <x v="0"/>
    <n v="21"/>
  </r>
  <r>
    <x v="4"/>
    <n v="210"/>
    <s v="277"/>
    <s v="C277-210-25"/>
    <s v="3rd party audit (DNV, A2LA, AASHTO…)"/>
    <s v="USCBP"/>
    <s v="USCBP - #6: 19 CFR §151.12 (j)(3)(iv)-Laboratory analysis records "/>
    <s v="Lab"/>
    <s v="JP"/>
    <x v="80"/>
    <x v="96"/>
    <m/>
    <x v="0"/>
    <n v="21"/>
  </r>
  <r>
    <x v="2"/>
    <n v="132"/>
    <s v="499"/>
    <s v="C499-132-24"/>
    <s v="Customer audit   "/>
    <s v="Shell"/>
    <s v="SQC  procedures and corrective actions are not imbedded into the laboratory  and current processes are inconsistent with ASTM D6299."/>
    <s v="Lab"/>
    <s v="HM"/>
    <x v="57"/>
    <x v="97"/>
    <m/>
    <x v="0"/>
    <n v="296"/>
  </r>
  <r>
    <x v="2"/>
    <n v="132"/>
    <s v="002"/>
    <s v="C002-132-25"/>
    <s v="Other (QC, customer alert, improper procedure)"/>
    <s v="Amspec"/>
    <s v="CQI reporting"/>
    <s v="Operations"/>
    <s v="HM"/>
    <x v="81"/>
    <x v="6"/>
    <m/>
    <x v="0"/>
    <n v="7"/>
  </r>
  <r>
    <x v="46"/>
    <n v="121"/>
    <s v="279"/>
    <s v="C279-121-25"/>
    <s v="Internal assessment (9001 &amp; 17025)"/>
    <m/>
    <s v="Field Data Control: Only one temp taken, data writeovers, no UTI ID, initials and date on raw data. "/>
    <s v="Operations"/>
    <s v="VV"/>
    <x v="82"/>
    <x v="54"/>
    <m/>
    <x v="0"/>
    <n v="10"/>
  </r>
  <r>
    <x v="11"/>
    <n v="131"/>
    <s v="263"/>
    <s v="C263-131-24"/>
    <s v="Other (QC, customer alert, improper procedure)"/>
    <m/>
    <s v="Discrepancy in applied and reported test method"/>
    <s v="Lab"/>
    <s v="HM"/>
    <x v="83"/>
    <x v="98"/>
    <m/>
    <x v="0"/>
    <n v="385"/>
  </r>
  <r>
    <x v="9"/>
    <n v="136"/>
    <s v="269"/>
    <s v="C269-136-25"/>
    <s v="Customer audit   "/>
    <s v="Citgo"/>
    <s v="Clause 6.1.4.1 - D5191 QC test result of 4-19-25 Unit CHI-056 was not input in the sqc"/>
    <s v="Lab"/>
    <s v="AH"/>
    <x v="84"/>
    <x v="99"/>
    <m/>
    <x v="0"/>
    <n v="29"/>
  </r>
  <r>
    <x v="12"/>
    <n v="130"/>
    <s v="192"/>
    <s v="C192-130-25"/>
    <s v="Complaint"/>
    <s v="Pilot"/>
    <s v="Pilot - D5453 Non confirming test results"/>
    <s v="Lab"/>
    <s v="HM"/>
    <x v="61"/>
    <x v="99"/>
    <m/>
    <x v="0"/>
    <n v="72"/>
  </r>
  <r>
    <x v="47"/>
    <n v="199"/>
    <s v="261"/>
    <s v="C261-199-25"/>
    <s v="Complaint"/>
    <s v="Irving Oil"/>
    <s v="Inspector did not take sufficient temperatures on a stratified shore tank"/>
    <s v="Operations"/>
    <s v="GF"/>
    <x v="85"/>
    <x v="99"/>
    <m/>
    <x v="0"/>
    <n v="35"/>
  </r>
  <r>
    <x v="7"/>
    <n v="160"/>
    <s v="243"/>
    <s v="C243-160-25"/>
    <s v="Internal assessment (9001 &amp; 17025)"/>
    <m/>
    <s v="Clause 6.2 Lab Training records"/>
    <s v="Lab"/>
    <s v="AH"/>
    <x v="77"/>
    <x v="100"/>
    <m/>
    <x v="0"/>
    <n v="49"/>
  </r>
  <r>
    <x v="21"/>
    <n v="140"/>
    <s v="273"/>
    <s v="C273-140-25"/>
    <s v="Internal assessment (9001 &amp; 17025)"/>
    <m/>
    <s v="IA: File review"/>
    <s v="Lab &amp; Ops"/>
    <s v="Ecu"/>
    <x v="86"/>
    <x v="101"/>
    <m/>
    <x v="0"/>
    <n v="27"/>
  </r>
  <r>
    <x v="21"/>
    <n v="140"/>
    <s v="274"/>
    <s v="C274-140-25"/>
    <s v="Internal assessment (9001 &amp; 17025)"/>
    <m/>
    <s v="IA: Test Witnessing"/>
    <s v="Lab"/>
    <s v="Ecu"/>
    <x v="86"/>
    <x v="101"/>
    <m/>
    <x v="0"/>
    <n v="27"/>
  </r>
  <r>
    <x v="21"/>
    <n v="140"/>
    <s v="275"/>
    <s v="C275-140-25"/>
    <s v="Internal assessment (9001 &amp; 17025)"/>
    <m/>
    <s v="IA: Expired Chemicals / Reagents"/>
    <s v="Lab"/>
    <s v="Ecu"/>
    <x v="86"/>
    <x v="101"/>
    <m/>
    <x v="0"/>
    <n v="27"/>
  </r>
  <r>
    <x v="28"/>
    <n v="150"/>
    <s v="157"/>
    <s v="C157-150-25"/>
    <s v="Internal assessment (9001 &amp; 17025)"/>
    <m/>
    <s v="IA: Clause 7.8.1 and 7.8.2"/>
    <s v="Lab"/>
    <s v="Ecu"/>
    <x v="55"/>
    <x v="101"/>
    <m/>
    <x v="0"/>
    <n v="108"/>
  </r>
  <r>
    <x v="28"/>
    <n v="150"/>
    <s v="158"/>
    <s v="C158-150-25"/>
    <s v="Internal assessment (9001 &amp; 17025)"/>
    <m/>
    <s v="IA: Clause 8.3.2"/>
    <s v="Lab"/>
    <s v="Ecu"/>
    <x v="55"/>
    <x v="101"/>
    <m/>
    <x v="0"/>
    <n v="108"/>
  </r>
  <r>
    <x v="12"/>
    <n v="130"/>
    <s v="257"/>
    <s v="C257-130-25"/>
    <s v="Customer audit   "/>
    <s v="Marathon"/>
    <s v="MPC- D4530, Test witnessing .The technician did not visually check the nitrogen flow on instrument"/>
    <s v="Lab"/>
    <s v="HM"/>
    <x v="87"/>
    <x v="102"/>
    <m/>
    <x v="0"/>
    <n v="46"/>
  </r>
  <r>
    <x v="47"/>
    <n v="199"/>
    <s v="292"/>
    <s v="C292-199-25"/>
    <s v="Complaint"/>
    <s v="Irving Oil"/>
    <s v="Inspector gauged the wrong shore tank"/>
    <s v="Operations"/>
    <s v="GF"/>
    <x v="75"/>
    <x v="102"/>
    <m/>
    <x v="0"/>
    <n v="22"/>
  </r>
  <r>
    <x v="8"/>
    <n v="141"/>
    <s v="320"/>
    <s v="C320-141-25"/>
    <s v="Complaint"/>
    <s v="Irving Oil"/>
    <s v="numerous “after discharge” COA’s revisions due to incorrect tagging by inspector"/>
    <s v="Operations"/>
    <s v="MT"/>
    <x v="88"/>
    <x v="103"/>
    <m/>
    <x v="0"/>
    <n v="10"/>
  </r>
  <r>
    <x v="38"/>
    <n v="170"/>
    <s v="182"/>
    <s v="C182-170-25"/>
    <s v="Internal assessment (9001 &amp; 17025)"/>
    <m/>
    <s v="IA: Clause 6.5 Metrological traceability"/>
    <s v="Lab"/>
    <s v="AH"/>
    <x v="58"/>
    <x v="103"/>
    <m/>
    <x v="0"/>
    <n v="74"/>
  </r>
  <r>
    <x v="35"/>
    <n v="126"/>
    <s v="248"/>
    <s v="C248-126-25"/>
    <s v="Internal assessment (9001 &amp; 17025)"/>
    <m/>
    <s v="QB/TBs not reviewed within 30 days"/>
    <s v="Lab"/>
    <s v="AH"/>
    <x v="77"/>
    <x v="103"/>
    <m/>
    <x v="0"/>
    <n v="56"/>
  </r>
  <r>
    <x v="39"/>
    <n v="185"/>
    <s v="064"/>
    <s v="C064-185-25"/>
    <s v="Internal assessment (9001 &amp; 17025)"/>
    <m/>
    <s v="ISO 9001: Job file review"/>
    <s v="Lab"/>
    <s v="AH"/>
    <x v="36"/>
    <x v="103"/>
    <m/>
    <x v="0"/>
    <n v="150"/>
  </r>
  <r>
    <x v="40"/>
    <n v="133"/>
    <s v="419"/>
    <s v="C419-133-23"/>
    <s v="Internal assessment (9001 &amp; 17025)"/>
    <m/>
    <s v="IA - Document Control"/>
    <m/>
    <s v="RB"/>
    <x v="60"/>
    <x v="104"/>
    <m/>
    <x v="0"/>
    <n v="758"/>
  </r>
  <r>
    <x v="17"/>
    <n v="146"/>
    <s v="253"/>
    <s v="C253-146-25"/>
    <s v="Customer audit   "/>
    <s v="Chevron"/>
    <s v="CHESM - Inspection field equipment"/>
    <s v="Operations"/>
    <s v="AH"/>
    <x v="36"/>
    <x v="105"/>
    <m/>
    <x v="0"/>
    <n v="160"/>
  </r>
  <r>
    <x v="17"/>
    <n v="146"/>
    <s v="254"/>
    <s v="C254-146-25"/>
    <s v="Customer audit   "/>
    <s v="Chevron"/>
    <s v="CHESM - Inspector safety equipment"/>
    <s v="Operations"/>
    <s v="AH"/>
    <x v="36"/>
    <x v="105"/>
    <m/>
    <x v="0"/>
    <n v="160"/>
  </r>
  <r>
    <x v="38"/>
    <n v="170"/>
    <s v="184"/>
    <s v="C184-170-25"/>
    <s v="Internal assessment (9001 &amp; 17025)"/>
    <m/>
    <s v="IA: Clause 7.2.1.7 Test witnessing"/>
    <s v="Lab"/>
    <s v="AH"/>
    <x v="58"/>
    <x v="105"/>
    <m/>
    <x v="0"/>
    <n v="84"/>
  </r>
  <r>
    <x v="18"/>
    <n v="144"/>
    <s v="361"/>
    <s v="C361-144-24"/>
    <s v="Internal assessment (9001 &amp; 17025)"/>
    <m/>
    <s v="IA: Monthly probe check thermometer"/>
    <s v="Operations"/>
    <s v="KA"/>
    <x v="23"/>
    <x v="105"/>
    <m/>
    <x v="0"/>
    <n v="335"/>
  </r>
  <r>
    <x v="18"/>
    <n v="144"/>
    <s v="362"/>
    <s v="C362-144-24"/>
    <s v="Internal assessment (9001 &amp; 17025)"/>
    <m/>
    <s v="IA:  Daily probe checks"/>
    <s v="Operations"/>
    <s v="KA"/>
    <x v="23"/>
    <x v="105"/>
    <m/>
    <x v="0"/>
    <n v="335"/>
  </r>
  <r>
    <x v="24"/>
    <n v="155"/>
    <s v="071"/>
    <s v="C071-155-25"/>
    <s v="Internal assessment (9001 &amp; 17025)"/>
    <m/>
    <s v="IA: Clause 6.4.9, 6.4.10, 6.4.13.a"/>
    <s v="Lab"/>
    <s v="KA"/>
    <x v="36"/>
    <x v="106"/>
    <m/>
    <x v="0"/>
    <n v="162"/>
  </r>
  <r>
    <x v="36"/>
    <n v="165"/>
    <s v="233"/>
    <s v="C233-165-25"/>
    <s v="Internal assessment (9001 &amp; 17025)"/>
    <m/>
    <s v="IA: Clause 6.2.5c"/>
    <s v="Lab"/>
    <s v="KA"/>
    <x v="72"/>
    <x v="106"/>
    <m/>
    <x v="0"/>
    <n v="69"/>
  </r>
  <r>
    <x v="36"/>
    <n v="165"/>
    <s v="234"/>
    <s v="C234-165-25"/>
    <s v="Internal assessment (9001 &amp; 17025)"/>
    <m/>
    <s v="IA: Clause 6.4.1 / 6.4.4"/>
    <s v="Lab"/>
    <s v="KA"/>
    <x v="72"/>
    <x v="106"/>
    <m/>
    <x v="0"/>
    <n v="69"/>
  </r>
  <r>
    <x v="0"/>
    <n v="197"/>
    <s v="381"/>
    <s v="C381-197-24"/>
    <s v="Internal assessment (9001 &amp; 17025)"/>
    <m/>
    <s v="IA:  Clause 6.4.13"/>
    <s v="Lab"/>
    <s v="KA"/>
    <x v="0"/>
    <x v="106"/>
    <m/>
    <x v="0"/>
    <n v="335"/>
  </r>
  <r>
    <x v="38"/>
    <n v="170"/>
    <s v="186"/>
    <s v="C186-170-25"/>
    <s v="Internal assessment (9001 &amp; 17025)"/>
    <m/>
    <s v="IA: Clause 7.7 Validity of results"/>
    <s v="Lab"/>
    <s v="AH"/>
    <x v="58"/>
    <x v="106"/>
    <m/>
    <x v="0"/>
    <n v="86"/>
  </r>
  <r>
    <x v="11"/>
    <n v="131"/>
    <s v="037"/>
    <s v="C037-131-25"/>
    <s v="Internal assessment (9001 &amp; 17025)"/>
    <m/>
    <s v="ISO 17025 Clause 7.7.1 Validity of Results"/>
    <s v="Lab"/>
    <s v="Ecu"/>
    <x v="30"/>
    <x v="106"/>
    <m/>
    <x v="0"/>
    <n v="181"/>
  </r>
  <r>
    <x v="18"/>
    <n v="144"/>
    <s v="373"/>
    <s v="C373-144-24"/>
    <s v="Internal assessment (9001 &amp; 17025)"/>
    <m/>
    <s v="IA:  QC &amp; QC charts"/>
    <s v="Lab"/>
    <s v="KA"/>
    <x v="23"/>
    <x v="106"/>
    <m/>
    <x v="0"/>
    <n v="337"/>
  </r>
  <r>
    <x v="46"/>
    <n v="121"/>
    <s v="278"/>
    <s v="C278-121-25"/>
    <s v="Internal assessment (9001 &amp; 17025)"/>
    <m/>
    <s v="Communication and Reporting: Nom, acceptance, and records of communication missing."/>
    <s v="Operations"/>
    <s v="VV"/>
    <x v="82"/>
    <x v="106"/>
    <m/>
    <x v="0"/>
    <n v="33"/>
  </r>
  <r>
    <x v="4"/>
    <n v="210"/>
    <s v="324"/>
    <s v="C324-210-25"/>
    <s v="Complaint"/>
    <s v="Antilles Trading Company"/>
    <s v="Loss of confidence in analytical results after multiple amendments to same job. Octane and RVP results had to be amended after rechecks and raw data review. "/>
    <s v="Lab &amp; Ops"/>
    <s v="JP"/>
    <x v="89"/>
    <x v="106"/>
    <m/>
    <x v="0"/>
    <n v="19"/>
  </r>
  <r>
    <x v="15"/>
    <n v="110"/>
    <s v="343"/>
    <s v="C343-110-25"/>
    <s v="Complaint"/>
    <s v="Valero"/>
    <s v="Valero - Inspection Communication"/>
    <s v="Operations"/>
    <s v="MT"/>
    <x v="90"/>
    <x v="107"/>
    <m/>
    <x v="0"/>
    <n v="2"/>
  </r>
  <r>
    <x v="15"/>
    <n v="110"/>
    <s v="344"/>
    <s v="C344-110-25"/>
    <s v="Complaint"/>
    <s v="Valero"/>
    <s v="Valero - Sampling"/>
    <s v="Operations"/>
    <s v="MT"/>
    <x v="90"/>
    <x v="107"/>
    <m/>
    <x v="0"/>
    <n v="2"/>
  </r>
  <r>
    <x v="38"/>
    <n v="170"/>
    <s v="311"/>
    <s v="C311-170-25"/>
    <s v="Complaint"/>
    <s v="PBF"/>
    <s v="use of closed system sampling on barges equipped with non-slotted standpipes resulted in incorrect sulfur result"/>
    <s v="Operations"/>
    <s v="DA"/>
    <x v="75"/>
    <x v="107"/>
    <m/>
    <x v="0"/>
    <n v="38"/>
  </r>
  <r>
    <x v="30"/>
    <n v="157"/>
    <s v="346"/>
    <s v="C346-157-25"/>
    <s v="Complaint"/>
    <s v="MEGlobal"/>
    <s v="MEGlobal - Wall wash using incorrect medium"/>
    <s v="Operations"/>
    <s v="MT"/>
    <x v="91"/>
    <x v="108"/>
    <m/>
    <x v="0"/>
    <n v="11"/>
  </r>
  <r>
    <x v="3"/>
    <n v="120"/>
    <s v="345"/>
    <s v="C345-120-25"/>
    <s v="Other (QC, customer alert, improper procedure)"/>
    <s v="XOM"/>
    <s v="Crude Assay "/>
    <s v="Lab"/>
    <s v="HB"/>
    <x v="92"/>
    <x v="108"/>
    <m/>
    <x v="0"/>
    <n v="18"/>
  </r>
  <r>
    <x v="28"/>
    <n v="150"/>
    <s v="156"/>
    <s v="C156-150-25"/>
    <s v="Internal assessment (9001 &amp; 17025)"/>
    <m/>
    <s v="IA: Clause 7.7.1"/>
    <s v="Lab"/>
    <s v="Ecu"/>
    <x v="55"/>
    <x v="109"/>
    <m/>
    <x v="0"/>
    <n v="130"/>
  </r>
  <r>
    <x v="30"/>
    <n v="157"/>
    <s v="317"/>
    <s v="C317-157-25"/>
    <s v="3rd party audit (DNV, A2LA, AASHTO…)"/>
    <s v="USCBP"/>
    <s v="D4007 method  is  not  part  of  HTC  Customs Accreditation. No instrument record available during the audit."/>
    <s v="Lab"/>
    <s v="HB"/>
    <x v="88"/>
    <x v="110"/>
    <m/>
    <x v="0"/>
    <n v="29"/>
  </r>
  <r>
    <x v="30"/>
    <n v="157"/>
    <s v="321"/>
    <s v="C321-157-25"/>
    <s v="3rd party audit (DNV, A2LA, AASHTO…)"/>
    <s v="USCBP"/>
    <s v="Eric Doan has less than 2 years of experience in an analytical laboratory "/>
    <s v="Lab"/>
    <s v="HB"/>
    <x v="88"/>
    <x v="110"/>
    <m/>
    <x v="0"/>
    <n v="29"/>
  </r>
  <r>
    <x v="30"/>
    <n v="157"/>
    <s v="322"/>
    <s v="C322-157-25"/>
    <s v="3rd party audit (DNV, A2LA, AASHTO…)"/>
    <s v="USCBP"/>
    <s v="Signatory discrepancy"/>
    <s v="Lab"/>
    <s v="HB"/>
    <x v="88"/>
    <x v="110"/>
    <m/>
    <x v="0"/>
    <n v="29"/>
  </r>
  <r>
    <x v="30"/>
    <n v="157"/>
    <s v="323"/>
    <s v="C323-157-25"/>
    <s v="3rd party audit (DNV, A2LA, AASHTO…)"/>
    <s v="USCBP"/>
    <s v="Signatory for Estela Reyes"/>
    <s v="Lab"/>
    <s v="HB"/>
    <x v="88"/>
    <x v="110"/>
    <m/>
    <x v="0"/>
    <n v="29"/>
  </r>
  <r>
    <x v="30"/>
    <n v="157"/>
    <s v="316"/>
    <s v="C316-157-25"/>
    <s v="3rd party audit (DNV, A2LA, AASHTO…)"/>
    <s v="USCBP"/>
    <s v="No data, date, and initials records for ASTM D445, and ASTM D4807 analysis completed at aother lab."/>
    <s v="Lab"/>
    <s v="HB"/>
    <x v="88"/>
    <x v="111"/>
    <m/>
    <x v="0"/>
    <n v="30"/>
  </r>
  <r>
    <x v="30"/>
    <n v="157"/>
    <s v="318"/>
    <s v="C318-157-25"/>
    <s v="3rd party audit (DNV, A2LA, AASHTO…)"/>
    <s v="USCBP"/>
    <s v="No Custom statement is available in each original CoA report."/>
    <s v="Lab"/>
    <s v="HB"/>
    <x v="88"/>
    <x v="111"/>
    <m/>
    <x v="0"/>
    <n v="30"/>
  </r>
  <r>
    <x v="47"/>
    <n v="199"/>
    <s v="260"/>
    <s v="C260-199-25"/>
    <s v="Complaint"/>
    <s v="Irving Oil"/>
    <s v="Inspector did not witness lab testing as required"/>
    <s v="Lab"/>
    <s v="GF"/>
    <x v="93"/>
    <x v="112"/>
    <m/>
    <x v="0"/>
    <n v="65"/>
  </r>
  <r>
    <x v="48"/>
    <n v="188"/>
    <s v="336"/>
    <s v="C336-188-25"/>
    <s v="Internal assessment (9001 &amp; 17025)"/>
    <m/>
    <s v="Lab training records no raw data available"/>
    <s v="Lab"/>
    <s v="GF"/>
    <x v="94"/>
    <x v="113"/>
    <m/>
    <x v="0"/>
    <n v="10"/>
  </r>
  <r>
    <x v="17"/>
    <n v="146"/>
    <s v="312"/>
    <s v="C312-146-25"/>
    <s v="3rd party audit (DNV, A2LA, AASHTO…)"/>
    <s v="USCBP"/>
    <s v="19 CFR 151.13 (d) - Field equipment"/>
    <s v="Operations"/>
    <s v="AH"/>
    <x v="93"/>
    <x v="114"/>
    <m/>
    <x v="0"/>
    <n v="68"/>
  </r>
  <r>
    <x v="17"/>
    <n v="146"/>
    <s v="313"/>
    <s v="C313-146-25"/>
    <s v="3rd party audit (DNV, A2LA, AASHTO…)"/>
    <s v="USCBP"/>
    <s v="19 CFR 151.13 (h) - Equipment serial numbers"/>
    <s v="Operations"/>
    <s v="AH"/>
    <x v="93"/>
    <x v="114"/>
    <m/>
    <x v="0"/>
    <n v="68"/>
  </r>
  <r>
    <x v="17"/>
    <n v="146"/>
    <s v="314"/>
    <s v="C314-146-25"/>
    <s v="3rd party audit (DNV, A2LA, AASHTO…)"/>
    <s v="USCBP"/>
    <s v="19 CFR 151.12 (f) - Qualified lab analyst"/>
    <s v="Lab &amp; Ops"/>
    <s v="AH"/>
    <x v="93"/>
    <x v="114"/>
    <m/>
    <x v="0"/>
    <n v="68"/>
  </r>
  <r>
    <x v="7"/>
    <n v="160"/>
    <s v="354"/>
    <s v="C354-160-25"/>
    <s v="Complaint"/>
    <s v="ATA"/>
    <s v="The Shore Tank analysis was performed using an incorrect test method"/>
    <s v="Lab"/>
    <s v="HB"/>
    <x v="95"/>
    <x v="114"/>
    <m/>
    <x v="0"/>
    <n v="3"/>
  </r>
  <r>
    <x v="8"/>
    <n v="141"/>
    <s v="319"/>
    <s v="C319-141-25"/>
    <s v="Complaint"/>
    <s v="Irving Oil"/>
    <s v="The field inspectors failure to gauge and quantify the volumes received into the ROT tank(s)_x000a_-The operations group failure to catch the missing ~500 bbls prior to releasing the report"/>
    <s v="Lab &amp; Ops"/>
    <s v="MT"/>
    <x v="88"/>
    <x v="115"/>
    <m/>
    <x v="0"/>
    <n v="36"/>
  </r>
  <r>
    <x v="11"/>
    <n v="131"/>
    <s v="326"/>
    <s v="C326-131-25"/>
    <s v="Complaint"/>
    <s v="P66"/>
    <s v="P66 - Discrepancy in Barge composite results: after load in SF vs before discharge in LA."/>
    <s v="Operations"/>
    <s v="HM"/>
    <x v="96"/>
    <x v="115"/>
    <m/>
    <x v="0"/>
    <n v="28"/>
  </r>
  <r>
    <x v="9"/>
    <n v="136"/>
    <s v="270"/>
    <s v="C270-136-25"/>
    <s v="Customer audit   "/>
    <s v="Citgo"/>
    <s v="Clause 6.1.4.7.1 - SQC violations for D5599 + D5191 not addressed"/>
    <s v="Lab"/>
    <s v="AH"/>
    <x v="84"/>
    <x v="116"/>
    <m/>
    <x v="0"/>
    <n v="64"/>
  </r>
  <r>
    <x v="34"/>
    <n v="138"/>
    <s v="105"/>
    <s v="C105-138-25"/>
    <s v="Internal assessment (9001 &amp; 17025)"/>
    <m/>
    <s v="SQC"/>
    <s v="Lab"/>
    <s v="MT"/>
    <x v="43"/>
    <x v="116"/>
    <m/>
    <x v="0"/>
    <n v="167"/>
  </r>
  <r>
    <x v="29"/>
    <n v="156"/>
    <s v="231"/>
    <s v="C231-156-25"/>
    <s v="Internal assessment (9001 &amp; 17025)"/>
    <m/>
    <s v="QC Chart "/>
    <s v="Lab"/>
    <s v="MT"/>
    <x v="74"/>
    <x v="117"/>
    <m/>
    <x v="0"/>
    <n v="90"/>
  </r>
  <r>
    <x v="36"/>
    <n v="165"/>
    <s v="232"/>
    <s v="C232-165-25"/>
    <s v="Internal assessment (9001 &amp; 17025)"/>
    <m/>
    <s v="IA: Ops file review"/>
    <s v="Operations"/>
    <s v="KA"/>
    <x v="72"/>
    <x v="118"/>
    <m/>
    <x v="0"/>
    <n v="90"/>
  </r>
  <r>
    <x v="12"/>
    <n v="130"/>
    <s v="315"/>
    <s v="C315-130-25"/>
    <s v="Complaint"/>
    <s v="PBF"/>
    <s v="Inspector compiling/providing an incorrect VEF."/>
    <s v="Operations"/>
    <s v="HM"/>
    <x v="97"/>
    <x v="119"/>
    <m/>
    <x v="0"/>
    <n v="46"/>
  </r>
  <r>
    <x v="48"/>
    <n v="188"/>
    <s v="337"/>
    <s v="C337-188-25"/>
    <s v="Internal assessment (9001 &amp; 17025)"/>
    <m/>
    <s v="ASTM D5002 - Air water checks not being completed / documented weekly as per Appendux 16A"/>
    <s v="Lab"/>
    <s v="GF"/>
    <x v="94"/>
    <x v="119"/>
    <m/>
    <x v="0"/>
    <n v="23"/>
  </r>
  <r>
    <x v="48"/>
    <n v="188"/>
    <s v="338"/>
    <s v="C338-188-25"/>
    <s v="Internal assessment (9001 &amp; 17025)"/>
    <m/>
    <s v="ASTM D4807 - Unable to maintain hot plate temperature as per method. "/>
    <s v="Lab"/>
    <s v="GF"/>
    <x v="94"/>
    <x v="119"/>
    <m/>
    <x v="0"/>
    <n v="23"/>
  </r>
  <r>
    <x v="48"/>
    <n v="188"/>
    <s v="339"/>
    <s v="C339-188-25"/>
    <s v="Internal assessment (9001 &amp; 17025)"/>
    <m/>
    <s v="No work station binders in use"/>
    <s v="Lab"/>
    <s v="GF"/>
    <x v="94"/>
    <x v="119"/>
    <m/>
    <x v="0"/>
    <n v="23"/>
  </r>
  <r>
    <x v="36"/>
    <n v="165"/>
    <s v="235"/>
    <s v="C235-165-25"/>
    <s v="Internal assessment (9001 &amp; 17025)"/>
    <m/>
    <s v="IA: Clause 6.4.8"/>
    <s v="Lab"/>
    <s v="KA"/>
    <x v="72"/>
    <x v="120"/>
    <m/>
    <x v="0"/>
    <n v="95"/>
  </r>
  <r>
    <x v="36"/>
    <n v="165"/>
    <s v="236"/>
    <s v="C236-165-25"/>
    <s v="Internal assessment (9001 &amp; 17025)"/>
    <m/>
    <s v="IA: Clause 6.5.1 / 6.5.3a"/>
    <s v="Lab"/>
    <s v="KA"/>
    <x v="72"/>
    <x v="120"/>
    <m/>
    <x v="0"/>
    <n v="95"/>
  </r>
  <r>
    <x v="28"/>
    <n v="150"/>
    <s v="151"/>
    <s v="C151-150-25"/>
    <s v="Internal assessment (9001 &amp; 17025)"/>
    <m/>
    <s v="IA: Clause 6.2.5"/>
    <s v="Lab"/>
    <s v="Ecu"/>
    <x v="55"/>
    <x v="120"/>
    <m/>
    <x v="0"/>
    <n v="150"/>
  </r>
  <r>
    <x v="12"/>
    <n v="130"/>
    <s v="218"/>
    <s v="C218-130-25"/>
    <s v="Internal assessment (9001 &amp; 17025)"/>
    <m/>
    <s v="IA: Clause 7.7.1"/>
    <s v="Lab"/>
    <s v="Ecu"/>
    <x v="69"/>
    <x v="121"/>
    <m/>
    <x v="0"/>
    <n v="110"/>
  </r>
  <r>
    <x v="48"/>
    <n v="188"/>
    <s v="335"/>
    <s v="C335-188-25"/>
    <s v="Internal assessment (9001 &amp; 17025)"/>
    <m/>
    <s v="Job file - Raw data missinf, SR1 defiecencie and job acceptancwe confirmation missing"/>
    <s v="Operations"/>
    <s v="GF"/>
    <x v="94"/>
    <x v="121"/>
    <m/>
    <x v="0"/>
    <n v="28"/>
  </r>
  <r>
    <x v="24"/>
    <n v="155"/>
    <s v="325"/>
    <s v="C325-155-25"/>
    <s v="3rd party audit (DNV, A2LA, AASHTO…)"/>
    <s v="A2LA"/>
    <s v="Clause 6.5.2: D1319 - ISO 17034 accreditation missing from steel ruler"/>
    <s v="Lab"/>
    <s v="Ecu"/>
    <x v="98"/>
    <x v="122"/>
    <m/>
    <x v="0"/>
    <n v="46"/>
  </r>
  <r>
    <x v="36"/>
    <n v="165"/>
    <s v="378"/>
    <s v="C378-165-25"/>
    <s v="Complaint"/>
    <s v="Citgo"/>
    <s v="Use expired gauge tape"/>
    <s v="Lab"/>
    <s v="MT"/>
    <x v="99"/>
    <x v="122"/>
    <m/>
    <x v="0"/>
    <n v="9"/>
  </r>
  <r>
    <x v="36"/>
    <n v="165"/>
    <s v="238"/>
    <s v="C238-165-25"/>
    <s v="Internal assessment (9001 &amp; 17025)"/>
    <m/>
    <s v="IA: Clause 7.5.1"/>
    <s v="Lab"/>
    <s v="KA"/>
    <x v="72"/>
    <x v="123"/>
    <m/>
    <x v="0"/>
    <n v="103"/>
  </r>
  <r>
    <x v="38"/>
    <n v="170"/>
    <s v="355"/>
    <s v="C355-170-25"/>
    <s v="3rd party audit (DNV, A2LA, AASHTO…)"/>
    <s v="A2LA"/>
    <s v="Clause 7.5.1 - No evidence of intermediate reference material preparation for D5863, D5185. No evidence of pipettes recorded in worksbooks for D3237, D3831"/>
    <s v="Lab"/>
    <s v="Ecu"/>
    <x v="100"/>
    <x v="123"/>
    <m/>
    <x v="0"/>
    <n v="22"/>
  </r>
  <r>
    <x v="49"/>
    <n v="124"/>
    <s v="359"/>
    <s v="C359-124-25"/>
    <s v="Internal assessment (9001 &amp; 17025)"/>
    <m/>
    <s v="IA: Inspector TRBs"/>
    <s v="Operations"/>
    <s v="Ecu"/>
    <x v="101"/>
    <x v="124"/>
    <m/>
    <x v="0"/>
    <n v="19"/>
  </r>
  <r>
    <x v="49"/>
    <n v="124"/>
    <s v="360"/>
    <s v="C360-124-25"/>
    <s v="Internal assessment (9001 &amp; 17025)"/>
    <m/>
    <s v="IA: File review"/>
    <s v="Lab &amp; Ops"/>
    <s v="Ecu"/>
    <x v="101"/>
    <x v="124"/>
    <m/>
    <x v="0"/>
    <n v="19"/>
  </r>
  <r>
    <x v="49"/>
    <n v="124"/>
    <s v="361"/>
    <s v="C361-124-25"/>
    <s v="Internal assessment (9001 &amp; 17025)"/>
    <m/>
    <s v="IA: Lab Equipment"/>
    <s v="Lab"/>
    <s v="Ecu"/>
    <x v="101"/>
    <x v="124"/>
    <m/>
    <x v="0"/>
    <n v="19"/>
  </r>
  <r>
    <x v="4"/>
    <n v="210"/>
    <s v="294"/>
    <s v="C294-210-24"/>
    <s v="Internal assessment (9001 &amp; 17025)"/>
    <m/>
    <s v="IA - Operations review of QB / TB"/>
    <s v="Operations"/>
    <s v="RB"/>
    <x v="102"/>
    <x v="124"/>
    <m/>
    <x v="0"/>
    <n v="405"/>
  </r>
  <r>
    <x v="4"/>
    <n v="210"/>
    <s v="391"/>
    <s v="C391-210-24"/>
    <s v="Internal assessment (9001 &amp; 17025)"/>
    <m/>
    <s v="IA - QC Charts"/>
    <s v="Lab"/>
    <s v="RB"/>
    <x v="103"/>
    <x v="124"/>
    <m/>
    <x v="0"/>
    <n v="362"/>
  </r>
  <r>
    <x v="4"/>
    <n v="210"/>
    <s v="394"/>
    <s v="C394-210-24"/>
    <s v="Internal assessment (9001 &amp; 17025)"/>
    <m/>
    <s v="IA - TMA Schedule"/>
    <s v="Lab"/>
    <s v="RB"/>
    <x v="103"/>
    <x v="124"/>
    <m/>
    <x v="0"/>
    <n v="362"/>
  </r>
  <r>
    <x v="4"/>
    <n v="210"/>
    <s v="395"/>
    <s v="C395-210-24"/>
    <s v="Internal assessment (9001 &amp; 17025)"/>
    <m/>
    <s v="IA - Lab Equipment Management"/>
    <s v="Lab"/>
    <s v="RB"/>
    <x v="103"/>
    <x v="124"/>
    <m/>
    <x v="0"/>
    <n v="362"/>
  </r>
  <r>
    <x v="4"/>
    <n v="210"/>
    <s v="507"/>
    <s v="C507-210-24"/>
    <s v="Internal assessment (9001 &amp; 17025)"/>
    <m/>
    <s v="Clause 7.4.2 Sample ID"/>
    <s v="Lab"/>
    <s v="MT"/>
    <x v="5"/>
    <x v="124"/>
    <m/>
    <x v="0"/>
    <n v="246"/>
  </r>
  <r>
    <x v="4"/>
    <n v="210"/>
    <s v="508"/>
    <s v="C508-210-24"/>
    <s v="Internal assessment (9001 &amp; 17025)"/>
    <m/>
    <s v="Clause 7.5.1 Technical record"/>
    <s v="Lab"/>
    <s v="MT"/>
    <x v="5"/>
    <x v="124"/>
    <m/>
    <x v="0"/>
    <n v="246"/>
  </r>
  <r>
    <x v="4"/>
    <n v="210"/>
    <s v="509"/>
    <s v="C509-210-24"/>
    <s v="Internal assessment (9001 &amp; 17025)"/>
    <m/>
    <s v="Clause 7.7.3 QC charts"/>
    <s v="Lab"/>
    <s v="MT"/>
    <x v="5"/>
    <x v="124"/>
    <m/>
    <x v="0"/>
    <n v="246"/>
  </r>
  <r>
    <x v="47"/>
    <n v="199"/>
    <s v="352"/>
    <s v="C352-199-25"/>
    <s v="Internal assessment (9001 &amp; 17025)"/>
    <m/>
    <s v="Quality and Technical bulleting not porperly reviewed"/>
    <s v="Operations"/>
    <s v="GF"/>
    <x v="95"/>
    <x v="124"/>
    <m/>
    <x v="0"/>
    <n v="26"/>
  </r>
  <r>
    <x v="50"/>
    <n v="161"/>
    <s v="379"/>
    <s v="C379-161-25"/>
    <s v="Complaint"/>
    <s v="ExxonMobil"/>
    <s v="ExxonMobil - Baytown, Chem 3247 was overloaded by 3,999 bbls due to incorrect job orders"/>
    <s v="Operations"/>
    <s v="HB"/>
    <x v="104"/>
    <x v="125"/>
    <m/>
    <x v="0"/>
    <n v="10"/>
  </r>
  <r>
    <x v="47"/>
    <n v="199"/>
    <s v="353"/>
    <s v="C353-199-25"/>
    <s v="Internal assessment (9001 &amp; 17025)"/>
    <m/>
    <s v="SRI BOL not completed"/>
    <s v="Operations"/>
    <s v="GF"/>
    <x v="95"/>
    <x v="126"/>
    <m/>
    <x v="0"/>
    <n v="31"/>
  </r>
  <r>
    <x v="11"/>
    <n v="131"/>
    <s v="375"/>
    <s v="C375-131-24"/>
    <s v="Other (QC, customer alert, improper procedure)"/>
    <m/>
    <s v="Valero - D86 unit not in compliance for EPA gasoline testing"/>
    <s v="Lab"/>
    <s v="MT"/>
    <x v="105"/>
    <x v="127"/>
    <m/>
    <x v="0"/>
    <n v="378"/>
  </r>
  <r>
    <x v="17"/>
    <n v="146"/>
    <s v="052"/>
    <s v="C052-146-25"/>
    <s v="3rd party audit (DNV, A2LA, AASHTO…)"/>
    <s v="A2LA"/>
    <s v="A2LA: ISO 17025 Clause 7.2.1.1"/>
    <s v="Lab"/>
    <s v="KA"/>
    <x v="35"/>
    <x v="128"/>
    <m/>
    <x v="0"/>
    <n v="217"/>
  </r>
  <r>
    <x v="39"/>
    <n v="185"/>
    <s v="158"/>
    <s v="C158-185-24"/>
    <s v="Internal assessment (9001 &amp; 17025)"/>
    <m/>
    <s v="IA:  Random field audits overdue"/>
    <s v="Operations"/>
    <s v="KA"/>
    <x v="106"/>
    <x v="129"/>
    <m/>
    <x v="0"/>
    <n v="514"/>
  </r>
  <r>
    <x v="15"/>
    <n v="110"/>
    <s v="487"/>
    <s v="C487-110-24"/>
    <s v="Internal assessment (9001 &amp; 17025)"/>
    <m/>
    <s v="Biodiesel PT Z score Charts"/>
    <s v="Lab"/>
    <s v="Ecu"/>
    <x v="63"/>
    <x v="130"/>
    <m/>
    <x v="0"/>
    <n v="300"/>
  </r>
  <r>
    <x v="40"/>
    <n v="133"/>
    <s v="522"/>
    <s v="C522-133-24"/>
    <s v="Internal assessment (9001 &amp; 17025)"/>
    <m/>
    <s v="IA:  Training records"/>
    <s v="Lab"/>
    <s v="AH"/>
    <x v="107"/>
    <x v="130"/>
    <m/>
    <x v="0"/>
    <n v="93"/>
  </r>
  <r>
    <x v="12"/>
    <n v="130"/>
    <s v="216"/>
    <s v="C216-130-25"/>
    <s v="Internal assessment (9001 &amp; 17025)"/>
    <m/>
    <s v="IA: Cluase 7.5.1"/>
    <s v="Lab"/>
    <s v="Ecu"/>
    <x v="69"/>
    <x v="130"/>
    <m/>
    <x v="0"/>
    <n v="130"/>
  </r>
  <r>
    <x v="11"/>
    <n v="131"/>
    <s v="032"/>
    <s v="C032-131-25"/>
    <s v="Internal assessment (9001 &amp; 17025)"/>
    <m/>
    <s v="ISO 17025 Clause 6.5.1 Metrological Traceability"/>
    <s v="Lab"/>
    <s v="Ecu"/>
    <x v="30"/>
    <x v="130"/>
    <m/>
    <x v="0"/>
    <n v="229"/>
  </r>
  <r>
    <x v="36"/>
    <n v="165"/>
    <s v="399"/>
    <s v="C399-165-25"/>
    <s v="Complaint"/>
    <s v="Citgo"/>
    <s v="Citgo - Inspector late arrival resulting in reschedule of vessel pilot for departure"/>
    <s v="Operations"/>
    <s v="AH"/>
    <x v="108"/>
    <x v="131"/>
    <m/>
    <x v="0"/>
    <n v="3"/>
  </r>
  <r>
    <x v="49"/>
    <n v="124"/>
    <s v="362"/>
    <s v="C362-124-25"/>
    <s v="Internal assessment (9001 &amp; 17025)"/>
    <m/>
    <s v="IA: Test Witnessing"/>
    <s v="Lab"/>
    <s v="Ecu"/>
    <x v="101"/>
    <x v="132"/>
    <m/>
    <x v="0"/>
    <n v="35"/>
  </r>
  <r>
    <x v="6"/>
    <n v="145"/>
    <s v="170"/>
    <s v="C170-145-25"/>
    <s v="Internal assessment (9001 &amp; 17025)"/>
    <m/>
    <s v="IA: Chemicals"/>
    <s v="Lab"/>
    <s v="KA"/>
    <x v="65"/>
    <x v="132"/>
    <m/>
    <x v="0"/>
    <n v="163"/>
  </r>
  <r>
    <x v="6"/>
    <n v="145"/>
    <s v="172"/>
    <s v="C172-145-25"/>
    <s v="Internal assessment (9001 &amp; 17025)"/>
    <m/>
    <s v="IA: File review"/>
    <s v="Lab"/>
    <s v="KA"/>
    <x v="65"/>
    <x v="132"/>
    <m/>
    <x v="0"/>
    <n v="163"/>
  </r>
  <r>
    <x v="38"/>
    <n v="170"/>
    <s v="356"/>
    <s v="C356-170-25"/>
    <s v="3rd party audit (DNV, A2LA, AASHTO…)"/>
    <s v="A2LA"/>
    <s v="Clause 8.3 and 8.3.2 - No objective evidence of periodic review of local controlled documents"/>
    <s v="Lab"/>
    <s v="Ecu"/>
    <x v="100"/>
    <x v="132"/>
    <m/>
    <x v="0"/>
    <n v="39"/>
  </r>
  <r>
    <x v="28"/>
    <n v="150"/>
    <s v="150"/>
    <s v="C150-150-25"/>
    <s v="Internal assessment (9001 &amp; 17025)"/>
    <m/>
    <s v="IA: Inspector TRBs"/>
    <s v="Operations"/>
    <s v="Ecu"/>
    <x v="55"/>
    <x v="132"/>
    <m/>
    <x v="0"/>
    <n v="175"/>
  </r>
  <r>
    <x v="18"/>
    <n v="144"/>
    <s v="371"/>
    <s v="C371-144-24"/>
    <s v="Internal assessment (9001 &amp; 17025)"/>
    <m/>
    <s v="IA:  Lab equipment "/>
    <s v="Lab"/>
    <s v="KA"/>
    <x v="23"/>
    <x v="133"/>
    <m/>
    <x v="0"/>
    <n v="393"/>
  </r>
  <r>
    <x v="4"/>
    <n v="210"/>
    <s v="382"/>
    <s v="C382-210-25"/>
    <s v="Internal assessment (9001 &amp; 17025)"/>
    <m/>
    <s v="Incorrect gauge tape SN recorded"/>
    <s v="Operations"/>
    <s v="MT"/>
    <x v="109"/>
    <x v="133"/>
    <m/>
    <x v="0"/>
    <n v="19"/>
  </r>
  <r>
    <x v="4"/>
    <n v="210"/>
    <s v="383"/>
    <s v="C383-210-25"/>
    <s v="Internal assessment (9001 &amp; 17025)"/>
    <m/>
    <s v="Clause 7.1.1 Contract - no details of method"/>
    <s v="Lab"/>
    <s v="MT"/>
    <x v="109"/>
    <x v="133"/>
    <m/>
    <x v="0"/>
    <n v="19"/>
  </r>
  <r>
    <x v="4"/>
    <n v="210"/>
    <s v="384"/>
    <s v="C384-210-25"/>
    <s v="Internal assessment (9001 &amp; 17025)"/>
    <m/>
    <s v="Clause 7.2.1.7 Method Deviation "/>
    <s v="Lab"/>
    <s v="MT"/>
    <x v="109"/>
    <x v="133"/>
    <m/>
    <x v="0"/>
    <n v="19"/>
  </r>
  <r>
    <x v="2"/>
    <n v="132"/>
    <s v="001"/>
    <s v="C001-132-25"/>
    <s v="Complaint"/>
    <s v="PBF"/>
    <s v="The client was not informed of the vessel's short loading due to draft restrictions"/>
    <s v="Operations"/>
    <s v="HM"/>
    <x v="81"/>
    <x v="12"/>
    <m/>
    <x v="0"/>
    <n v="14"/>
  </r>
  <r>
    <x v="12"/>
    <n v="130"/>
    <s v="210"/>
    <s v="C210-130-25"/>
    <s v="Internal assessment (9001 &amp; 17025)"/>
    <m/>
    <s v="IA: TMA schedule"/>
    <s v="Lab"/>
    <s v="Ecu"/>
    <x v="69"/>
    <x v="58"/>
    <m/>
    <x v="0"/>
    <n v="141"/>
  </r>
  <r>
    <x v="43"/>
    <s v="160A"/>
    <s v="193"/>
    <s v="C193-160A-25"/>
    <s v="Internal assessment (9001 &amp; 17025)"/>
    <m/>
    <s v="Inspection equipment and inspector TRB"/>
    <s v="Operations"/>
    <s v="MT"/>
    <x v="58"/>
    <x v="58"/>
    <m/>
    <x v="0"/>
    <n v="145"/>
  </r>
  <r>
    <x v="28"/>
    <n v="150"/>
    <s v="154"/>
    <s v="C154-150-25"/>
    <s v="Internal assessment (9001 &amp; 17025)"/>
    <m/>
    <s v="IA: Clause 7.2.1.7"/>
    <s v="Lab"/>
    <s v="Ecu"/>
    <x v="55"/>
    <x v="58"/>
    <m/>
    <x v="0"/>
    <n v="183"/>
  </r>
  <r>
    <x v="40"/>
    <n v="133"/>
    <s v="520"/>
    <s v="C520-133-24"/>
    <s v="Internal assessment (9001 &amp; 17025)"/>
    <m/>
    <s v="IA: Procurement"/>
    <s v="Lab"/>
    <s v="AH"/>
    <x v="107"/>
    <x v="134"/>
    <m/>
    <x v="0"/>
    <n v="106"/>
  </r>
  <r>
    <x v="14"/>
    <n v="191"/>
    <s v="475"/>
    <s v="C475-191-24"/>
    <s v="Internal assessment (9001 &amp; 17025)"/>
    <m/>
    <s v="Clause 6.4.4 Equipment conformance"/>
    <s v="Lab"/>
    <s v="MT"/>
    <x v="18"/>
    <x v="134"/>
    <m/>
    <x v="0"/>
    <n v="314"/>
  </r>
  <r>
    <x v="51"/>
    <n v="129"/>
    <s v="423"/>
    <s v="C423-129-23"/>
    <s v="Internal assessment (9001 &amp; 17025)"/>
    <m/>
    <s v="IA - MFDB not signed for review"/>
    <m/>
    <s v="RB"/>
    <x v="110"/>
    <x v="134"/>
    <m/>
    <x v="0"/>
    <n v="825"/>
  </r>
  <r>
    <x v="51"/>
    <n v="129"/>
    <s v="424"/>
    <s v="C424-129-23"/>
    <s v="Internal assessment (9001 &amp; 17025)"/>
    <m/>
    <s v="IA - Document Control"/>
    <m/>
    <s v="RB"/>
    <x v="110"/>
    <x v="134"/>
    <m/>
    <x v="0"/>
    <n v="825"/>
  </r>
  <r>
    <x v="51"/>
    <n v="129"/>
    <s v="426"/>
    <s v="C426-129-23"/>
    <s v="Internal assessment (9001 &amp; 17025)"/>
    <m/>
    <s v="IA - QC"/>
    <m/>
    <s v="RB"/>
    <x v="110"/>
    <x v="134"/>
    <m/>
    <x v="0"/>
    <n v="825"/>
  </r>
  <r>
    <x v="45"/>
    <n v="215"/>
    <s v="148"/>
    <s v="C148-215-25"/>
    <s v="Internal assessment (9001 &amp; 17025)"/>
    <m/>
    <s v="IA: equipment (D4815 &amp; D86)"/>
    <s v="Lab"/>
    <s v="KA"/>
    <x v="55"/>
    <x v="135"/>
    <m/>
    <x v="0"/>
    <n v="186"/>
  </r>
  <r>
    <x v="28"/>
    <n v="150"/>
    <s v="404"/>
    <s v="C404-150-25"/>
    <s v="Other (QC, customer alert, improper procedure)"/>
    <s v="Valero"/>
    <s v="Valero nomination stated &quot;Additive: In-Line Blend ~68 Gallons of CorrPro PHE @ 40ppm.&quot; Amspec Additives was not copied on the original nomination."/>
    <s v="Operations"/>
    <s v="HB"/>
    <x v="111"/>
    <x v="135"/>
    <m/>
    <x v="0"/>
    <n v="5"/>
  </r>
  <r>
    <x v="36"/>
    <n v="165"/>
    <s v="237"/>
    <s v="C237-165-25"/>
    <s v="Internal assessment (9001 &amp; 17025)"/>
    <m/>
    <s v="IA: Clause 7.2.1.7"/>
    <s v="Lab"/>
    <s v="KA"/>
    <x v="72"/>
    <x v="136"/>
    <m/>
    <x v="0"/>
    <n v="132"/>
  </r>
  <r>
    <x v="36"/>
    <n v="165"/>
    <s v="239"/>
    <s v="C239-165-25"/>
    <s v="Internal assessment (9001 &amp; 17025)"/>
    <m/>
    <s v="IA: Clause 7.8.1.2 / 7.8.2.1"/>
    <s v="Lab"/>
    <s v="KA"/>
    <x v="72"/>
    <x v="136"/>
    <m/>
    <x v="0"/>
    <n v="132"/>
  </r>
  <r>
    <x v="36"/>
    <n v="165"/>
    <s v="381"/>
    <s v="C381-165-25"/>
    <s v="Other (QC, customer alert, improper procedure)"/>
    <s v="A2LA"/>
    <s v="Potential NC - D1319 Nitrogen not flowing"/>
    <s v="Lab"/>
    <s v="Ecu"/>
    <x v="112"/>
    <x v="136"/>
    <m/>
    <x v="0"/>
    <n v="27"/>
  </r>
  <r>
    <x v="36"/>
    <n v="165"/>
    <s v="385"/>
    <s v="C385-165-25"/>
    <s v="3rd party audit (DNV, A2LA, AASHTO…)"/>
    <s v="A2LA"/>
    <s v="A2LA Policy P102"/>
    <s v="Lab"/>
    <s v="Ecu"/>
    <x v="109"/>
    <x v="136"/>
    <m/>
    <x v="0"/>
    <n v="26"/>
  </r>
  <r>
    <x v="0"/>
    <n v="197"/>
    <s v="375"/>
    <s v="C375-197-25"/>
    <s v="3rd party audit (DNV, A2LA, AASHTO…)"/>
    <s v="A2LA"/>
    <s v="A2LA: Clause 6.4.4"/>
    <s v="Lab"/>
    <s v="Ecu"/>
    <x v="104"/>
    <x v="136"/>
    <m/>
    <x v="0"/>
    <n v="37"/>
  </r>
  <r>
    <x v="38"/>
    <n v="170"/>
    <s v="187"/>
    <s v="C187-170-25"/>
    <s v="Internal assessment (9001 &amp; 17025)"/>
    <m/>
    <s v="IA: Clause 7.8 Reporting of results"/>
    <s v="Lab"/>
    <s v="AH"/>
    <x v="58"/>
    <x v="136"/>
    <m/>
    <x v="0"/>
    <n v="149"/>
  </r>
  <r>
    <x v="1"/>
    <n v="192"/>
    <s v="167"/>
    <s v="C167-192-25"/>
    <s v="Internal assessment (9001 &amp; 17025)"/>
    <m/>
    <s v="Technical Record"/>
    <s v="Lab &amp; Ops"/>
    <s v="MT"/>
    <x v="56"/>
    <x v="136"/>
    <m/>
    <x v="0"/>
    <n v="177"/>
  </r>
  <r>
    <x v="36"/>
    <n v="165"/>
    <s v="386"/>
    <s v="C386-165-25"/>
    <s v="3rd party audit (DNV, A2LA, AASHTO…)"/>
    <s v="A2LA"/>
    <s v="Clause 7.11.2"/>
    <s v="Lab"/>
    <s v="Ecu"/>
    <x v="109"/>
    <x v="137"/>
    <m/>
    <x v="0"/>
    <n v="28"/>
  </r>
  <r>
    <x v="0"/>
    <n v="197"/>
    <s v="376"/>
    <s v="C376-197-25"/>
    <s v="3rd party audit (DNV, A2LA, AASHTO…)"/>
    <s v="A2LA"/>
    <s v="A2LA: Clause 7.7.1"/>
    <s v="Lab"/>
    <s v="Ecu"/>
    <x v="104"/>
    <x v="137"/>
    <m/>
    <x v="0"/>
    <n v="39"/>
  </r>
  <r>
    <x v="36"/>
    <n v="165"/>
    <s v="240"/>
    <s v="C240-165-25"/>
    <s v="Internal assessment (9001 &amp; 17025)"/>
    <m/>
    <s v="IA: Clause 7.10.1b"/>
    <s v="Lab"/>
    <s v="KA"/>
    <x v="72"/>
    <x v="138"/>
    <m/>
    <x v="0"/>
    <n v="138"/>
  </r>
  <r>
    <x v="12"/>
    <n v="130"/>
    <s v="211"/>
    <s v="C211-130-25"/>
    <s v="Internal assessment (9001 &amp; 17025)"/>
    <m/>
    <s v="IA: Clause 6.2.5"/>
    <s v="Lab"/>
    <s v="Ecu"/>
    <x v="69"/>
    <x v="138"/>
    <m/>
    <x v="0"/>
    <n v="151"/>
  </r>
  <r>
    <x v="38"/>
    <n v="170"/>
    <s v="180"/>
    <s v="C180-170-25"/>
    <s v="Internal assessment (9001 &amp; 17025)"/>
    <m/>
    <s v="IA: Clause 6.2 Personnel + Training"/>
    <s v="Lab"/>
    <s v="AH"/>
    <x v="58"/>
    <x v="138"/>
    <m/>
    <x v="0"/>
    <n v="155"/>
  </r>
  <r>
    <x v="51"/>
    <n v="129"/>
    <s v="425"/>
    <s v="C425-129-23"/>
    <s v="Internal assessment (9001 &amp; 17025)"/>
    <m/>
    <s v="IA - Lab Equipment"/>
    <m/>
    <s v="RB"/>
    <x v="110"/>
    <x v="138"/>
    <m/>
    <x v="0"/>
    <n v="833"/>
  </r>
  <r>
    <x v="23"/>
    <n v="142"/>
    <s v="389"/>
    <s v="C389-142-25"/>
    <s v="Customer audit   "/>
    <s v="Irving Oil"/>
    <s v="Inspectors using arrival temperatures on ROB survey instead of 60°F per API"/>
    <s v="Operations"/>
    <s v="Ecu"/>
    <x v="113"/>
    <x v="139"/>
    <m/>
    <x v="0"/>
    <n v="23"/>
  </r>
  <r>
    <x v="23"/>
    <n v="142"/>
    <s v="390"/>
    <s v="C390-142-25"/>
    <s v="Customer audit   "/>
    <s v="Irving Oil"/>
    <s v="Departure temperatures mirrored arrival temperatures on tanks that did not discharge - departure temps not performed"/>
    <s v="Operations"/>
    <s v="Ecu"/>
    <x v="113"/>
    <x v="139"/>
    <m/>
    <x v="0"/>
    <n v="23"/>
  </r>
  <r>
    <x v="2"/>
    <n v="132"/>
    <s v="021"/>
    <s v="C021-132-25"/>
    <s v="Other (QC, customer alert, improper procedure)"/>
    <s v="Amspec"/>
    <s v="The API used for volumetric calculations in the final report was incorrect "/>
    <s v="Operations"/>
    <s v="HM"/>
    <x v="34"/>
    <x v="140"/>
    <m/>
    <x v="0"/>
    <n v="17"/>
  </r>
  <r>
    <x v="51"/>
    <n v="129"/>
    <n v="523"/>
    <s v="C523-129-24"/>
    <s v="Internal assessment (9001 &amp; 17025)"/>
    <m/>
    <s v="IA:  MFDBs"/>
    <s v="Lab &amp; Ops"/>
    <s v="EC"/>
    <x v="114"/>
    <x v="141"/>
    <m/>
    <x v="0"/>
    <n v="243"/>
  </r>
  <r>
    <x v="2"/>
    <n v="132"/>
    <s v="022"/>
    <s v="C022-132-25"/>
    <s v="Other (QC, customer alert, improper procedure)"/>
    <s v="Amspec"/>
    <s v="Customer Recheck Request for D2624 Result on Job #132-24-01470 (Sample-072) Due to Discrepancy in Conductivity Test"/>
    <s v="Lab"/>
    <s v="HM"/>
    <x v="115"/>
    <x v="20"/>
    <m/>
    <x v="0"/>
    <n v="3"/>
  </r>
  <r>
    <x v="12"/>
    <n v="130"/>
    <s v="405"/>
    <s v="C405-130-25"/>
    <s v="Customer audit   "/>
    <s v="Marathon"/>
    <s v="Job File review"/>
    <s v="Lab"/>
    <s v="HM"/>
    <x v="87"/>
    <x v="19"/>
    <m/>
    <x v="0"/>
    <n v="139"/>
  </r>
  <r>
    <x v="12"/>
    <n v="130"/>
    <s v="380"/>
    <s v="C380-130-25"/>
    <s v="Complaint"/>
    <s v="PBF"/>
    <s v="PBF - IP501 - Significant discrepancy in Al+Si results reported for CSO tank. 117mg/kg  vs. 198 mg/kg"/>
    <s v="Lab"/>
    <s v="HM"/>
    <x v="116"/>
    <x v="19"/>
    <m/>
    <x v="0"/>
    <n v="43"/>
  </r>
  <r>
    <x v="51"/>
    <n v="129"/>
    <n v="526"/>
    <s v="C526-129-24"/>
    <s v="Internal assessment (9001 &amp; 17025)"/>
    <m/>
    <s v="IA: Field Equipment"/>
    <s v="Ops"/>
    <s v="EC"/>
    <x v="114"/>
    <x v="142"/>
    <m/>
    <x v="0"/>
    <n v="249"/>
  </r>
  <r>
    <x v="24"/>
    <n v="155"/>
    <s v="077"/>
    <s v="C077-155-25"/>
    <s v="Internal assessment (9001 &amp; 17025)"/>
    <m/>
    <s v="IA: Clause 8.3"/>
    <s v="Lab"/>
    <s v="KA"/>
    <x v="36"/>
    <x v="143"/>
    <m/>
    <x v="0"/>
    <n v="245"/>
  </r>
  <r>
    <x v="38"/>
    <n v="170"/>
    <s v="406"/>
    <s v="C406-170-25"/>
    <s v="Other (QC, customer alert, improper procedure)"/>
    <s v="PBF"/>
    <s v="Off spec lubricity result due to improper sampling."/>
    <s v="Operations"/>
    <s v="DA"/>
    <x v="117"/>
    <x v="143"/>
    <m/>
    <x v="0"/>
    <n v="20"/>
  </r>
  <r>
    <x v="2"/>
    <n v="132"/>
    <s v="308"/>
    <s v="C308-132-25"/>
    <s v="Internal assessment (9001 &amp; 17025)"/>
    <m/>
    <s v="IA: Clause 6.5"/>
    <s v="Lab"/>
    <s v="KA"/>
    <x v="82"/>
    <x v="144"/>
    <m/>
    <x v="0"/>
    <n v="117"/>
  </r>
  <r>
    <x v="15"/>
    <n v="110"/>
    <s v="484"/>
    <s v="C484-110-24"/>
    <s v="Internal assessment (9001 &amp; 17025)"/>
    <m/>
    <s v="File Review"/>
    <s v="Lab &amp; Ops"/>
    <s v="Ecu"/>
    <x v="63"/>
    <x v="145"/>
    <m/>
    <x v="0"/>
    <n v="337"/>
  </r>
  <r>
    <x v="9"/>
    <n v="136"/>
    <s v="426"/>
    <s v="C426-136-25"/>
    <s v="Other (QC, customer alert, improper procedure)"/>
    <s v="Musket"/>
    <s v="Poor operations communication and lab turnaround time"/>
    <s v="Lab &amp; Ops"/>
    <s v="DA"/>
    <x v="118"/>
    <x v="145"/>
    <m/>
    <x v="0"/>
    <n v="0"/>
  </r>
  <r>
    <x v="47"/>
    <n v="199"/>
    <s v="419"/>
    <s v="C419-199-25"/>
    <s v="Complaint"/>
    <s v="Irving Oil"/>
    <s v="Inspector did not properly measure and document material in a slop tank on the vessel. "/>
    <s v="Operations"/>
    <s v="GF"/>
    <x v="119"/>
    <x v="145"/>
    <m/>
    <x v="0"/>
    <n v="8"/>
  </r>
  <r>
    <x v="6"/>
    <n v="145"/>
    <s v="411"/>
    <s v="C411-145-25"/>
    <s v="Customer audit   "/>
    <s v="Shell "/>
    <s v="Job File Review: D86 time to 5% below threshold "/>
    <s v="Lab"/>
    <s v="Ecu"/>
    <x v="120"/>
    <x v="146"/>
    <m/>
    <x v="0"/>
    <n v="17"/>
  </r>
  <r>
    <x v="6"/>
    <n v="145"/>
    <s v="412"/>
    <s v="C412-145-25"/>
    <s v="Customer audit   "/>
    <s v="Shell"/>
    <s v="Test Witnessing: D5769 aliquot volume &lt; 10 mL"/>
    <s v="Lab"/>
    <s v="Ecu"/>
    <x v="120"/>
    <x v="146"/>
    <m/>
    <x v="0"/>
    <n v="17"/>
  </r>
  <r>
    <x v="21"/>
    <n v="140"/>
    <s v="413"/>
    <s v="C413-140-25"/>
    <s v="Customer audit   "/>
    <s v="Shell"/>
    <s v="Test Witnessing: D5769 aliquot volume &lt; 10 mL"/>
    <s v="Lab"/>
    <s v="Ecu"/>
    <x v="120"/>
    <x v="146"/>
    <m/>
    <x v="0"/>
    <n v="17"/>
  </r>
  <r>
    <x v="11"/>
    <n v="131"/>
    <s v="387"/>
    <s v="C387-131-25"/>
    <s v="Complaint"/>
    <s v="PBF"/>
    <s v="PBF-D56 discrepancy in reported flash point. Composite vs. individual compartments."/>
    <s v="Lab"/>
    <s v="HM"/>
    <x v="121"/>
    <x v="146"/>
    <m/>
    <x v="0"/>
    <n v="48"/>
  </r>
  <r>
    <x v="2"/>
    <n v="132"/>
    <s v="301"/>
    <s v="C301-132-25"/>
    <s v="Internal assessment (9001 &amp; 17025)"/>
    <m/>
    <s v="IA:Ops POs no quality statement "/>
    <s v="Operations"/>
    <s v="KA"/>
    <x v="82"/>
    <x v="147"/>
    <m/>
    <x v="0"/>
    <n v="123"/>
  </r>
  <r>
    <x v="2"/>
    <n v="132"/>
    <s v="305"/>
    <s v="C305-132-25"/>
    <s v="Internal assessment (9001 &amp; 17025)"/>
    <m/>
    <s v="IA: Clause 6.2.5c"/>
    <s v="Lab"/>
    <s v="KA"/>
    <x v="82"/>
    <x v="147"/>
    <m/>
    <x v="0"/>
    <n v="123"/>
  </r>
  <r>
    <x v="2"/>
    <n v="132"/>
    <s v="309"/>
    <s v="C309-132-25"/>
    <s v="Internal assessment (9001 &amp; 17025)"/>
    <m/>
    <s v="IA: Clause 7.7.1"/>
    <s v="Lab"/>
    <s v="KA"/>
    <x v="82"/>
    <x v="147"/>
    <m/>
    <x v="0"/>
    <n v="123"/>
  </r>
  <r>
    <x v="24"/>
    <n v="155"/>
    <s v="075"/>
    <s v="C075-155-25"/>
    <s v="Internal assessment (9001 &amp; 17025)"/>
    <m/>
    <s v="IA: Clause 7.7.1"/>
    <s v="Lab"/>
    <s v="KA"/>
    <x v="36"/>
    <x v="147"/>
    <m/>
    <x v="0"/>
    <n v="252"/>
  </r>
  <r>
    <x v="8"/>
    <n v="141"/>
    <s v="424"/>
    <s v="C424-141-25"/>
    <s v="Customer audit   "/>
    <s v="Irving Oil"/>
    <s v="Equipment Traceability"/>
    <s v="Operations"/>
    <s v="AH"/>
    <x v="122"/>
    <x v="148"/>
    <m/>
    <x v="0"/>
    <n v="11"/>
  </r>
  <r>
    <x v="8"/>
    <n v="141"/>
    <s v="425"/>
    <s v="C425-141-25"/>
    <s v="Customer audit   "/>
    <s v="Irving Oil"/>
    <s v="Vessel gauging"/>
    <s v="Operations"/>
    <s v="AH"/>
    <x v="122"/>
    <x v="148"/>
    <m/>
    <x v="0"/>
    <n v="11"/>
  </r>
  <r>
    <x v="52"/>
    <s v="120W"/>
    <s v="374"/>
    <s v="C374-120W-25"/>
    <s v="Internal assessment (9001 &amp; 17025)"/>
    <m/>
    <s v="IA: Clause 8.9.2"/>
    <s v="Lab"/>
    <s v="Ecu"/>
    <x v="123"/>
    <x v="148"/>
    <m/>
    <x v="0"/>
    <n v="73"/>
  </r>
  <r>
    <x v="12"/>
    <n v="130"/>
    <s v="256"/>
    <s v="C256-130-25"/>
    <s v="Customer audit   "/>
    <s v="Marathon"/>
    <s v="MPC- Job File Review - Raw data do not match reports."/>
    <s v="Operations"/>
    <s v="HM"/>
    <x v="87"/>
    <x v="148"/>
    <m/>
    <x v="0"/>
    <n v="154"/>
  </r>
  <r>
    <x v="3"/>
    <n v="120"/>
    <s v="285"/>
    <s v="C285-120-25"/>
    <s v="Internal assessment (9001 &amp; 17025)"/>
    <m/>
    <s v="IA: Clause 7.1.1"/>
    <s v="Lab"/>
    <s v="Ecu"/>
    <x v="124"/>
    <x v="149"/>
    <m/>
    <x v="0"/>
    <n v="131"/>
  </r>
  <r>
    <x v="1"/>
    <n v="192"/>
    <s v="169"/>
    <s v="C169-192-25"/>
    <s v="Internal assessment (9001 &amp; 17025)"/>
    <m/>
    <s v="SQC"/>
    <s v="Lab"/>
    <s v="MT"/>
    <x v="56"/>
    <x v="149"/>
    <m/>
    <x v="0"/>
    <n v="210"/>
  </r>
  <r>
    <x v="44"/>
    <n v="119"/>
    <s v="206"/>
    <s v="C206-119-25"/>
    <s v="Internal assessment (9001 &amp; 17025)"/>
    <m/>
    <s v="Inspector Training Records"/>
    <s v="Operations"/>
    <s v="AH"/>
    <x v="76"/>
    <x v="150"/>
    <m/>
    <x v="0"/>
    <n v="182"/>
  </r>
  <r>
    <x v="3"/>
    <n v="120"/>
    <s v="388"/>
    <s v="C388-120-25"/>
    <s v="Customer audit   "/>
    <s v="Shell"/>
    <s v=" Job 120-25-04562-Mexico Gasoline received with _x000a_13% MTBE.  Sulfur reported using neat calibration curve _x000a_without correcting for oxygen.  This will generate artificially _x000a_low values (D2622 section 12). Test witnessing finding."/>
    <s v="Lab"/>
    <s v="HB"/>
    <x v="121"/>
    <x v="150"/>
    <m/>
    <x v="0"/>
    <n v="56"/>
  </r>
  <r>
    <x v="3"/>
    <n v="120"/>
    <s v="455"/>
    <s v="C455-120-25"/>
    <s v="Customer audit   "/>
    <s v="Shell"/>
    <s v="RVP Equipment missing status tag (green/yellow/red)"/>
    <s v="Lab"/>
    <s v="MT"/>
    <x v="121"/>
    <x v="150"/>
    <m/>
    <x v="0"/>
    <n v="56"/>
  </r>
  <r>
    <x v="15"/>
    <n v="110"/>
    <s v="456"/>
    <s v="C456-110-25"/>
    <s v="Customer audit   "/>
    <s v="Irving Oil"/>
    <s v="Failure to gauge to nearest mm_x000a_"/>
    <s v="Operations"/>
    <s v="Ecu"/>
    <x v="119"/>
    <x v="151"/>
    <m/>
    <x v="0"/>
    <n v="22"/>
  </r>
  <r>
    <x v="15"/>
    <n v="110"/>
    <s v="457"/>
    <s v="C457-110-25"/>
    <s v="Customer audit   "/>
    <s v="Irving Oil"/>
    <s v="Improper recording of observed gauge heights"/>
    <s v="Operations"/>
    <s v="Ecu"/>
    <x v="119"/>
    <x v="151"/>
    <m/>
    <x v="0"/>
    <n v="22"/>
  </r>
  <r>
    <x v="4"/>
    <n v="210"/>
    <s v="407"/>
    <s v="C407-210-25"/>
    <s v="3rd party audit (DNV, A2LA, AASHTO…)"/>
    <s v="USCBP"/>
    <s v="Nonconformity #1: 19 CFR 151.13(h)(2)(v): Gauging reports &amp; 19 CFR 151.12(j)(3)(v): Laboratory analysis reports "/>
    <s v="Lab &amp; Ops"/>
    <s v="JP"/>
    <x v="120"/>
    <x v="151"/>
    <m/>
    <x v="0"/>
    <n v="27"/>
  </r>
  <r>
    <x v="4"/>
    <n v="210"/>
    <s v="408"/>
    <s v="C408-210-25"/>
    <s v="3rd party audit (DNV, A2LA, AASHTO…)"/>
    <s v="USCBP"/>
    <s v="Nonconformity #2: 19 CFR 151.13(b)(6): Notification"/>
    <s v="Operations"/>
    <s v="JP"/>
    <x v="120"/>
    <x v="151"/>
    <m/>
    <x v="0"/>
    <n v="27"/>
  </r>
  <r>
    <x v="4"/>
    <n v="210"/>
    <s v="409"/>
    <s v="C409-210-25"/>
    <s v="3rd party audit (DNV, A2LA, AASHTO…)"/>
    <s v="USCBP"/>
    <s v="Nonconformity #3: 19 CFR §151.12(j)(3)(ii)-Major equipment records"/>
    <s v="Lab"/>
    <s v="JP"/>
    <x v="120"/>
    <x v="151"/>
    <m/>
    <x v="0"/>
    <n v="27"/>
  </r>
  <r>
    <x v="4"/>
    <n v="210"/>
    <s v="410"/>
    <s v="C410-210-25"/>
    <s v="3rd party audit (DNV, A2LA, AASHTO…)"/>
    <s v="USCBP"/>
    <s v="Nonconformity #4: 19 CFR §151.12(f)(3)(iv)(A)-Equipment "/>
    <s v="Lab"/>
    <s v="JP"/>
    <x v="120"/>
    <x v="151"/>
    <m/>
    <x v="0"/>
    <n v="27"/>
  </r>
  <r>
    <x v="19"/>
    <n v="180"/>
    <s v="414"/>
    <s v="C414-180-25"/>
    <s v="3rd party audit (DNV, A2LA, AASHTO…)"/>
    <s v="Bureau of X-Ray Compliance, NJ"/>
    <s v="Wrist/finger (X-ray) monitoring equipment not provided"/>
    <s v="Lab"/>
    <s v="MT"/>
    <x v="125"/>
    <x v="152"/>
    <m/>
    <x v="0"/>
    <n v="25"/>
  </r>
  <r>
    <x v="19"/>
    <n v="180"/>
    <s v="400"/>
    <s v="C400-180-25"/>
    <s v="Internal assessment (9001 &amp; 17025)"/>
    <m/>
    <s v="IA: Lab Eqt - Appendix 15B, Clauses 6.4.4, 6.4.6"/>
    <s v="Lab"/>
    <s v="KA"/>
    <x v="111"/>
    <x v="153"/>
    <m/>
    <x v="0"/>
    <n v="46"/>
  </r>
  <r>
    <x v="11"/>
    <n v="131"/>
    <s v="347"/>
    <s v="C347-131-25"/>
    <s v="Internal assessment (9001 &amp; 17025)"/>
    <m/>
    <s v="IA: D3831 reporting"/>
    <s v="Lab"/>
    <s v="KA"/>
    <x v="95"/>
    <x v="154"/>
    <m/>
    <x v="0"/>
    <n v="95"/>
  </r>
  <r>
    <x v="51"/>
    <n v="129"/>
    <n v="524"/>
    <s v="C524-129-24"/>
    <s v="Internal assessment (9001 &amp; 17025)"/>
    <m/>
    <s v="IA: Procurement"/>
    <s v="Lab &amp; Ops"/>
    <s v="EC"/>
    <x v="114"/>
    <x v="155"/>
    <m/>
    <x v="0"/>
    <n v="272"/>
  </r>
  <r>
    <x v="24"/>
    <n v="155"/>
    <s v="433"/>
    <s v="C433-155-25"/>
    <s v="Complaint"/>
    <s v="Vitol"/>
    <s v="Off spec asphalt due to sampling"/>
    <s v="Operations"/>
    <s v="MT"/>
    <x v="126"/>
    <x v="156"/>
    <m/>
    <x v="0"/>
    <n v="15"/>
  </r>
  <r>
    <x v="19"/>
    <n v="180"/>
    <s v="468"/>
    <s v="C468-180-25"/>
    <s v="3rd party audit (DNV, A2LA, AASHTO…)"/>
    <s v="A2LA"/>
    <s v="Clause 7.5.2 - Inappropriate data corrections"/>
    <s v="Lab"/>
    <s v="Ecu"/>
    <x v="127"/>
    <x v="156"/>
    <m/>
    <x v="0"/>
    <n v="17"/>
  </r>
  <r>
    <x v="2"/>
    <n v="132"/>
    <s v="307"/>
    <s v="C307-132-25"/>
    <s v="Internal assessment (9001 &amp; 17025)"/>
    <m/>
    <s v="IA: Clause 6.4.13e, g"/>
    <s v="Lab"/>
    <s v="KA"/>
    <x v="82"/>
    <x v="157"/>
    <m/>
    <x v="0"/>
    <n v="143"/>
  </r>
  <r>
    <x v="10"/>
    <n v="189"/>
    <s v="265"/>
    <s v="C265-189-25"/>
    <s v="Internal assessment (9001 &amp; 17025)"/>
    <m/>
    <s v="Report Requirements Lab - QSM Section 15, 20 and LQSM Section 14, 17 "/>
    <s v="Lab"/>
    <s v="VV"/>
    <x v="80"/>
    <x v="158"/>
    <m/>
    <x v="0"/>
    <n v="160"/>
  </r>
  <r>
    <x v="10"/>
    <n v="189"/>
    <s v="268"/>
    <s v="C268-189-25"/>
    <s v="Internal assessment (9001 &amp; 17025)"/>
    <m/>
    <s v="D130 – QSM Section 16, 18 and LQSM Section 14, 15"/>
    <s v="Lab"/>
    <s v="VV"/>
    <x v="80"/>
    <x v="158"/>
    <m/>
    <x v="0"/>
    <n v="160"/>
  </r>
  <r>
    <x v="51"/>
    <n v="129"/>
    <n v="525"/>
    <s v="C525-129-24"/>
    <s v="Internal assessment (9001 &amp; 17025)"/>
    <m/>
    <s v="IA:  File Review"/>
    <s v="Lab"/>
    <s v="EC"/>
    <x v="114"/>
    <x v="158"/>
    <m/>
    <x v="0"/>
    <n v="279"/>
  </r>
  <r>
    <x v="8"/>
    <n v="141"/>
    <s v="470"/>
    <s v="C470-141-25"/>
    <s v="3rd party audit (DNV, A2LA, AASHTO…)"/>
    <s v="Irving Oil"/>
    <s v="Test Witnessing: Technician did not mix sample for D1840"/>
    <s v="Lab"/>
    <s v="Ecu"/>
    <x v="128"/>
    <x v="159"/>
    <m/>
    <x v="0"/>
    <n v="0"/>
  </r>
  <r>
    <x v="53"/>
    <n v="159"/>
    <s v="398"/>
    <s v="C398-159-25"/>
    <s v="Internal assessment (9001 &amp; 17025)"/>
    <m/>
    <s v="Criteria: LQSM S7 Part 7"/>
    <s v="Lab &amp; Ops"/>
    <s v="AH"/>
    <x v="129"/>
    <x v="159"/>
    <m/>
    <x v="0"/>
    <n v="62"/>
  </r>
  <r>
    <x v="40"/>
    <n v="133"/>
    <s v="369"/>
    <s v="C369-133-25"/>
    <s v="Customer audit   "/>
    <s v="Marathon"/>
    <s v="Grounding system, emetgency lighting and evacuation plan"/>
    <s v="Operations"/>
    <s v="HM"/>
    <x v="123"/>
    <x v="159"/>
    <m/>
    <x v="0"/>
    <n v="93"/>
  </r>
  <r>
    <x v="3"/>
    <n v="120"/>
    <s v="477"/>
    <s v="C477-120-25"/>
    <s v="Complaint"/>
    <s v="Marathon"/>
    <s v="Inspector failed to confirm if the railcar numbers at the loading rack matched Marathon’s nomination prior to sampling"/>
    <s v="Operations"/>
    <s v="HB"/>
    <x v="130"/>
    <x v="160"/>
    <m/>
    <x v="0"/>
    <n v="0"/>
  </r>
  <r>
    <x v="3"/>
    <n v="120"/>
    <s v="403"/>
    <s v="C403-120-25"/>
    <s v="Other (QC, customer alert, improper procedure)"/>
    <s v="Ineos"/>
    <s v="INEOS -160-25-04525; Port Arthur sent 4 brand new cylinders to HTC lab to be prepped by method QA3-MT-16 for residue testing but cylinders not cleaned properly."/>
    <s v="Lab"/>
    <s v="HB"/>
    <x v="111"/>
    <x v="161"/>
    <m/>
    <x v="0"/>
    <n v="67"/>
  </r>
  <r>
    <x v="3"/>
    <n v="120"/>
    <s v="476"/>
    <s v="C476-120-25"/>
    <s v="Complaint"/>
    <s v="Chevron"/>
    <s v="INC Nautical, who represented Chevron, noted the AmSpec inspector gauging the EMS 363 &amp; 372 with a UTI that didn’t have a grounding cable attached. (UTI SN# G21577)_x000a_"/>
    <s v="Operations"/>
    <s v="HB"/>
    <x v="131"/>
    <x v="161"/>
    <m/>
    <x v="0"/>
    <n v="10"/>
  </r>
  <r>
    <x v="7"/>
    <n v="160"/>
    <s v="377"/>
    <s v="C377-160-25"/>
    <s v="Other (QC, customer alert, improper procedure)"/>
    <m/>
    <s v="File Number: 160-25-04202-001,002,003,013 ST 150-1 Seal # 0014414_x000a_Running compliance (NSTOP) sample on uncontrolled instrument and reporting results off that instrument_x000a_"/>
    <s v="Lab"/>
    <s v="MT"/>
    <x v="132"/>
    <x v="161"/>
    <m/>
    <x v="0"/>
    <n v="96"/>
  </r>
  <r>
    <x v="23"/>
    <n v="142"/>
    <s v="428"/>
    <s v="C428-142-25"/>
    <s v="3rd party audit (DNV, A2LA, AASHTO…)"/>
    <s v="USCBP"/>
    <s v="Tally book missing information / is incorrect"/>
    <s v="Operations"/>
    <s v="Ecu"/>
    <x v="133"/>
    <x v="161"/>
    <m/>
    <x v="0"/>
    <n v="38"/>
  </r>
  <r>
    <x v="23"/>
    <n v="142"/>
    <s v="429"/>
    <s v="C429-142-25"/>
    <s v="3rd party audit (DNV, A2LA, AASHTO…)"/>
    <s v="USCBP"/>
    <s v="Ullage report not signed by coordinator"/>
    <s v="Operations"/>
    <s v="Ecu"/>
    <x v="133"/>
    <x v="161"/>
    <m/>
    <x v="0"/>
    <n v="38"/>
  </r>
  <r>
    <x v="7"/>
    <n v="160"/>
    <s v="423"/>
    <s v="C423-160-25"/>
    <s v="Customer audit   "/>
    <s v="Marathon"/>
    <s v="D5453 -  laboratory quality control sample analysis lacked traceability to the material lot."/>
    <s v="Lab"/>
    <s v="HB"/>
    <x v="122"/>
    <x v="162"/>
    <m/>
    <x v="0"/>
    <n v="43"/>
  </r>
  <r>
    <x v="10"/>
    <n v="189"/>
    <s v="266"/>
    <s v="C266-189-25"/>
    <s v="Internal assessment (9001 &amp; 17025)"/>
    <m/>
    <s v="Lab Data Control - QSM Section 20 and LQSM Section 7, 17 "/>
    <s v="Lab"/>
    <s v="VV"/>
    <x v="80"/>
    <x v="163"/>
    <m/>
    <x v="0"/>
    <n v="174"/>
  </r>
  <r>
    <x v="10"/>
    <n v="189"/>
    <s v="267"/>
    <s v="C267-189-25"/>
    <s v="Internal assessment (9001 &amp; 17025)"/>
    <m/>
    <s v="Sample Cradle to Grave – QSM Section 15 and LQSM Section 7"/>
    <s v="Lab"/>
    <s v="VV"/>
    <x v="80"/>
    <x v="163"/>
    <m/>
    <x v="0"/>
    <n v="174"/>
  </r>
  <r>
    <x v="12"/>
    <n v="130"/>
    <s v="434"/>
    <s v="C434-130-25"/>
    <s v="Complaint"/>
    <s v="PBF"/>
    <s v="Dispatching error - no sampler assigned for Webb Moffett Vessel"/>
    <s v="Operations"/>
    <s v="HM"/>
    <x v="126"/>
    <x v="164"/>
    <m/>
    <x v="0"/>
    <n v="40"/>
  </r>
  <r>
    <x v="45"/>
    <n v="215"/>
    <s v="147"/>
    <s v="C147-215-25"/>
    <s v="Internal assessment (9001 &amp; 17025)"/>
    <m/>
    <s v="IA: file review"/>
    <s v="Lab &amp; Ops"/>
    <s v="KA"/>
    <x v="55"/>
    <x v="165"/>
    <m/>
    <x v="0"/>
    <n v="258"/>
  </r>
  <r>
    <x v="40"/>
    <n v="133"/>
    <s v="521"/>
    <s v="C521-133-24"/>
    <s v="Internal assessment (9001 &amp; 17025)"/>
    <m/>
    <s v="IA: File Review"/>
    <s v="Lab"/>
    <s v="AH"/>
    <x v="107"/>
    <x v="166"/>
    <m/>
    <x v="0"/>
    <n v="180"/>
  </r>
  <r>
    <x v="14"/>
    <n v="191"/>
    <s v="444"/>
    <s v="C444-191-25"/>
    <s v="Internal assessment (9001 &amp; 17025)"/>
    <m/>
    <s v="IA: Clause 7.8.1.2"/>
    <s v="Lab"/>
    <s v="Ecu"/>
    <x v="126"/>
    <x v="166"/>
    <m/>
    <x v="0"/>
    <n v="43"/>
  </r>
  <r>
    <x v="11"/>
    <n v="131"/>
    <s v="435"/>
    <s v="C435-131-25"/>
    <s v="Complaint"/>
    <s v="PBF"/>
    <s v="No manual gauge obtained on Barge after discharge - Webb Moffett"/>
    <s v="Operations"/>
    <s v="HM"/>
    <x v="126"/>
    <x v="167"/>
    <m/>
    <x v="0"/>
    <n v="46"/>
  </r>
  <r>
    <x v="12"/>
    <n v="130"/>
    <s v="463"/>
    <s v="C463-130-25"/>
    <s v="3rd party audit (DNV, A2LA, AASHTO…)"/>
    <s v="A2LA"/>
    <s v="ASTM Method D6079 section 10.2 - Ssamples were performed on days in between the 2 fluids checks"/>
    <s v="Lab"/>
    <s v="HM"/>
    <x v="134"/>
    <x v="168"/>
    <m/>
    <x v="0"/>
    <n v="34"/>
  </r>
  <r>
    <x v="2"/>
    <n v="132"/>
    <s v="302"/>
    <s v="C302-132-25"/>
    <s v="Internal assessment (9001 &amp; 17025)"/>
    <m/>
    <s v="IA: Daily probe check sheets not being completed"/>
    <s v="Operations"/>
    <s v="KA"/>
    <x v="82"/>
    <x v="169"/>
    <n v="243"/>
    <x v="1"/>
    <m/>
  </r>
  <r>
    <x v="45"/>
    <n v="215"/>
    <s v="430"/>
    <s v="C430-215-25"/>
    <s v="Customer audit   "/>
    <s v="Shell"/>
    <s v="QC data not being evaluated in a timely manner"/>
    <s v="Lab"/>
    <s v="JP"/>
    <x v="135"/>
    <x v="170"/>
    <m/>
    <x v="0"/>
    <n v="53"/>
  </r>
  <r>
    <x v="45"/>
    <n v="215"/>
    <s v="431"/>
    <s v="C431-215-25"/>
    <s v="Customer audit   "/>
    <s v="Shell"/>
    <s v="Use of appropriate QC control chart techniques can be improved."/>
    <s v="Lab"/>
    <s v="JP"/>
    <x v="135"/>
    <x v="170"/>
    <m/>
    <x v="0"/>
    <n v="53"/>
  </r>
  <r>
    <x v="45"/>
    <n v="215"/>
    <s v="432"/>
    <s v="C432-215-25"/>
    <s v="Customer audit   "/>
    <s v="Shell"/>
    <s v="Data Release Process failed to identify incorrect data on at least 3 Shell jobs."/>
    <s v="Lab"/>
    <s v="JP"/>
    <x v="135"/>
    <x v="170"/>
    <m/>
    <x v="0"/>
    <n v="53"/>
  </r>
  <r>
    <x v="2"/>
    <n v="132"/>
    <s v="303"/>
    <s v="C303-132-25"/>
    <s v="Internal assessment (9001 &amp; 17025)"/>
    <m/>
    <s v="IA: Inspector TRBs"/>
    <s v="Operations"/>
    <s v="KA"/>
    <x v="82"/>
    <x v="169"/>
    <n v="243"/>
    <x v="1"/>
    <m/>
  </r>
  <r>
    <x v="2"/>
    <n v="132"/>
    <s v="304"/>
    <s v="C304-132-25"/>
    <s v="Internal assessment (9001 &amp; 17025)"/>
    <m/>
    <s v="IA: Ops file review"/>
    <s v="Operations"/>
    <s v="KA"/>
    <x v="82"/>
    <x v="169"/>
    <n v="243"/>
    <x v="1"/>
    <m/>
  </r>
  <r>
    <x v="10"/>
    <n v="189"/>
    <s v="263"/>
    <s v="C263-189-25"/>
    <s v="Internal assessment (9001 &amp; 17025)"/>
    <m/>
    <s v="Communication and Reporting - QSM Section 13, 15, 20 and C454-189-24 REPEAT"/>
    <s v="Operations"/>
    <s v="VV"/>
    <x v="80"/>
    <x v="170"/>
    <m/>
    <x v="0"/>
    <n v="190"/>
  </r>
  <r>
    <x v="10"/>
    <n v="189"/>
    <s v="264"/>
    <s v="C264-189-25"/>
    <s v="Internal assessment (9001 &amp; 17025)"/>
    <m/>
    <s v="Field Data Control - QSM Section 15, 20 "/>
    <s v="Operations"/>
    <s v="VV"/>
    <x v="80"/>
    <x v="170"/>
    <m/>
    <x v="0"/>
    <n v="190"/>
  </r>
  <r>
    <x v="7"/>
    <n v="160"/>
    <s v="422"/>
    <s v="C422-160-25"/>
    <s v="Customer audit   "/>
    <s v="Marathon"/>
    <s v="D5191 - nonconformance to D6299."/>
    <s v="Lab"/>
    <s v="HB"/>
    <x v="122"/>
    <x v="170"/>
    <m/>
    <x v="0"/>
    <n v="60"/>
  </r>
  <r>
    <x v="43"/>
    <s v="160A"/>
    <s v="194"/>
    <s v="C194-160A-25"/>
    <s v="Internal assessment (9001 &amp; 17025)"/>
    <m/>
    <s v="Technical and Quality Bulletins"/>
    <s v="Lab &amp; Ops"/>
    <s v="MT"/>
    <x v="58"/>
    <x v="171"/>
    <m/>
    <x v="0"/>
    <n v="231"/>
  </r>
  <r>
    <x v="11"/>
    <n v="131"/>
    <s v="348"/>
    <s v="C348-131-25"/>
    <s v="Internal assessment (9001 &amp; 17025)"/>
    <m/>
    <s v="IA: S. Sahron initial training for D3231"/>
    <s v="Lab"/>
    <s v="KA"/>
    <x v="95"/>
    <x v="171"/>
    <m/>
    <x v="0"/>
    <n v="136"/>
  </r>
  <r>
    <x v="11"/>
    <n v="131"/>
    <s v="349"/>
    <s v="C349-131-25"/>
    <s v="Internal assessment (9001 &amp; 17025)"/>
    <m/>
    <s v="IA: No prep records for D3231 solutions"/>
    <s v="Lab"/>
    <s v="KA"/>
    <x v="95"/>
    <x v="171"/>
    <m/>
    <x v="0"/>
    <n v="136"/>
  </r>
  <r>
    <x v="11"/>
    <n v="131"/>
    <s v="350"/>
    <s v="C350-131-25"/>
    <s v="Internal assessment (9001 &amp; 17025)"/>
    <m/>
    <s v="IA: Test witnessing - D5191 volume verification step"/>
    <s v="Lab"/>
    <s v="KA"/>
    <x v="95"/>
    <x v="171"/>
    <m/>
    <x v="0"/>
    <n v="136"/>
  </r>
  <r>
    <x v="11"/>
    <n v="131"/>
    <s v="351"/>
    <s v="C351-131-25"/>
    <s v="Internal assessment (9001 &amp; 17025)"/>
    <m/>
    <s v="IA: D6079 and IP501 reporting on COA"/>
    <s v="Lab"/>
    <s v="KA"/>
    <x v="95"/>
    <x v="171"/>
    <m/>
    <x v="0"/>
    <n v="136"/>
  </r>
  <r>
    <x v="33"/>
    <n v="125"/>
    <s v="133"/>
    <s v="C133-125-25"/>
    <s v="Internal assessment (9001 &amp; 17025)"/>
    <m/>
    <s v="Inspection equipment"/>
    <s v="Operations"/>
    <s v="MT"/>
    <x v="49"/>
    <x v="172"/>
    <m/>
    <x v="0"/>
    <n v="274"/>
  </r>
  <r>
    <x v="33"/>
    <n v="125"/>
    <s v="134"/>
    <s v="C134-125-25"/>
    <s v="Internal assessment (9001 &amp; 17025)"/>
    <m/>
    <s v="Purchase Order"/>
    <s v="Operations"/>
    <s v="MT"/>
    <x v="49"/>
    <x v="172"/>
    <m/>
    <x v="0"/>
    <n v="274"/>
  </r>
  <r>
    <x v="33"/>
    <n v="125"/>
    <s v="136"/>
    <s v="C136-125-25"/>
    <s v="Internal assessment (9001 &amp; 17025)"/>
    <m/>
    <s v="Test Methods"/>
    <s v="Lab"/>
    <s v="MT"/>
    <x v="49"/>
    <x v="172"/>
    <m/>
    <x v="0"/>
    <n v="274"/>
  </r>
  <r>
    <x v="33"/>
    <n v="125"/>
    <s v="139"/>
    <s v="C139-125-25"/>
    <s v="Internal assessment (9001 &amp; 17025)"/>
    <m/>
    <s v="Training Records for Lab staff"/>
    <s v="Lab"/>
    <s v="MT"/>
    <x v="49"/>
    <x v="172"/>
    <m/>
    <x v="0"/>
    <n v="274"/>
  </r>
  <r>
    <x v="54"/>
    <s v="155A"/>
    <s v="415"/>
    <s v="C415-155A-25"/>
    <s v="Internal assessment (9001 &amp; 17025)"/>
    <m/>
    <s v="IA: QSM Section 15 - MFDB not signed / inspector writeovers"/>
    <s v="Operations"/>
    <s v="Ecu"/>
    <x v="136"/>
    <x v="172"/>
    <m/>
    <x v="0"/>
    <n v="70"/>
  </r>
  <r>
    <x v="54"/>
    <s v="155A"/>
    <s v="416"/>
    <s v="C416-155A-25"/>
    <s v="Internal assessment (9001 &amp; 17025)"/>
    <m/>
    <s v="IA: QSM Section 7 - SR-1s do not include unique sample ID / not signed for deposit of samples"/>
    <s v="Lab &amp; Ops"/>
    <s v="Ecu"/>
    <x v="136"/>
    <x v="172"/>
    <m/>
    <x v="0"/>
    <n v="70"/>
  </r>
  <r>
    <x v="54"/>
    <s v="155A"/>
    <s v="417"/>
    <s v="C417-155A-25"/>
    <s v="Internal assessment (9001 &amp; 17025)"/>
    <m/>
    <s v="IA: LQSM Section 14 - Method Deviations"/>
    <s v="Lab"/>
    <s v="Ecu"/>
    <x v="136"/>
    <x v="172"/>
    <m/>
    <x v="0"/>
    <n v="70"/>
  </r>
  <r>
    <x v="54"/>
    <s v="155A"/>
    <s v="418"/>
    <s v="C418-155A-25"/>
    <s v="Internal assessment (9001 &amp; 17025)"/>
    <m/>
    <s v="IA: LQSM Section 16 - QCs"/>
    <s v="Lab"/>
    <s v="Ecu"/>
    <x v="136"/>
    <x v="172"/>
    <m/>
    <x v="0"/>
    <n v="70"/>
  </r>
  <r>
    <x v="14"/>
    <n v="191"/>
    <s v="471"/>
    <s v="C471-191-24"/>
    <s v="Internal assessment (9001 &amp; 17025)"/>
    <m/>
    <s v="Inspector training record"/>
    <s v="Operations"/>
    <s v="MT"/>
    <x v="18"/>
    <x v="172"/>
    <m/>
    <x v="0"/>
    <n v="399"/>
  </r>
  <r>
    <x v="35"/>
    <n v="126"/>
    <s v="181"/>
    <s v="C181-126-24"/>
    <s v="Internal assessment (9001 &amp; 17025)"/>
    <m/>
    <s v="IA - Instrument Calibration/Verification"/>
    <s v="Lab"/>
    <s v="RB"/>
    <x v="50"/>
    <x v="172"/>
    <m/>
    <x v="0"/>
    <n v="601"/>
  </r>
  <r>
    <x v="35"/>
    <n v="126"/>
    <s v="182"/>
    <s v="C182-126-24"/>
    <s v="Internal assessment (9001 &amp; 17025)"/>
    <m/>
    <s v="IA - Testing"/>
    <s v="Lab"/>
    <s v="RB"/>
    <x v="50"/>
    <x v="172"/>
    <m/>
    <x v="0"/>
    <n v="601"/>
  </r>
  <r>
    <x v="35"/>
    <n v="126"/>
    <s v="185"/>
    <s v="C185-126-24"/>
    <s v="Internal assessment (9001 &amp; 17025)"/>
    <m/>
    <s v="IA - QC"/>
    <s v="Lab"/>
    <s v="RB"/>
    <x v="50"/>
    <x v="172"/>
    <m/>
    <x v="0"/>
    <n v="601"/>
  </r>
  <r>
    <x v="12"/>
    <n v="130"/>
    <s v="478"/>
    <s v="C478-130-25"/>
    <s v="3rd party audit (DNV, A2LA, AASHTO…)"/>
    <s v="USCBP"/>
    <s v="Non-compliance with 19 CFR 151.12(j)(3)(v) and 151.12(f)(3)(iv)(C): Laboratory report signed and testing performed by personnel not on approved signatory list and lacking required qualifications."/>
    <s v="Lab"/>
    <s v="HM"/>
    <x v="131"/>
    <x v="173"/>
    <m/>
    <x v="0"/>
    <n v="38"/>
  </r>
  <r>
    <x v="23"/>
    <n v="142"/>
    <s v="113"/>
    <s v="C113-142-25"/>
    <s v="Internal assessment (9001 &amp; 17025)"/>
    <m/>
    <s v="IA: No record of review of locally controlled docs"/>
    <s v="Lab &amp; Ops"/>
    <s v="Ecu"/>
    <x v="137"/>
    <x v="174"/>
    <m/>
    <x v="0"/>
    <n v="304"/>
  </r>
  <r>
    <x v="42"/>
    <n v="171"/>
    <s v="489"/>
    <s v="C489-171-25"/>
    <s v="Internal assessment (9001 &amp; 17025)"/>
    <m/>
    <s v="IA: UOP163 test witnessing"/>
    <s v="Lab"/>
    <s v="KA"/>
    <x v="138"/>
    <x v="174"/>
    <m/>
    <x v="0"/>
    <n v="23"/>
  </r>
  <r>
    <x v="55"/>
    <n v="137"/>
    <s v="683"/>
    <s v="C683-137-23"/>
    <s v="Internal assessment (9001 &amp; 17025)"/>
    <m/>
    <s v="Quality Control/Validity of results"/>
    <m/>
    <s v="AH"/>
    <x v="139"/>
    <x v="175"/>
    <m/>
    <x v="0"/>
    <n v="791"/>
  </r>
  <r>
    <x v="55"/>
    <n v="137"/>
    <s v="684"/>
    <s v="C684-137-23"/>
    <s v="Internal assessment (9001 &amp; 17025)"/>
    <m/>
    <s v="Lab equipment (calibration/verification/maintenance)"/>
    <m/>
    <s v="AH"/>
    <x v="139"/>
    <x v="175"/>
    <m/>
    <x v="0"/>
    <n v="791"/>
  </r>
  <r>
    <x v="55"/>
    <n v="137"/>
    <s v="685"/>
    <s v="C685-137-23"/>
    <s v="Internal assessment (9001 &amp; 17025)"/>
    <m/>
    <s v="Quality Management System"/>
    <m/>
    <s v="AH"/>
    <x v="139"/>
    <x v="175"/>
    <m/>
    <x v="0"/>
    <n v="791"/>
  </r>
  <r>
    <x v="51"/>
    <n v="129"/>
    <n v="527"/>
    <s v="C527-129-24"/>
    <s v="Internal assessment (9001 &amp; 17025)"/>
    <m/>
    <s v="IA: MOCs"/>
    <s v="Lab"/>
    <s v="EC"/>
    <x v="114"/>
    <x v="174"/>
    <m/>
    <x v="0"/>
    <n v="323"/>
  </r>
  <r>
    <x v="51"/>
    <n v="129"/>
    <n v="528"/>
    <s v="C528-129-24"/>
    <s v="Internal assessment (9001 &amp; 17025)"/>
    <m/>
    <s v="IA: Equipment Management"/>
    <s v="Lab"/>
    <s v="EC"/>
    <x v="114"/>
    <x v="174"/>
    <m/>
    <x v="0"/>
    <n v="323"/>
  </r>
  <r>
    <x v="22"/>
    <n v="178"/>
    <s v="512"/>
    <s v="C512-178-25"/>
    <s v="Customer audit   "/>
    <s v="Energy Transfer"/>
    <s v="Precision - Instrument Reproducibility - failed GPA 2177-24 reproducibility "/>
    <s v="Lab"/>
    <s v="DA"/>
    <x v="131"/>
    <x v="176"/>
    <m/>
    <x v="0"/>
    <n v="46"/>
  </r>
  <r>
    <x v="22"/>
    <n v="178"/>
    <s v="513"/>
    <s v="C513-178-25"/>
    <s v="Customer audit   "/>
    <s v="Energy Transfer"/>
    <s v="Precision - Instrument Repeatability - FID passed, TCD failed repeatability. "/>
    <s v="Lab"/>
    <s v="DA"/>
    <x v="131"/>
    <x v="176"/>
    <m/>
    <x v="0"/>
    <n v="46"/>
  </r>
  <r>
    <x v="22"/>
    <n v="178"/>
    <s v="514"/>
    <s v="C514-178-25"/>
    <s v="Customer audit   "/>
    <s v="Energy Transfer"/>
    <s v="Method Noncompliance - Procedure - does not run GPA 2177 before running GPA 2186 method. "/>
    <s v="Lab"/>
    <s v="DA"/>
    <x v="131"/>
    <x v="176"/>
    <m/>
    <x v="0"/>
    <n v="46"/>
  </r>
  <r>
    <x v="22"/>
    <n v="178"/>
    <s v="515"/>
    <s v="C515-178-25"/>
    <s v="Customer audit   "/>
    <s v="Energy Transfer"/>
    <s v="Method noncompliance - Calibration - does not have proper calibration standards for the method."/>
    <s v="Lab"/>
    <s v="DA"/>
    <x v="131"/>
    <x v="176"/>
    <m/>
    <x v="0"/>
    <n v="46"/>
  </r>
  <r>
    <x v="38"/>
    <n v="170"/>
    <s v="185"/>
    <s v="C185-170-25"/>
    <s v="Internal assessment (9001 &amp; 17025)"/>
    <m/>
    <s v="IA: Clause 7.5 Technical records"/>
    <s v="Lab"/>
    <s v="AH"/>
    <x v="58"/>
    <x v="177"/>
    <m/>
    <x v="0"/>
    <n v="247"/>
  </r>
  <r>
    <x v="23"/>
    <n v="142"/>
    <s v="114"/>
    <s v="C114-142-25"/>
    <s v="Internal assessment (9001 &amp; 17025)"/>
    <m/>
    <s v="IA: D5501 RTs changed without verification"/>
    <s v="Lab"/>
    <s v="Ecu"/>
    <x v="137"/>
    <x v="177"/>
    <m/>
    <x v="0"/>
    <n v="309"/>
  </r>
  <r>
    <x v="0"/>
    <n v="197"/>
    <s v="378"/>
    <s v="C378-197-24"/>
    <s v="Internal assessment (9001 &amp; 17025)"/>
    <m/>
    <s v="IA:  Clause 6.2.5"/>
    <s v="Lab"/>
    <s v="KA"/>
    <x v="0"/>
    <x v="178"/>
    <m/>
    <x v="0"/>
    <n v="501"/>
  </r>
  <r>
    <x v="0"/>
    <n v="197"/>
    <s v="384"/>
    <s v="C384-197-24"/>
    <s v="Internal assessment (9001 &amp; 17025)"/>
    <m/>
    <s v="IA:  Clause 7.7.1, 7.7.3"/>
    <s v="Lab"/>
    <s v="KA"/>
    <x v="0"/>
    <x v="178"/>
    <m/>
    <x v="0"/>
    <n v="501"/>
  </r>
  <r>
    <x v="23"/>
    <n v="142"/>
    <s v="115"/>
    <s v="C115-142-25"/>
    <s v="Internal assessment (9001 &amp; 17025)"/>
    <m/>
    <s v="IA: QCs - D5501 chart OOC, delays in data entry"/>
    <s v="Lab"/>
    <s v="Ecu"/>
    <x v="137"/>
    <x v="179"/>
    <m/>
    <x v="0"/>
    <n v="315"/>
  </r>
  <r>
    <x v="33"/>
    <n v="125"/>
    <s v="148"/>
    <s v="C148-125-24"/>
    <s v="Internal assessment (9001 &amp; 17025)"/>
    <m/>
    <s v="Test witnessing"/>
    <s v="Lab"/>
    <s v="AH"/>
    <x v="140"/>
    <x v="180"/>
    <m/>
    <x v="0"/>
    <n v="638"/>
  </r>
  <r>
    <x v="33"/>
    <n v="125"/>
    <s v="420"/>
    <s v="C420-125-24"/>
    <s v="Other (QC, customer alert, improper procedure)"/>
    <s v="Amspec"/>
    <s v="PT Outliers Observed as a Result of Multiple Transcription Errors During Data Entry"/>
    <s v="Lab"/>
    <s v="JP"/>
    <x v="141"/>
    <x v="180"/>
    <m/>
    <x v="0"/>
    <n v="488"/>
  </r>
  <r>
    <x v="28"/>
    <n v="150"/>
    <s v="101"/>
    <s v="C101-150-24"/>
    <s v="Internal assessment (9001 &amp; 17025)"/>
    <m/>
    <s v="Inspector training records"/>
    <s v="Operations"/>
    <s v="AH"/>
    <x v="68"/>
    <x v="180"/>
    <m/>
    <x v="0"/>
    <n v="667"/>
  </r>
  <r>
    <x v="28"/>
    <n v="150"/>
    <s v="102"/>
    <s v="C102-150-24"/>
    <s v="Internal assessment (9001 &amp; 17025)"/>
    <m/>
    <s v="Job File review - traceability of field inspector raw data and final inspection reports, missing JSAs, write overs on field raw data"/>
    <s v="Operations"/>
    <s v="AH"/>
    <x v="68"/>
    <x v="180"/>
    <m/>
    <x v="0"/>
    <n v="667"/>
  </r>
  <r>
    <x v="55"/>
    <n v="137"/>
    <s v="330"/>
    <s v="C330-137-24"/>
    <s v="Internal assessment (9001 &amp; 17025)"/>
    <m/>
    <s v="IA - Safety"/>
    <s v="Lab"/>
    <s v="RB"/>
    <x v="29"/>
    <x v="174"/>
    <m/>
    <x v="0"/>
    <n v="507"/>
  </r>
  <r>
    <x v="2"/>
    <n v="132"/>
    <s v="306"/>
    <s v="C306-132-25"/>
    <s v="Internal assessment (9001 &amp; 17025)"/>
    <m/>
    <s v="IA: Clause 6.4.9, 6.4.10"/>
    <s v="Lab"/>
    <s v="KA"/>
    <x v="82"/>
    <x v="169"/>
    <n v="243"/>
    <x v="1"/>
    <m/>
  </r>
  <r>
    <x v="12"/>
    <n v="130"/>
    <s v="467"/>
    <s v="C467-130-25"/>
    <s v="3rd party audit (DNV, A2LA, AASHTO…)"/>
    <s v="A2LA"/>
    <s v="Clause 7.10, No evidence a nonconformance evaluation was performed after balance CA323 was adjusted during re-calibration."/>
    <s v="Lab"/>
    <s v="HM"/>
    <x v="134"/>
    <x v="181"/>
    <m/>
    <x v="0"/>
    <n v="68"/>
  </r>
  <r>
    <x v="19"/>
    <n v="180"/>
    <s v="485"/>
    <s v="C485-180-25"/>
    <s v="3rd party audit (DNV, A2LA, AASHTO…)"/>
    <s v="USCBP"/>
    <s v="Non-compliance with 19 CFR 151.12(f)(3)(iv)( C): Laboratory testing performed by personnel not on approved signatory list and lacking required qualifications."/>
    <s v="Lab"/>
    <s v="KA"/>
    <x v="142"/>
    <x v="182"/>
    <m/>
    <x v="0"/>
    <n v="44"/>
  </r>
  <r>
    <x v="7"/>
    <n v="160"/>
    <s v="003"/>
    <s v="C003-160-26"/>
    <s v="Complaint"/>
    <s v="ExxonMobil"/>
    <s v="ExxonMobil - Delay release of barges"/>
    <s v="Operations"/>
    <s v="HB"/>
    <x v="143"/>
    <x v="183"/>
    <m/>
    <x v="0"/>
    <n v="2"/>
  </r>
  <r>
    <x v="12"/>
    <n v="130"/>
    <s v="002"/>
    <s v="C002-130-26"/>
    <s v="Complaint"/>
    <s v="P66"/>
    <s v="P66 - Lab incorrectly reported freeze point result"/>
    <s v="Lab"/>
    <s v="HM"/>
    <x v="144"/>
    <x v="175"/>
    <m/>
    <x v="0"/>
    <n v="11"/>
  </r>
  <r>
    <x v="17"/>
    <n v="146"/>
    <s v="395"/>
    <s v="C395-146-25"/>
    <s v="Internal assessment (9001 &amp; 17025)"/>
    <m/>
    <s v="IA: Clause 7.2.1.7"/>
    <s v="Lab"/>
    <s v="KA"/>
    <x v="145"/>
    <x v="175"/>
    <m/>
    <x v="0"/>
    <n v="125"/>
  </r>
  <r>
    <x v="11"/>
    <n v="131"/>
    <s v="001"/>
    <s v="C001-131-26"/>
    <s v="Complaint"/>
    <s v="P66"/>
    <s v="P66 - Lab failed to timely identify a typo in freeze results despite client requesting recheck. (5 hours delay)"/>
    <s v="Lab"/>
    <s v="HM"/>
    <x v="146"/>
    <x v="175"/>
    <m/>
    <x v="0"/>
    <n v="12"/>
  </r>
  <r>
    <x v="42"/>
    <n v="171"/>
    <s v="486"/>
    <s v="C486-171-25"/>
    <s v="Internal assessment (9001 &amp; 17025)"/>
    <m/>
    <s v="IA: Gap in daily probe check thermometer calibration"/>
    <s v="Operations"/>
    <s v="KA"/>
    <x v="138"/>
    <x v="175"/>
    <m/>
    <x v="0"/>
    <n v="47"/>
  </r>
  <r>
    <x v="42"/>
    <n v="171"/>
    <s v="487"/>
    <s v="C487-171-25"/>
    <s v="Internal assessment (9001 &amp; 17025)"/>
    <m/>
    <s v="IA: Inspector does not have FIT test"/>
    <s v="Operations"/>
    <s v="KA"/>
    <x v="138"/>
    <x v="175"/>
    <m/>
    <x v="0"/>
    <n v="47"/>
  </r>
  <r>
    <x v="42"/>
    <n v="171"/>
    <s v="488"/>
    <s v="C488-171-25"/>
    <s v="Internal assessment (9001 &amp; 17025)"/>
    <m/>
    <s v="IA: S/Ns for probes listed on tally books do not match final reports"/>
    <s v="Operations"/>
    <s v="KA"/>
    <x v="138"/>
    <x v="175"/>
    <m/>
    <x v="0"/>
    <n v="47"/>
  </r>
  <r>
    <x v="55"/>
    <n v="137"/>
    <s v="336"/>
    <s v="C336-137-24"/>
    <s v="Internal assessment (9001 &amp; 17025)"/>
    <m/>
    <s v="IA - TMA Schedule"/>
    <s v="Lab"/>
    <s v="RB"/>
    <x v="29"/>
    <x v="174"/>
    <m/>
    <x v="0"/>
    <n v="507"/>
  </r>
  <r>
    <x v="55"/>
    <n v="137"/>
    <s v="331"/>
    <s v="C331-137-24"/>
    <s v="Internal assessment (9001 &amp; 17025)"/>
    <m/>
    <s v="IA - Field Equipment"/>
    <s v="Operations"/>
    <s v="RB"/>
    <x v="29"/>
    <x v="184"/>
    <m/>
    <x v="0"/>
    <n v="520"/>
  </r>
  <r>
    <x v="55"/>
    <n v="137"/>
    <s v="332"/>
    <s v="C332-137-24"/>
    <s v="Internal assessment (9001 &amp; 17025)"/>
    <m/>
    <s v="IA - File Review"/>
    <s v="Lab &amp; Ops"/>
    <s v="RB"/>
    <x v="29"/>
    <x v="175"/>
    <m/>
    <x v="0"/>
    <n v="531"/>
  </r>
  <r>
    <x v="55"/>
    <n v="137"/>
    <s v="333"/>
    <s v="C333-137-24"/>
    <s v="Internal assessment (9001 &amp; 17025)"/>
    <m/>
    <s v="IA - Technicial Records"/>
    <s v="Lab"/>
    <s v="RB"/>
    <x v="29"/>
    <x v="185"/>
    <m/>
    <x v="0"/>
    <n v="532"/>
  </r>
  <r>
    <x v="55"/>
    <n v="137"/>
    <s v="335"/>
    <s v="C335-137-24"/>
    <s v="Internal assessment (9001 &amp; 17025)"/>
    <m/>
    <s v="IA - QC Chart"/>
    <s v="Lab"/>
    <s v="RB"/>
    <x v="29"/>
    <x v="186"/>
    <m/>
    <x v="0"/>
    <n v="547"/>
  </r>
  <r>
    <x v="46"/>
    <n v="121"/>
    <s v="022"/>
    <s v="C022-121-26"/>
    <s v="Complaint"/>
    <s v="Lyondell"/>
    <s v="Lyondell - Incorrect dose of inhibitor"/>
    <s v="Operations"/>
    <s v="HB"/>
    <x v="147"/>
    <x v="187"/>
    <m/>
    <x v="0"/>
    <n v="22"/>
  </r>
  <r>
    <x v="45"/>
    <n v="215"/>
    <s v="505"/>
    <s v="C505-215-25"/>
    <s v="Internal assessment (9001 &amp; 17025)"/>
    <m/>
    <s v="IA: LQSM Section 10 NCR Procedure"/>
    <s v="Lab"/>
    <s v="Ecu"/>
    <x v="148"/>
    <x v="188"/>
    <m/>
    <x v="0"/>
    <n v="42"/>
  </r>
  <r>
    <x v="3"/>
    <n v="120"/>
    <s v="282"/>
    <s v="C282-120-25"/>
    <s v="Internal assessment (9001 &amp; 17025)"/>
    <m/>
    <s v="IA: Inspector TRBs"/>
    <s v="Operations"/>
    <s v="KA"/>
    <x v="124"/>
    <x v="188"/>
    <m/>
    <x v="0"/>
    <n v="218"/>
  </r>
  <r>
    <x v="37"/>
    <n v="194"/>
    <s v="173"/>
    <s v="C173-194-25"/>
    <s v="Internal assessment (9001 &amp; 17025)"/>
    <m/>
    <s v="IA: File review"/>
    <s v="Operations"/>
    <s v="Ecu"/>
    <x v="53"/>
    <x v="188"/>
    <m/>
    <x v="0"/>
    <n v="287"/>
  </r>
  <r>
    <x v="37"/>
    <n v="194"/>
    <s v="174"/>
    <s v="C174-194-25"/>
    <s v="Internal assessment (9001 &amp; 17025)"/>
    <m/>
    <s v="IA: Inspector TRBs"/>
    <s v="Operations"/>
    <s v="Ecu"/>
    <x v="53"/>
    <x v="188"/>
    <m/>
    <x v="0"/>
    <n v="287"/>
  </r>
  <r>
    <x v="14"/>
    <n v="191"/>
    <s v="438"/>
    <s v="C438-191-25"/>
    <s v="Internal assessment (9001 &amp; 17025)"/>
    <m/>
    <s v="IA: LQSM Section 14 and 17"/>
    <s v="Lab"/>
    <s v="Ecu"/>
    <x v="126"/>
    <x v="188"/>
    <m/>
    <x v="0"/>
    <n v="91"/>
  </r>
  <r>
    <x v="14"/>
    <n v="191"/>
    <s v="441"/>
    <s v="C441-191-25"/>
    <s v="Internal assessment (9001 &amp; 17025)"/>
    <m/>
    <s v="IA: Clause 7.5.1"/>
    <s v="Lab"/>
    <s v="Ecu"/>
    <x v="126"/>
    <x v="188"/>
    <m/>
    <x v="0"/>
    <n v="91"/>
  </r>
  <r>
    <x v="14"/>
    <n v="191"/>
    <s v="442"/>
    <s v="C442-191-25"/>
    <s v="Internal assessment (9001 &amp; 17025)"/>
    <m/>
    <s v="IA: Clause 7.5.2 and 7.8.8"/>
    <s v="Lab"/>
    <s v="Ecu"/>
    <x v="126"/>
    <x v="188"/>
    <m/>
    <x v="0"/>
    <n v="91"/>
  </r>
  <r>
    <x v="0"/>
    <n v="197"/>
    <s v="333"/>
    <s v="C333-197-25"/>
    <s v="Internal assessment (9001 &amp; 17025)"/>
    <m/>
    <s v="Clause 8.5 Management review"/>
    <s v="Lab"/>
    <s v="AH"/>
    <x v="149"/>
    <x v="188"/>
    <m/>
    <x v="0"/>
    <n v="189"/>
  </r>
  <r>
    <x v="53"/>
    <n v="159"/>
    <s v="396"/>
    <s v="C396-159-25"/>
    <s v="Internal assessment (9001 &amp; 17025)"/>
    <m/>
    <s v="Reporting - Criteria: QSM S15 Part 4; LQSM S13 Part 3"/>
    <s v="Lab &amp; Ops"/>
    <s v="AH"/>
    <x v="129"/>
    <x v="189"/>
    <m/>
    <x v="0"/>
    <n v="133"/>
  </r>
  <r>
    <x v="11"/>
    <n v="131"/>
    <s v="499"/>
    <s v="C499-131-25"/>
    <s v="Complaint"/>
    <m/>
    <s v="PBF D97 - Discrepancy in load port Barge results vs. barge result at arrival in Los Angeles "/>
    <s v="Lab &amp; Ops"/>
    <s v="HM"/>
    <x v="138"/>
    <x v="189"/>
    <m/>
    <x v="0"/>
    <n v="51"/>
  </r>
  <r>
    <x v="43"/>
    <s v="160A"/>
    <s v="195"/>
    <s v="C195-160A-25"/>
    <s v="Internal assessment (9001 &amp; 17025)"/>
    <m/>
    <s v="Sample Management"/>
    <s v="Lab"/>
    <s v="MT"/>
    <x v="58"/>
    <x v="190"/>
    <m/>
    <x v="0"/>
    <n v="271"/>
  </r>
  <r>
    <x v="43"/>
    <s v="160A"/>
    <s v="196"/>
    <s v="C196-160A-25"/>
    <s v="Internal assessment (9001 &amp; 17025)"/>
    <m/>
    <s v="Lab Equipment/Reagent status"/>
    <s v="Lab"/>
    <s v="MT"/>
    <x v="58"/>
    <x v="190"/>
    <m/>
    <x v="0"/>
    <n v="271"/>
  </r>
  <r>
    <x v="43"/>
    <s v="160A"/>
    <s v="197"/>
    <s v="C197-160A-25"/>
    <s v="Internal assessment (9001 &amp; 17025)"/>
    <m/>
    <s v="Lab equipment calibration and verification"/>
    <s v="Lab"/>
    <s v="MT"/>
    <x v="58"/>
    <x v="190"/>
    <m/>
    <x v="0"/>
    <n v="271"/>
  </r>
  <r>
    <x v="43"/>
    <s v="160A"/>
    <s v="198"/>
    <s v="C198-160A-25"/>
    <s v="Internal assessment (9001 &amp; 17025)"/>
    <m/>
    <s v="Lab reporting"/>
    <s v="Lab"/>
    <s v="MT"/>
    <x v="58"/>
    <x v="190"/>
    <m/>
    <x v="0"/>
    <n v="271"/>
  </r>
  <r>
    <x v="43"/>
    <s v="160A"/>
    <s v="199"/>
    <s v="C199-160A-25"/>
    <s v="Internal assessment (9001 &amp; 17025)"/>
    <m/>
    <s v="Lab raw data"/>
    <s v="Lab"/>
    <s v="MT"/>
    <x v="58"/>
    <x v="190"/>
    <m/>
    <x v="0"/>
    <n v="271"/>
  </r>
  <r>
    <x v="43"/>
    <s v="160A"/>
    <s v="200"/>
    <s v="C200-160A-25"/>
    <s v="Internal assessment (9001 &amp; 17025)"/>
    <m/>
    <s v="Test witnessing"/>
    <s v="Lab"/>
    <s v="MT"/>
    <x v="58"/>
    <x v="190"/>
    <m/>
    <x v="0"/>
    <n v="271"/>
  </r>
  <r>
    <x v="43"/>
    <s v="160A"/>
    <s v="201"/>
    <s v="C201-160A-25"/>
    <s v="Internal assessment (9001 &amp; 17025)"/>
    <m/>
    <s v="MOC"/>
    <s v="Lab"/>
    <s v="MT"/>
    <x v="58"/>
    <x v="190"/>
    <m/>
    <x v="0"/>
    <n v="271"/>
  </r>
  <r>
    <x v="12"/>
    <n v="130"/>
    <s v="497"/>
    <s v="C497-130-25"/>
    <s v="Complaint"/>
    <m/>
    <s v="Shell - investigate discrepancy between initial and recheck of octane results. D2699/D2700"/>
    <s v="Lab"/>
    <s v="HM"/>
    <x v="150"/>
    <x v="191"/>
    <m/>
    <x v="0"/>
    <n v="61"/>
  </r>
  <r>
    <x v="34"/>
    <n v="138"/>
    <s v="102"/>
    <s v="C102-138-25"/>
    <s v="Internal assessment (9001 &amp; 17025)"/>
    <m/>
    <s v="Inspection raw data"/>
    <s v="Operations"/>
    <s v="MT"/>
    <x v="43"/>
    <x v="192"/>
    <m/>
    <x v="0"/>
    <n v="343"/>
  </r>
  <r>
    <x v="56"/>
    <n v="116"/>
    <s v="490"/>
    <s v="C490-116-25"/>
    <s v="Internal assessment (9001 &amp; 17025)"/>
    <m/>
    <s v="IA: Lab training binders"/>
    <s v="Lab"/>
    <s v="KA"/>
    <x v="151"/>
    <x v="193"/>
    <m/>
    <x v="0"/>
    <n v="60"/>
  </r>
  <r>
    <x v="56"/>
    <n v="116"/>
    <s v="493"/>
    <s v="C493-116-25"/>
    <s v="Internal assessment (9001 &amp; 17025)"/>
    <m/>
    <s v="IA: D473 thimble"/>
    <s v="Lab"/>
    <s v="KA"/>
    <x v="151"/>
    <x v="193"/>
    <m/>
    <x v="0"/>
    <n v="60"/>
  </r>
  <r>
    <x v="0"/>
    <n v="197"/>
    <s v="334"/>
    <s v="C334-197-25"/>
    <s v="Internal assessment (9001 &amp; 17025)"/>
    <m/>
    <s v="A2LA Policy P102"/>
    <s v="Lab"/>
    <s v="AH"/>
    <x v="149"/>
    <x v="193"/>
    <m/>
    <x v="0"/>
    <n v="200"/>
  </r>
  <r>
    <x v="28"/>
    <n v="150"/>
    <s v="159"/>
    <s v="C159-150-25"/>
    <s v="Internal assessment (9001 &amp; 17025)"/>
    <m/>
    <s v="IA: Clause 8.7 and 8.8.2"/>
    <s v="Lab"/>
    <s v="Ecu"/>
    <x v="55"/>
    <x v="193"/>
    <m/>
    <x v="0"/>
    <n v="318"/>
  </r>
  <r>
    <x v="55"/>
    <n v="137"/>
    <s v="337"/>
    <s v="C337-137-24"/>
    <s v="Internal assessment (9001 &amp; 17025)"/>
    <m/>
    <s v="IA - Corrective Actions"/>
    <s v="Lab &amp; Ops"/>
    <s v="RB"/>
    <x v="29"/>
    <x v="186"/>
    <m/>
    <x v="0"/>
    <n v="547"/>
  </r>
  <r>
    <x v="55"/>
    <n v="137"/>
    <s v="334"/>
    <s v="C334-137-24"/>
    <s v="Internal assessment (9001 &amp; 17025)"/>
    <m/>
    <s v="IA - Laboratory Equipment"/>
    <s v="Lab"/>
    <s v="RB"/>
    <x v="29"/>
    <x v="169"/>
    <n v="561"/>
    <x v="1"/>
    <m/>
  </r>
  <r>
    <x v="3"/>
    <n v="120"/>
    <s v="271"/>
    <s v="C271-120-24"/>
    <s v="Internal assessment (9001 &amp; 17025)"/>
    <m/>
    <s v="IA: Clause 7.7.1"/>
    <s v="Lab"/>
    <s v="KA"/>
    <x v="4"/>
    <x v="194"/>
    <m/>
    <x v="0"/>
    <n v="597"/>
  </r>
  <r>
    <x v="11"/>
    <n v="131"/>
    <s v="023"/>
    <s v="C023-131-26"/>
    <s v="Complaint"/>
    <s v="PBF"/>
    <s v="Wrong sampler tube used affecting water content results (Repeat)"/>
    <s v="Operations"/>
    <s v="HM"/>
    <x v="152"/>
    <x v="195"/>
    <m/>
    <x v="0"/>
    <n v="14"/>
  </r>
  <r>
    <x v="3"/>
    <n v="120"/>
    <s v="281"/>
    <s v="C281-120-25"/>
    <s v="Internal assessment (9001 &amp; 17025)"/>
    <m/>
    <s v="IA: No review of QBs by Ops"/>
    <s v="Operations"/>
    <s v="KA"/>
    <x v="124"/>
    <x v="196"/>
    <m/>
    <x v="0"/>
    <n v="236"/>
  </r>
  <r>
    <x v="3"/>
    <n v="120"/>
    <s v="038"/>
    <s v="C038-120-26"/>
    <s v="Complaint"/>
    <s v="Irving"/>
    <s v="Irving - Missed temp measurements and not gauge to nearest mm"/>
    <s v="Operations"/>
    <s v="HB"/>
    <x v="153"/>
    <x v="196"/>
    <m/>
    <x v="0"/>
    <n v="35"/>
  </r>
  <r>
    <x v="2"/>
    <n v="132"/>
    <s v="310"/>
    <s v="C310-132-25"/>
    <s v="Internal assessment (9001 &amp; 17025)"/>
    <m/>
    <s v="IA: Clause 7.10.1"/>
    <s v="Lab"/>
    <s v="KA"/>
    <x v="82"/>
    <x v="169"/>
    <n v="243"/>
    <x v="1"/>
    <m/>
  </r>
  <r>
    <x v="12"/>
    <n v="130"/>
    <s v="464"/>
    <s v="C464-130-25"/>
    <s v="3rd party audit (DNV, A2LA, AASHTO…)"/>
    <s v="A2LA"/>
    <s v="Clause 7.8.1.2 - Report  included designation (*, !) and_x000a_outdated version numbers with no footnotes."/>
    <s v="Lab"/>
    <s v="HM"/>
    <x v="134"/>
    <x v="197"/>
    <m/>
    <x v="0"/>
    <n v="97"/>
  </r>
  <r>
    <x v="12"/>
    <n v="130"/>
    <s v="465"/>
    <s v="C465-130-25"/>
    <s v="3rd party audit (DNV, A2LA, AASHTO…)"/>
    <s v="A2LA"/>
    <s v="Clause 7.5.1 There was no objective evidence of_x000a_records associated with method ASTM D5863"/>
    <s v="Lab"/>
    <s v="HM"/>
    <x v="134"/>
    <x v="197"/>
    <m/>
    <x v="0"/>
    <n v="97"/>
  </r>
  <r>
    <x v="12"/>
    <n v="130"/>
    <s v="466"/>
    <s v="C466-130-25"/>
    <s v="3rd party audit (DNV, A2LA, AASHTO…)"/>
    <s v="A2LA"/>
    <s v="A2LA P102 T3 Reference Materials when possible - no_x000a_evidence of accredited CRM for the most recent calibration for D4815"/>
    <s v="Lab"/>
    <s v="HM"/>
    <x v="134"/>
    <x v="197"/>
    <m/>
    <x v="0"/>
    <n v="97"/>
  </r>
  <r>
    <x v="15"/>
    <n v="110"/>
    <s v="420"/>
    <s v="C420-110-25"/>
    <s v="Internal assessment (9001 &amp; 17025)"/>
    <m/>
    <s v="Amended Reports"/>
    <s v="Lab &amp; Ops"/>
    <s v="AH"/>
    <x v="154"/>
    <x v="198"/>
    <m/>
    <x v="0"/>
    <n v="121"/>
  </r>
  <r>
    <x v="0"/>
    <n v="197"/>
    <s v="328"/>
    <s v="C328-197-25"/>
    <s v="Internal assessment (9001 &amp; 17025)"/>
    <m/>
    <s v="Clause 6.5 Metrological traceability"/>
    <s v="Lab"/>
    <s v="AH"/>
    <x v="149"/>
    <x v="198"/>
    <m/>
    <x v="0"/>
    <n v="210"/>
  </r>
  <r>
    <x v="9"/>
    <n v="136"/>
    <s v="518"/>
    <s v="C518-136-25"/>
    <s v="Internal assessment (9001 &amp; 17025)"/>
    <m/>
    <s v="IA: LQSM Section 7 Sample Management (FL 104)"/>
    <s v="Lab"/>
    <s v="AH"/>
    <x v="155"/>
    <x v="199"/>
    <m/>
    <x v="0"/>
    <n v="35"/>
  </r>
  <r>
    <x v="11"/>
    <n v="131"/>
    <s v="037"/>
    <s v="C037-131-26"/>
    <s v="Complaint"/>
    <s v="Chevron"/>
    <s v="Chevron - Quantity deviation from nomination not communicated to client until report was issued"/>
    <s v="Operations"/>
    <s v="HM"/>
    <x v="156"/>
    <x v="199"/>
    <m/>
    <x v="0"/>
    <n v="10"/>
  </r>
  <r>
    <x v="45"/>
    <n v="215"/>
    <s v="500"/>
    <s v="C500-215-25"/>
    <s v="Internal assessment (9001 &amp; 17025)"/>
    <m/>
    <s v="IA: QSM Section 14 Purchase Orders missing quality statement"/>
    <s v="Lab &amp; Ops"/>
    <s v="Ecu"/>
    <x v="148"/>
    <x v="200"/>
    <m/>
    <x v="0"/>
    <n v="68"/>
  </r>
  <r>
    <x v="45"/>
    <n v="215"/>
    <s v="503"/>
    <s v="C503-215-25"/>
    <s v="Internal assessment (9001 &amp; 17025)"/>
    <m/>
    <s v="IA: LQSM Section 18 LSOP-1 not signed, Section 13 Training Records"/>
    <s v="Lab"/>
    <s v="Ecu"/>
    <x v="148"/>
    <x v="200"/>
    <m/>
    <x v="0"/>
    <n v="68"/>
  </r>
  <r>
    <x v="9"/>
    <n v="136"/>
    <s v="517"/>
    <s v="C517-136-25"/>
    <s v="Internal assessment (9001 &amp; 17025)"/>
    <m/>
    <s v="IA: LQSM Section 15 Lab equipment calibration records"/>
    <s v="Lab"/>
    <s v="AH"/>
    <x v="155"/>
    <x v="200"/>
    <m/>
    <x v="0"/>
    <n v="39"/>
  </r>
  <r>
    <x v="12"/>
    <n v="130"/>
    <s v="498"/>
    <s v="C498-130-25"/>
    <s v="Other (QC, customer alert, improper procedure)"/>
    <m/>
    <s v="Delay in investigating EPA Outliers"/>
    <s v="Lab"/>
    <s v="HM"/>
    <x v="157"/>
    <x v="200"/>
    <m/>
    <x v="0"/>
    <n v="74"/>
  </r>
  <r>
    <x v="14"/>
    <n v="191"/>
    <s v="439"/>
    <s v="C439-191-25"/>
    <s v="Internal assessment (9001 &amp; 17025)"/>
    <m/>
    <s v="IA: Clause: 6.4.4"/>
    <s v="Lab"/>
    <s v="Ecu"/>
    <x v="126"/>
    <x v="200"/>
    <m/>
    <x v="0"/>
    <n v="117"/>
  </r>
  <r>
    <x v="14"/>
    <n v="191"/>
    <s v="440"/>
    <s v="C440-191-25"/>
    <s v="Internal assessment (9001 &amp; 17025)"/>
    <m/>
    <s v="IA: Clause 7.4.1 and 7.4.2"/>
    <s v="Lab"/>
    <s v="Ecu"/>
    <x v="126"/>
    <x v="200"/>
    <m/>
    <x v="0"/>
    <n v="117"/>
  </r>
  <r>
    <x v="14"/>
    <n v="191"/>
    <s v="443"/>
    <s v="C443-191-25"/>
    <s v="Internal assessment (9001 &amp; 17025)"/>
    <m/>
    <s v="IA: Clause 7.7.1"/>
    <s v="Lab"/>
    <s v="Ecu"/>
    <x v="126"/>
    <x v="200"/>
    <m/>
    <x v="0"/>
    <n v="117"/>
  </r>
  <r>
    <x v="44"/>
    <n v="119"/>
    <s v="207"/>
    <s v="C207-119-25"/>
    <s v="Internal assessment (9001 &amp; 17025)"/>
    <m/>
    <s v="Job file review"/>
    <s v="Operations"/>
    <s v="AH"/>
    <x v="76"/>
    <x v="169"/>
    <n v="295"/>
    <x v="1"/>
    <m/>
  </r>
  <r>
    <x v="57"/>
    <n v="111"/>
    <s v="056"/>
    <s v="C056-111-25"/>
    <s v="Internal assessment (9001 &amp; 17025)"/>
    <m/>
    <s v="IA: No record of FL 103 weekly waste checklist being completed"/>
    <s v="Lab"/>
    <s v="KA"/>
    <x v="158"/>
    <x v="169"/>
    <n v="373"/>
    <x v="1"/>
    <m/>
  </r>
  <r>
    <x v="57"/>
    <n v="111"/>
    <s v="057"/>
    <s v="C057-111-25"/>
    <s v="Internal assessment (9001 &amp; 17025)"/>
    <m/>
    <s v="IA: File review"/>
    <s v="Lab"/>
    <s v="KA"/>
    <x v="158"/>
    <x v="169"/>
    <n v="373"/>
    <x v="1"/>
    <m/>
  </r>
  <r>
    <x v="15"/>
    <n v="110"/>
    <s v="421"/>
    <s v="C421-110-25"/>
    <s v="Internal assessment (9001 &amp; 17025)"/>
    <m/>
    <s v="Job file review"/>
    <s v="Lab &amp; Ops"/>
    <s v="AH"/>
    <x v="154"/>
    <x v="169"/>
    <n v="127"/>
    <x v="1"/>
    <m/>
  </r>
  <r>
    <x v="45"/>
    <n v="215"/>
    <s v="501"/>
    <s v="C501-215-25"/>
    <s v="Internal assessment (9001 &amp; 17025)"/>
    <m/>
    <s v="IA: QSM Section 15 Ops ranscription errors and writeovers"/>
    <s v="Operations"/>
    <s v="Ecu"/>
    <x v="148"/>
    <x v="169"/>
    <n v="69"/>
    <x v="1"/>
    <m/>
  </r>
  <r>
    <x v="45"/>
    <n v="215"/>
    <s v="502"/>
    <s v="C502-215-25"/>
    <s v="Internal assessment (9001 &amp; 17025)"/>
    <m/>
    <s v="IA: LQSM Section 14 TMAs"/>
    <s v="Lab"/>
    <s v="Ecu"/>
    <x v="148"/>
    <x v="169"/>
    <n v="69"/>
    <x v="1"/>
    <m/>
  </r>
  <r>
    <x v="45"/>
    <n v="215"/>
    <s v="504"/>
    <s v="C504-215-25"/>
    <s v="Internal assessment (9001 &amp; 17025)"/>
    <m/>
    <s v="IA: LQSM Section 17 Reference material / raw data traceability"/>
    <s v="Lab"/>
    <s v="Ecu"/>
    <x v="148"/>
    <x v="169"/>
    <n v="69"/>
    <x v="1"/>
    <m/>
  </r>
  <r>
    <x v="45"/>
    <n v="215"/>
    <s v="506"/>
    <s v="C506-215-25"/>
    <s v="Internal assessment (9001 &amp; 17025)"/>
    <m/>
    <s v="IA: QSM Section 27 Inspection equipment"/>
    <s v="Operations"/>
    <s v="Ecu"/>
    <x v="148"/>
    <x v="169"/>
    <n v="69"/>
    <x v="1"/>
    <m/>
  </r>
  <r>
    <x v="45"/>
    <n v="215"/>
    <s v="507"/>
    <s v="C507-215-25"/>
    <s v="Internal assessment (9001 &amp; 17025)"/>
    <m/>
    <s v="IA: LQSM Section 15 Calibrations / Veriifications"/>
    <s v="Lab"/>
    <s v="Ecu"/>
    <x v="148"/>
    <x v="169"/>
    <n v="69"/>
    <x v="1"/>
    <m/>
  </r>
  <r>
    <x v="45"/>
    <n v="215"/>
    <s v="508"/>
    <s v="C508-215-25"/>
    <s v="Internal assessment (9001 &amp; 17025)"/>
    <m/>
    <s v="IA: LQSM Section 14 Method Deviations"/>
    <s v="Lab"/>
    <s v="Ecu"/>
    <x v="148"/>
    <x v="169"/>
    <n v="69"/>
    <x v="1"/>
    <m/>
  </r>
  <r>
    <x v="45"/>
    <n v="215"/>
    <s v="509"/>
    <s v="C509-215-25"/>
    <s v="Internal assessment (9001 &amp; 17025)"/>
    <m/>
    <s v="IA: LQSM Section 16 SQCs"/>
    <s v="Lab"/>
    <s v="Ecu"/>
    <x v="148"/>
    <x v="169"/>
    <n v="69"/>
    <x v="1"/>
    <m/>
  </r>
  <r>
    <x v="31"/>
    <n v="190"/>
    <s v="126"/>
    <s v="C126-190-25"/>
    <s v="Internal assessment (9001 &amp; 17025)"/>
    <m/>
    <s v="Clause 6.5 Metrological traceability"/>
    <s v="Lab"/>
    <s v="MT"/>
    <x v="42"/>
    <x v="169"/>
    <n v="351"/>
    <x v="1"/>
    <m/>
  </r>
  <r>
    <x v="50"/>
    <n v="161"/>
    <s v="494"/>
    <s v="C494-161-25"/>
    <s v="Internal assessment (9001 &amp; 17025)"/>
    <m/>
    <s v="IA: QSM Section 15 Writeovers and no review of QBs"/>
    <s v="Operations"/>
    <s v="Ecu"/>
    <x v="151"/>
    <x v="169"/>
    <n v="76"/>
    <x v="1"/>
    <m/>
  </r>
  <r>
    <x v="50"/>
    <n v="161"/>
    <s v="495"/>
    <s v="C495-161-25"/>
    <s v="Internal assessment (9001 &amp; 17025)"/>
    <m/>
    <s v="IA: QSM Section 27 Inspection Equipment"/>
    <s v="Operations"/>
    <s v="Ecu"/>
    <x v="151"/>
    <x v="169"/>
    <n v="76"/>
    <x v="1"/>
    <m/>
  </r>
  <r>
    <x v="50"/>
    <n v="161"/>
    <s v="496"/>
    <s v="C496-161-25"/>
    <s v="Internal assessment (9001 &amp; 17025)"/>
    <m/>
    <s v="IA: QSM Section 28 Inspector TRBs"/>
    <s v="Operations"/>
    <s v="Ecu"/>
    <x v="151"/>
    <x v="169"/>
    <n v="76"/>
    <x v="1"/>
    <m/>
  </r>
  <r>
    <x v="56"/>
    <n v="116"/>
    <s v="491"/>
    <s v="C491-116-25"/>
    <s v="Internal assessment (9001 &amp; 17025)"/>
    <m/>
    <s v="IA: File review"/>
    <s v="Operations"/>
    <s v="KA"/>
    <x v="151"/>
    <x v="169"/>
    <n v="76"/>
    <x v="1"/>
    <m/>
  </r>
  <r>
    <x v="56"/>
    <n v="116"/>
    <s v="492"/>
    <s v="C492-116-25"/>
    <s v="Internal assessment (9001 &amp; 17025)"/>
    <m/>
    <s v="IA: Expired checmical"/>
    <s v="Lab"/>
    <s v="KA"/>
    <x v="151"/>
    <x v="169"/>
    <n v="76"/>
    <x v="1"/>
    <m/>
  </r>
  <r>
    <x v="2"/>
    <n v="132"/>
    <s v="474"/>
    <s v="C474-132-25"/>
    <s v="3rd party audit (DNV, A2LA, AASHTO…)"/>
    <s v="A2LA"/>
    <s v="Clause 6.5.2 - D6550 Reference material used was not accredited"/>
    <s v="Lab"/>
    <s v="HM"/>
    <x v="128"/>
    <x v="201"/>
    <m/>
    <x v="0"/>
    <n v="27"/>
  </r>
  <r>
    <x v="2"/>
    <n v="132"/>
    <s v="471"/>
    <s v="C471-132-25"/>
    <s v="3rd party audit (DNV, A2LA, AASHTO…)"/>
    <s v="A2LA"/>
    <s v="A2LA Policy R103 Section PT8 - No evidencec of a corrective action developed for the D1500 result in DF22506 program (0.28% agree)"/>
    <s v="Lab"/>
    <s v="HM"/>
    <x v="128"/>
    <x v="170"/>
    <m/>
    <x v="0"/>
    <n v="29"/>
  </r>
  <r>
    <x v="2"/>
    <n v="132"/>
    <s v="473"/>
    <s v="C473-132-25"/>
    <s v="3rd party audit (DNV, A2LA, AASHTO…)"/>
    <s v="A2LA"/>
    <s v="Clause 7.8.3.1 - Report do not include procedure used for D86"/>
    <s v="Lab"/>
    <s v="HM"/>
    <x v="128"/>
    <x v="170"/>
    <m/>
    <x v="0"/>
    <n v="29"/>
  </r>
  <r>
    <x v="2"/>
    <n v="132"/>
    <s v="472"/>
    <s v="C472-132-25"/>
    <s v="3rd party audit (DNV, A2LA, AASHTO…)"/>
    <s v="A2LA"/>
    <s v="Clause 7.5.1 - No evidence of technical records for Time specifications and temperature (D6560, D3279, D381, D1319, D4815, D5580)"/>
    <s v="Lab"/>
    <s v="HM"/>
    <x v="128"/>
    <x v="181"/>
    <m/>
    <x v="0"/>
    <n v="60"/>
  </r>
  <r>
    <x v="2"/>
    <n v="132"/>
    <s v="475"/>
    <s v="C475-132-25"/>
    <s v="3rd party audit (DNV, A2LA, AASHTO…)"/>
    <s v="A2LA"/>
    <s v="Clause 6.4.4 - D93 temperature probe was expired"/>
    <s v="Lab"/>
    <s v="HM"/>
    <x v="128"/>
    <x v="197"/>
    <m/>
    <x v="0"/>
    <n v="89"/>
  </r>
  <r>
    <x v="5"/>
    <n v="158"/>
    <s v="004"/>
    <s v="C004-158-26"/>
    <s v="Internal assessment (9001 &amp; 17025)"/>
    <m/>
    <s v="Clause 6.2.3 and 6.2.5"/>
    <s v="Lab"/>
    <s v="Ecu"/>
    <x v="159"/>
    <x v="169"/>
    <n v="33"/>
    <x v="1"/>
    <m/>
  </r>
  <r>
    <x v="5"/>
    <n v="158"/>
    <s v="005"/>
    <s v="C005-158-26"/>
    <s v="Internal assessment (9001 &amp; 17025)"/>
    <m/>
    <s v="Clause 6.4.4 and 6.4.5"/>
    <s v="Lab"/>
    <s v="Ecu"/>
    <x v="159"/>
    <x v="169"/>
    <n v="33"/>
    <x v="1"/>
    <m/>
  </r>
  <r>
    <x v="5"/>
    <n v="158"/>
    <s v="006"/>
    <s v="C006-158-26"/>
    <s v="Internal assessment (9001 &amp; 17025)"/>
    <m/>
    <s v="Clause 6.4.10"/>
    <s v="Lab"/>
    <s v="Ecu"/>
    <x v="159"/>
    <x v="169"/>
    <n v="33"/>
    <x v="1"/>
    <m/>
  </r>
  <r>
    <x v="5"/>
    <n v="158"/>
    <s v="007"/>
    <s v="C007-158-26"/>
    <s v="Internal assessment (9001 &amp; 17025)"/>
    <m/>
    <s v="Clause 6.5.2"/>
    <s v="Lab"/>
    <s v="Ecu"/>
    <x v="159"/>
    <x v="169"/>
    <n v="33"/>
    <x v="1"/>
    <m/>
  </r>
  <r>
    <x v="5"/>
    <n v="158"/>
    <s v="008"/>
    <s v="C008-158-26"/>
    <s v="Internal assessment (9001 &amp; 17025)"/>
    <m/>
    <s v="Clause 7.2.1.7"/>
    <s v="Lab"/>
    <s v="Ecu"/>
    <x v="159"/>
    <x v="169"/>
    <n v="33"/>
    <x v="1"/>
    <m/>
  </r>
  <r>
    <x v="5"/>
    <n v="158"/>
    <s v="009"/>
    <s v="C009-158-26"/>
    <s v="Internal assessment (9001 &amp; 17025)"/>
    <m/>
    <s v="Clause 7.4.2"/>
    <s v="Lab"/>
    <s v="Ecu"/>
    <x v="159"/>
    <x v="169"/>
    <n v="33"/>
    <x v="1"/>
    <m/>
  </r>
  <r>
    <x v="5"/>
    <n v="158"/>
    <s v="010"/>
    <s v="C010-158-26"/>
    <s v="Internal assessment (9001 &amp; 17025)"/>
    <m/>
    <s v="Clause 7.5.1"/>
    <s v="Lab"/>
    <s v="Ecu"/>
    <x v="159"/>
    <x v="169"/>
    <n v="33"/>
    <x v="1"/>
    <m/>
  </r>
  <r>
    <x v="5"/>
    <n v="158"/>
    <s v="011"/>
    <s v="C011-158-26"/>
    <s v="Internal assessment (9001 &amp; 17025)"/>
    <m/>
    <s v="Clause 7.8.1.2"/>
    <s v="Lab"/>
    <s v="Ecu"/>
    <x v="159"/>
    <x v="169"/>
    <n v="33"/>
    <x v="1"/>
    <m/>
  </r>
  <r>
    <x v="5"/>
    <n v="158"/>
    <s v="012"/>
    <s v="C012-158-26"/>
    <s v="Internal assessment (9001 &amp; 17025)"/>
    <m/>
    <s v="Clause 8.3.2f and QSM Section 22"/>
    <s v="Lab &amp; Ops"/>
    <s v="Ecu"/>
    <x v="159"/>
    <x v="169"/>
    <n v="33"/>
    <x v="1"/>
    <m/>
  </r>
  <r>
    <x v="9"/>
    <n v="136"/>
    <s v="519"/>
    <s v="C519-136-25"/>
    <s v="Internal assessment (9001 &amp; 17025)"/>
    <m/>
    <s v="IA: Quality Bulletin QB-00028 (INSCAL-06 Rev 4.5)"/>
    <s v="Operations"/>
    <s v="AH"/>
    <x v="155"/>
    <x v="169"/>
    <n v="40"/>
    <x v="1"/>
    <m/>
  </r>
  <r>
    <x v="9"/>
    <n v="136"/>
    <s v="520"/>
    <s v="C520-136-25"/>
    <s v="Internal assessment (9001 &amp; 17025)"/>
    <m/>
    <s v="IA: QSM Section 27 Inspection Equipment (H2S Cylinder)"/>
    <s v="Operations"/>
    <s v="AH"/>
    <x v="155"/>
    <x v="169"/>
    <n v="40"/>
    <x v="1"/>
    <m/>
  </r>
  <r>
    <x v="9"/>
    <n v="136"/>
    <s v="521"/>
    <s v="C521-136-25"/>
    <s v="Internal assessment (9001 &amp; 17025)"/>
    <m/>
    <s v="IA: QSM Section 28 Inspector training records"/>
    <s v="Operations"/>
    <s v="AH"/>
    <x v="155"/>
    <x v="169"/>
    <n v="40"/>
    <x v="1"/>
    <m/>
  </r>
  <r>
    <x v="9"/>
    <n v="136"/>
    <s v="522"/>
    <s v="C522-136-25"/>
    <s v="Internal assessment (9001 &amp; 17025)"/>
    <m/>
    <s v="IA: APP-NAM-015A AmSpec SPC QC schedule"/>
    <s v="Lab"/>
    <s v="AH"/>
    <x v="155"/>
    <x v="169"/>
    <n v="40"/>
    <x v="1"/>
    <m/>
  </r>
  <r>
    <x v="9"/>
    <n v="136"/>
    <s v="523"/>
    <s v="C523-136-25"/>
    <s v="Internal assessment (9001 &amp; 17025)"/>
    <m/>
    <s v="IA: LQSM Section 16 QC violations"/>
    <s v="Lab"/>
    <s v="AH"/>
    <x v="155"/>
    <x v="169"/>
    <n v="40"/>
    <x v="1"/>
    <m/>
  </r>
  <r>
    <x v="9"/>
    <n v="136"/>
    <s v="524"/>
    <s v="C524-136-25"/>
    <s v="Internal assessment (9001 &amp; 17025)"/>
    <m/>
    <s v="IA: QSM Section 15 Reporting"/>
    <s v="Lab &amp; Ops"/>
    <s v="AH"/>
    <x v="155"/>
    <x v="169"/>
    <n v="40"/>
    <x v="1"/>
    <m/>
  </r>
  <r>
    <x v="34"/>
    <n v="138"/>
    <s v="101"/>
    <s v="C101-138-25"/>
    <s v="Internal assessment (9001 &amp; 17025)"/>
    <m/>
    <s v="Inspector TRB"/>
    <s v="Operations"/>
    <s v="MT"/>
    <x v="43"/>
    <x v="169"/>
    <n v="362"/>
    <x v="1"/>
    <m/>
  </r>
  <r>
    <x v="34"/>
    <n v="138"/>
    <s v="040"/>
    <s v="C040-138-26"/>
    <s v="Internal assessment (9001 &amp; 17025)"/>
    <m/>
    <s v="WI-GLB-001-01 - CQI not submitted"/>
    <s v="Lab &amp; Ops"/>
    <s v="Ecu"/>
    <x v="160"/>
    <x v="169"/>
    <n v="6"/>
    <x v="1"/>
    <m/>
  </r>
  <r>
    <x v="34"/>
    <n v="138"/>
    <s v="041"/>
    <s v="C041-138-26"/>
    <s v="Internal assessment (9001 &amp; 17025)"/>
    <m/>
    <s v="QSM Section 15 - Process control"/>
    <s v="Operations"/>
    <s v="Ecu"/>
    <x v="160"/>
    <x v="169"/>
    <n v="6"/>
    <x v="1"/>
    <m/>
  </r>
  <r>
    <x v="34"/>
    <n v="138"/>
    <s v="042"/>
    <s v="C042-138-26"/>
    <s v="Internal assessment (9001 &amp; 17025)"/>
    <m/>
    <s v="CQP 002 - Controlled documents"/>
    <s v="Lab"/>
    <s v="Ecu"/>
    <x v="160"/>
    <x v="169"/>
    <n v="6"/>
    <x v="1"/>
    <m/>
  </r>
  <r>
    <x v="34"/>
    <n v="138"/>
    <s v="043"/>
    <s v="C043-138-26"/>
    <s v="Internal assessment (9001 &amp; 17025)"/>
    <m/>
    <s v="LQSM Section 7 - SR1s"/>
    <s v="Lab &amp; Ops"/>
    <s v="Ecu"/>
    <x v="160"/>
    <x v="169"/>
    <n v="6"/>
    <x v="1"/>
    <m/>
  </r>
  <r>
    <x v="34"/>
    <n v="138"/>
    <s v="044"/>
    <s v="C044-138-26"/>
    <s v="Internal assessment (9001 &amp; 17025)"/>
    <m/>
    <s v="WI-NAM-014-01 - Inspection Equipment"/>
    <s v="Operations"/>
    <s v="Ecu"/>
    <x v="160"/>
    <x v="169"/>
    <n v="6"/>
    <x v="1"/>
    <m/>
  </r>
  <r>
    <x v="58"/>
    <n v="115"/>
    <s v="458"/>
    <s v="C458-115-25"/>
    <s v="Internal assessment (9001 &amp; 17025)"/>
    <m/>
    <s v="IA: LQSM Section 14 - Method Deviations"/>
    <s v="Lab"/>
    <s v="Ecu"/>
    <x v="161"/>
    <x v="169"/>
    <n v="106"/>
    <x v="1"/>
    <m/>
  </r>
  <r>
    <x v="58"/>
    <n v="115"/>
    <s v="459"/>
    <s v="C459-115-25"/>
    <s v="Internal assessment (9001 &amp; 17025)"/>
    <m/>
    <s v="IA: LQSM Section 15 - Equipment Calibrations"/>
    <s v="Lab"/>
    <s v="Ecu"/>
    <x v="161"/>
    <x v="169"/>
    <n v="106"/>
    <x v="1"/>
    <m/>
  </r>
  <r>
    <x v="58"/>
    <n v="115"/>
    <s v="460"/>
    <s v="C460-115-25"/>
    <s v="Internal assessment (9001 &amp; 17025)"/>
    <m/>
    <s v="IA: LQSM Section 17 - Reference Material Traceability"/>
    <s v="Lab"/>
    <s v="Ecu"/>
    <x v="161"/>
    <x v="169"/>
    <n v="106"/>
    <x v="1"/>
    <m/>
  </r>
  <r>
    <x v="58"/>
    <n v="115"/>
    <s v="461"/>
    <s v="C461-115-25"/>
    <s v="Internal assessment (9001 &amp; 17025)"/>
    <m/>
    <s v="IA: LQSM Section 16 - QCs"/>
    <s v="Lab"/>
    <s v="Ecu"/>
    <x v="161"/>
    <x v="169"/>
    <n v="106"/>
    <x v="1"/>
    <m/>
  </r>
  <r>
    <x v="24"/>
    <n v="155"/>
    <s v="069"/>
    <s v="C069-155-25"/>
    <s v="Internal assessment (9001 &amp; 17025)"/>
    <m/>
    <s v="IA: Clause 6.2.3"/>
    <s v="Lab"/>
    <s v="KA"/>
    <x v="36"/>
    <x v="169"/>
    <n v="372"/>
    <x v="1"/>
    <m/>
  </r>
  <r>
    <x v="24"/>
    <n v="155"/>
    <s v="078"/>
    <s v="C078-155-25"/>
    <s v="Internal assessment (9001 &amp; 17025)"/>
    <m/>
    <s v="IA: Clause 8.7.1.a"/>
    <s v="Lab"/>
    <s v="KA"/>
    <x v="36"/>
    <x v="169"/>
    <n v="372"/>
    <x v="1"/>
    <m/>
  </r>
  <r>
    <x v="53"/>
    <n v="159"/>
    <s v="397"/>
    <s v="C397-159-25"/>
    <s v="Internal assessment (9001 &amp; 17025)"/>
    <m/>
    <s v="Review - Criteria: QSM S17 Part 5"/>
    <s v="Lab &amp; Ops"/>
    <s v="AH"/>
    <x v="129"/>
    <x v="169"/>
    <n v="159"/>
    <x v="1"/>
    <m/>
  </r>
  <r>
    <x v="26"/>
    <n v="147"/>
    <s v="391"/>
    <s v="C391-147-25"/>
    <s v="Internal assessment (9001 &amp; 17025)"/>
    <m/>
    <s v="IA: No record of review of QB-00027, -00028, -00029, -00029a, -00030 and TB-00114 (gauging). "/>
    <s v="Operations"/>
    <s v="KA"/>
    <x v="162"/>
    <x v="169"/>
    <n v="156"/>
    <x v="1"/>
    <m/>
  </r>
  <r>
    <x v="26"/>
    <n v="147"/>
    <s v="392"/>
    <s v="C392-147-25"/>
    <s v="Internal assessment (9001 &amp; 17025)"/>
    <m/>
    <s v="IA: Standard not being recorded on gauge tickets for probe check"/>
    <s v="Operations"/>
    <s v="KA"/>
    <x v="162"/>
    <x v="169"/>
    <n v="156"/>
    <x v="1"/>
    <m/>
  </r>
  <r>
    <x v="26"/>
    <n v="147"/>
    <s v="393"/>
    <s v="C393-147-25"/>
    <s v="Internal assessment (9001 &amp; 17025)"/>
    <m/>
    <s v="IA: Branch using obsolete versions of forms"/>
    <s v="Operations"/>
    <s v="KA"/>
    <x v="162"/>
    <x v="169"/>
    <n v="156"/>
    <x v="1"/>
    <m/>
  </r>
  <r>
    <x v="33"/>
    <n v="125"/>
    <s v="138"/>
    <s v="C138-125-25"/>
    <s v="Internal assessment (9001 &amp; 17025)"/>
    <m/>
    <s v="QC"/>
    <s v="Lab"/>
    <s v="MT"/>
    <x v="49"/>
    <x v="169"/>
    <n v="338"/>
    <x v="1"/>
    <m/>
  </r>
  <r>
    <x v="32"/>
    <n v="198"/>
    <s v="525"/>
    <s v="C525-198-25"/>
    <s v="Internal assessment (9001 &amp; 17025)"/>
    <m/>
    <s v="IA: Controlled documents"/>
    <s v="Lab"/>
    <s v="KA"/>
    <x v="163"/>
    <x v="169"/>
    <n v="35"/>
    <x v="1"/>
    <m/>
  </r>
  <r>
    <x v="32"/>
    <n v="198"/>
    <s v="526"/>
    <s v="C526-198-25"/>
    <s v="Internal assessment (9001 &amp; 17025)"/>
    <m/>
    <s v="IA: Test method witnessing for D5191"/>
    <s v="Lab"/>
    <s v="KA"/>
    <x v="163"/>
    <x v="169"/>
    <n v="35"/>
    <x v="1"/>
    <m/>
  </r>
  <r>
    <x v="32"/>
    <n v="198"/>
    <s v="527"/>
    <s v="C527-198-25"/>
    <s v="Internal assessment (9001 &amp; 17025)"/>
    <m/>
    <s v="IA: QC charts"/>
    <s v="Lab"/>
    <s v="KA"/>
    <x v="163"/>
    <x v="169"/>
    <n v="35"/>
    <x v="1"/>
    <m/>
  </r>
  <r>
    <x v="3"/>
    <n v="120"/>
    <s v="283"/>
    <s v="C283-120-25"/>
    <s v="Internal assessment (9001 &amp; 17025)"/>
    <m/>
    <s v="IA: Ops file review"/>
    <s v="Operations"/>
    <s v="KA"/>
    <x v="124"/>
    <x v="169"/>
    <n v="245"/>
    <x v="1"/>
    <m/>
  </r>
  <r>
    <x v="3"/>
    <n v="120"/>
    <s v="288"/>
    <s v="C288-120-25"/>
    <s v="Internal assessment (9001 &amp; 17025)"/>
    <m/>
    <s v="IA: Clause 6.4.5"/>
    <s v="Lab"/>
    <s v="Ecu"/>
    <x v="124"/>
    <x v="169"/>
    <n v="245"/>
    <x v="1"/>
    <m/>
  </r>
  <r>
    <x v="3"/>
    <n v="120"/>
    <s v="290"/>
    <s v="C290-120-25"/>
    <s v="Internal assessment (9001 &amp; 17025)"/>
    <m/>
    <s v="IA: Clause 7.7.1"/>
    <s v="Lab"/>
    <s v="Ecu"/>
    <x v="124"/>
    <x v="169"/>
    <n v="245"/>
    <x v="1"/>
    <m/>
  </r>
  <r>
    <x v="3"/>
    <n v="120"/>
    <s v="291"/>
    <s v="C291-120-25"/>
    <s v="Internal assessment (9001 &amp; 17025)"/>
    <m/>
    <s v="IA: Clause 7.5"/>
    <s v="Lab"/>
    <s v="Ecu"/>
    <x v="124"/>
    <x v="169"/>
    <n v="245"/>
    <x v="1"/>
    <m/>
  </r>
  <r>
    <x v="52"/>
    <s v="120W"/>
    <s v="370"/>
    <s v="C370-120W-25"/>
    <s v="Internal assessment (9001 &amp; 17025)"/>
    <m/>
    <s v="IA: Clause 6.2.2 and 6.2.5 "/>
    <s v="Lab"/>
    <s v="Ecu"/>
    <x v="123"/>
    <x v="169"/>
    <n v="190"/>
    <x v="1"/>
    <m/>
  </r>
  <r>
    <x v="52"/>
    <s v="120W"/>
    <s v="371"/>
    <s v="C371-120W-25"/>
    <s v="Internal assessment (9001 &amp; 17025)"/>
    <m/>
    <s v="IA: Clause 7.6"/>
    <s v="Lab"/>
    <s v="Ecu"/>
    <x v="123"/>
    <x v="169"/>
    <n v="190"/>
    <x v="1"/>
    <m/>
  </r>
  <r>
    <x v="52"/>
    <s v="120W"/>
    <s v="372"/>
    <s v="C372-120W-25"/>
    <s v="Internal assessment (9001 &amp; 17025)"/>
    <m/>
    <s v="IA: Clause 7.7.2a"/>
    <s v="Lab"/>
    <s v="Ecu"/>
    <x v="123"/>
    <x v="169"/>
    <n v="190"/>
    <x v="1"/>
    <m/>
  </r>
  <r>
    <x v="52"/>
    <s v="120W"/>
    <s v="373"/>
    <s v="C373-120W-25"/>
    <s v="Internal assessment (9001 &amp; 17025)"/>
    <m/>
    <s v="IA: Clause 7.8.2"/>
    <s v="Lab"/>
    <s v="Ecu"/>
    <x v="123"/>
    <x v="169"/>
    <n v="190"/>
    <x v="1"/>
    <m/>
  </r>
  <r>
    <x v="40"/>
    <n v="133"/>
    <s v="340"/>
    <s v="C340-133-25"/>
    <s v="Internal assessment (9001 &amp; 17025)"/>
    <m/>
    <s v="Vendor in use is not approved for the QAVL"/>
    <s v="Lab"/>
    <s v="CS"/>
    <x v="164"/>
    <x v="169"/>
    <n v="202"/>
    <x v="1"/>
    <m/>
  </r>
  <r>
    <x v="40"/>
    <n v="133"/>
    <s v="341"/>
    <s v="C341-133-25"/>
    <s v="Internal assessment (9001 &amp; 17025)"/>
    <m/>
    <s v="Laboratory Training records not properly documented"/>
    <s v="Lab"/>
    <s v="CS"/>
    <x v="164"/>
    <x v="169"/>
    <n v="202"/>
    <x v="1"/>
    <m/>
  </r>
  <r>
    <x v="12"/>
    <n v="130"/>
    <s v="208"/>
    <s v="C208-130-25"/>
    <s v="Internal assessment (9001 &amp; 17025)"/>
    <m/>
    <s v="IA: File review"/>
    <s v="Operations"/>
    <s v="Ecu"/>
    <x v="69"/>
    <x v="169"/>
    <n v="292"/>
    <x v="1"/>
    <m/>
  </r>
  <r>
    <x v="12"/>
    <n v="130"/>
    <s v="209"/>
    <s v="C209-130-25"/>
    <s v="Internal assessment (9001 &amp; 17025)"/>
    <m/>
    <s v="IA: Inspector TRBs"/>
    <s v="Operations"/>
    <s v="Ecu"/>
    <x v="69"/>
    <x v="169"/>
    <n v="292"/>
    <x v="1"/>
    <m/>
  </r>
  <r>
    <x v="12"/>
    <n v="130"/>
    <s v="024"/>
    <s v="C024-130-26"/>
    <s v="Customer audit   "/>
    <s v="Shell"/>
    <s v="Shell - SQC - No procedure provided covering the validation of released data between in-control and out of control Accuracy/Precision charts."/>
    <s v="Lab"/>
    <s v="HM"/>
    <x v="165"/>
    <x v="169"/>
    <n v="21"/>
    <x v="1"/>
    <m/>
  </r>
  <r>
    <x v="12"/>
    <n v="130"/>
    <s v="025"/>
    <s v="C025-130-26"/>
    <s v="Customer audit   "/>
    <s v="Shell"/>
    <s v="Shell - Proficiency Testing Zscore monitoring, Site has 10 _x000a_Site has 10, 3 Z-Score failures in the ASTM RFG program for 2025."/>
    <s v="Lab"/>
    <s v="HM"/>
    <x v="165"/>
    <x v="169"/>
    <n v="21"/>
    <x v="1"/>
    <m/>
  </r>
  <r>
    <x v="12"/>
    <n v="130"/>
    <s v="026"/>
    <s v="C026-130-26"/>
    <s v="Customer audit   "/>
    <s v="Shell"/>
    <s v="Shell - Specification Management - Spec limit missing, tests substituted with no documentation, and incompatible spec on_x000a_CoA."/>
    <s v="Lab"/>
    <s v="HM"/>
    <x v="165"/>
    <x v="169"/>
    <n v="21"/>
    <x v="1"/>
    <m/>
  </r>
  <r>
    <x v="12"/>
    <n v="130"/>
    <s v="027"/>
    <s v="C027-130-26"/>
    <s v="Customer audit   "/>
    <s v="Shell"/>
    <s v="Shell - Training and Competence -Training is not well documented. "/>
    <s v="Lab"/>
    <s v="HM"/>
    <x v="165"/>
    <x v="169"/>
    <n v="21"/>
    <x v="1"/>
    <m/>
  </r>
  <r>
    <x v="12"/>
    <n v="130"/>
    <s v="028"/>
    <s v="C028-130-26"/>
    <s v="Customer audit   "/>
    <s v="Shell"/>
    <s v="Shell - Technical records D86, D5580, D5453, D4815, D5769 corr."/>
    <s v="Lab"/>
    <s v="HM"/>
    <x v="165"/>
    <x v="169"/>
    <n v="21"/>
    <x v="1"/>
    <m/>
  </r>
  <r>
    <x v="12"/>
    <n v="130"/>
    <s v="029"/>
    <s v="C029-130-26"/>
    <s v="Customer audit   "/>
    <s v="Shell"/>
    <s v="Shell - Job file review - No EPA Homogeneity sheet in the file"/>
    <s v="Lab"/>
    <s v="HM"/>
    <x v="165"/>
    <x v="169"/>
    <n v="21"/>
    <x v="1"/>
    <m/>
  </r>
  <r>
    <x v="12"/>
    <n v="130"/>
    <s v="030"/>
    <s v="C030-130-26"/>
    <s v="Customer audit   "/>
    <s v="Shell"/>
    <s v="Shell - Sampling and sample management - Inspector sampling witnessing"/>
    <s v="Lab"/>
    <s v="HM"/>
    <x v="165"/>
    <x v="169"/>
    <n v="21"/>
    <x v="1"/>
    <m/>
  </r>
  <r>
    <x v="12"/>
    <n v="130"/>
    <s v="036"/>
    <s v="C036-130-26"/>
    <s v="Complaint"/>
    <s v="PBF"/>
    <s v="PBF - D445 and D4052 discrepancy between ST and VTC results"/>
    <s v="Lab &amp; Ops"/>
    <s v="HM"/>
    <x v="166"/>
    <x v="169"/>
    <n v="16"/>
    <x v="1"/>
    <m/>
  </r>
  <r>
    <x v="13"/>
    <n v="179"/>
    <s v="510"/>
    <s v="C510-179-25"/>
    <s v="Internal assessment (9001 &amp; 17025)"/>
    <m/>
    <s v="IA: Method Deviation ASTM D1838"/>
    <s v="Lab"/>
    <s v="AH"/>
    <x v="144"/>
    <x v="169"/>
    <n v="41"/>
    <x v="1"/>
    <m/>
  </r>
  <r>
    <x v="13"/>
    <n v="179"/>
    <s v="511"/>
    <s v="C511-179-25"/>
    <s v="Internal assessment (9001 &amp; 17025)"/>
    <m/>
    <s v="IA: QSM Section 15 Reporting"/>
    <s v="Lab &amp; Ops"/>
    <s v="AH"/>
    <x v="144"/>
    <x v="169"/>
    <n v="41"/>
    <x v="1"/>
    <m/>
  </r>
  <r>
    <x v="13"/>
    <n v="179"/>
    <s v="516"/>
    <s v="C516-179-25"/>
    <s v="Internal assessment (9001 &amp; 17025)"/>
    <m/>
    <s v="IA: Method deviation ASTM D6667"/>
    <s v="Lab"/>
    <s v="AH"/>
    <x v="144"/>
    <x v="169"/>
    <n v="41"/>
    <x v="1"/>
    <m/>
  </r>
  <r>
    <x v="14"/>
    <n v="191"/>
    <s v="224"/>
    <s v="C224-191-25"/>
    <s v="Complaint"/>
    <s v="Valero"/>
    <s v="Valero - Reported off spec drivability index without notifying the client."/>
    <s v="Operations"/>
    <s v="DA"/>
    <x v="73"/>
    <x v="169"/>
    <n v="289"/>
    <x v="1"/>
    <m/>
  </r>
  <r>
    <x v="14"/>
    <n v="191"/>
    <s v="436"/>
    <s v="C436-191-25"/>
    <s v="Internal assessment (9001 &amp; 17025)"/>
    <m/>
    <s v="IA: QSM Section 15 - MFDB not signed / inspector writeovers, JSA not completed"/>
    <s v="Operations"/>
    <s v="Ecu"/>
    <x v="126"/>
    <x v="169"/>
    <n v="118"/>
    <x v="1"/>
    <m/>
  </r>
  <r>
    <x v="14"/>
    <n v="191"/>
    <s v="437"/>
    <s v="C437-191-25"/>
    <s v="Internal assessment (9001 &amp; 17025)"/>
    <m/>
    <s v="IA: QSM Section 28 - RFA not completed"/>
    <s v="Operations"/>
    <s v="Ecu"/>
    <x v="126"/>
    <x v="169"/>
    <n v="118"/>
    <x v="1"/>
    <m/>
  </r>
  <r>
    <x v="19"/>
    <n v="180"/>
    <s v="401"/>
    <s v="C401-180-25"/>
    <s v="Internal assessment (9001 &amp; 17025)"/>
    <m/>
    <s v="IA: Clause 7.5.1 and LQSM Sec 8.8"/>
    <s v="Lab"/>
    <s v="KA"/>
    <x v="111"/>
    <x v="169"/>
    <n v="153"/>
    <x v="1"/>
    <m/>
  </r>
  <r>
    <x v="19"/>
    <n v="180"/>
    <s v="402"/>
    <s v="C402-180-25"/>
    <s v="Internal assessment (9001 &amp; 17025)"/>
    <m/>
    <s v="IA: File review (Ops eqt S/Ns on raw data do not match final reports)"/>
    <s v="Operations"/>
    <s v="KA"/>
    <x v="111"/>
    <x v="169"/>
    <n v="153"/>
    <x v="1"/>
    <m/>
  </r>
  <r>
    <x v="19"/>
    <n v="180"/>
    <s v="469"/>
    <s v="C469-180-25"/>
    <s v="3rd party audit (DNV, A2LA, AASHTO…)"/>
    <s v="A2LA"/>
    <s v="Clause 7.4.4 and 7.5.1 - D1319, D5599/D5769, D3241, D3237"/>
    <s v="Lab"/>
    <s v="Ecu"/>
    <x v="127"/>
    <x v="169"/>
    <n v="120"/>
    <x v="1"/>
    <m/>
  </r>
  <r>
    <x v="59"/>
    <n v="135"/>
    <s v="445"/>
    <s v="C445-135-25"/>
    <s v="Internal assessment (9001 &amp; 17025)"/>
    <m/>
    <s v="Missing Sample ID and incomplete job file"/>
    <s v="Lab"/>
    <s v="MT"/>
    <x v="167"/>
    <x v="169"/>
    <n v="114"/>
    <x v="1"/>
    <m/>
  </r>
  <r>
    <x v="59"/>
    <n v="135"/>
    <s v="446"/>
    <s v="C446-135-25"/>
    <s v="Internal assessment (9001 &amp; 17025)"/>
    <m/>
    <s v="Samples not tagged, no FL 103"/>
    <s v="Lab"/>
    <s v="MT"/>
    <x v="167"/>
    <x v="169"/>
    <n v="114"/>
    <x v="1"/>
    <m/>
  </r>
  <r>
    <x v="59"/>
    <n v="135"/>
    <s v="447"/>
    <s v="C447-135-25"/>
    <s v="Internal assessment (9001 &amp; 17025)"/>
    <m/>
    <s v="No review of QB and TB"/>
    <s v="Lab"/>
    <s v="MT"/>
    <x v="167"/>
    <x v="169"/>
    <n v="114"/>
    <x v="1"/>
    <m/>
  </r>
  <r>
    <x v="59"/>
    <n v="135"/>
    <s v="448"/>
    <s v="C448-135-25"/>
    <s v="Internal assessment (9001 &amp; 17025)"/>
    <m/>
    <s v="Non equipmnety MOC, FL15.1 not updated"/>
    <s v="Lab"/>
    <s v="MT"/>
    <x v="167"/>
    <x v="169"/>
    <n v="114"/>
    <x v="1"/>
    <m/>
  </r>
  <r>
    <x v="59"/>
    <n v="135"/>
    <s v="449"/>
    <s v="C449-135-25"/>
    <s v="Internal assessment (9001 &amp; 17025)"/>
    <m/>
    <s v="Test method deviation"/>
    <s v="Lab"/>
    <s v="MT"/>
    <x v="167"/>
    <x v="169"/>
    <n v="114"/>
    <x v="1"/>
    <m/>
  </r>
  <r>
    <x v="59"/>
    <n v="135"/>
    <s v="450"/>
    <s v="C450-135-25"/>
    <s v="Internal assessment (9001 &amp; 17025)"/>
    <m/>
    <s v="Lab equipment calibration and verification"/>
    <s v="Lab"/>
    <s v="MT"/>
    <x v="167"/>
    <x v="169"/>
    <n v="114"/>
    <x v="1"/>
    <m/>
  </r>
  <r>
    <x v="59"/>
    <n v="135"/>
    <s v="451"/>
    <s v="C451-135-25"/>
    <s v="Internal assessment (9001 &amp; 17025)"/>
    <m/>
    <s v="Checmical expired, no expiration date"/>
    <s v="Lab"/>
    <s v="MT"/>
    <x v="167"/>
    <x v="169"/>
    <n v="114"/>
    <x v="1"/>
    <m/>
  </r>
  <r>
    <x v="59"/>
    <n v="135"/>
    <s v="452"/>
    <s v="C452-135-25"/>
    <s v="Internal assessment (9001 &amp; 17025)"/>
    <m/>
    <s v="SQC"/>
    <s v="Lab"/>
    <s v="MT"/>
    <x v="167"/>
    <x v="169"/>
    <n v="114"/>
    <x v="1"/>
    <m/>
  </r>
  <r>
    <x v="59"/>
    <n v="135"/>
    <s v="453"/>
    <s v="C453-135-25"/>
    <s v="Internal assessment (9001 &amp; 17025)"/>
    <m/>
    <s v="Inspection equipment"/>
    <s v="Operations"/>
    <s v="MT"/>
    <x v="167"/>
    <x v="169"/>
    <n v="114"/>
    <x v="1"/>
    <m/>
  </r>
  <r>
    <x v="59"/>
    <n v="135"/>
    <s v="454"/>
    <s v="C454-135-25"/>
    <s v="Internal assessment (9001 &amp; 17025)"/>
    <m/>
    <s v="Lab Training"/>
    <s v="Lab"/>
    <s v="MT"/>
    <x v="167"/>
    <x v="169"/>
    <n v="114"/>
    <x v="1"/>
    <m/>
  </r>
  <r>
    <x v="17"/>
    <n v="146"/>
    <s v="394"/>
    <s v="C394-146-25"/>
    <s v="Internal assessment (9001 &amp; 17025)"/>
    <m/>
    <s v="IA: Clauses 6.4.6, 6.4.7, 6.4.11 - Lab Equipment"/>
    <s v="Lab"/>
    <s v="KA"/>
    <x v="145"/>
    <x v="169"/>
    <n v="155"/>
    <x v="1"/>
    <m/>
  </r>
  <r>
    <x v="0"/>
    <n v="197"/>
    <s v="327"/>
    <s v="C327-197-25"/>
    <s v="Internal assessment (9001 &amp; 17025)"/>
    <m/>
    <s v="Clause 6.4 Lab equipment"/>
    <s v="Lab"/>
    <s v="AH"/>
    <x v="149"/>
    <x v="169"/>
    <n v="216"/>
    <x v="1"/>
    <m/>
  </r>
  <r>
    <x v="0"/>
    <n v="197"/>
    <s v="329"/>
    <s v="C329-197-25"/>
    <s v="Internal assessment (9001 &amp; 17025)"/>
    <m/>
    <s v="Clause 7.2.1.7 Test witnessing"/>
    <s v="Lab"/>
    <s v="AH"/>
    <x v="149"/>
    <x v="169"/>
    <n v="216"/>
    <x v="1"/>
    <m/>
  </r>
  <r>
    <x v="0"/>
    <n v="197"/>
    <s v="330"/>
    <s v="C330-197-25"/>
    <s v="Internal assessment (9001 &amp; 17025)"/>
    <m/>
    <s v="Clause 7.5 Technical records"/>
    <s v="Lab"/>
    <s v="AH"/>
    <x v="149"/>
    <x v="169"/>
    <n v="216"/>
    <x v="1"/>
    <m/>
  </r>
  <r>
    <x v="0"/>
    <n v="197"/>
    <s v="331"/>
    <s v="C331-197-25"/>
    <s v="Internal assessment (9001 &amp; 17025)"/>
    <m/>
    <s v="Clause 7.7 Validity of results"/>
    <s v="Lab"/>
    <s v="AH"/>
    <x v="149"/>
    <x v="169"/>
    <n v="216"/>
    <x v="1"/>
    <m/>
  </r>
  <r>
    <x v="0"/>
    <n v="197"/>
    <s v="332"/>
    <s v="C332-197-25"/>
    <s v="Internal assessment (9001 &amp; 17025)"/>
    <m/>
    <s v="Clause 7.10 Nonconforming results"/>
    <s v="Lab"/>
    <s v="AH"/>
    <x v="149"/>
    <x v="169"/>
    <n v="216"/>
    <x v="1"/>
    <m/>
  </r>
  <r>
    <x v="0"/>
    <n v="197"/>
    <s v="342"/>
    <s v="C342-197-25"/>
    <s v="Internal assessment (9001 &amp; 17025)"/>
    <m/>
    <s v="Clause 6.2 Lab Training records"/>
    <s v="Lab"/>
    <s v="AH"/>
    <x v="149"/>
    <x v="169"/>
    <n v="216"/>
    <x v="1"/>
    <m/>
  </r>
  <r>
    <x v="38"/>
    <n v="170"/>
    <s v="031"/>
    <s v="C031-170-26"/>
    <s v="Complaint"/>
    <s v="PBF"/>
    <s v="PBF - Wrong submitted sample"/>
    <s v="Lab"/>
    <s v="DA"/>
    <x v="166"/>
    <x v="169"/>
    <n v="16"/>
    <x v="1"/>
    <m/>
  </r>
  <r>
    <x v="38"/>
    <n v="170"/>
    <s v="032"/>
    <s v="C032-170-26"/>
    <s v="Complaint"/>
    <s v="PBF"/>
    <s v="PBF - Transcription error"/>
    <s v="Lab"/>
    <s v="DA"/>
    <x v="166"/>
    <x v="169"/>
    <n v="16"/>
    <x v="1"/>
    <m/>
  </r>
  <r>
    <x v="38"/>
    <n v="170"/>
    <s v="033"/>
    <s v="C033-170-26"/>
    <s v="Complaint"/>
    <s v="PBF"/>
    <s v="PBF - Difference in reporting"/>
    <s v="Lab"/>
    <s v="DA"/>
    <x v="166"/>
    <x v="169"/>
    <n v="16"/>
    <x v="1"/>
    <m/>
  </r>
  <r>
    <x v="7"/>
    <n v="160"/>
    <s v="242"/>
    <s v="C242-160-25"/>
    <s v="Internal assessment (9001 &amp; 17025)"/>
    <m/>
    <s v="ISO 9001: Job File review"/>
    <s v="Lab &amp; Ops"/>
    <s v="AH"/>
    <x v="77"/>
    <x v="169"/>
    <n v="278"/>
    <x v="1"/>
    <m/>
  </r>
  <r>
    <x v="7"/>
    <n v="160"/>
    <s v="247"/>
    <s v="C247-160-25"/>
    <s v="Internal assessment (9001 &amp; 17025)"/>
    <m/>
    <s v="Clause 7.7 Validity of results"/>
    <s v="Lab"/>
    <s v="AH"/>
    <x v="77"/>
    <x v="169"/>
    <n v="278"/>
    <x v="1"/>
    <m/>
  </r>
  <r>
    <x v="1"/>
    <n v="192"/>
    <s v="164"/>
    <s v="C164-192-25"/>
    <s v="Internal assessment (9001 &amp; 17025)"/>
    <m/>
    <s v="PO"/>
    <s v="Misc"/>
    <s v="MT"/>
    <x v="56"/>
    <x v="169"/>
    <n v="324"/>
    <x v="1"/>
    <m/>
  </r>
  <r>
    <x v="11"/>
    <n v="131"/>
    <s v="013"/>
    <s v="C013-131-26"/>
    <s v="Internal assessment (9001 &amp; 17025)"/>
    <m/>
    <s v="QB-00019A"/>
    <s v="Operations"/>
    <s v="AH"/>
    <x v="168"/>
    <x v="169"/>
    <n v="30"/>
    <x v="1"/>
    <m/>
  </r>
  <r>
    <x v="11"/>
    <n v="131"/>
    <s v="014"/>
    <s v="C014-131-26"/>
    <s v="Internal assessment (9001 &amp; 17025)"/>
    <m/>
    <s v="QSM S27.3.e.i"/>
    <s v="Operations"/>
    <s v="AH"/>
    <x v="168"/>
    <x v="169"/>
    <n v="30"/>
    <x v="1"/>
    <m/>
  </r>
  <r>
    <x v="11"/>
    <n v="131"/>
    <s v="015"/>
    <s v="C015-131-26"/>
    <s v="Internal assessment (9001 &amp; 17025)"/>
    <m/>
    <s v="QSM S28.5"/>
    <s v="Operations"/>
    <s v="AH"/>
    <x v="168"/>
    <x v="169"/>
    <n v="30"/>
    <x v="1"/>
    <m/>
  </r>
  <r>
    <x v="11"/>
    <n v="131"/>
    <s v="016"/>
    <s v="C016-131-26"/>
    <s v="Internal assessment (9001 &amp; 17025)"/>
    <m/>
    <s v="ISO 17025 Clause 7.11.6"/>
    <s v="Lab"/>
    <s v="AH"/>
    <x v="168"/>
    <x v="169"/>
    <n v="30"/>
    <x v="1"/>
    <m/>
  </r>
  <r>
    <x v="11"/>
    <n v="131"/>
    <s v="017"/>
    <s v="C017-131-26"/>
    <s v="Internal assessment (9001 &amp; 17025)"/>
    <m/>
    <s v="ISO 17025 Clause 6.5"/>
    <s v="Lab"/>
    <s v="AH"/>
    <x v="168"/>
    <x v="169"/>
    <n v="30"/>
    <x v="1"/>
    <m/>
  </r>
  <r>
    <x v="11"/>
    <n v="131"/>
    <s v="018"/>
    <s v="C018-131-26"/>
    <s v="Internal assessment (9001 &amp; 17025)"/>
    <m/>
    <s v="ISO 17025 Clause 6.4.13"/>
    <s v="Lab"/>
    <s v="AH"/>
    <x v="168"/>
    <x v="169"/>
    <n v="30"/>
    <x v="1"/>
    <m/>
  </r>
  <r>
    <x v="11"/>
    <n v="131"/>
    <s v="019"/>
    <s v="C019-131-26"/>
    <s v="Internal assessment (9001 &amp; 17025)"/>
    <m/>
    <s v="ISO 17025 Clause 7.7"/>
    <s v="Lab"/>
    <s v="AH"/>
    <x v="168"/>
    <x v="169"/>
    <n v="30"/>
    <x v="1"/>
    <m/>
  </r>
  <r>
    <x v="11"/>
    <n v="131"/>
    <s v="020"/>
    <s v="C020-131-26"/>
    <s v="Internal assessment (9001 &amp; 17025)"/>
    <m/>
    <s v="ISO 17025 Clause 6.4.9"/>
    <s v="Lab"/>
    <s v="AH"/>
    <x v="168"/>
    <x v="169"/>
    <n v="30"/>
    <x v="1"/>
    <m/>
  </r>
  <r>
    <x v="11"/>
    <n v="131"/>
    <s v="021"/>
    <s v="C021-131-26"/>
    <s v="Internal assessment (9001 &amp; 17025)"/>
    <m/>
    <s v="ISO 17025 Clause 7.5"/>
    <s v="Lab"/>
    <s v="AH"/>
    <x v="168"/>
    <x v="169"/>
    <n v="30"/>
    <x v="1"/>
    <m/>
  </r>
  <r>
    <x v="18"/>
    <n v="144"/>
    <s v="372"/>
    <s v="C372-144-24"/>
    <s v="Internal assessment (9001 &amp; 17025)"/>
    <m/>
    <s v="IA:  File review"/>
    <s v="Lab &amp; Ops"/>
    <s v="KA"/>
    <x v="23"/>
    <x v="169"/>
    <n v="547"/>
    <x v="1"/>
    <m/>
  </r>
  <r>
    <x v="18"/>
    <n v="144"/>
    <s v="259"/>
    <s v="C259-144-25"/>
    <s v="Other (QC, customer alert, improper procedure)"/>
    <m/>
    <s v="During an external assessment of PBMS related requirements, it was observed that QC chart maintenance and response practices did not fully align with the expectations and best practices outlined in AmSpec LQSM Section 16, ASTM D6299 or 40 CFR Part 1090."/>
    <s v="Lab"/>
    <s v="JP"/>
    <x v="169"/>
    <x v="169"/>
    <n v="268"/>
    <x v="1"/>
    <m/>
  </r>
  <r>
    <x v="18"/>
    <n v="144"/>
    <s v="363"/>
    <s v="C363-144-25"/>
    <s v="Internal assessment (9001 &amp; 17025)"/>
    <m/>
    <s v="IA: Test witnessing (D2622, D6423)"/>
    <s v="Lab"/>
    <s v="AH"/>
    <x v="123"/>
    <x v="169"/>
    <n v="190"/>
    <x v="1"/>
    <m/>
  </r>
  <r>
    <x v="18"/>
    <n v="144"/>
    <s v="364"/>
    <s v="C364-144-25"/>
    <s v="Internal assessment (9001 &amp; 17025)"/>
    <m/>
    <s v="IA: Lab training records"/>
    <s v="Lab"/>
    <s v="AH"/>
    <x v="123"/>
    <x v="169"/>
    <n v="190"/>
    <x v="1"/>
    <m/>
  </r>
  <r>
    <x v="18"/>
    <n v="144"/>
    <s v="365"/>
    <s v="C365-144-25"/>
    <s v="Internal assessment (9001 &amp; 17025)"/>
    <m/>
    <s v="IA: Lab equipment records"/>
    <s v="Lab"/>
    <s v="AH"/>
    <x v="123"/>
    <x v="169"/>
    <n v="190"/>
    <x v="1"/>
    <m/>
  </r>
  <r>
    <x v="18"/>
    <n v="144"/>
    <s v="366"/>
    <s v="C366-144-25"/>
    <s v="Internal assessment (9001 &amp; 17025)"/>
    <m/>
    <s v="IA: Amended COAs"/>
    <s v="Lab"/>
    <s v="AH"/>
    <x v="123"/>
    <x v="169"/>
    <n v="190"/>
    <x v="1"/>
    <m/>
  </r>
  <r>
    <x v="18"/>
    <n v="144"/>
    <s v="367"/>
    <s v="C367-144-25"/>
    <s v="Internal assessment (9001 &amp; 17025)"/>
    <m/>
    <s v="IA: QCs"/>
    <s v="Lab"/>
    <s v="AH"/>
    <x v="123"/>
    <x v="169"/>
    <n v="190"/>
    <x v="1"/>
    <m/>
  </r>
  <r>
    <x v="18"/>
    <n v="144"/>
    <s v="368"/>
    <s v="C368-144-25"/>
    <s v="Internal assessment (9001 &amp; 17025)"/>
    <m/>
    <s v="IA: Job file review"/>
    <s v="Lab"/>
    <s v="AH"/>
    <x v="123"/>
    <x v="169"/>
    <n v="190"/>
    <x v="1"/>
    <m/>
  </r>
  <r>
    <x v="47"/>
    <n v="199"/>
    <s v="034"/>
    <s v="C034-199-26"/>
    <s v="Complaint"/>
    <s v="Irving"/>
    <s v="Wrong tank samples on vessel"/>
    <s v="Operations"/>
    <s v="GF"/>
    <x v="170"/>
    <x v="169"/>
    <n v="14"/>
    <x v="1"/>
    <m/>
  </r>
  <r>
    <x v="47"/>
    <n v="199"/>
    <s v="035"/>
    <s v="C035-199-26"/>
    <s v="Complaint"/>
    <s v="Irving"/>
    <s v="Inspector did not sample crude oil tanks on open guage"/>
    <s v="Operations"/>
    <s v="GF"/>
    <x v="170"/>
    <x v="169"/>
    <n v="14"/>
    <x v="1"/>
    <m/>
  </r>
  <r>
    <x v="47"/>
    <n v="199"/>
    <s v="039"/>
    <s v="C039-199-26"/>
    <s v="Complaint"/>
    <s v="Irving"/>
    <s v="Irving Oil - Sampler tape failed resulting in tape and sample tube being lost in the vessels tank"/>
    <s v="Operations"/>
    <s v="GF"/>
    <x v="156"/>
    <x v="169"/>
    <n v="15"/>
    <x v="1"/>
    <m/>
  </r>
  <r>
    <x v="47"/>
    <n v="199"/>
    <s v="045"/>
    <s v="C045-199-26"/>
    <s v="Complaint"/>
    <m/>
    <s v="Irving Oil requirement to have a shore tank gauged Sunday mid-night. This was not completed. "/>
    <s v="Operations"/>
    <s v="GF"/>
    <x v="171"/>
    <x v="169"/>
    <n v="2"/>
    <x v="1"/>
    <m/>
  </r>
  <r>
    <x v="27"/>
    <n v="139"/>
    <s v="479"/>
    <s v="C479-139-25"/>
    <s v="Internal assessment (9001 &amp; 17025)"/>
    <m/>
    <s v="IA: Appendix 15B balance verifications"/>
    <s v="Lab"/>
    <s v="KA"/>
    <x v="172"/>
    <x v="169"/>
    <n v="82"/>
    <x v="1"/>
    <m/>
  </r>
  <r>
    <x v="27"/>
    <n v="139"/>
    <s v="480"/>
    <s v="C480-139-25"/>
    <s v="Internal assessment (9001 &amp; 17025)"/>
    <m/>
    <s v="IA: LQSM S17 - raw data records"/>
    <s v="Lab"/>
    <s v="KA"/>
    <x v="172"/>
    <x v="169"/>
    <n v="82"/>
    <x v="1"/>
    <m/>
  </r>
  <r>
    <x v="27"/>
    <n v="139"/>
    <s v="481"/>
    <s v="C481-139-25"/>
    <s v="Internal assessment (9001 &amp; 17025)"/>
    <m/>
    <s v="IA: LQSM S14 - Test method deviations"/>
    <s v="Lab"/>
    <s v="KA"/>
    <x v="172"/>
    <x v="169"/>
    <n v="82"/>
    <x v="1"/>
    <m/>
  </r>
  <r>
    <x v="27"/>
    <n v="139"/>
    <s v="482"/>
    <s v="C482-139-25"/>
    <s v="Internal assessment (9001 &amp; 17025)"/>
    <m/>
    <s v="IA: LQSM S16 - QC and QC charts"/>
    <s v="Lab"/>
    <s v="KA"/>
    <x v="172"/>
    <x v="169"/>
    <n v="82"/>
    <x v="1"/>
    <m/>
  </r>
  <r>
    <x v="27"/>
    <n v="139"/>
    <s v="483"/>
    <s v="C483-139-25"/>
    <s v="Internal assessment (9001 &amp; 17025)"/>
    <m/>
    <s v="IA: LQSM S13 - training for D2699/D2700"/>
    <s v="Lab"/>
    <s v="KA"/>
    <x v="172"/>
    <x v="169"/>
    <n v="82"/>
    <x v="1"/>
    <m/>
  </r>
  <r>
    <x v="27"/>
    <n v="139"/>
    <s v="484"/>
    <s v="C484-139-25"/>
    <s v="Internal assessment (9001 &amp; 17025)"/>
    <m/>
    <s v="IA: QSM S15 - file review "/>
    <s v="Lab &amp; Ops"/>
    <s v="KA"/>
    <x v="172"/>
    <x v="169"/>
    <n v="82"/>
    <x v="1"/>
    <m/>
  </r>
  <r>
    <x v="55"/>
    <n v="137"/>
    <s v="295"/>
    <s v="C295-137-25"/>
    <s v="Internal assessment (9001 &amp; 17025)"/>
    <m/>
    <s v="IA: TMAs not completed, no schedule"/>
    <s v="Lab"/>
    <s v="KA"/>
    <x v="82"/>
    <x v="174"/>
    <m/>
    <x v="0"/>
    <n v="189"/>
  </r>
  <r>
    <x v="55"/>
    <n v="137"/>
    <s v="293"/>
    <s v="C293-137-25"/>
    <s v="Internal assessment (9001 &amp; 17025)"/>
    <m/>
    <s v="IA: CARs from 2023 and 2024 IA not completed"/>
    <s v="Lab &amp; Ops"/>
    <s v="KA"/>
    <x v="82"/>
    <x v="169"/>
    <n v="243"/>
    <x v="1"/>
    <m/>
  </r>
  <r>
    <x v="55"/>
    <n v="137"/>
    <s v="294"/>
    <s v="C294-137-25"/>
    <s v="Internal assessment (9001 &amp; 17025)"/>
    <m/>
    <s v="IA: MOC not completed"/>
    <s v="Lab"/>
    <s v="KA"/>
    <x v="82"/>
    <x v="169"/>
    <n v="243"/>
    <x v="1"/>
    <m/>
  </r>
  <r>
    <x v="55"/>
    <n v="137"/>
    <s v="296"/>
    <s v="C296-137-25"/>
    <s v="Internal assessment (9001 &amp; 17025)"/>
    <m/>
    <s v="IA: File review"/>
    <s v="Lab &amp; Ops"/>
    <s v="KA"/>
    <x v="82"/>
    <x v="169"/>
    <n v="243"/>
    <x v="1"/>
    <m/>
  </r>
  <r>
    <x v="55"/>
    <n v="137"/>
    <s v="297"/>
    <s v="C297-137-25"/>
    <s v="Internal assessment (9001 &amp; 17025)"/>
    <m/>
    <s v="IA: Equipment calibrations / verifications"/>
    <s v="Lab"/>
    <s v="KA"/>
    <x v="82"/>
    <x v="169"/>
    <n v="243"/>
    <x v="1"/>
    <m/>
  </r>
  <r>
    <x v="55"/>
    <n v="137"/>
    <s v="298"/>
    <s v="C298-137-25"/>
    <s v="Internal assessment (9001 &amp; 17025)"/>
    <m/>
    <s v="IA: Expired chemical  "/>
    <s v="Lab"/>
    <s v="KA"/>
    <x v="82"/>
    <x v="169"/>
    <n v="243"/>
    <x v="1"/>
    <m/>
  </r>
  <r>
    <x v="55"/>
    <n v="137"/>
    <s v="299"/>
    <s v="C299-137-25"/>
    <s v="Internal assessment (9001 &amp; 17025)"/>
    <m/>
    <s v="IA: D445 wrong constant used"/>
    <s v="Lab"/>
    <s v="KA"/>
    <x v="82"/>
    <x v="169"/>
    <n v="243"/>
    <x v="1"/>
    <m/>
  </r>
  <r>
    <x v="55"/>
    <n v="137"/>
    <s v="300"/>
    <s v="C300-137-25"/>
    <s v="Internal assessment (9001 &amp; 17025)"/>
    <m/>
    <s v="IA: QC charts not done (D5453 &amp; D93)"/>
    <s v="Lab"/>
    <s v="KA"/>
    <x v="82"/>
    <x v="169"/>
    <n v="243"/>
    <x v="1"/>
    <m/>
  </r>
  <r>
    <x v="35"/>
    <n v="126"/>
    <s v="249"/>
    <s v="C249-126-25"/>
    <s v="Internal assessment (9001 &amp; 17025)"/>
    <m/>
    <s v="Lab Equipment - Cal/Ver/Main"/>
    <s v="Lab"/>
    <s v="AH"/>
    <x v="77"/>
    <x v="169"/>
    <n v="278"/>
    <x v="1"/>
    <m/>
  </r>
  <r>
    <x v="35"/>
    <n v="126"/>
    <s v="250"/>
    <s v="C250-126-25"/>
    <s v="Internal assessment (9001 &amp; 17025)"/>
    <m/>
    <s v="In-house solutions and prep records"/>
    <s v="Lab"/>
    <s v="AH"/>
    <x v="77"/>
    <x v="169"/>
    <n v="278"/>
    <x v="1"/>
    <m/>
  </r>
  <r>
    <x v="35"/>
    <n v="126"/>
    <s v="252"/>
    <s v="C252-126-25"/>
    <s v="Internal assessment (9001 &amp; 17025)"/>
    <m/>
    <s v="Inspector training binders"/>
    <s v="Operations"/>
    <s v="AH"/>
    <x v="77"/>
    <x v="169"/>
    <n v="278"/>
    <x v="1"/>
    <m/>
  </r>
  <r>
    <x v="28"/>
    <n v="150"/>
    <s v="149"/>
    <s v="C149-150-25"/>
    <s v="Internal assessment (9001 &amp; 17025)"/>
    <m/>
    <s v="IA: File Review"/>
    <s v="Operations"/>
    <s v="Ecu"/>
    <x v="55"/>
    <x v="169"/>
    <n v="334"/>
    <x v="1"/>
    <m/>
  </r>
  <r>
    <x v="51"/>
    <n v="129"/>
    <n v="529"/>
    <s v="C529-129-24"/>
    <s v="Internal assessment (9001 &amp; 17025)"/>
    <m/>
    <s v="IA: QCs"/>
    <s v="Lab"/>
    <s v="EC"/>
    <x v="114"/>
    <x v="169"/>
    <n v="377"/>
    <x v="1"/>
    <m/>
  </r>
  <r>
    <x v="51"/>
    <n v="129"/>
    <n v="530"/>
    <s v="C530-129-24"/>
    <s v="Internal assessment (9001 &amp; 17025)"/>
    <m/>
    <s v="IA: Training Records"/>
    <s v="Lab"/>
    <s v="EC"/>
    <x v="114"/>
    <x v="169"/>
    <n v="377"/>
    <x v="1"/>
    <m/>
  </r>
  <r>
    <x v="51"/>
    <n v="129"/>
    <s v="357"/>
    <s v="C357-129-25"/>
    <s v="Internal assessment (9001 &amp; 17025)"/>
    <m/>
    <s v="IA: AMCS not on QAVL"/>
    <s v="Lab"/>
    <s v="KA"/>
    <x v="116"/>
    <x v="169"/>
    <n v="175"/>
    <x v="1"/>
    <m/>
  </r>
  <r>
    <x v="51"/>
    <n v="129"/>
    <s v="358"/>
    <s v="C358-129-25"/>
    <s v="Internal assessment (9001 &amp; 17025)"/>
    <m/>
    <s v="IA: Traning records for D. Drew not properly documented"/>
    <s v="Lab"/>
    <s v="KA"/>
    <x v="116"/>
    <x v="169"/>
    <n v="175"/>
    <x v="1"/>
    <m/>
  </r>
  <r>
    <x v="39"/>
    <n v="185"/>
    <s v="258"/>
    <s v="C258-185-25"/>
    <s v="Other (QC, customer alert, improper procedure)"/>
    <m/>
    <s v="During an external assessment of PBMS related requirements, it was observed that QC chart maintenance and response practices did not fully align with the expectations and best practices outlined in AmSpec LQSM Section 16, ASTM D6299 or 40 CFR Part 1090."/>
    <s v="Lab"/>
    <s v="JP"/>
    <x v="169"/>
    <x v="169"/>
    <n v="268"/>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F96C9-28A1-4769-B752-5C93CFA1C19F}"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9" firstHeaderRow="0" firstDataRow="1" firstDataCol="1" rowPageCount="2" colPageCount="1"/>
  <pivotFields count="14">
    <pivotField axis="axisRow" showAll="0">
      <items count="62">
        <item h="1" x="44"/>
        <item h="1" x="57"/>
        <item h="1" x="15"/>
        <item h="1" x="45"/>
        <item h="1" x="31"/>
        <item h="1" x="50"/>
        <item h="1" x="56"/>
        <item x="2"/>
        <item h="1" x="49"/>
        <item h="1" x="8"/>
        <item h="1" x="5"/>
        <item h="1" x="41"/>
        <item h="1" x="9"/>
        <item h="1" x="34"/>
        <item h="1" x="58"/>
        <item h="1" x="20"/>
        <item h="1" x="24"/>
        <item h="1" x="53"/>
        <item h="1" x="26"/>
        <item h="1" x="30"/>
        <item h="1" x="33"/>
        <item h="1" x="32"/>
        <item h="1" x="10"/>
        <item h="1" x="16"/>
        <item h="1" x="3"/>
        <item h="1" x="52"/>
        <item h="1" x="54"/>
        <item x="40"/>
        <item h="1" x="36"/>
        <item h="1" x="37"/>
        <item x="12"/>
        <item h="1" x="13"/>
        <item h="1" x="14"/>
        <item h="1" x="19"/>
        <item h="1" x="59"/>
        <item h="1" x="17"/>
        <item h="1" x="25"/>
        <item h="1" x="0"/>
        <item h="1" x="6"/>
        <item h="1" x="38"/>
        <item h="1" x="48"/>
        <item h="1" x="29"/>
        <item h="1" x="22"/>
        <item h="1" x="7"/>
        <item h="1" x="43"/>
        <item h="1" x="23"/>
        <item h="1" x="21"/>
        <item h="1" x="1"/>
        <item x="11"/>
        <item h="1" x="18"/>
        <item h="1" x="46"/>
        <item h="1" x="4"/>
        <item h="1" x="42"/>
        <item h="1" x="47"/>
        <item h="1" x="27"/>
        <item x="55"/>
        <item h="1" x="35"/>
        <item h="1" x="28"/>
        <item x="51"/>
        <item h="1" x="39"/>
        <item h="1" m="1" x="60"/>
        <item t="default"/>
      </items>
    </pivotField>
    <pivotField showAll="0"/>
    <pivotField showAll="0"/>
    <pivotField showAll="0"/>
    <pivotField showAll="0"/>
    <pivotField showAll="0"/>
    <pivotField showAll="0"/>
    <pivotField showAll="0"/>
    <pivotField showAll="0"/>
    <pivotField axis="axisPage" multipleItemSelectionAllowed="1" showAll="0">
      <items count="174">
        <item x="6"/>
        <item x="64"/>
        <item x="21"/>
        <item x="68"/>
        <item x="22"/>
        <item x="67"/>
        <item x="140"/>
        <item x="106"/>
        <item x="50"/>
        <item x="7"/>
        <item x="59"/>
        <item x="83"/>
        <item x="4"/>
        <item x="66"/>
        <item x="102"/>
        <item x="24"/>
        <item x="28"/>
        <item x="8"/>
        <item x="29"/>
        <item x="11"/>
        <item x="46"/>
        <item x="23"/>
        <item x="105"/>
        <item x="0"/>
        <item x="103"/>
        <item x="141"/>
        <item x="25"/>
        <item x="1"/>
        <item x="10"/>
        <item h="1" x="13"/>
        <item h="1" x="32"/>
        <item h="1" x="15"/>
        <item h="1" x="18"/>
        <item h="1" x="63"/>
        <item h="1" x="39"/>
        <item h="1" x="19"/>
        <item h="1" x="57"/>
        <item h="1" x="5"/>
        <item h="1" x="17"/>
        <item h="1" x="81"/>
        <item h="1" x="14"/>
        <item h="1" x="9"/>
        <item h="1" x="26"/>
        <item h="1" x="27"/>
        <item h="1" x="34"/>
        <item h="1" x="115"/>
        <item h="1" x="20"/>
        <item h="1" x="30"/>
        <item h="1" x="52"/>
        <item h="1" x="35"/>
        <item h="1" x="31"/>
        <item h="1" x="38"/>
        <item h="1" x="114"/>
        <item h="1" x="158"/>
        <item h="1" x="36"/>
        <item h="1" x="41"/>
        <item h="1" x="37"/>
        <item h="1" x="33"/>
        <item h="1" x="40"/>
        <item h="1" x="43"/>
        <item h="1" x="137"/>
        <item h="1" x="48"/>
        <item h="1" x="47"/>
        <item h="1" x="42"/>
        <item h="1" x="45"/>
        <item h="1" x="49"/>
        <item h="1" x="44"/>
        <item h="1" x="62"/>
        <item h="1" x="55"/>
        <item h="1" x="54"/>
        <item h="1" x="56"/>
        <item h="1" x="65"/>
        <item h="1" x="53"/>
        <item h="1" x="51"/>
        <item h="1" x="61"/>
        <item h="1" x="58"/>
        <item h="1" x="76"/>
        <item h="1" x="69"/>
        <item h="1" x="73"/>
        <item h="1" x="79"/>
        <item h="1" x="74"/>
        <item h="1" x="72"/>
        <item h="1" x="77"/>
        <item h="1" x="70"/>
        <item h="1" x="87"/>
        <item h="1" x="169"/>
        <item h="1" x="93"/>
        <item h="1" x="85"/>
        <item h="1" x="71"/>
        <item h="1" x="84"/>
        <item h="1" x="80"/>
        <item h="1" x="107"/>
        <item h="1" x="86"/>
        <item h="1" x="75"/>
        <item h="1" x="124"/>
        <item h="1" x="82"/>
        <item h="1" x="97"/>
        <item h="1" x="88"/>
        <item h="1" x="89"/>
        <item h="1" x="98"/>
        <item h="1" x="92"/>
        <item h="1" x="96"/>
        <item h="1" x="91"/>
        <item h="1" x="149"/>
        <item h="1" x="90"/>
        <item h="1" x="94"/>
        <item h="1" x="164"/>
        <item h="1" x="95"/>
        <item h="1" x="100"/>
        <item h="1" x="101"/>
        <item h="1" x="123"/>
        <item h="1" x="99"/>
        <item h="1" x="104"/>
        <item h="1" x="132"/>
        <item h="1" x="116"/>
        <item h="1" x="112"/>
        <item h="1" x="109"/>
        <item h="1" x="121"/>
        <item h="1" x="108"/>
        <item h="1" x="113"/>
        <item h="1" x="129"/>
        <item h="1" x="162"/>
        <item h="1" x="145"/>
        <item h="1" x="111"/>
        <item h="1" x="117"/>
        <item h="1" x="120"/>
        <item h="1" x="125"/>
        <item h="1" x="136"/>
        <item h="1" x="119"/>
        <item h="1" x="122"/>
        <item h="1" x="154"/>
        <item h="1" x="118"/>
        <item h="1" x="133"/>
        <item h="1" x="135"/>
        <item h="1" x="127"/>
        <item h="1" x="126"/>
        <item h="1" x="167"/>
        <item h="1" x="161"/>
        <item h="1" x="134"/>
        <item h="1" x="128"/>
        <item h="1" x="131"/>
        <item h="1" x="130"/>
        <item h="1" x="150"/>
        <item h="1" x="172"/>
        <item h="1" x="142"/>
        <item h="1" x="138"/>
        <item h="1" x="151"/>
        <item h="1" x="157"/>
        <item h="1" x="148"/>
        <item h="1" x="147"/>
        <item h="1" x="153"/>
        <item h="1" x="146"/>
        <item h="1" x="144"/>
        <item h="1" x="155"/>
        <item h="1" x="143"/>
        <item h="1" x="163"/>
        <item h="1" x="159"/>
        <item h="1" x="168"/>
        <item h="1" x="152"/>
        <item h="1" x="165"/>
        <item h="1" x="166"/>
        <item h="1" x="156"/>
        <item h="1" x="170"/>
        <item h="1" x="160"/>
        <item h="1" x="171"/>
        <item h="1" x="139"/>
        <item h="1" x="16"/>
        <item h="1" x="110"/>
        <item h="1" x="60"/>
        <item h="1" x="78"/>
        <item h="1" x="3"/>
        <item h="1" x="12"/>
        <item h="1" x="2"/>
        <item t="default"/>
      </items>
    </pivotField>
    <pivotField axis="axisPage" multipleItemSelectionAllowed="1" showAll="0">
      <items count="204">
        <item m="1" x="202"/>
        <item x="0"/>
        <item x="62"/>
        <item x="4"/>
        <item x="6"/>
        <item x="7"/>
        <item x="8"/>
        <item x="9"/>
        <item x="10"/>
        <item x="12"/>
        <item x="13"/>
        <item x="15"/>
        <item x="1"/>
        <item x="18"/>
        <item x="20"/>
        <item x="21"/>
        <item x="22"/>
        <item x="23"/>
        <item x="24"/>
        <item x="25"/>
        <item x="140"/>
        <item x="26"/>
        <item x="27"/>
        <item x="16"/>
        <item x="30"/>
        <item x="11"/>
        <item x="28"/>
        <item x="3"/>
        <item x="33"/>
        <item x="34"/>
        <item x="35"/>
        <item x="36"/>
        <item x="37"/>
        <item x="38"/>
        <item x="39"/>
        <item x="40"/>
        <item x="41"/>
        <item x="42"/>
        <item x="43"/>
        <item x="44"/>
        <item x="45"/>
        <item x="46"/>
        <item x="47"/>
        <item x="48"/>
        <item x="49"/>
        <item x="50"/>
        <item x="51"/>
        <item x="53"/>
        <item x="29"/>
        <item x="55"/>
        <item x="56"/>
        <item x="57"/>
        <item x="59"/>
        <item x="60"/>
        <item x="61"/>
        <item x="31"/>
        <item x="63"/>
        <item x="64"/>
        <item x="32"/>
        <item x="65"/>
        <item x="66"/>
        <item x="2"/>
        <item x="67"/>
        <item x="68"/>
        <item x="69"/>
        <item x="17"/>
        <item x="14"/>
        <item x="52"/>
        <item x="70"/>
        <item x="71"/>
        <item x="72"/>
        <item x="73"/>
        <item x="74"/>
        <item x="75"/>
        <item x="76"/>
        <item x="77"/>
        <item x="78"/>
        <item x="79"/>
        <item x="80"/>
        <item x="81"/>
        <item x="5"/>
        <item x="83"/>
        <item x="84"/>
        <item x="85"/>
        <item x="86"/>
        <item x="87"/>
        <item x="88"/>
        <item x="89"/>
        <item x="90"/>
        <item x="91"/>
        <item x="92"/>
        <item x="93"/>
        <item x="94"/>
        <item x="95"/>
        <item x="96"/>
        <item x="82"/>
        <item x="54"/>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58"/>
        <item x="134"/>
        <item x="135"/>
        <item x="136"/>
        <item x="137"/>
        <item x="138"/>
        <item x="139"/>
        <item x="97"/>
        <item x="141"/>
        <item x="19"/>
        <item x="142"/>
        <item x="143"/>
        <item x="144"/>
        <item x="145"/>
        <item x="146"/>
        <item x="147"/>
        <item x="148"/>
        <item x="149"/>
        <item x="150"/>
        <item x="151"/>
        <item x="152"/>
        <item x="153"/>
        <item x="154"/>
        <item x="155"/>
        <item x="156"/>
        <item x="157"/>
        <item x="158"/>
        <item x="159"/>
        <item x="160"/>
        <item x="161"/>
        <item x="162"/>
        <item x="163"/>
        <item x="164"/>
        <item x="165"/>
        <item x="166"/>
        <item x="167"/>
        <item x="168"/>
        <item x="201"/>
        <item x="170"/>
        <item x="171"/>
        <item x="172"/>
        <item x="173"/>
        <item x="174"/>
        <item x="176"/>
        <item x="177"/>
        <item x="178"/>
        <item x="179"/>
        <item x="180"/>
        <item x="184"/>
        <item x="181"/>
        <item x="182"/>
        <item x="183"/>
        <item x="175"/>
        <item x="185"/>
        <item x="187"/>
        <item x="188"/>
        <item x="189"/>
        <item x="190"/>
        <item x="191"/>
        <item x="192"/>
        <item x="193"/>
        <item x="186"/>
        <item x="194"/>
        <item x="195"/>
        <item x="196"/>
        <item x="197"/>
        <item x="198"/>
        <item x="199"/>
        <item x="200"/>
        <item x="169"/>
        <item t="default"/>
      </items>
    </pivotField>
    <pivotField dataField="1" showAll="0"/>
    <pivotField showAll="0"/>
    <pivotField dataField="1" showAll="0"/>
  </pivotFields>
  <rowFields count="1">
    <field x="0"/>
  </rowFields>
  <rowItems count="4">
    <i>
      <x v="7"/>
    </i>
    <i>
      <x v="48"/>
    </i>
    <i>
      <x v="55"/>
    </i>
    <i t="grand">
      <x/>
    </i>
  </rowItems>
  <colFields count="1">
    <field x="-2"/>
  </colFields>
  <colItems count="2">
    <i>
      <x/>
    </i>
    <i i="1">
      <x v="1"/>
    </i>
  </colItems>
  <pageFields count="2">
    <pageField fld="9" hier="-1"/>
    <pageField fld="10" hier="-1"/>
  </pageFields>
  <dataFields count="2">
    <dataField name="Average of Days open if not closed" fld="11" subtotal="average" baseField="0" baseItem="1"/>
    <dataField name="Average of Days to close" fld="13" subtotal="average" baseField="0" baseItem="1" numFmtId="1"/>
  </dataFields>
  <formats count="6">
    <format dxfId="63">
      <pivotArea outline="0" collapsedLevelsAreSubtotals="1" fieldPosition="0"/>
    </format>
    <format dxfId="64">
      <pivotArea outline="0" collapsedLevelsAreSubtotals="1" fieldPosition="0"/>
    </format>
    <format dxfId="65">
      <pivotArea dataOnly="0" labelOnly="1" outline="0" fieldPosition="0">
        <references count="1">
          <reference field="4294967294" count="1">
            <x v="1"/>
          </reference>
        </references>
      </pivotArea>
    </format>
    <format dxfId="66">
      <pivotArea outline="0" collapsedLevelsAreSubtotals="1" fieldPosition="0">
        <references count="1">
          <reference field="4294967294" count="1" selected="0">
            <x v="1"/>
          </reference>
        </references>
      </pivotArea>
    </format>
    <format dxfId="67">
      <pivotArea field="0" grandRow="1" outline="0" collapsedLevelsAreSubtotals="1" axis="axisRow" fieldPosition="0">
        <references count="1">
          <reference field="4294967294" count="1" selected="0">
            <x v="0"/>
          </reference>
        </references>
      </pivotArea>
    </format>
    <format dxfId="68">
      <pivotArea collapsedLevelsAreSubtotals="1" fieldPosition="0">
        <references count="2">
          <reference field="4294967294" count="1" selected="0">
            <x v="0"/>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1FCAE-6BE7-4D33-B788-0C49B22A7F21}"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11" firstHeaderRow="1" firstDataRow="1" firstDataCol="1" rowPageCount="2" colPageCount="1"/>
  <pivotFields count="14">
    <pivotField axis="axisRow" showAll="0">
      <items count="62">
        <item h="1" x="44"/>
        <item h="1" x="57"/>
        <item h="1" x="15"/>
        <item h="1" x="45"/>
        <item h="1" x="31"/>
        <item h="1" x="50"/>
        <item h="1" x="56"/>
        <item x="2"/>
        <item h="1" x="49"/>
        <item h="1" x="8"/>
        <item h="1" x="5"/>
        <item h="1" x="41"/>
        <item h="1" x="9"/>
        <item h="1" x="34"/>
        <item h="1" x="58"/>
        <item h="1" x="20"/>
        <item h="1" x="24"/>
        <item h="1" x="53"/>
        <item h="1" x="26"/>
        <item h="1" x="30"/>
        <item h="1" x="33"/>
        <item h="1" x="32"/>
        <item h="1" x="10"/>
        <item h="1" x="16"/>
        <item h="1" x="3"/>
        <item h="1" x="52"/>
        <item h="1" x="54"/>
        <item x="40"/>
        <item h="1" x="36"/>
        <item h="1" x="37"/>
        <item x="12"/>
        <item h="1" x="13"/>
        <item h="1" x="14"/>
        <item h="1" x="19"/>
        <item h="1" x="59"/>
        <item h="1" x="17"/>
        <item h="1" x="25"/>
        <item h="1" x="0"/>
        <item h="1" x="6"/>
        <item h="1" x="38"/>
        <item h="1" x="48"/>
        <item h="1" x="29"/>
        <item h="1" x="22"/>
        <item h="1" x="7"/>
        <item h="1" x="43"/>
        <item h="1" x="23"/>
        <item h="1" x="21"/>
        <item h="1" x="1"/>
        <item x="11"/>
        <item h="1" x="18"/>
        <item h="1" x="46"/>
        <item h="1" x="4"/>
        <item h="1" x="42"/>
        <item h="1" x="47"/>
        <item h="1" x="27"/>
        <item x="55"/>
        <item h="1" x="35"/>
        <item h="1" x="28"/>
        <item x="51"/>
        <item h="1" x="39"/>
        <item h="1" m="1" x="60"/>
        <item t="default"/>
      </items>
    </pivotField>
    <pivotField showAll="0"/>
    <pivotField showAll="0"/>
    <pivotField dataField="1" showAll="0"/>
    <pivotField showAll="0"/>
    <pivotField showAll="0"/>
    <pivotField showAll="0"/>
    <pivotField showAll="0"/>
    <pivotField showAll="0"/>
    <pivotField axis="axisPage" multipleItemSelectionAllowed="1" showAll="0">
      <items count="174">
        <item x="6"/>
        <item x="64"/>
        <item x="21"/>
        <item x="68"/>
        <item x="22"/>
        <item x="67"/>
        <item x="140"/>
        <item x="106"/>
        <item x="50"/>
        <item x="7"/>
        <item x="59"/>
        <item x="83"/>
        <item x="4"/>
        <item x="66"/>
        <item x="102"/>
        <item x="24"/>
        <item x="28"/>
        <item x="8"/>
        <item x="29"/>
        <item x="11"/>
        <item x="46"/>
        <item x="23"/>
        <item x="105"/>
        <item x="0"/>
        <item x="103"/>
        <item x="141"/>
        <item x="25"/>
        <item x="1"/>
        <item x="10"/>
        <item h="1" x="13"/>
        <item h="1" x="32"/>
        <item h="1" x="15"/>
        <item h="1" x="18"/>
        <item h="1" x="63"/>
        <item h="1" x="39"/>
        <item h="1" x="19"/>
        <item h="1" x="57"/>
        <item h="1" x="5"/>
        <item h="1" x="17"/>
        <item h="1" x="81"/>
        <item h="1" x="14"/>
        <item h="1" x="9"/>
        <item h="1" x="26"/>
        <item h="1" x="27"/>
        <item h="1" x="34"/>
        <item h="1" x="115"/>
        <item h="1" x="20"/>
        <item h="1" x="30"/>
        <item h="1" x="52"/>
        <item h="1" x="35"/>
        <item h="1" x="31"/>
        <item h="1" x="38"/>
        <item h="1" x="114"/>
        <item h="1" x="158"/>
        <item h="1" x="36"/>
        <item h="1" x="41"/>
        <item h="1" x="37"/>
        <item h="1" x="33"/>
        <item h="1" x="40"/>
        <item h="1" x="43"/>
        <item h="1" x="137"/>
        <item h="1" x="48"/>
        <item h="1" x="47"/>
        <item h="1" x="42"/>
        <item h="1" x="45"/>
        <item h="1" x="49"/>
        <item h="1" x="44"/>
        <item h="1" x="62"/>
        <item h="1" x="55"/>
        <item h="1" x="54"/>
        <item h="1" x="56"/>
        <item h="1" x="65"/>
        <item h="1" x="53"/>
        <item h="1" x="51"/>
        <item h="1" x="61"/>
        <item h="1" x="58"/>
        <item h="1" x="76"/>
        <item h="1" x="69"/>
        <item h="1" x="73"/>
        <item h="1" x="79"/>
        <item h="1" x="74"/>
        <item h="1" x="72"/>
        <item h="1" x="77"/>
        <item h="1" x="70"/>
        <item h="1" x="87"/>
        <item h="1" x="169"/>
        <item h="1" x="93"/>
        <item h="1" x="85"/>
        <item h="1" x="71"/>
        <item h="1" x="84"/>
        <item h="1" x="80"/>
        <item h="1" x="107"/>
        <item h="1" x="86"/>
        <item h="1" x="75"/>
        <item h="1" x="124"/>
        <item h="1" x="82"/>
        <item h="1" x="97"/>
        <item h="1" x="88"/>
        <item h="1" x="89"/>
        <item h="1" x="98"/>
        <item h="1" x="92"/>
        <item h="1" x="96"/>
        <item h="1" x="91"/>
        <item h="1" x="149"/>
        <item h="1" x="90"/>
        <item h="1" x="94"/>
        <item h="1" x="164"/>
        <item h="1" x="95"/>
        <item h="1" x="100"/>
        <item h="1" x="101"/>
        <item h="1" x="123"/>
        <item h="1" x="99"/>
        <item h="1" x="104"/>
        <item h="1" x="132"/>
        <item h="1" x="116"/>
        <item h="1" x="112"/>
        <item h="1" x="109"/>
        <item h="1" x="121"/>
        <item h="1" x="108"/>
        <item h="1" x="113"/>
        <item h="1" x="129"/>
        <item h="1" x="162"/>
        <item h="1" x="145"/>
        <item h="1" x="111"/>
        <item h="1" x="117"/>
        <item h="1" x="120"/>
        <item h="1" x="125"/>
        <item h="1" x="136"/>
        <item h="1" x="119"/>
        <item h="1" x="122"/>
        <item h="1" x="154"/>
        <item h="1" x="118"/>
        <item h="1" x="133"/>
        <item h="1" x="135"/>
        <item h="1" x="127"/>
        <item h="1" x="126"/>
        <item h="1" x="167"/>
        <item h="1" x="161"/>
        <item h="1" x="134"/>
        <item h="1" x="128"/>
        <item h="1" x="131"/>
        <item h="1" x="130"/>
        <item h="1" x="150"/>
        <item h="1" x="172"/>
        <item h="1" x="142"/>
        <item h="1" x="138"/>
        <item h="1" x="151"/>
        <item h="1" x="157"/>
        <item h="1" x="148"/>
        <item h="1" x="147"/>
        <item h="1" x="153"/>
        <item h="1" x="146"/>
        <item h="1" x="144"/>
        <item h="1" x="155"/>
        <item h="1" x="143"/>
        <item h="1" x="163"/>
        <item h="1" x="159"/>
        <item h="1" x="168"/>
        <item h="1" x="152"/>
        <item h="1" x="165"/>
        <item h="1" x="166"/>
        <item h="1" x="156"/>
        <item h="1" x="170"/>
        <item h="1" x="160"/>
        <item h="1" x="171"/>
        <item x="139"/>
        <item x="16"/>
        <item x="110"/>
        <item x="60"/>
        <item x="78"/>
        <item x="3"/>
        <item x="12"/>
        <item x="2"/>
        <item t="default"/>
      </items>
    </pivotField>
    <pivotField axis="axisPage" multipleItemSelectionAllowed="1" showAll="0">
      <items count="204">
        <item h="1" x="0"/>
        <item h="1" x="62"/>
        <item h="1" x="4"/>
        <item h="1" x="6"/>
        <item h="1" x="7"/>
        <item h="1" x="8"/>
        <item h="1" x="9"/>
        <item h="1" x="10"/>
        <item h="1" x="12"/>
        <item h="1" x="13"/>
        <item h="1" x="15"/>
        <item h="1" x="1"/>
        <item h="1" x="18"/>
        <item h="1" x="20"/>
        <item x="21"/>
        <item x="22"/>
        <item x="23"/>
        <item x="24"/>
        <item x="25"/>
        <item x="140"/>
        <item x="26"/>
        <item x="27"/>
        <item x="16"/>
        <item x="30"/>
        <item x="28"/>
        <item x="3"/>
        <item x="33"/>
        <item x="34"/>
        <item x="35"/>
        <item x="36"/>
        <item x="37"/>
        <item x="38"/>
        <item x="39"/>
        <item x="40"/>
        <item x="41"/>
        <item x="42"/>
        <item x="43"/>
        <item x="44"/>
        <item x="45"/>
        <item x="46"/>
        <item x="47"/>
        <item x="48"/>
        <item x="49"/>
        <item x="50"/>
        <item x="51"/>
        <item x="53"/>
        <item x="29"/>
        <item x="55"/>
        <item x="56"/>
        <item x="57"/>
        <item x="59"/>
        <item x="60"/>
        <item x="61"/>
        <item x="31"/>
        <item x="63"/>
        <item x="64"/>
        <item x="32"/>
        <item x="65"/>
        <item x="66"/>
        <item x="2"/>
        <item x="67"/>
        <item x="68"/>
        <item x="69"/>
        <item x="17"/>
        <item x="52"/>
        <item x="70"/>
        <item x="71"/>
        <item x="72"/>
        <item x="73"/>
        <item x="74"/>
        <item x="75"/>
        <item x="76"/>
        <item x="77"/>
        <item x="78"/>
        <item x="79"/>
        <item x="80"/>
        <item x="81"/>
        <item x="5"/>
        <item x="83"/>
        <item x="84"/>
        <item x="85"/>
        <item x="86"/>
        <item x="87"/>
        <item x="88"/>
        <item x="89"/>
        <item x="90"/>
        <item x="91"/>
        <item x="92"/>
        <item x="93"/>
        <item x="94"/>
        <item x="95"/>
        <item x="96"/>
        <item x="82"/>
        <item x="54"/>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58"/>
        <item x="134"/>
        <item x="135"/>
        <item x="136"/>
        <item x="137"/>
        <item x="138"/>
        <item x="139"/>
        <item x="97"/>
        <item x="141"/>
        <item x="19"/>
        <item x="142"/>
        <item x="143"/>
        <item x="144"/>
        <item x="145"/>
        <item x="146"/>
        <item x="147"/>
        <item x="148"/>
        <item x="149"/>
        <item x="150"/>
        <item x="151"/>
        <item x="152"/>
        <item x="153"/>
        <item x="154"/>
        <item x="155"/>
        <item x="156"/>
        <item x="157"/>
        <item x="158"/>
        <item x="159"/>
        <item x="160"/>
        <item x="161"/>
        <item x="162"/>
        <item x="163"/>
        <item x="164"/>
        <item x="165"/>
        <item x="166"/>
        <item x="167"/>
        <item x="168"/>
        <item x="201"/>
        <item x="170"/>
        <item x="171"/>
        <item x="172"/>
        <item x="173"/>
        <item x="174"/>
        <item x="176"/>
        <item x="177"/>
        <item x="178"/>
        <item x="179"/>
        <item x="180"/>
        <item x="184"/>
        <item x="181"/>
        <item x="182"/>
        <item x="183"/>
        <item x="175"/>
        <item x="185"/>
        <item x="187"/>
        <item x="188"/>
        <item x="189"/>
        <item x="190"/>
        <item x="191"/>
        <item x="192"/>
        <item x="193"/>
        <item x="186"/>
        <item x="194"/>
        <item x="195"/>
        <item x="196"/>
        <item x="197"/>
        <item x="198"/>
        <item x="199"/>
        <item x="200"/>
        <item m="1" x="202"/>
        <item x="104"/>
        <item x="14"/>
        <item x="11"/>
        <item x="169"/>
        <item t="default"/>
      </items>
    </pivotField>
    <pivotField showAll="0"/>
    <pivotField showAll="0">
      <items count="4">
        <item x="0"/>
        <item x="1"/>
        <item m="1" x="2"/>
        <item t="default"/>
      </items>
    </pivotField>
    <pivotField showAll="0"/>
  </pivotFields>
  <rowFields count="1">
    <field x="0"/>
  </rowFields>
  <rowItems count="6">
    <i>
      <x v="7"/>
    </i>
    <i>
      <x v="27"/>
    </i>
    <i>
      <x v="48"/>
    </i>
    <i>
      <x v="55"/>
    </i>
    <i>
      <x v="58"/>
    </i>
    <i t="grand">
      <x/>
    </i>
  </rowItems>
  <colItems count="1">
    <i/>
  </colItems>
  <pageFields count="2">
    <pageField fld="9" hier="-1"/>
    <pageField fld="10" hier="-1"/>
  </pageFields>
  <dataFields count="1">
    <dataField name="Count of CAR #" fld="3" subtotal="count" baseField="0" baseItem="0"/>
  </dataFields>
  <formats count="9">
    <format dxfId="54">
      <pivotArea dataOnly="0" labelOnly="1" outline="0" axis="axisValues" fieldPosition="0"/>
    </format>
    <format dxfId="55">
      <pivotArea outline="0" collapsedLevelsAreSubtotals="1" fieldPosition="0"/>
    </format>
    <format dxfId="56">
      <pivotArea field="12" type="button" dataOnly="0" labelOnly="1" outline="0"/>
    </format>
    <format dxfId="57">
      <pivotArea type="topRight" dataOnly="0" labelOnly="1" outline="0" fieldPosition="0"/>
    </format>
    <format dxfId="58">
      <pivotArea dataOnly="0" labelOnly="1" grandCol="1" outline="0" fieldPosition="0"/>
    </format>
    <format dxfId="59">
      <pivotArea outline="0" collapsedLevelsAreSubtotals="1" fieldPosition="0"/>
    </format>
    <format dxfId="60">
      <pivotArea field="12" type="button" dataOnly="0" labelOnly="1" outline="0"/>
    </format>
    <format dxfId="61">
      <pivotArea type="topRight" dataOnly="0" labelOnly="1" outline="0" fieldPosition="0"/>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3ED73-79B2-43FF-A6E5-425D4F6C7DE4}"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0" firstHeaderRow="1" firstDataRow="1" firstDataCol="1" rowPageCount="2" colPageCount="1"/>
  <pivotFields count="14">
    <pivotField axis="axisRow" showAll="0">
      <items count="62">
        <item h="1" x="44"/>
        <item h="1" x="57"/>
        <item h="1" x="15"/>
        <item h="1" x="45"/>
        <item h="1" x="31"/>
        <item h="1" x="50"/>
        <item h="1" x="56"/>
        <item x="2"/>
        <item h="1" x="49"/>
        <item h="1" x="8"/>
        <item h="1" x="5"/>
        <item h="1" x="41"/>
        <item h="1" x="9"/>
        <item h="1" x="34"/>
        <item h="1" x="58"/>
        <item h="1" x="20"/>
        <item h="1" x="24"/>
        <item h="1" x="53"/>
        <item h="1" x="26"/>
        <item h="1" x="30"/>
        <item h="1" x="33"/>
        <item h="1" x="32"/>
        <item h="1" x="10"/>
        <item h="1" x="16"/>
        <item h="1" x="3"/>
        <item h="1" x="52"/>
        <item h="1" x="54"/>
        <item x="40"/>
        <item h="1" x="36"/>
        <item h="1" x="37"/>
        <item x="12"/>
        <item h="1" x="13"/>
        <item h="1" x="14"/>
        <item h="1" x="19"/>
        <item h="1" x="59"/>
        <item h="1" x="17"/>
        <item h="1" x="25"/>
        <item h="1" x="0"/>
        <item h="1" x="6"/>
        <item h="1" x="38"/>
        <item h="1" x="48"/>
        <item h="1" x="29"/>
        <item h="1" x="22"/>
        <item h="1" x="7"/>
        <item h="1" x="43"/>
        <item h="1" x="23"/>
        <item h="1" x="21"/>
        <item h="1" x="1"/>
        <item x="11"/>
        <item h="1" x="18"/>
        <item h="1" x="46"/>
        <item h="1" x="4"/>
        <item h="1" x="42"/>
        <item h="1" x="47"/>
        <item h="1" x="27"/>
        <item x="55"/>
        <item h="1" x="35"/>
        <item h="1" x="28"/>
        <item x="51"/>
        <item h="1" x="39"/>
        <item h="1" m="1" x="60"/>
        <item t="default"/>
      </items>
    </pivotField>
    <pivotField showAll="0"/>
    <pivotField showAll="0"/>
    <pivotField dataField="1" showAll="0"/>
    <pivotField showAll="0"/>
    <pivotField showAll="0"/>
    <pivotField showAll="0"/>
    <pivotField showAll="0"/>
    <pivotField showAll="0"/>
    <pivotField axis="axisPage" multipleItemSelectionAllowed="1" showAll="0">
      <items count="174">
        <item x="6"/>
        <item x="64"/>
        <item x="21"/>
        <item x="68"/>
        <item x="22"/>
        <item x="67"/>
        <item x="140"/>
        <item x="106"/>
        <item x="50"/>
        <item x="7"/>
        <item x="59"/>
        <item x="83"/>
        <item x="4"/>
        <item x="66"/>
        <item x="102"/>
        <item x="24"/>
        <item x="28"/>
        <item x="8"/>
        <item x="29"/>
        <item x="11"/>
        <item x="46"/>
        <item x="23"/>
        <item x="105"/>
        <item x="0"/>
        <item x="103"/>
        <item x="141"/>
        <item x="25"/>
        <item x="1"/>
        <item x="10"/>
        <item h="1" x="13"/>
        <item h="1" x="32"/>
        <item h="1" x="15"/>
        <item h="1" x="18"/>
        <item h="1" x="63"/>
        <item h="1" x="39"/>
        <item h="1" x="19"/>
        <item h="1" x="57"/>
        <item h="1" x="5"/>
        <item h="1" x="17"/>
        <item h="1" x="81"/>
        <item h="1" x="14"/>
        <item h="1" x="9"/>
        <item h="1" x="26"/>
        <item h="1" x="27"/>
        <item h="1" x="34"/>
        <item h="1" x="115"/>
        <item h="1" x="20"/>
        <item h="1" x="30"/>
        <item h="1" x="52"/>
        <item h="1" x="35"/>
        <item h="1" x="31"/>
        <item h="1" x="38"/>
        <item h="1" x="114"/>
        <item h="1" x="158"/>
        <item h="1" x="36"/>
        <item h="1" x="41"/>
        <item h="1" x="37"/>
        <item h="1" x="33"/>
        <item h="1" x="40"/>
        <item h="1" x="43"/>
        <item h="1" x="137"/>
        <item h="1" x="48"/>
        <item h="1" x="47"/>
        <item h="1" x="42"/>
        <item h="1" x="45"/>
        <item h="1" x="49"/>
        <item h="1" x="44"/>
        <item h="1" x="62"/>
        <item h="1" x="55"/>
        <item h="1" x="54"/>
        <item h="1" x="56"/>
        <item h="1" x="65"/>
        <item h="1" x="53"/>
        <item h="1" x="51"/>
        <item h="1" x="61"/>
        <item h="1" x="58"/>
        <item h="1" x="76"/>
        <item h="1" x="69"/>
        <item h="1" x="73"/>
        <item h="1" x="79"/>
        <item h="1" x="74"/>
        <item h="1" x="72"/>
        <item h="1" x="77"/>
        <item h="1" x="70"/>
        <item h="1" x="87"/>
        <item h="1" x="169"/>
        <item h="1" x="93"/>
        <item h="1" x="85"/>
        <item h="1" x="71"/>
        <item h="1" x="84"/>
        <item h="1" x="80"/>
        <item h="1" x="107"/>
        <item h="1" x="86"/>
        <item h="1" x="75"/>
        <item h="1" x="124"/>
        <item h="1" x="82"/>
        <item h="1" x="97"/>
        <item h="1" x="88"/>
        <item h="1" x="89"/>
        <item h="1" x="98"/>
        <item h="1" x="92"/>
        <item h="1" x="96"/>
        <item h="1" x="91"/>
        <item h="1" x="149"/>
        <item h="1" x="90"/>
        <item h="1" x="94"/>
        <item h="1" x="164"/>
        <item h="1" x="95"/>
        <item h="1" x="100"/>
        <item h="1" x="101"/>
        <item h="1" x="123"/>
        <item h="1" x="99"/>
        <item h="1" x="104"/>
        <item h="1" x="132"/>
        <item h="1" x="116"/>
        <item h="1" x="112"/>
        <item h="1" x="109"/>
        <item h="1" x="121"/>
        <item h="1" x="108"/>
        <item h="1" x="113"/>
        <item h="1" x="129"/>
        <item h="1" x="162"/>
        <item h="1" x="145"/>
        <item h="1" x="111"/>
        <item h="1" x="117"/>
        <item h="1" x="120"/>
        <item h="1" x="125"/>
        <item h="1" x="136"/>
        <item h="1" x="119"/>
        <item h="1" x="122"/>
        <item h="1" x="154"/>
        <item h="1" x="118"/>
        <item h="1" x="133"/>
        <item h="1" x="135"/>
        <item h="1" x="127"/>
        <item h="1" x="126"/>
        <item h="1" x="167"/>
        <item h="1" x="161"/>
        <item h="1" x="134"/>
        <item h="1" x="128"/>
        <item h="1" x="131"/>
        <item h="1" x="130"/>
        <item h="1" x="150"/>
        <item h="1" x="172"/>
        <item h="1" x="142"/>
        <item h="1" x="138"/>
        <item h="1" x="151"/>
        <item h="1" x="157"/>
        <item h="1" x="148"/>
        <item h="1" x="147"/>
        <item h="1" x="153"/>
        <item h="1" x="146"/>
        <item h="1" x="144"/>
        <item h="1" x="155"/>
        <item h="1" x="143"/>
        <item h="1" x="163"/>
        <item h="1" x="159"/>
        <item h="1" x="168"/>
        <item h="1" x="152"/>
        <item h="1" x="165"/>
        <item h="1" x="166"/>
        <item h="1" x="156"/>
        <item h="1" x="170"/>
        <item h="1" x="160"/>
        <item h="1" x="171"/>
        <item x="139"/>
        <item x="16"/>
        <item x="110"/>
        <item x="60"/>
        <item x="78"/>
        <item x="3"/>
        <item x="12"/>
        <item x="2"/>
        <item t="default"/>
      </items>
    </pivotField>
    <pivotField axis="axisPage" multipleItemSelectionAllowed="1" showAll="0">
      <items count="204">
        <item h="1" x="0"/>
        <item h="1" x="62"/>
        <item h="1" x="4"/>
        <item h="1" x="6"/>
        <item h="1" x="7"/>
        <item h="1" x="8"/>
        <item h="1" x="9"/>
        <item h="1" x="10"/>
        <item h="1" x="12"/>
        <item h="1" x="13"/>
        <item h="1" x="15"/>
        <item h="1" x="1"/>
        <item h="1" x="18"/>
        <item h="1" x="20"/>
        <item x="21"/>
        <item x="22"/>
        <item x="23"/>
        <item x="24"/>
        <item x="25"/>
        <item x="140"/>
        <item x="26"/>
        <item x="27"/>
        <item x="16"/>
        <item x="30"/>
        <item x="28"/>
        <item x="3"/>
        <item x="33"/>
        <item x="34"/>
        <item x="35"/>
        <item x="36"/>
        <item x="37"/>
        <item x="38"/>
        <item x="39"/>
        <item x="40"/>
        <item x="41"/>
        <item x="42"/>
        <item x="43"/>
        <item x="44"/>
        <item x="45"/>
        <item x="46"/>
        <item x="47"/>
        <item x="48"/>
        <item x="49"/>
        <item x="50"/>
        <item x="51"/>
        <item x="53"/>
        <item x="29"/>
        <item x="55"/>
        <item x="56"/>
        <item x="57"/>
        <item x="59"/>
        <item x="60"/>
        <item x="61"/>
        <item x="31"/>
        <item x="63"/>
        <item x="64"/>
        <item x="32"/>
        <item x="65"/>
        <item x="66"/>
        <item x="2"/>
        <item x="67"/>
        <item x="68"/>
        <item x="69"/>
        <item x="17"/>
        <item x="52"/>
        <item x="70"/>
        <item x="71"/>
        <item x="72"/>
        <item x="73"/>
        <item x="74"/>
        <item x="75"/>
        <item x="76"/>
        <item x="77"/>
        <item x="78"/>
        <item x="79"/>
        <item x="80"/>
        <item x="81"/>
        <item x="5"/>
        <item x="83"/>
        <item x="84"/>
        <item x="85"/>
        <item x="86"/>
        <item x="87"/>
        <item x="88"/>
        <item x="89"/>
        <item x="90"/>
        <item x="91"/>
        <item x="92"/>
        <item x="93"/>
        <item x="94"/>
        <item x="95"/>
        <item x="96"/>
        <item x="82"/>
        <item x="54"/>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58"/>
        <item x="134"/>
        <item x="135"/>
        <item x="136"/>
        <item x="137"/>
        <item x="138"/>
        <item x="139"/>
        <item x="97"/>
        <item x="141"/>
        <item x="19"/>
        <item x="142"/>
        <item x="143"/>
        <item x="144"/>
        <item x="145"/>
        <item x="146"/>
        <item x="147"/>
        <item x="148"/>
        <item x="149"/>
        <item x="150"/>
        <item x="151"/>
        <item x="152"/>
        <item x="153"/>
        <item x="154"/>
        <item x="155"/>
        <item x="156"/>
        <item x="157"/>
        <item x="158"/>
        <item x="159"/>
        <item x="160"/>
        <item x="161"/>
        <item x="162"/>
        <item x="163"/>
        <item x="164"/>
        <item x="165"/>
        <item x="166"/>
        <item x="167"/>
        <item x="168"/>
        <item x="201"/>
        <item x="170"/>
        <item x="171"/>
        <item x="172"/>
        <item x="173"/>
        <item x="174"/>
        <item x="176"/>
        <item x="177"/>
        <item x="178"/>
        <item x="179"/>
        <item x="180"/>
        <item x="184"/>
        <item x="181"/>
        <item x="182"/>
        <item x="183"/>
        <item x="175"/>
        <item x="185"/>
        <item x="187"/>
        <item x="188"/>
        <item x="189"/>
        <item x="190"/>
        <item x="191"/>
        <item x="192"/>
        <item x="193"/>
        <item x="186"/>
        <item x="194"/>
        <item x="195"/>
        <item x="196"/>
        <item x="197"/>
        <item x="198"/>
        <item x="199"/>
        <item x="200"/>
        <item m="1" x="202"/>
        <item x="104"/>
        <item x="14"/>
        <item x="11"/>
        <item x="169"/>
        <item t="default"/>
      </items>
    </pivotField>
    <pivotField showAll="0"/>
    <pivotField showAll="0">
      <items count="4">
        <item x="0"/>
        <item x="1"/>
        <item m="1" x="2"/>
        <item t="default"/>
      </items>
    </pivotField>
    <pivotField showAll="0"/>
  </pivotFields>
  <rowFields count="1">
    <field x="0"/>
  </rowFields>
  <rowItems count="6">
    <i>
      <x v="7"/>
    </i>
    <i>
      <x v="27"/>
    </i>
    <i>
      <x v="48"/>
    </i>
    <i>
      <x v="55"/>
    </i>
    <i>
      <x v="58"/>
    </i>
    <i t="grand">
      <x/>
    </i>
  </rowItems>
  <colItems count="1">
    <i/>
  </colItems>
  <pageFields count="2">
    <pageField fld="9" hier="-1"/>
    <pageField fld="10" hier="-1"/>
  </pageFields>
  <dataFields count="1">
    <dataField name="Count of CAR #" fld="3" subtotal="count" baseField="0" baseItem="0"/>
  </dataFields>
  <formats count="9">
    <format dxfId="45">
      <pivotArea dataOnly="0" labelOnly="1" outline="0" axis="axisValues" fieldPosition="0"/>
    </format>
    <format dxfId="46">
      <pivotArea outline="0" collapsedLevelsAreSubtotals="1" fieldPosition="0"/>
    </format>
    <format dxfId="47">
      <pivotArea field="12" type="button" dataOnly="0" labelOnly="1" outline="0"/>
    </format>
    <format dxfId="48">
      <pivotArea type="topRight" dataOnly="0" labelOnly="1" outline="0" fieldPosition="0"/>
    </format>
    <format dxfId="49">
      <pivotArea dataOnly="0" labelOnly="1" grandCol="1" outline="0" fieldPosition="0"/>
    </format>
    <format dxfId="50">
      <pivotArea outline="0" collapsedLevelsAreSubtotals="1" fieldPosition="0"/>
    </format>
    <format dxfId="51">
      <pivotArea field="12" type="button" dataOnly="0" labelOnly="1" outline="0"/>
    </format>
    <format dxfId="52">
      <pivotArea type="topRight" dataOnly="0" labelOnly="1" outline="0" fieldPosition="0"/>
    </format>
    <format dxfId="5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1253BB-0379-43AA-9AC3-2F8BB4360B17}"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8" firstHeaderRow="0" firstDataRow="1" firstDataCol="1" rowPageCount="2" colPageCount="1"/>
  <pivotFields count="14">
    <pivotField axis="axisRow" showAll="0">
      <items count="62">
        <item h="1" x="44"/>
        <item h="1" x="57"/>
        <item h="1" x="15"/>
        <item h="1" x="45"/>
        <item h="1" x="31"/>
        <item h="1" x="50"/>
        <item h="1" x="56"/>
        <item x="2"/>
        <item h="1" x="49"/>
        <item h="1" x="8"/>
        <item h="1" x="5"/>
        <item h="1" x="41"/>
        <item h="1" x="9"/>
        <item h="1" x="34"/>
        <item h="1" x="58"/>
        <item h="1" x="20"/>
        <item h="1" x="24"/>
        <item h="1" x="53"/>
        <item h="1" x="26"/>
        <item h="1" x="30"/>
        <item h="1" x="33"/>
        <item h="1" x="32"/>
        <item h="1" x="10"/>
        <item h="1" x="16"/>
        <item h="1" x="3"/>
        <item h="1" x="52"/>
        <item h="1" x="54"/>
        <item x="40"/>
        <item h="1" x="36"/>
        <item h="1" x="37"/>
        <item x="12"/>
        <item h="1" x="13"/>
        <item h="1" x="14"/>
        <item h="1" x="19"/>
        <item h="1" x="59"/>
        <item h="1" x="17"/>
        <item h="1" x="25"/>
        <item h="1" x="0"/>
        <item h="1" x="6"/>
        <item h="1" x="38"/>
        <item h="1" x="48"/>
        <item h="1" x="29"/>
        <item h="1" x="22"/>
        <item h="1" x="7"/>
        <item h="1" x="43"/>
        <item h="1" x="23"/>
        <item h="1" x="21"/>
        <item h="1" x="1"/>
        <item x="11"/>
        <item h="1" x="18"/>
        <item h="1" x="46"/>
        <item h="1" x="4"/>
        <item h="1" x="42"/>
        <item h="1" x="47"/>
        <item h="1" x="27"/>
        <item x="55"/>
        <item h="1" x="35"/>
        <item h="1" x="28"/>
        <item x="51"/>
        <item h="1" x="39"/>
        <item h="1" m="1" x="60"/>
        <item t="default"/>
      </items>
    </pivotField>
    <pivotField showAll="0"/>
    <pivotField showAll="0"/>
    <pivotField showAll="0"/>
    <pivotField showAll="0"/>
    <pivotField showAll="0"/>
    <pivotField showAll="0"/>
    <pivotField showAll="0"/>
    <pivotField showAll="0"/>
    <pivotField axis="axisPage" multipleItemSelectionAllowed="1" showAll="0">
      <items count="174">
        <item x="6"/>
        <item x="64"/>
        <item x="21"/>
        <item x="68"/>
        <item x="22"/>
        <item x="67"/>
        <item x="140"/>
        <item x="106"/>
        <item x="50"/>
        <item x="7"/>
        <item x="59"/>
        <item x="83"/>
        <item x="4"/>
        <item x="66"/>
        <item x="102"/>
        <item x="24"/>
        <item x="28"/>
        <item x="8"/>
        <item x="29"/>
        <item x="11"/>
        <item x="46"/>
        <item x="23"/>
        <item x="105"/>
        <item x="0"/>
        <item x="103"/>
        <item x="141"/>
        <item x="25"/>
        <item x="1"/>
        <item x="10"/>
        <item h="1" x="13"/>
        <item h="1" x="32"/>
        <item h="1" x="15"/>
        <item h="1" x="18"/>
        <item h="1" x="63"/>
        <item h="1" x="39"/>
        <item h="1" x="19"/>
        <item h="1" x="57"/>
        <item h="1" x="5"/>
        <item h="1" x="17"/>
        <item h="1" x="81"/>
        <item h="1" x="14"/>
        <item h="1" x="9"/>
        <item h="1" x="26"/>
        <item h="1" x="27"/>
        <item h="1" x="34"/>
        <item h="1" x="115"/>
        <item h="1" x="20"/>
        <item h="1" x="30"/>
        <item h="1" x="52"/>
        <item h="1" x="35"/>
        <item h="1" x="31"/>
        <item h="1" x="38"/>
        <item h="1" x="114"/>
        <item h="1" x="158"/>
        <item h="1" x="36"/>
        <item h="1" x="41"/>
        <item h="1" x="37"/>
        <item h="1" x="33"/>
        <item h="1" x="40"/>
        <item h="1" x="43"/>
        <item h="1" x="137"/>
        <item h="1" x="48"/>
        <item h="1" x="47"/>
        <item h="1" x="42"/>
        <item h="1" x="45"/>
        <item h="1" x="49"/>
        <item h="1" x="44"/>
        <item h="1" x="62"/>
        <item h="1" x="55"/>
        <item h="1" x="54"/>
        <item h="1" x="56"/>
        <item h="1" x="65"/>
        <item h="1" x="53"/>
        <item h="1" x="51"/>
        <item h="1" x="61"/>
        <item h="1" x="58"/>
        <item h="1" x="76"/>
        <item h="1" x="69"/>
        <item h="1" x="73"/>
        <item h="1" x="79"/>
        <item h="1" x="74"/>
        <item h="1" x="72"/>
        <item h="1" x="77"/>
        <item h="1" x="70"/>
        <item h="1" x="87"/>
        <item h="1" x="169"/>
        <item h="1" x="93"/>
        <item h="1" x="85"/>
        <item h="1" x="71"/>
        <item h="1" x="84"/>
        <item h="1" x="80"/>
        <item h="1" x="107"/>
        <item h="1" x="86"/>
        <item h="1" x="75"/>
        <item h="1" x="124"/>
        <item h="1" x="82"/>
        <item h="1" x="97"/>
        <item h="1" x="88"/>
        <item h="1" x="89"/>
        <item h="1" x="98"/>
        <item h="1" x="92"/>
        <item h="1" x="96"/>
        <item h="1" x="91"/>
        <item h="1" x="149"/>
        <item h="1" x="90"/>
        <item h="1" x="94"/>
        <item h="1" x="164"/>
        <item h="1" x="95"/>
        <item h="1" x="100"/>
        <item h="1" x="101"/>
        <item h="1" x="123"/>
        <item h="1" x="99"/>
        <item h="1" x="104"/>
        <item h="1" x="132"/>
        <item h="1" x="116"/>
        <item h="1" x="112"/>
        <item h="1" x="109"/>
        <item h="1" x="121"/>
        <item h="1" x="108"/>
        <item h="1" x="113"/>
        <item h="1" x="129"/>
        <item h="1" x="162"/>
        <item h="1" x="145"/>
        <item h="1" x="111"/>
        <item h="1" x="117"/>
        <item h="1" x="120"/>
        <item h="1" x="125"/>
        <item h="1" x="136"/>
        <item h="1" x="119"/>
        <item h="1" x="122"/>
        <item h="1" x="154"/>
        <item h="1" x="118"/>
        <item h="1" x="133"/>
        <item h="1" x="135"/>
        <item h="1" x="127"/>
        <item h="1" x="126"/>
        <item h="1" x="167"/>
        <item h="1" x="161"/>
        <item h="1" x="134"/>
        <item h="1" x="128"/>
        <item h="1" x="131"/>
        <item h="1" x="130"/>
        <item h="1" x="150"/>
        <item h="1" x="172"/>
        <item h="1" x="142"/>
        <item h="1" x="138"/>
        <item h="1" x="151"/>
        <item h="1" x="157"/>
        <item h="1" x="148"/>
        <item h="1" x="147"/>
        <item h="1" x="153"/>
        <item h="1" x="146"/>
        <item h="1" x="144"/>
        <item h="1" x="155"/>
        <item h="1" x="143"/>
        <item h="1" x="163"/>
        <item h="1" x="159"/>
        <item h="1" x="168"/>
        <item h="1" x="152"/>
        <item h="1" x="165"/>
        <item h="1" x="166"/>
        <item h="1" x="156"/>
        <item h="1" x="170"/>
        <item h="1" x="160"/>
        <item h="1" x="171"/>
        <item h="1" x="139"/>
        <item h="1" x="16"/>
        <item h="1" x="110"/>
        <item h="1" x="60"/>
        <item h="1" x="78"/>
        <item h="1" x="3"/>
        <item h="1" x="12"/>
        <item h="1" x="2"/>
        <item t="default"/>
      </items>
    </pivotField>
    <pivotField axis="axisPage" multipleItemSelectionAllowed="1" showAll="0">
      <items count="204">
        <item m="1" x="202"/>
        <item x="0"/>
        <item x="62"/>
        <item x="4"/>
        <item x="6"/>
        <item x="7"/>
        <item x="8"/>
        <item x="9"/>
        <item x="10"/>
        <item x="12"/>
        <item x="13"/>
        <item x="15"/>
        <item x="1"/>
        <item x="18"/>
        <item x="20"/>
        <item x="21"/>
        <item x="22"/>
        <item x="23"/>
        <item x="24"/>
        <item x="25"/>
        <item x="140"/>
        <item x="26"/>
        <item x="27"/>
        <item x="16"/>
        <item x="30"/>
        <item x="11"/>
        <item x="28"/>
        <item x="3"/>
        <item x="33"/>
        <item x="34"/>
        <item x="35"/>
        <item x="36"/>
        <item x="37"/>
        <item x="38"/>
        <item x="39"/>
        <item x="40"/>
        <item x="41"/>
        <item x="42"/>
        <item x="43"/>
        <item x="44"/>
        <item x="45"/>
        <item x="46"/>
        <item x="47"/>
        <item x="48"/>
        <item x="49"/>
        <item x="50"/>
        <item x="51"/>
        <item x="53"/>
        <item x="29"/>
        <item x="55"/>
        <item x="56"/>
        <item x="57"/>
        <item x="59"/>
        <item x="60"/>
        <item x="61"/>
        <item x="31"/>
        <item x="63"/>
        <item x="64"/>
        <item x="32"/>
        <item x="65"/>
        <item x="66"/>
        <item x="2"/>
        <item x="67"/>
        <item x="68"/>
        <item x="69"/>
        <item x="17"/>
        <item x="14"/>
        <item x="52"/>
        <item x="70"/>
        <item x="71"/>
        <item x="72"/>
        <item x="73"/>
        <item x="74"/>
        <item x="75"/>
        <item x="76"/>
        <item x="77"/>
        <item x="78"/>
        <item x="79"/>
        <item x="80"/>
        <item x="81"/>
        <item x="5"/>
        <item x="83"/>
        <item x="84"/>
        <item x="85"/>
        <item x="86"/>
        <item x="87"/>
        <item x="88"/>
        <item x="89"/>
        <item x="90"/>
        <item x="91"/>
        <item x="92"/>
        <item x="93"/>
        <item x="94"/>
        <item x="95"/>
        <item x="96"/>
        <item x="82"/>
        <item x="54"/>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58"/>
        <item x="134"/>
        <item x="135"/>
        <item x="136"/>
        <item x="137"/>
        <item x="138"/>
        <item x="139"/>
        <item x="97"/>
        <item x="141"/>
        <item x="19"/>
        <item x="142"/>
        <item x="143"/>
        <item x="144"/>
        <item x="145"/>
        <item x="146"/>
        <item x="147"/>
        <item x="148"/>
        <item x="149"/>
        <item x="150"/>
        <item x="151"/>
        <item x="152"/>
        <item x="153"/>
        <item x="154"/>
        <item x="155"/>
        <item x="156"/>
        <item x="157"/>
        <item x="158"/>
        <item x="159"/>
        <item x="160"/>
        <item x="161"/>
        <item x="162"/>
        <item x="163"/>
        <item x="164"/>
        <item x="165"/>
        <item x="166"/>
        <item x="167"/>
        <item x="168"/>
        <item x="201"/>
        <item x="170"/>
        <item x="171"/>
        <item x="172"/>
        <item x="173"/>
        <item x="174"/>
        <item x="176"/>
        <item x="177"/>
        <item x="178"/>
        <item x="179"/>
        <item x="180"/>
        <item x="184"/>
        <item x="181"/>
        <item x="182"/>
        <item x="183"/>
        <item x="175"/>
        <item x="185"/>
        <item x="187"/>
        <item x="188"/>
        <item x="189"/>
        <item x="190"/>
        <item x="191"/>
        <item x="192"/>
        <item x="193"/>
        <item x="186"/>
        <item x="194"/>
        <item x="195"/>
        <item x="196"/>
        <item x="197"/>
        <item x="198"/>
        <item x="199"/>
        <item x="200"/>
        <item x="169"/>
        <item t="default"/>
      </items>
    </pivotField>
    <pivotField dataField="1" showAll="0"/>
    <pivotField showAll="0"/>
    <pivotField dataField="1" showAll="0"/>
  </pivotFields>
  <rowFields count="1">
    <field x="0"/>
  </rowFields>
  <rowItems count="4">
    <i>
      <x v="7"/>
    </i>
    <i>
      <x v="48"/>
    </i>
    <i>
      <x v="55"/>
    </i>
    <i t="grand">
      <x/>
    </i>
  </rowItems>
  <colFields count="1">
    <field x="-2"/>
  </colFields>
  <colItems count="2">
    <i>
      <x/>
    </i>
    <i i="1">
      <x v="1"/>
    </i>
  </colItems>
  <pageFields count="2">
    <pageField fld="9" hier="-1"/>
    <pageField fld="10" hier="-1"/>
  </pageFields>
  <dataFields count="2">
    <dataField name="Average of Days open if not closed" fld="11" subtotal="average" baseField="0" baseItem="1"/>
    <dataField name="Average of Days to close" fld="13" subtotal="average" baseField="0" baseItem="1" numFmtId="1"/>
  </dataFields>
  <formats count="6">
    <format dxfId="39">
      <pivotArea outline="0" collapsedLevelsAreSubtotals="1" fieldPosition="0"/>
    </format>
    <format dxfId="40">
      <pivotArea outline="0" collapsedLevelsAreSubtotals="1" fieldPosition="0"/>
    </format>
    <format dxfId="41">
      <pivotArea dataOnly="0" labelOnly="1" outline="0" fieldPosition="0">
        <references count="1">
          <reference field="4294967294" count="1">
            <x v="1"/>
          </reference>
        </references>
      </pivotArea>
    </format>
    <format dxfId="42">
      <pivotArea outline="0" collapsedLevelsAreSubtotals="1" fieldPosition="0">
        <references count="1">
          <reference field="4294967294" count="1" selected="0">
            <x v="1"/>
          </reference>
        </references>
      </pivotArea>
    </format>
    <format dxfId="43">
      <pivotArea field="0" grandRow="1" outline="0" collapsedLevelsAreSubtotals="1" axis="axisRow" fieldPosition="0">
        <references count="1">
          <reference field="4294967294" count="1" selected="0">
            <x v="0"/>
          </reference>
        </references>
      </pivotArea>
    </format>
    <format dxfId="44">
      <pivotArea collapsedLevelsAreSubtotals="1" fieldPosition="0">
        <references count="2">
          <reference field="4294967294" count="1" selected="0">
            <x v="0"/>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D77F54-74A4-43F2-A138-3E7437842E45}" name="Table2" displayName="Table2" ref="A1:N743" totalsRowShown="0" headerRowDxfId="36" dataDxfId="35" headerRowBorderDxfId="33" tableBorderDxfId="34">
  <autoFilter ref="A1:N743" xr:uid="{3DD77F54-74A4-43F2-A138-3E7437842E45}"/>
  <tableColumns count="14">
    <tableColumn id="1" xr3:uid="{B4717677-E2A8-4EB2-AADA-0BC99C9FFDED}" name="Location _x000a_(drop-down)" dataDxfId="32"/>
    <tableColumn id="2" xr3:uid="{7B4E1C90-1457-4C97-9B8E-2196B4B25B8B}" name="Location ID" dataDxfId="31">
      <calculatedColumnFormula>VLOOKUP(Table2[[#This Row],[Location 
(drop-down)]],Table14[[Location]:[Location ID]],2,FALSE)</calculatedColumnFormula>
    </tableColumn>
    <tableColumn id="3" xr3:uid="{21CB7ED6-07EB-44EB-9C78-6C77B2482560}" name="#" dataDxfId="30"/>
    <tableColumn id="4" xr3:uid="{D98C7859-E055-428E-A016-9ECFD70C8290}" name="CAR #" dataDxfId="29"/>
    <tableColumn id="5" xr3:uid="{5676624C-7D37-4182-8C58-7582F0FF3C7A}" name="CAR Type" dataDxfId="28"/>
    <tableColumn id="6" xr3:uid="{B066DC97-B8E1-4369-956B-BF8EBA5E0251}" name="ASSOCIATED ORGANIZATION_x000a_(required for Complaints, Customer audits/alerts, _x000a_3rd party audits)" dataDxfId="27"/>
    <tableColumn id="7" xr3:uid="{24F40015-5217-45A3-9D88-CB442888A946}" name="BRIEF DESCRIPTION OF NC_x000a_if VOID:  &quot;VOID, Location, type, _x000a_details (initials, date)&quot;" dataDxfId="26"/>
    <tableColumn id="8" xr3:uid="{658B116A-3696-4ED4-B1C9-AD6C542094F7}" name="Area _x000a_(Lab, Ops, Misc.)_x000a_(drop-down)" dataDxfId="25"/>
    <tableColumn id="9" xr3:uid="{9B61B163-D159-40F0-825F-75DCEA0C3772}" name="QA team member initials" dataDxfId="24"/>
    <tableColumn id="10" xr3:uid="{854A4CED-FE73-460E-98F8-2B467B708D10}" name="CAR initialized date" dataDxfId="23"/>
    <tableColumn id="11" xr3:uid="{5AC6BB0D-44D7-461E-A6BD-DDF25185BBFA}" name="Effectiveness Review &amp; date deemed effective" dataDxfId="22"/>
    <tableColumn id="13" xr3:uid="{77E8580C-829F-4722-B787-247AB44D7E54}" name="Days open if not closed" dataDxfId="21"/>
    <tableColumn id="12" xr3:uid="{26E65196-05A5-41BD-9C05-10759C32C531}" name="Status" dataDxfId="20"/>
    <tableColumn id="14" xr3:uid="{E1A56C29-680A-4540-B25A-821F2CB2B68C}" name="Days to close"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21218B-A23F-49E6-BA65-2D622FBC8761}" name="Table1" displayName="Table1" ref="A1:I2595" totalsRowShown="0" headerRowDxfId="15" headerRowBorderDxfId="13" tableBorderDxfId="14">
  <autoFilter ref="A1:I2595" xr:uid="{4C21218B-A23F-49E6-BA65-2D622FBC8761}"/>
  <tableColumns count="9">
    <tableColumn id="1" xr3:uid="{7E5F3433-3913-47DA-8A3A-5DC0BFD27042}" name="Location _x000a_(drop-down)" dataDxfId="12"/>
    <tableColumn id="2" xr3:uid="{02001CBE-26AC-46DE-9E83-C51C397C5E72}" name="Location ID" dataDxfId="11">
      <calculatedColumnFormula>VLOOKUP([2]!Table27[[#This Row],[Location 
(drop-down)]],'[2]List source'!D$2:E$59,2,FALSE)</calculatedColumnFormula>
    </tableColumn>
    <tableColumn id="3" xr3:uid="{9B3893B1-BAFC-4613-9D7F-3CD6A1346BF6}" name="#" dataDxfId="10"/>
    <tableColumn id="4" xr3:uid="{871C8793-52FE-437F-83E6-18B940901B04}" name="PTO #" dataDxfId="9">
      <calculatedColumnFormula>"PTO" &amp; C2 &amp; "-" &amp; B2 &amp; "-" &amp; "23"</calculatedColumnFormula>
    </tableColumn>
    <tableColumn id="5" xr3:uid="{556B947A-374D-47B2-80F7-90F42E8AAAA8}" name="BRIEF DESCRIPTION OF NC_x000a_if VOID:  &quot;VOID, Location,  _x000a_details (initials, date)&quot;" dataDxfId="8"/>
    <tableColumn id="6" xr3:uid="{D5490FCA-AC93-4C83-B48A-26B803ED8EF5}" name="PT Program" dataDxfId="7"/>
    <tableColumn id="7" xr3:uid="{BF87CFC0-1185-4B01-B819-6FFE64D2B97E}" name="Parameter (s)" dataDxfId="6"/>
    <tableColumn id="8" xr3:uid="{1C2325D8-5047-4C96-9008-1ACCF71E1A84}" name="Z-score (s)" dataDxfId="5"/>
    <tableColumn id="9" xr3:uid="{762F3271-52ED-4FA0-B254-B19AB612022E}" name="PTO initialized dat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7C97F4-CEB2-4F2D-B07C-9CCE1C82F1CE}" name="Table14" displayName="Table14" ref="A1:C71" totalsRowShown="0" headerRowDxfId="3">
  <autoFilter ref="A1:C71" xr:uid="{00000000-0009-0000-0100-000001000000}"/>
  <sortState xmlns:xlrd2="http://schemas.microsoft.com/office/spreadsheetml/2017/richdata2" ref="A2:C71">
    <sortCondition ref="A1:A71"/>
  </sortState>
  <tableColumns count="3">
    <tableColumn id="1" xr3:uid="{B6F8DA11-5081-4816-AAF0-012FA78B3F4D}" name="Location" dataDxfId="2"/>
    <tableColumn id="2" xr3:uid="{B8306E4A-FD60-4448-81F9-729E4BD3C1E6}" name="Location ID" dataDxfId="1"/>
    <tableColumn id="3" xr3:uid="{97D0CED3-4F65-44DD-95DB-B164C84F8CA4}" name="Are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6" dT="2021-07-09T18:36:41.09" personId="{D490E400-5273-40E6-A7E2-5594F47F3AFF}" id="{57A094F2-8F95-483C-A527-0934067316F6}">
    <text>'old - 120A until 12/18/20</text>
  </threadedComment>
  <threadedComment ref="B37" dT="2021-07-09T18:37:13.72" personId="{D490E400-5273-40E6-A7E2-5594F47F3AFF}" id="{34CBD6DE-8857-48AE-8EAD-CCE9E3126FEA}">
    <text>'formerly 197L</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87A3-06F3-4732-A9DA-8B03C9AE83A5}">
  <sheetPr codeName="Sheet1"/>
  <dimension ref="A1:O743"/>
  <sheetViews>
    <sheetView workbookViewId="0">
      <selection activeCell="J5" sqref="J5"/>
    </sheetView>
  </sheetViews>
  <sheetFormatPr defaultRowHeight="13.5"/>
  <cols>
    <col min="1" max="1" width="29.7109375" style="13" customWidth="1"/>
    <col min="2" max="2" width="12.5703125" style="13" hidden="1" customWidth="1"/>
    <col min="3" max="3" width="4.42578125" style="13" hidden="1" customWidth="1"/>
    <col min="4" max="4" width="22.140625" style="13" hidden="1" customWidth="1"/>
    <col min="5" max="8" width="26.28515625" style="13" hidden="1" customWidth="1"/>
    <col min="9" max="9" width="23.7109375" style="13" hidden="1" customWidth="1"/>
    <col min="10" max="10" width="22.140625" style="13" customWidth="1"/>
    <col min="11" max="11" width="17" style="13" customWidth="1"/>
    <col min="12" max="13" width="16.42578125" style="13" customWidth="1"/>
    <col min="14" max="14" width="12.85546875" style="13" customWidth="1"/>
    <col min="15" max="15" width="13.42578125" style="13" customWidth="1"/>
    <col min="16" max="16384" width="9.140625" style="13"/>
  </cols>
  <sheetData>
    <row r="1" spans="1:15" s="514" customFormat="1" ht="90">
      <c r="A1" s="61" t="s">
        <v>0</v>
      </c>
      <c r="B1" s="62" t="s">
        <v>1</v>
      </c>
      <c r="C1" s="62" t="s">
        <v>2</v>
      </c>
      <c r="D1" s="62" t="s">
        <v>3</v>
      </c>
      <c r="E1" s="62" t="s">
        <v>4</v>
      </c>
      <c r="F1" s="62" t="s">
        <v>5</v>
      </c>
      <c r="G1" s="63" t="s">
        <v>6</v>
      </c>
      <c r="H1" s="63" t="s">
        <v>7</v>
      </c>
      <c r="I1" s="63" t="s">
        <v>8</v>
      </c>
      <c r="J1" s="63" t="s">
        <v>9</v>
      </c>
      <c r="K1" s="512" t="s">
        <v>10</v>
      </c>
      <c r="L1" s="512" t="s">
        <v>11</v>
      </c>
      <c r="M1" s="512" t="s">
        <v>12</v>
      </c>
      <c r="N1" s="513" t="s">
        <v>13</v>
      </c>
      <c r="O1" s="520" t="s">
        <v>14</v>
      </c>
    </row>
    <row r="2" spans="1:15" ht="18.75">
      <c r="A2" s="227" t="s">
        <v>15</v>
      </c>
      <c r="B2" s="11">
        <f>VLOOKUP(Table2[[#This Row],[Location 
(drop-down)]],Table14[[Location]:[Location ID]],2,FALSE)</f>
        <v>197</v>
      </c>
      <c r="C2" s="254" t="s">
        <v>16</v>
      </c>
      <c r="D2" s="378" t="s">
        <v>17</v>
      </c>
      <c r="E2" s="254" t="s">
        <v>18</v>
      </c>
      <c r="F2" s="254"/>
      <c r="G2" s="227" t="s">
        <v>19</v>
      </c>
      <c r="H2" s="165" t="s">
        <v>20</v>
      </c>
      <c r="I2" s="230" t="s">
        <v>21</v>
      </c>
      <c r="J2" s="230">
        <v>45533</v>
      </c>
      <c r="K2" s="217">
        <v>45659</v>
      </c>
      <c r="L2" s="533"/>
      <c r="M2" s="2" t="s">
        <v>22</v>
      </c>
      <c r="N2" s="511">
        <f>Table2[[#This Row],[Effectiveness Review &amp; date deemed effective]]-Table2[[#This Row],[CAR initialized date]]</f>
        <v>126</v>
      </c>
    </row>
    <row r="3" spans="1:15" ht="18.75">
      <c r="A3" s="227" t="s">
        <v>23</v>
      </c>
      <c r="B3" s="2">
        <f>VLOOKUP(Table2[[#This Row],[Location 
(drop-down)]],Table14[[Location]:[Location ID]],2,FALSE)</f>
        <v>192</v>
      </c>
      <c r="C3" s="254" t="s">
        <v>24</v>
      </c>
      <c r="D3" s="378" t="s">
        <v>25</v>
      </c>
      <c r="E3" s="417" t="s">
        <v>26</v>
      </c>
      <c r="F3" s="254" t="s">
        <v>27</v>
      </c>
      <c r="G3" s="227" t="s">
        <v>28</v>
      </c>
      <c r="H3" s="165" t="s">
        <v>20</v>
      </c>
      <c r="I3" s="230" t="s">
        <v>29</v>
      </c>
      <c r="J3" s="230">
        <v>45559</v>
      </c>
      <c r="K3" s="226">
        <v>45659</v>
      </c>
      <c r="L3" s="532"/>
      <c r="M3" s="2" t="s">
        <v>22</v>
      </c>
      <c r="N3" s="511">
        <f>Table2[[#This Row],[Effectiveness Review &amp; date deemed effective]]-Table2[[#This Row],[CAR initialized date]]</f>
        <v>100</v>
      </c>
    </row>
    <row r="4" spans="1:15" ht="30">
      <c r="A4" s="64" t="s">
        <v>30</v>
      </c>
      <c r="B4" s="11">
        <f>VLOOKUP(Table2[[#This Row],[Location 
(drop-down)]],Table14[[Location]:[Location ID]],2,FALSE)</f>
        <v>132</v>
      </c>
      <c r="C4" s="9" t="s">
        <v>31</v>
      </c>
      <c r="D4" s="567" t="str">
        <f>"C" &amp; C4 &amp; "-" &amp; B4 &amp; "-" &amp; "23"</f>
        <v>C004-132-23</v>
      </c>
      <c r="E4" s="72" t="s">
        <v>32</v>
      </c>
      <c r="F4" s="532"/>
      <c r="G4" s="64" t="s">
        <v>33</v>
      </c>
      <c r="H4" s="532"/>
      <c r="I4" s="67" t="s">
        <v>34</v>
      </c>
      <c r="J4" s="67">
        <v>44937</v>
      </c>
      <c r="K4" s="68">
        <v>45686</v>
      </c>
      <c r="L4" s="532"/>
      <c r="M4" s="2" t="s">
        <v>22</v>
      </c>
      <c r="N4" s="511">
        <f>Table2[[#This Row],[Effectiveness Review &amp; date deemed effective]]-Table2[[#This Row],[CAR initialized date]]</f>
        <v>749</v>
      </c>
    </row>
    <row r="5" spans="1:15" ht="30">
      <c r="A5" s="64" t="s">
        <v>30</v>
      </c>
      <c r="B5" s="11">
        <f>VLOOKUP(Table2[[#This Row],[Location 
(drop-down)]],Table14[[Location]:[Location ID]],2,FALSE)</f>
        <v>132</v>
      </c>
      <c r="C5" s="9" t="s">
        <v>35</v>
      </c>
      <c r="D5" s="567" t="str">
        <f>"C" &amp; C5 &amp; "-" &amp; B5 &amp; "-" &amp; "23"</f>
        <v>C003-132-23</v>
      </c>
      <c r="E5" s="9" t="s">
        <v>32</v>
      </c>
      <c r="F5" s="532"/>
      <c r="G5" s="64" t="s">
        <v>36</v>
      </c>
      <c r="H5" s="532"/>
      <c r="I5" s="67" t="s">
        <v>34</v>
      </c>
      <c r="J5" s="67">
        <v>44937</v>
      </c>
      <c r="K5" s="68">
        <v>45777</v>
      </c>
      <c r="L5" s="532"/>
      <c r="M5" s="2" t="s">
        <v>22</v>
      </c>
      <c r="N5" s="511">
        <f>Table2[[#This Row],[Effectiveness Review &amp; date deemed effective]]-Table2[[#This Row],[CAR initialized date]]</f>
        <v>840</v>
      </c>
    </row>
    <row r="6" spans="1:15" ht="45">
      <c r="A6" s="64" t="s">
        <v>30</v>
      </c>
      <c r="B6" s="11">
        <f>VLOOKUP(Table2[[#This Row],[Location 
(drop-down)]],Table14[[Location]:[Location ID]],2,FALSE)</f>
        <v>132</v>
      </c>
      <c r="C6" s="9" t="s">
        <v>37</v>
      </c>
      <c r="D6" s="567" t="str">
        <f>"C" &amp; C6 &amp; "-" &amp; B6 &amp; "-" &amp; "23"</f>
        <v>C368-132-23</v>
      </c>
      <c r="E6" s="72" t="s">
        <v>32</v>
      </c>
      <c r="F6" s="532"/>
      <c r="G6" s="64" t="s">
        <v>38</v>
      </c>
      <c r="H6" s="532"/>
      <c r="I6" s="67" t="s">
        <v>34</v>
      </c>
      <c r="J6" s="67">
        <v>45090</v>
      </c>
      <c r="K6" s="68">
        <v>45715</v>
      </c>
      <c r="L6" s="532"/>
      <c r="M6" s="2" t="s">
        <v>22</v>
      </c>
      <c r="N6" s="511">
        <f>Table2[[#This Row],[Effectiveness Review &amp; date deemed effective]]-Table2[[#This Row],[CAR initialized date]]</f>
        <v>625</v>
      </c>
    </row>
    <row r="7" spans="1:15" ht="18.75">
      <c r="A7" s="227" t="s">
        <v>39</v>
      </c>
      <c r="B7" s="2">
        <f>VLOOKUP(Table2[[#This Row],[Location 
(drop-down)]],Table14[[Location]:[Location ID]],2,FALSE)</f>
        <v>120</v>
      </c>
      <c r="C7" s="254" t="s">
        <v>40</v>
      </c>
      <c r="D7" s="378" t="s">
        <v>41</v>
      </c>
      <c r="E7" s="254" t="s">
        <v>18</v>
      </c>
      <c r="F7" s="254"/>
      <c r="G7" s="228" t="s">
        <v>42</v>
      </c>
      <c r="H7" s="165" t="s">
        <v>20</v>
      </c>
      <c r="I7" s="230" t="s">
        <v>21</v>
      </c>
      <c r="J7" s="230">
        <v>45468</v>
      </c>
      <c r="K7" s="226">
        <v>45670</v>
      </c>
      <c r="L7" s="532"/>
      <c r="M7" s="2" t="s">
        <v>22</v>
      </c>
      <c r="N7" s="511">
        <f>Table2[[#This Row],[Effectiveness Review &amp; date deemed effective]]-Table2[[#This Row],[CAR initialized date]]</f>
        <v>202</v>
      </c>
    </row>
    <row r="8" spans="1:15" ht="18.75">
      <c r="A8" s="227" t="s">
        <v>43</v>
      </c>
      <c r="B8" s="2">
        <f>VLOOKUP(Table2[[#This Row],[Location 
(drop-down)]],Table14[[Location]:[Location ID]],2,FALSE)</f>
        <v>210</v>
      </c>
      <c r="C8" s="254" t="s">
        <v>44</v>
      </c>
      <c r="D8" s="378" t="s">
        <v>45</v>
      </c>
      <c r="E8" s="413" t="s">
        <v>18</v>
      </c>
      <c r="F8" s="413"/>
      <c r="G8" s="227" t="s">
        <v>46</v>
      </c>
      <c r="H8" s="165" t="s">
        <v>20</v>
      </c>
      <c r="I8" s="230" t="s">
        <v>47</v>
      </c>
      <c r="J8" s="230">
        <v>45657</v>
      </c>
      <c r="K8" s="226">
        <v>45670</v>
      </c>
      <c r="L8" s="532"/>
      <c r="M8" s="2" t="s">
        <v>22</v>
      </c>
      <c r="N8" s="511">
        <f>Table2[[#This Row],[Effectiveness Review &amp; date deemed effective]]-Table2[[#This Row],[CAR initialized date]]</f>
        <v>13</v>
      </c>
    </row>
    <row r="9" spans="1:15" ht="18.75">
      <c r="A9" s="227" t="s">
        <v>43</v>
      </c>
      <c r="B9" s="2">
        <f>VLOOKUP(Table2[[#This Row],[Location 
(drop-down)]],Table14[[Location]:[Location ID]],2,FALSE)</f>
        <v>210</v>
      </c>
      <c r="C9" s="254" t="s">
        <v>48</v>
      </c>
      <c r="D9" s="378" t="s">
        <v>49</v>
      </c>
      <c r="E9" s="413" t="s">
        <v>18</v>
      </c>
      <c r="F9" s="413"/>
      <c r="G9" s="227" t="s">
        <v>50</v>
      </c>
      <c r="H9" s="165" t="s">
        <v>20</v>
      </c>
      <c r="I9" s="230" t="s">
        <v>47</v>
      </c>
      <c r="J9" s="230">
        <v>45657</v>
      </c>
      <c r="K9" s="226">
        <v>45670</v>
      </c>
      <c r="L9" s="532"/>
      <c r="M9" s="2" t="s">
        <v>22</v>
      </c>
      <c r="N9" s="511">
        <f>Table2[[#This Row],[Effectiveness Review &amp; date deemed effective]]-Table2[[#This Row],[CAR initialized date]]</f>
        <v>13</v>
      </c>
    </row>
    <row r="10" spans="1:15" ht="30">
      <c r="A10" s="64" t="s">
        <v>30</v>
      </c>
      <c r="B10" s="11">
        <f>VLOOKUP(Table2[[#This Row],[Location 
(drop-down)]],Table14[[Location]:[Location ID]],2,FALSE)</f>
        <v>132</v>
      </c>
      <c r="C10" s="9" t="s">
        <v>51</v>
      </c>
      <c r="D10" s="567" t="str">
        <f>"C" &amp; C10 &amp; "-" &amp; B10 &amp; "-" &amp; "23"</f>
        <v>C370-132-23</v>
      </c>
      <c r="E10" s="9" t="s">
        <v>32</v>
      </c>
      <c r="F10" s="532"/>
      <c r="G10" s="64" t="s">
        <v>52</v>
      </c>
      <c r="H10" s="532"/>
      <c r="I10" s="67" t="s">
        <v>34</v>
      </c>
      <c r="J10" s="67">
        <v>45090</v>
      </c>
      <c r="K10" s="68">
        <v>45807</v>
      </c>
      <c r="L10" s="532"/>
      <c r="M10" s="2" t="s">
        <v>22</v>
      </c>
      <c r="N10" s="511">
        <f>Table2[[#This Row],[Effectiveness Review &amp; date deemed effective]]-Table2[[#This Row],[CAR initialized date]]</f>
        <v>717</v>
      </c>
    </row>
    <row r="11" spans="1:15" ht="18.75">
      <c r="A11" s="227" t="s">
        <v>53</v>
      </c>
      <c r="B11" s="2">
        <f>VLOOKUP(Table2[[#This Row],[Location 
(drop-down)]],Table14[[Location]:[Location ID]],2,FALSE)</f>
        <v>158</v>
      </c>
      <c r="C11" s="254" t="s">
        <v>54</v>
      </c>
      <c r="D11" s="378" t="s">
        <v>55</v>
      </c>
      <c r="E11" s="254" t="s">
        <v>18</v>
      </c>
      <c r="F11" s="254"/>
      <c r="G11" s="227" t="s">
        <v>56</v>
      </c>
      <c r="H11" s="165" t="s">
        <v>20</v>
      </c>
      <c r="I11" s="230" t="s">
        <v>57</v>
      </c>
      <c r="J11" s="230">
        <v>45317</v>
      </c>
      <c r="K11" s="226">
        <v>45671</v>
      </c>
      <c r="L11" s="532"/>
      <c r="M11" s="2" t="s">
        <v>22</v>
      </c>
      <c r="N11" s="511">
        <f>Table2[[#This Row],[Effectiveness Review &amp; date deemed effective]]-Table2[[#This Row],[CAR initialized date]]</f>
        <v>354</v>
      </c>
    </row>
    <row r="12" spans="1:15" ht="18.75">
      <c r="A12" s="227" t="s">
        <v>39</v>
      </c>
      <c r="B12" s="2">
        <f>VLOOKUP(Table2[[#This Row],[Location 
(drop-down)]],Table14[[Location]:[Location ID]],2,FALSE)</f>
        <v>120</v>
      </c>
      <c r="C12" s="254" t="s">
        <v>58</v>
      </c>
      <c r="D12" s="378" t="s">
        <v>59</v>
      </c>
      <c r="E12" s="254" t="s">
        <v>18</v>
      </c>
      <c r="F12" s="254"/>
      <c r="G12" s="228" t="s">
        <v>60</v>
      </c>
      <c r="H12" s="165" t="s">
        <v>20</v>
      </c>
      <c r="I12" s="230" t="s">
        <v>21</v>
      </c>
      <c r="J12" s="230">
        <v>45468</v>
      </c>
      <c r="K12" s="226">
        <v>45671</v>
      </c>
      <c r="L12" s="532"/>
      <c r="M12" s="2" t="s">
        <v>22</v>
      </c>
      <c r="N12" s="511">
        <f>Table2[[#This Row],[Effectiveness Review &amp; date deemed effective]]-Table2[[#This Row],[CAR initialized date]]</f>
        <v>203</v>
      </c>
    </row>
    <row r="13" spans="1:15" ht="18.75">
      <c r="A13" s="227" t="s">
        <v>39</v>
      </c>
      <c r="B13" s="2">
        <f>VLOOKUP(Table2[[#This Row],[Location 
(drop-down)]],Table14[[Location]:[Location ID]],2,FALSE)</f>
        <v>120</v>
      </c>
      <c r="C13" s="254" t="s">
        <v>61</v>
      </c>
      <c r="D13" s="378" t="s">
        <v>62</v>
      </c>
      <c r="E13" s="254" t="s">
        <v>18</v>
      </c>
      <c r="F13" s="254"/>
      <c r="G13" s="228" t="s">
        <v>63</v>
      </c>
      <c r="H13" s="165" t="s">
        <v>20</v>
      </c>
      <c r="I13" s="230" t="s">
        <v>21</v>
      </c>
      <c r="J13" s="230">
        <v>45468</v>
      </c>
      <c r="K13" s="226">
        <v>45671</v>
      </c>
      <c r="L13" s="532"/>
      <c r="M13" s="2" t="s">
        <v>22</v>
      </c>
      <c r="N13" s="511">
        <f>Table2[[#This Row],[Effectiveness Review &amp; date deemed effective]]-Table2[[#This Row],[CAR initialized date]]</f>
        <v>203</v>
      </c>
    </row>
    <row r="14" spans="1:15" ht="18.75">
      <c r="A14" s="227" t="s">
        <v>64</v>
      </c>
      <c r="B14" s="2">
        <f>VLOOKUP(Table2[[#This Row],[Location 
(drop-down)]],Table14[[Location]:[Location ID]],2,FALSE)</f>
        <v>145</v>
      </c>
      <c r="C14" s="254" t="s">
        <v>65</v>
      </c>
      <c r="D14" s="378" t="s">
        <v>66</v>
      </c>
      <c r="E14" s="254" t="s">
        <v>18</v>
      </c>
      <c r="F14" s="254"/>
      <c r="G14" s="227" t="s">
        <v>67</v>
      </c>
      <c r="H14" s="165" t="s">
        <v>68</v>
      </c>
      <c r="I14" s="230" t="s">
        <v>69</v>
      </c>
      <c r="J14" s="260">
        <v>45419</v>
      </c>
      <c r="K14" s="226">
        <v>45671</v>
      </c>
      <c r="L14" s="532"/>
      <c r="M14" s="2" t="s">
        <v>22</v>
      </c>
      <c r="N14" s="511">
        <f>Table2[[#This Row],[Effectiveness Review &amp; date deemed effective]]-Table2[[#This Row],[CAR initialized date]]</f>
        <v>252</v>
      </c>
    </row>
    <row r="15" spans="1:15" ht="18.75">
      <c r="A15" s="227" t="s">
        <v>64</v>
      </c>
      <c r="B15" s="2">
        <f>VLOOKUP(Table2[[#This Row],[Location 
(drop-down)]],Table14[[Location]:[Location ID]],2,FALSE)</f>
        <v>145</v>
      </c>
      <c r="C15" s="254" t="s">
        <v>70</v>
      </c>
      <c r="D15" s="378" t="s">
        <v>71</v>
      </c>
      <c r="E15" s="254" t="s">
        <v>18</v>
      </c>
      <c r="F15" s="254"/>
      <c r="G15" s="227" t="s">
        <v>72</v>
      </c>
      <c r="H15" s="165" t="s">
        <v>68</v>
      </c>
      <c r="I15" s="230" t="s">
        <v>69</v>
      </c>
      <c r="J15" s="260">
        <v>45419</v>
      </c>
      <c r="K15" s="226">
        <v>45671</v>
      </c>
      <c r="L15" s="532"/>
      <c r="M15" s="2" t="s">
        <v>22</v>
      </c>
      <c r="N15" s="511">
        <f>Table2[[#This Row],[Effectiveness Review &amp; date deemed effective]]-Table2[[#This Row],[CAR initialized date]]</f>
        <v>252</v>
      </c>
    </row>
    <row r="16" spans="1:15" ht="18.75">
      <c r="A16" s="227" t="s">
        <v>73</v>
      </c>
      <c r="B16" s="2">
        <f>VLOOKUP(Table2[[#This Row],[Location 
(drop-down)]],Table14[[Location]:[Location ID]],2,FALSE)</f>
        <v>160</v>
      </c>
      <c r="C16" s="254" t="s">
        <v>74</v>
      </c>
      <c r="D16" s="378" t="s">
        <v>75</v>
      </c>
      <c r="E16" s="254" t="s">
        <v>18</v>
      </c>
      <c r="F16" s="254"/>
      <c r="G16" s="227" t="s">
        <v>76</v>
      </c>
      <c r="H16" s="165" t="s">
        <v>20</v>
      </c>
      <c r="I16" s="230" t="s">
        <v>69</v>
      </c>
      <c r="J16" s="230">
        <v>45511</v>
      </c>
      <c r="K16" s="226">
        <v>45671</v>
      </c>
      <c r="L16" s="532"/>
      <c r="M16" s="2" t="s">
        <v>22</v>
      </c>
      <c r="N16" s="511">
        <f>Table2[[#This Row],[Effectiveness Review &amp; date deemed effective]]-Table2[[#This Row],[CAR initialized date]]</f>
        <v>160</v>
      </c>
    </row>
    <row r="17" spans="1:14" ht="18.75">
      <c r="A17" s="227" t="s">
        <v>43</v>
      </c>
      <c r="B17" s="2">
        <f>VLOOKUP(Table2[[#This Row],[Location 
(drop-down)]],Table14[[Location]:[Location ID]],2,FALSE)</f>
        <v>210</v>
      </c>
      <c r="C17" s="254" t="s">
        <v>77</v>
      </c>
      <c r="D17" s="378" t="s">
        <v>78</v>
      </c>
      <c r="E17" s="413" t="s">
        <v>18</v>
      </c>
      <c r="F17" s="413"/>
      <c r="G17" s="227" t="s">
        <v>79</v>
      </c>
      <c r="H17" s="165" t="s">
        <v>20</v>
      </c>
      <c r="I17" s="230" t="s">
        <v>47</v>
      </c>
      <c r="J17" s="230">
        <v>45657</v>
      </c>
      <c r="K17" s="226">
        <v>45673</v>
      </c>
      <c r="L17" s="532"/>
      <c r="M17" s="2" t="s">
        <v>22</v>
      </c>
      <c r="N17" s="511">
        <f>Table2[[#This Row],[Effectiveness Review &amp; date deemed effective]]-Table2[[#This Row],[CAR initialized date]]</f>
        <v>16</v>
      </c>
    </row>
    <row r="18" spans="1:14" ht="18.75">
      <c r="A18" s="227" t="s">
        <v>80</v>
      </c>
      <c r="B18" s="2">
        <f>VLOOKUP(Table2[[#This Row],[Location 
(drop-down)]],Table14[[Location]:[Location ID]],2,FALSE)</f>
        <v>141</v>
      </c>
      <c r="C18" s="254" t="s">
        <v>31</v>
      </c>
      <c r="D18" s="379" t="str">
        <f>"C" &amp; C18 &amp;"-" &amp; B18 &amp; "-" &amp; "25"</f>
        <v>C004-141-25</v>
      </c>
      <c r="E18" s="254" t="s">
        <v>81</v>
      </c>
      <c r="F18" s="254" t="s">
        <v>82</v>
      </c>
      <c r="G18" s="227" t="s">
        <v>83</v>
      </c>
      <c r="H18" s="165" t="s">
        <v>68</v>
      </c>
      <c r="I18" s="165" t="s">
        <v>47</v>
      </c>
      <c r="J18" s="230">
        <v>45667</v>
      </c>
      <c r="K18" s="226">
        <v>45674</v>
      </c>
      <c r="L18" s="532"/>
      <c r="M18" s="226" t="s">
        <v>22</v>
      </c>
      <c r="N18" s="511">
        <f>Table2[[#This Row],[Effectiveness Review &amp; date deemed effective]]-Table2[[#This Row],[CAR initialized date]]</f>
        <v>7</v>
      </c>
    </row>
    <row r="19" spans="1:14" ht="18.75">
      <c r="A19" s="227" t="s">
        <v>39</v>
      </c>
      <c r="B19" s="2">
        <f>VLOOKUP(Table2[[#This Row],[Location 
(drop-down)]],Table14[[Location]:[Location ID]],2,FALSE)</f>
        <v>120</v>
      </c>
      <c r="C19" s="254" t="s">
        <v>84</v>
      </c>
      <c r="D19" s="378" t="s">
        <v>85</v>
      </c>
      <c r="E19" s="254" t="s">
        <v>86</v>
      </c>
      <c r="F19" s="254" t="s">
        <v>82</v>
      </c>
      <c r="G19" s="227" t="s">
        <v>87</v>
      </c>
      <c r="H19" s="165" t="s">
        <v>68</v>
      </c>
      <c r="I19" s="165"/>
      <c r="J19" s="230">
        <v>45588</v>
      </c>
      <c r="K19" s="226">
        <v>45674</v>
      </c>
      <c r="L19" s="532"/>
      <c r="M19" s="2" t="s">
        <v>22</v>
      </c>
      <c r="N19" s="511">
        <f>Table2[[#This Row],[Effectiveness Review &amp; date deemed effective]]-Table2[[#This Row],[CAR initialized date]]</f>
        <v>86</v>
      </c>
    </row>
    <row r="20" spans="1:14" ht="18.75">
      <c r="A20" s="227" t="s">
        <v>39</v>
      </c>
      <c r="B20" s="2">
        <f>VLOOKUP(Table2[[#This Row],[Location 
(drop-down)]],Table14[[Location]:[Location ID]],2,FALSE)</f>
        <v>120</v>
      </c>
      <c r="C20" s="254" t="s">
        <v>88</v>
      </c>
      <c r="D20" s="378" t="s">
        <v>89</v>
      </c>
      <c r="E20" s="254" t="s">
        <v>86</v>
      </c>
      <c r="F20" s="254" t="s">
        <v>82</v>
      </c>
      <c r="G20" s="227" t="s">
        <v>90</v>
      </c>
      <c r="H20" s="165" t="s">
        <v>68</v>
      </c>
      <c r="I20" s="165"/>
      <c r="J20" s="230">
        <v>45588</v>
      </c>
      <c r="K20" s="226">
        <v>45674</v>
      </c>
      <c r="L20" s="532"/>
      <c r="M20" s="2" t="s">
        <v>22</v>
      </c>
      <c r="N20" s="511">
        <f>Table2[[#This Row],[Effectiveness Review &amp; date deemed effective]]-Table2[[#This Row],[CAR initialized date]]</f>
        <v>86</v>
      </c>
    </row>
    <row r="21" spans="1:14" ht="18.75">
      <c r="A21" s="227" t="s">
        <v>39</v>
      </c>
      <c r="B21" s="2">
        <f>VLOOKUP(Table2[[#This Row],[Location 
(drop-down)]],Table14[[Location]:[Location ID]],2,FALSE)</f>
        <v>120</v>
      </c>
      <c r="C21" s="254" t="s">
        <v>91</v>
      </c>
      <c r="D21" s="378" t="s">
        <v>92</v>
      </c>
      <c r="E21" s="254" t="s">
        <v>86</v>
      </c>
      <c r="F21" s="254" t="s">
        <v>82</v>
      </c>
      <c r="G21" s="227" t="s">
        <v>93</v>
      </c>
      <c r="H21" s="165" t="s">
        <v>68</v>
      </c>
      <c r="I21" s="165"/>
      <c r="J21" s="230">
        <v>45588</v>
      </c>
      <c r="K21" s="226">
        <v>45674</v>
      </c>
      <c r="L21" s="532"/>
      <c r="M21" s="2" t="s">
        <v>22</v>
      </c>
      <c r="N21" s="511">
        <f>Table2[[#This Row],[Effectiveness Review &amp; date deemed effective]]-Table2[[#This Row],[CAR initialized date]]</f>
        <v>86</v>
      </c>
    </row>
    <row r="22" spans="1:14" ht="18.75">
      <c r="A22" s="227" t="s">
        <v>39</v>
      </c>
      <c r="B22" s="2">
        <f>VLOOKUP(Table2[[#This Row],[Location 
(drop-down)]],Table14[[Location]:[Location ID]],2,FALSE)</f>
        <v>120</v>
      </c>
      <c r="C22" s="254" t="s">
        <v>94</v>
      </c>
      <c r="D22" s="378" t="s">
        <v>95</v>
      </c>
      <c r="E22" s="254" t="s">
        <v>86</v>
      </c>
      <c r="F22" s="254" t="s">
        <v>82</v>
      </c>
      <c r="G22" s="227" t="s">
        <v>96</v>
      </c>
      <c r="H22" s="165" t="s">
        <v>68</v>
      </c>
      <c r="I22" s="165"/>
      <c r="J22" s="230">
        <v>45588</v>
      </c>
      <c r="K22" s="226">
        <v>45676</v>
      </c>
      <c r="L22" s="532"/>
      <c r="M22" s="2" t="s">
        <v>22</v>
      </c>
      <c r="N22" s="511">
        <f>Table2[[#This Row],[Effectiveness Review &amp; date deemed effective]]-Table2[[#This Row],[CAR initialized date]]</f>
        <v>88</v>
      </c>
    </row>
    <row r="23" spans="1:14" ht="18.75">
      <c r="A23" s="227" t="s">
        <v>39</v>
      </c>
      <c r="B23" s="2">
        <f>VLOOKUP(Table2[[#This Row],[Location 
(drop-down)]],Table14[[Location]:[Location ID]],2,FALSE)</f>
        <v>120</v>
      </c>
      <c r="C23" s="254" t="s">
        <v>97</v>
      </c>
      <c r="D23" s="378" t="s">
        <v>98</v>
      </c>
      <c r="E23" s="254" t="s">
        <v>86</v>
      </c>
      <c r="F23" s="254" t="s">
        <v>82</v>
      </c>
      <c r="G23" s="227" t="s">
        <v>99</v>
      </c>
      <c r="H23" s="165" t="s">
        <v>68</v>
      </c>
      <c r="I23" s="165"/>
      <c r="J23" s="230">
        <v>45588</v>
      </c>
      <c r="K23" s="226">
        <v>45676</v>
      </c>
      <c r="L23" s="532"/>
      <c r="M23" s="2" t="s">
        <v>22</v>
      </c>
      <c r="N23" s="511">
        <f>Table2[[#This Row],[Effectiveness Review &amp; date deemed effective]]-Table2[[#This Row],[CAR initialized date]]</f>
        <v>88</v>
      </c>
    </row>
    <row r="24" spans="1:14" ht="18.75">
      <c r="A24" s="227" t="s">
        <v>39</v>
      </c>
      <c r="B24" s="2">
        <f>VLOOKUP(Table2[[#This Row],[Location 
(drop-down)]],Table14[[Location]:[Location ID]],2,FALSE)</f>
        <v>120</v>
      </c>
      <c r="C24" s="254" t="s">
        <v>100</v>
      </c>
      <c r="D24" s="378" t="s">
        <v>101</v>
      </c>
      <c r="E24" s="254" t="s">
        <v>86</v>
      </c>
      <c r="F24" s="254" t="s">
        <v>82</v>
      </c>
      <c r="G24" s="227" t="s">
        <v>102</v>
      </c>
      <c r="H24" s="165" t="s">
        <v>68</v>
      </c>
      <c r="I24" s="165"/>
      <c r="J24" s="230">
        <v>45588</v>
      </c>
      <c r="K24" s="226">
        <v>45676</v>
      </c>
      <c r="L24" s="532"/>
      <c r="M24" s="2" t="s">
        <v>22</v>
      </c>
      <c r="N24" s="511">
        <f>Table2[[#This Row],[Effectiveness Review &amp; date deemed effective]]-Table2[[#This Row],[CAR initialized date]]</f>
        <v>88</v>
      </c>
    </row>
    <row r="25" spans="1:14" ht="18.75">
      <c r="A25" s="334" t="s">
        <v>103</v>
      </c>
      <c r="B25" s="2">
        <f>VLOOKUP(Table2[[#This Row],[Location 
(drop-down)]],Table14[[Location]:[Location ID]],2,FALSE)</f>
        <v>136</v>
      </c>
      <c r="C25" s="411" t="s">
        <v>104</v>
      </c>
      <c r="D25" s="386" t="s">
        <v>105</v>
      </c>
      <c r="E25" s="411" t="s">
        <v>86</v>
      </c>
      <c r="F25" s="411" t="s">
        <v>106</v>
      </c>
      <c r="G25" s="334" t="s">
        <v>107</v>
      </c>
      <c r="H25" s="335" t="s">
        <v>68</v>
      </c>
      <c r="I25" s="337" t="s">
        <v>108</v>
      </c>
      <c r="J25" s="337">
        <v>45527</v>
      </c>
      <c r="K25" s="338">
        <v>45677</v>
      </c>
      <c r="L25" s="532"/>
      <c r="M25" s="2" t="s">
        <v>22</v>
      </c>
      <c r="N25" s="511">
        <f>Table2[[#This Row],[Effectiveness Review &amp; date deemed effective]]-Table2[[#This Row],[CAR initialized date]]</f>
        <v>150</v>
      </c>
    </row>
    <row r="26" spans="1:14" ht="45">
      <c r="A26" s="64" t="s">
        <v>30</v>
      </c>
      <c r="B26" s="11">
        <f>VLOOKUP(Table2[[#This Row],[Location 
(drop-down)]],Table14[[Location]:[Location ID]],2,FALSE)</f>
        <v>132</v>
      </c>
      <c r="C26" s="9" t="s">
        <v>109</v>
      </c>
      <c r="D26" s="15" t="str">
        <f>"C" &amp; C26 &amp; "-" &amp; B26 &amp; "-" &amp; "23"</f>
        <v>C505-132-23</v>
      </c>
      <c r="E26" s="568" t="s">
        <v>32</v>
      </c>
      <c r="F26" s="532"/>
      <c r="G26" s="64" t="s">
        <v>110</v>
      </c>
      <c r="H26" s="532"/>
      <c r="I26" s="67" t="s">
        <v>111</v>
      </c>
      <c r="J26" s="67">
        <v>45132</v>
      </c>
      <c r="K26" s="68">
        <v>45713</v>
      </c>
      <c r="L26" s="532"/>
      <c r="M26" s="2" t="s">
        <v>22</v>
      </c>
      <c r="N26" s="511">
        <f>Table2[[#This Row],[Effectiveness Review &amp; date deemed effective]]-Table2[[#This Row],[CAR initialized date]]</f>
        <v>581</v>
      </c>
    </row>
    <row r="27" spans="1:14" ht="18.75">
      <c r="A27" s="227" t="s">
        <v>43</v>
      </c>
      <c r="B27" s="2">
        <f>VLOOKUP(Table2[[#This Row],[Location 
(drop-down)]],Table14[[Location]:[Location ID]],2,FALSE)</f>
        <v>210</v>
      </c>
      <c r="C27" s="254" t="s">
        <v>109</v>
      </c>
      <c r="D27" s="378" t="s">
        <v>112</v>
      </c>
      <c r="E27" s="413" t="s">
        <v>18</v>
      </c>
      <c r="F27" s="413"/>
      <c r="G27" s="227" t="s">
        <v>113</v>
      </c>
      <c r="H27" s="165" t="s">
        <v>20</v>
      </c>
      <c r="I27" s="230" t="s">
        <v>47</v>
      </c>
      <c r="J27" s="230">
        <v>45657</v>
      </c>
      <c r="K27" s="226">
        <v>45678</v>
      </c>
      <c r="L27" s="532"/>
      <c r="M27" s="2" t="s">
        <v>22</v>
      </c>
      <c r="N27" s="511">
        <f>Table2[[#This Row],[Effectiveness Review &amp; date deemed effective]]-Table2[[#This Row],[CAR initialized date]]</f>
        <v>21</v>
      </c>
    </row>
    <row r="28" spans="1:14" ht="18.75">
      <c r="A28" s="227" t="s">
        <v>114</v>
      </c>
      <c r="B28" s="2">
        <f>VLOOKUP(Table2[[#This Row],[Location 
(drop-down)]],Table14[[Location]:[Location ID]],2,FALSE)</f>
        <v>189</v>
      </c>
      <c r="C28" s="254" t="s">
        <v>115</v>
      </c>
      <c r="D28" s="378" t="s">
        <v>116</v>
      </c>
      <c r="E28" s="254" t="s">
        <v>18</v>
      </c>
      <c r="F28" s="254"/>
      <c r="G28" s="227" t="s">
        <v>117</v>
      </c>
      <c r="H28" s="165" t="s">
        <v>68</v>
      </c>
      <c r="I28" s="165" t="s">
        <v>118</v>
      </c>
      <c r="J28" s="230">
        <v>45602</v>
      </c>
      <c r="K28" s="226">
        <v>45679</v>
      </c>
      <c r="L28" s="532"/>
      <c r="M28" s="2" t="s">
        <v>22</v>
      </c>
      <c r="N28" s="511">
        <f>Table2[[#This Row],[Effectiveness Review &amp; date deemed effective]]-Table2[[#This Row],[CAR initialized date]]</f>
        <v>77</v>
      </c>
    </row>
    <row r="29" spans="1:14" ht="18.75">
      <c r="A29" s="227" t="s">
        <v>119</v>
      </c>
      <c r="B29" s="2">
        <f>VLOOKUP(Table2[[#This Row],[Location 
(drop-down)]],Table14[[Location]:[Location ID]],2,FALSE)</f>
        <v>131</v>
      </c>
      <c r="C29" s="254" t="s">
        <v>35</v>
      </c>
      <c r="D29" s="379" t="str">
        <f>"C" &amp; C29 &amp;"-" &amp; B29 &amp; "-" &amp; "25"</f>
        <v>C003-131-25</v>
      </c>
      <c r="E29" s="254" t="s">
        <v>120</v>
      </c>
      <c r="F29" s="254" t="s">
        <v>121</v>
      </c>
      <c r="G29" s="242" t="s">
        <v>122</v>
      </c>
      <c r="H29" s="165" t="s">
        <v>68</v>
      </c>
      <c r="I29" s="165" t="s">
        <v>111</v>
      </c>
      <c r="J29" s="230">
        <v>45666</v>
      </c>
      <c r="K29" s="226">
        <v>45679</v>
      </c>
      <c r="L29" s="532"/>
      <c r="M29" s="226" t="s">
        <v>22</v>
      </c>
      <c r="N29" s="511">
        <f>Table2[[#This Row],[Effectiveness Review &amp; date deemed effective]]-Table2[[#This Row],[CAR initialized date]]</f>
        <v>13</v>
      </c>
    </row>
    <row r="30" spans="1:14" ht="60">
      <c r="A30" s="64" t="s">
        <v>30</v>
      </c>
      <c r="B30" s="11">
        <f>VLOOKUP(Table2[[#This Row],[Location 
(drop-down)]],Table14[[Location]:[Location ID]],2,FALSE)</f>
        <v>132</v>
      </c>
      <c r="C30" s="9" t="s">
        <v>123</v>
      </c>
      <c r="D30" s="15" t="str">
        <f>"C" &amp; C30 &amp; "-" &amp; B30 &amp; "-" &amp; "23"</f>
        <v>C504-132-23</v>
      </c>
      <c r="E30" s="568" t="s">
        <v>32</v>
      </c>
      <c r="F30" s="532"/>
      <c r="G30" s="64" t="s">
        <v>124</v>
      </c>
      <c r="H30" s="532"/>
      <c r="I30" s="67" t="s">
        <v>34</v>
      </c>
      <c r="J30" s="67">
        <v>45132</v>
      </c>
      <c r="K30" s="68">
        <v>45784</v>
      </c>
      <c r="L30" s="532"/>
      <c r="M30" s="2" t="s">
        <v>22</v>
      </c>
      <c r="N30" s="511">
        <f>Table2[[#This Row],[Effectiveness Review &amp; date deemed effective]]-Table2[[#This Row],[CAR initialized date]]</f>
        <v>652</v>
      </c>
    </row>
    <row r="31" spans="1:14" ht="18.75">
      <c r="A31" s="227" t="s">
        <v>125</v>
      </c>
      <c r="B31" s="2">
        <f>VLOOKUP(Table2[[#This Row],[Location 
(drop-down)]],Table14[[Location]:[Location ID]],2,FALSE)</f>
        <v>130</v>
      </c>
      <c r="C31" s="254" t="s">
        <v>126</v>
      </c>
      <c r="D31" s="378" t="s">
        <v>127</v>
      </c>
      <c r="E31" s="254" t="s">
        <v>81</v>
      </c>
      <c r="F31" s="254" t="s">
        <v>128</v>
      </c>
      <c r="G31" s="227" t="s">
        <v>129</v>
      </c>
      <c r="H31" s="165" t="s">
        <v>20</v>
      </c>
      <c r="I31" s="165" t="s">
        <v>130</v>
      </c>
      <c r="J31" s="230">
        <v>45610</v>
      </c>
      <c r="K31" s="226">
        <v>45681</v>
      </c>
      <c r="L31" s="532"/>
      <c r="M31" s="2" t="s">
        <v>22</v>
      </c>
      <c r="N31" s="511">
        <f>Table2[[#This Row],[Effectiveness Review &amp; date deemed effective]]-Table2[[#This Row],[CAR initialized date]]</f>
        <v>71</v>
      </c>
    </row>
    <row r="32" spans="1:14" ht="30">
      <c r="A32" s="64" t="s">
        <v>30</v>
      </c>
      <c r="B32" s="11">
        <f>VLOOKUP(Table2[[#This Row],[Location 
(drop-down)]],Table14[[Location]:[Location ID]],2,FALSE)</f>
        <v>132</v>
      </c>
      <c r="C32" s="9" t="s">
        <v>131</v>
      </c>
      <c r="D32" s="569" t="str">
        <f>"C" &amp; C32 &amp; "-" &amp; B32 &amp; "-" &amp; "23"</f>
        <v>C612-132-23</v>
      </c>
      <c r="E32" s="11" t="s">
        <v>18</v>
      </c>
      <c r="F32" s="532"/>
      <c r="G32" s="64" t="s">
        <v>132</v>
      </c>
      <c r="H32" s="532"/>
      <c r="I32" s="67" t="s">
        <v>69</v>
      </c>
      <c r="J32" s="67">
        <v>45183</v>
      </c>
      <c r="K32" s="570">
        <v>45708</v>
      </c>
      <c r="L32" s="532"/>
      <c r="M32" s="2" t="s">
        <v>22</v>
      </c>
      <c r="N32" s="511">
        <f>Table2[[#This Row],[Effectiveness Review &amp; date deemed effective]]-Table2[[#This Row],[CAR initialized date]]</f>
        <v>525</v>
      </c>
    </row>
    <row r="33" spans="1:14" ht="30">
      <c r="A33" s="64" t="s">
        <v>30</v>
      </c>
      <c r="B33" s="11">
        <f>VLOOKUP(Table2[[#This Row],[Location 
(drop-down)]],Table14[[Location]:[Location ID]],2,FALSE)</f>
        <v>132</v>
      </c>
      <c r="C33" s="9" t="s">
        <v>133</v>
      </c>
      <c r="D33" s="15" t="str">
        <f>"C" &amp; C33 &amp; "-" &amp; B33 &amp; "-" &amp; "23"</f>
        <v>C615-132-23</v>
      </c>
      <c r="E33" s="11" t="s">
        <v>18</v>
      </c>
      <c r="F33" s="532"/>
      <c r="G33" s="64" t="s">
        <v>134</v>
      </c>
      <c r="H33" s="532"/>
      <c r="I33" s="67" t="s">
        <v>69</v>
      </c>
      <c r="J33" s="67">
        <v>45183</v>
      </c>
      <c r="K33" s="68">
        <v>45783</v>
      </c>
      <c r="L33" s="532"/>
      <c r="M33" s="2" t="s">
        <v>22</v>
      </c>
      <c r="N33" s="511">
        <f>Table2[[#This Row],[Effectiveness Review &amp; date deemed effective]]-Table2[[#This Row],[CAR initialized date]]</f>
        <v>600</v>
      </c>
    </row>
    <row r="34" spans="1:14" ht="18.75">
      <c r="A34" s="227" t="s">
        <v>135</v>
      </c>
      <c r="B34" s="2">
        <f>VLOOKUP(Table2[[#This Row],[Location 
(drop-down)]],Table14[[Location]:[Location ID]],2,FALSE)</f>
        <v>179</v>
      </c>
      <c r="C34" s="254" t="s">
        <v>136</v>
      </c>
      <c r="D34" s="378" t="s">
        <v>137</v>
      </c>
      <c r="E34" s="413" t="s">
        <v>18</v>
      </c>
      <c r="F34" s="413"/>
      <c r="G34" s="227" t="s">
        <v>138</v>
      </c>
      <c r="H34" s="165" t="s">
        <v>20</v>
      </c>
      <c r="I34" s="230" t="s">
        <v>21</v>
      </c>
      <c r="J34" s="230">
        <v>45659</v>
      </c>
      <c r="K34" s="226">
        <v>45686</v>
      </c>
      <c r="L34" s="532"/>
      <c r="M34" s="2" t="s">
        <v>22</v>
      </c>
      <c r="N34" s="511">
        <f>Table2[[#This Row],[Effectiveness Review &amp; date deemed effective]]-Table2[[#This Row],[CAR initialized date]]</f>
        <v>27</v>
      </c>
    </row>
    <row r="35" spans="1:14" ht="18.75">
      <c r="A35" s="227" t="s">
        <v>139</v>
      </c>
      <c r="B35" s="2">
        <f>VLOOKUP(Table2[[#This Row],[Location 
(drop-down)]],Table14[[Location]:[Location ID]],2,FALSE)</f>
        <v>191</v>
      </c>
      <c r="C35" s="254" t="s">
        <v>140</v>
      </c>
      <c r="D35" s="378" t="s">
        <v>141</v>
      </c>
      <c r="E35" s="254" t="s">
        <v>18</v>
      </c>
      <c r="F35" s="254"/>
      <c r="G35" s="227" t="s">
        <v>142</v>
      </c>
      <c r="H35" s="165" t="s">
        <v>20</v>
      </c>
      <c r="I35" s="165" t="s">
        <v>47</v>
      </c>
      <c r="J35" s="230">
        <v>45615</v>
      </c>
      <c r="K35" s="226">
        <v>45686</v>
      </c>
      <c r="L35" s="532"/>
      <c r="M35" s="2" t="s">
        <v>22</v>
      </c>
      <c r="N35" s="511">
        <f>Table2[[#This Row],[Effectiveness Review &amp; date deemed effective]]-Table2[[#This Row],[CAR initialized date]]</f>
        <v>71</v>
      </c>
    </row>
    <row r="36" spans="1:14" ht="18.75">
      <c r="A36" s="227" t="s">
        <v>139</v>
      </c>
      <c r="B36" s="2">
        <f>VLOOKUP(Table2[[#This Row],[Location 
(drop-down)]],Table14[[Location]:[Location ID]],2,FALSE)</f>
        <v>191</v>
      </c>
      <c r="C36" s="254" t="s">
        <v>143</v>
      </c>
      <c r="D36" s="378" t="s">
        <v>144</v>
      </c>
      <c r="E36" s="254" t="s">
        <v>18</v>
      </c>
      <c r="F36" s="254"/>
      <c r="G36" s="227" t="s">
        <v>145</v>
      </c>
      <c r="H36" s="165" t="s">
        <v>20</v>
      </c>
      <c r="I36" s="165" t="s">
        <v>47</v>
      </c>
      <c r="J36" s="230">
        <v>45615</v>
      </c>
      <c r="K36" s="226">
        <v>45686</v>
      </c>
      <c r="L36" s="532"/>
      <c r="M36" s="2" t="s">
        <v>22</v>
      </c>
      <c r="N36" s="511">
        <f>Table2[[#This Row],[Effectiveness Review &amp; date deemed effective]]-Table2[[#This Row],[CAR initialized date]]</f>
        <v>71</v>
      </c>
    </row>
    <row r="37" spans="1:14" ht="18.75">
      <c r="A37" s="227" t="s">
        <v>139</v>
      </c>
      <c r="B37" s="2">
        <f>VLOOKUP(Table2[[#This Row],[Location 
(drop-down)]],Table14[[Location]:[Location ID]],2,FALSE)</f>
        <v>191</v>
      </c>
      <c r="C37" s="254" t="s">
        <v>146</v>
      </c>
      <c r="D37" s="378" t="s">
        <v>147</v>
      </c>
      <c r="E37" s="254" t="s">
        <v>18</v>
      </c>
      <c r="F37" s="254"/>
      <c r="G37" s="227" t="s">
        <v>148</v>
      </c>
      <c r="H37" s="165" t="s">
        <v>20</v>
      </c>
      <c r="I37" s="165" t="s">
        <v>47</v>
      </c>
      <c r="J37" s="230">
        <v>45615</v>
      </c>
      <c r="K37" s="226">
        <v>45686</v>
      </c>
      <c r="L37" s="532"/>
      <c r="M37" s="2" t="s">
        <v>22</v>
      </c>
      <c r="N37" s="511">
        <f>Table2[[#This Row],[Effectiveness Review &amp; date deemed effective]]-Table2[[#This Row],[CAR initialized date]]</f>
        <v>71</v>
      </c>
    </row>
    <row r="38" spans="1:14" ht="18.75">
      <c r="A38" s="227" t="s">
        <v>139</v>
      </c>
      <c r="B38" s="2">
        <f>VLOOKUP(Table2[[#This Row],[Location 
(drop-down)]],Table14[[Location]:[Location ID]],2,FALSE)</f>
        <v>191</v>
      </c>
      <c r="C38" s="254" t="s">
        <v>149</v>
      </c>
      <c r="D38" s="378" t="s">
        <v>150</v>
      </c>
      <c r="E38" s="254" t="s">
        <v>26</v>
      </c>
      <c r="F38" s="254" t="s">
        <v>151</v>
      </c>
      <c r="G38" s="310" t="s">
        <v>152</v>
      </c>
      <c r="H38" s="165" t="s">
        <v>20</v>
      </c>
      <c r="I38" s="165" t="s">
        <v>69</v>
      </c>
      <c r="J38" s="230">
        <v>45637</v>
      </c>
      <c r="K38" s="226">
        <v>45686</v>
      </c>
      <c r="L38" s="532"/>
      <c r="M38" s="2" t="s">
        <v>22</v>
      </c>
      <c r="N38" s="511">
        <f>Table2[[#This Row],[Effectiveness Review &amp; date deemed effective]]-Table2[[#This Row],[CAR initialized date]]</f>
        <v>49</v>
      </c>
    </row>
    <row r="39" spans="1:14" ht="18.75">
      <c r="A39" s="227" t="s">
        <v>73</v>
      </c>
      <c r="B39" s="2">
        <f>VLOOKUP(Table2[[#This Row],[Location 
(drop-down)]],Table14[[Location]:[Location ID]],2,FALSE)</f>
        <v>160</v>
      </c>
      <c r="C39" s="254" t="s">
        <v>153</v>
      </c>
      <c r="D39" s="378" t="s">
        <v>154</v>
      </c>
      <c r="E39" s="254" t="s">
        <v>18</v>
      </c>
      <c r="F39" s="254"/>
      <c r="G39" s="227" t="s">
        <v>155</v>
      </c>
      <c r="H39" s="165" t="s">
        <v>20</v>
      </c>
      <c r="I39" s="230" t="s">
        <v>69</v>
      </c>
      <c r="J39" s="230">
        <v>45511</v>
      </c>
      <c r="K39" s="226">
        <v>45686</v>
      </c>
      <c r="L39" s="532"/>
      <c r="M39" s="2" t="s">
        <v>22</v>
      </c>
      <c r="N39" s="511">
        <f>Table2[[#This Row],[Effectiveness Review &amp; date deemed effective]]-Table2[[#This Row],[CAR initialized date]]</f>
        <v>175</v>
      </c>
    </row>
    <row r="40" spans="1:14" ht="18.75">
      <c r="A40" s="227" t="s">
        <v>156</v>
      </c>
      <c r="B40" s="2">
        <f>VLOOKUP(Table2[[#This Row],[Location 
(drop-down)]],Table14[[Location]:[Location ID]],2,FALSE)</f>
        <v>110</v>
      </c>
      <c r="C40" s="254" t="s">
        <v>157</v>
      </c>
      <c r="D40" s="379" t="str">
        <f>"C" &amp; C40 &amp;"-" &amp; B40 &amp; "-" &amp; "25"</f>
        <v>C023-110-25</v>
      </c>
      <c r="E40" s="254" t="s">
        <v>81</v>
      </c>
      <c r="F40" s="254" t="s">
        <v>158</v>
      </c>
      <c r="G40" s="227" t="s">
        <v>159</v>
      </c>
      <c r="H40" s="165" t="s">
        <v>68</v>
      </c>
      <c r="I40" s="165" t="s">
        <v>47</v>
      </c>
      <c r="J40" s="230">
        <v>45686</v>
      </c>
      <c r="K40" s="226">
        <v>45687</v>
      </c>
      <c r="L40" s="532"/>
      <c r="M40" s="226" t="s">
        <v>22</v>
      </c>
      <c r="N40" s="511">
        <f>Table2[[#This Row],[Effectiveness Review &amp; date deemed effective]]-Table2[[#This Row],[CAR initialized date]]</f>
        <v>1</v>
      </c>
    </row>
    <row r="41" spans="1:14" ht="18.75">
      <c r="A41" s="227" t="s">
        <v>160</v>
      </c>
      <c r="B41" s="2">
        <f>VLOOKUP(Table2[[#This Row],[Location 
(drop-down)]],Table14[[Location]:[Location ID]],2,FALSE)</f>
        <v>128</v>
      </c>
      <c r="C41" s="254" t="s">
        <v>161</v>
      </c>
      <c r="D41" s="378" t="s">
        <v>162</v>
      </c>
      <c r="E41" s="254" t="s">
        <v>18</v>
      </c>
      <c r="F41" s="254"/>
      <c r="G41" s="240" t="s">
        <v>163</v>
      </c>
      <c r="H41" s="165" t="s">
        <v>20</v>
      </c>
      <c r="I41" s="235" t="s">
        <v>21</v>
      </c>
      <c r="J41" s="230">
        <v>45363</v>
      </c>
      <c r="K41" s="226">
        <v>45687</v>
      </c>
      <c r="L41" s="532"/>
      <c r="M41" s="2" t="s">
        <v>22</v>
      </c>
      <c r="N41" s="511">
        <f>Table2[[#This Row],[Effectiveness Review &amp; date deemed effective]]-Table2[[#This Row],[CAR initialized date]]</f>
        <v>324</v>
      </c>
    </row>
    <row r="42" spans="1:14" ht="18.75">
      <c r="A42" s="227" t="s">
        <v>139</v>
      </c>
      <c r="B42" s="2">
        <f>VLOOKUP(Table2[[#This Row],[Location 
(drop-down)]],Table14[[Location]:[Location ID]],2,FALSE)</f>
        <v>191</v>
      </c>
      <c r="C42" s="254" t="s">
        <v>164</v>
      </c>
      <c r="D42" s="378" t="s">
        <v>165</v>
      </c>
      <c r="E42" s="254" t="s">
        <v>26</v>
      </c>
      <c r="F42" s="254" t="s">
        <v>151</v>
      </c>
      <c r="G42" s="310" t="s">
        <v>166</v>
      </c>
      <c r="H42" s="165" t="s">
        <v>20</v>
      </c>
      <c r="I42" s="165" t="s">
        <v>69</v>
      </c>
      <c r="J42" s="230">
        <v>45637</v>
      </c>
      <c r="K42" s="226">
        <v>45687</v>
      </c>
      <c r="L42" s="532"/>
      <c r="M42" s="2" t="s">
        <v>22</v>
      </c>
      <c r="N42" s="511">
        <f>Table2[[#This Row],[Effectiveness Review &amp; date deemed effective]]-Table2[[#This Row],[CAR initialized date]]</f>
        <v>50</v>
      </c>
    </row>
    <row r="43" spans="1:14" ht="18.75">
      <c r="A43" s="227" t="s">
        <v>167</v>
      </c>
      <c r="B43" s="2">
        <f>VLOOKUP(Table2[[#This Row],[Location 
(drop-down)]],Table14[[Location]:[Location ID]],2,FALSE)</f>
        <v>146</v>
      </c>
      <c r="C43" s="254" t="s">
        <v>168</v>
      </c>
      <c r="D43" s="378" t="s">
        <v>169</v>
      </c>
      <c r="E43" s="254" t="s">
        <v>18</v>
      </c>
      <c r="F43" s="254"/>
      <c r="G43" s="227" t="s">
        <v>170</v>
      </c>
      <c r="H43" s="165" t="s">
        <v>20</v>
      </c>
      <c r="I43" s="165" t="s">
        <v>69</v>
      </c>
      <c r="J43" s="230">
        <v>45615</v>
      </c>
      <c r="K43" s="226">
        <v>45687</v>
      </c>
      <c r="L43" s="532"/>
      <c r="M43" s="2" t="s">
        <v>22</v>
      </c>
      <c r="N43" s="511">
        <f>Table2[[#This Row],[Effectiveness Review &amp; date deemed effective]]-Table2[[#This Row],[CAR initialized date]]</f>
        <v>72</v>
      </c>
    </row>
    <row r="44" spans="1:14" ht="18.75">
      <c r="A44" s="227" t="s">
        <v>167</v>
      </c>
      <c r="B44" s="2">
        <f>VLOOKUP(Table2[[#This Row],[Location 
(drop-down)]],Table14[[Location]:[Location ID]],2,FALSE)</f>
        <v>146</v>
      </c>
      <c r="C44" s="254" t="s">
        <v>171</v>
      </c>
      <c r="D44" s="378" t="s">
        <v>172</v>
      </c>
      <c r="E44" s="254" t="s">
        <v>18</v>
      </c>
      <c r="F44" s="254"/>
      <c r="G44" s="227" t="s">
        <v>173</v>
      </c>
      <c r="H44" s="165" t="s">
        <v>20</v>
      </c>
      <c r="I44" s="165" t="s">
        <v>69</v>
      </c>
      <c r="J44" s="230">
        <v>45615</v>
      </c>
      <c r="K44" s="226">
        <v>45687</v>
      </c>
      <c r="L44" s="532"/>
      <c r="M44" s="2" t="s">
        <v>22</v>
      </c>
      <c r="N44" s="511">
        <f>Table2[[#This Row],[Effectiveness Review &amp; date deemed effective]]-Table2[[#This Row],[CAR initialized date]]</f>
        <v>72</v>
      </c>
    </row>
    <row r="45" spans="1:14" ht="30">
      <c r="A45" s="64" t="s">
        <v>30</v>
      </c>
      <c r="B45" s="11">
        <f>VLOOKUP(Table2[[#This Row],[Location 
(drop-down)]],Table14[[Location]:[Location ID]],2,FALSE)</f>
        <v>132</v>
      </c>
      <c r="C45" s="9" t="s">
        <v>174</v>
      </c>
      <c r="D45" s="15" t="str">
        <f>"C" &amp; C45 &amp; "-" &amp; B45 &amp; "-" &amp; "23"</f>
        <v>C618-132-23</v>
      </c>
      <c r="E45" s="11" t="s">
        <v>18</v>
      </c>
      <c r="F45" s="532"/>
      <c r="G45" s="64" t="s">
        <v>175</v>
      </c>
      <c r="H45" s="532"/>
      <c r="I45" s="67" t="s">
        <v>69</v>
      </c>
      <c r="J45" s="67">
        <v>45183</v>
      </c>
      <c r="K45" s="68">
        <v>45946</v>
      </c>
      <c r="L45" s="532"/>
      <c r="M45" s="2" t="s">
        <v>22</v>
      </c>
      <c r="N45" s="511">
        <f>Table2[[#This Row],[Effectiveness Review &amp; date deemed effective]]-Table2[[#This Row],[CAR initialized date]]</f>
        <v>763</v>
      </c>
    </row>
    <row r="46" spans="1:14" ht="18.75">
      <c r="A46" s="227" t="s">
        <v>30</v>
      </c>
      <c r="B46" s="2">
        <f>VLOOKUP(Table2[[#This Row],[Location 
(drop-down)]],Table14[[Location]:[Location ID]],2,FALSE)</f>
        <v>132</v>
      </c>
      <c r="C46" s="254" t="s">
        <v>176</v>
      </c>
      <c r="D46" s="378" t="s">
        <v>177</v>
      </c>
      <c r="E46" s="254" t="s">
        <v>120</v>
      </c>
      <c r="F46" s="254"/>
      <c r="G46" s="227" t="s">
        <v>178</v>
      </c>
      <c r="H46" s="165" t="s">
        <v>20</v>
      </c>
      <c r="I46" s="230" t="s">
        <v>111</v>
      </c>
      <c r="J46" s="230">
        <v>45371</v>
      </c>
      <c r="K46" s="226">
        <v>45686</v>
      </c>
      <c r="L46" s="532"/>
      <c r="M46" s="2" t="s">
        <v>22</v>
      </c>
      <c r="N46" s="511">
        <f>Table2[[#This Row],[Effectiveness Review &amp; date deemed effective]]-Table2[[#This Row],[CAR initialized date]]</f>
        <v>315</v>
      </c>
    </row>
    <row r="47" spans="1:14" ht="18.75">
      <c r="A47" s="227" t="s">
        <v>139</v>
      </c>
      <c r="B47" s="2">
        <f>VLOOKUP(Table2[[#This Row],[Location 
(drop-down)]],Table14[[Location]:[Location ID]],2,FALSE)</f>
        <v>191</v>
      </c>
      <c r="C47" s="254" t="s">
        <v>179</v>
      </c>
      <c r="D47" s="378" t="s">
        <v>180</v>
      </c>
      <c r="E47" s="254" t="s">
        <v>18</v>
      </c>
      <c r="F47" s="254"/>
      <c r="G47" s="227" t="s">
        <v>181</v>
      </c>
      <c r="H47" s="165" t="s">
        <v>20</v>
      </c>
      <c r="I47" s="165" t="s">
        <v>47</v>
      </c>
      <c r="J47" s="230">
        <v>45615</v>
      </c>
      <c r="K47" s="226">
        <v>45688</v>
      </c>
      <c r="L47" s="532"/>
      <c r="M47" s="2" t="s">
        <v>22</v>
      </c>
      <c r="N47" s="511">
        <f>Table2[[#This Row],[Effectiveness Review &amp; date deemed effective]]-Table2[[#This Row],[CAR initialized date]]</f>
        <v>73</v>
      </c>
    </row>
    <row r="48" spans="1:14" ht="18.75">
      <c r="A48" s="227" t="s">
        <v>64</v>
      </c>
      <c r="B48" s="2">
        <f>VLOOKUP(Table2[[#This Row],[Location 
(drop-down)]],Table14[[Location]:[Location ID]],2,FALSE)</f>
        <v>145</v>
      </c>
      <c r="C48" s="254" t="s">
        <v>182</v>
      </c>
      <c r="D48" s="378" t="s">
        <v>183</v>
      </c>
      <c r="E48" s="254" t="s">
        <v>18</v>
      </c>
      <c r="F48" s="254"/>
      <c r="G48" s="227" t="s">
        <v>184</v>
      </c>
      <c r="H48" s="165" t="s">
        <v>20</v>
      </c>
      <c r="I48" s="230" t="s">
        <v>69</v>
      </c>
      <c r="J48" s="260">
        <v>45419</v>
      </c>
      <c r="K48" s="226">
        <v>45688</v>
      </c>
      <c r="L48" s="532"/>
      <c r="M48" s="2" t="s">
        <v>22</v>
      </c>
      <c r="N48" s="511">
        <f>Table2[[#This Row],[Effectiveness Review &amp; date deemed effective]]-Table2[[#This Row],[CAR initialized date]]</f>
        <v>269</v>
      </c>
    </row>
    <row r="49" spans="1:14" ht="18.75">
      <c r="A49" s="227" t="s">
        <v>185</v>
      </c>
      <c r="B49" s="2">
        <f>VLOOKUP(Table2[[#This Row],[Location 
(drop-down)]],Table14[[Location]:[Location ID]],2,FALSE)</f>
        <v>144</v>
      </c>
      <c r="C49" s="254" t="s">
        <v>186</v>
      </c>
      <c r="D49" s="378" t="s">
        <v>187</v>
      </c>
      <c r="E49" s="254" t="s">
        <v>18</v>
      </c>
      <c r="F49" s="254"/>
      <c r="G49" s="227" t="s">
        <v>188</v>
      </c>
      <c r="H49" s="165" t="s">
        <v>68</v>
      </c>
      <c r="I49" s="230" t="s">
        <v>21</v>
      </c>
      <c r="J49" s="230">
        <v>45531</v>
      </c>
      <c r="K49" s="226">
        <v>45688</v>
      </c>
      <c r="L49" s="532"/>
      <c r="M49" s="2" t="s">
        <v>22</v>
      </c>
      <c r="N49" s="511">
        <f>Table2[[#This Row],[Effectiveness Review &amp; date deemed effective]]-Table2[[#This Row],[CAR initialized date]]</f>
        <v>157</v>
      </c>
    </row>
    <row r="50" spans="1:14" ht="18.75">
      <c r="A50" s="227" t="s">
        <v>139</v>
      </c>
      <c r="B50" s="2">
        <f>VLOOKUP(Table2[[#This Row],[Location 
(drop-down)]],Table14[[Location]:[Location ID]],2,FALSE)</f>
        <v>191</v>
      </c>
      <c r="C50" s="254" t="s">
        <v>189</v>
      </c>
      <c r="D50" s="378" t="s">
        <v>190</v>
      </c>
      <c r="E50" s="254" t="s">
        <v>18</v>
      </c>
      <c r="F50" s="254"/>
      <c r="G50" s="227" t="s">
        <v>191</v>
      </c>
      <c r="H50" s="165" t="s">
        <v>20</v>
      </c>
      <c r="I50" s="165" t="s">
        <v>47</v>
      </c>
      <c r="J50" s="230">
        <v>45615</v>
      </c>
      <c r="K50" s="226">
        <v>45689</v>
      </c>
      <c r="L50" s="532"/>
      <c r="M50" s="2" t="s">
        <v>22</v>
      </c>
      <c r="N50" s="511">
        <f>Table2[[#This Row],[Effectiveness Review &amp; date deemed effective]]-Table2[[#This Row],[CAR initialized date]]</f>
        <v>74</v>
      </c>
    </row>
    <row r="51" spans="1:14" ht="18.75">
      <c r="A51" s="227" t="s">
        <v>39</v>
      </c>
      <c r="B51" s="2">
        <f>VLOOKUP(Table2[[#This Row],[Location 
(drop-down)]],Table14[[Location]:[Location ID]],2,FALSE)</f>
        <v>120</v>
      </c>
      <c r="C51" s="254" t="s">
        <v>192</v>
      </c>
      <c r="D51" s="378" t="s">
        <v>193</v>
      </c>
      <c r="E51" s="254" t="s">
        <v>18</v>
      </c>
      <c r="F51" s="254"/>
      <c r="G51" s="227" t="s">
        <v>194</v>
      </c>
      <c r="H51" s="165" t="s">
        <v>20</v>
      </c>
      <c r="I51" s="230" t="s">
        <v>21</v>
      </c>
      <c r="J51" s="230">
        <v>45468</v>
      </c>
      <c r="K51" s="226">
        <v>45695</v>
      </c>
      <c r="L51" s="532"/>
      <c r="M51" s="2" t="s">
        <v>22</v>
      </c>
      <c r="N51" s="511">
        <f>Table2[[#This Row],[Effectiveness Review &amp; date deemed effective]]-Table2[[#This Row],[CAR initialized date]]</f>
        <v>227</v>
      </c>
    </row>
    <row r="52" spans="1:14" ht="18.75">
      <c r="A52" s="227" t="s">
        <v>135</v>
      </c>
      <c r="B52" s="2">
        <f>VLOOKUP(Table2[[#This Row],[Location 
(drop-down)]],Table14[[Location]:[Location ID]],2,FALSE)</f>
        <v>179</v>
      </c>
      <c r="C52" s="254" t="s">
        <v>195</v>
      </c>
      <c r="D52" s="378" t="s">
        <v>196</v>
      </c>
      <c r="E52" s="413" t="s">
        <v>18</v>
      </c>
      <c r="F52" s="413"/>
      <c r="G52" s="227" t="s">
        <v>197</v>
      </c>
      <c r="H52" s="165" t="s">
        <v>68</v>
      </c>
      <c r="I52" s="230" t="s">
        <v>21</v>
      </c>
      <c r="J52" s="230">
        <v>45659</v>
      </c>
      <c r="K52" s="226">
        <v>45695</v>
      </c>
      <c r="L52" s="532"/>
      <c r="M52" s="2" t="s">
        <v>22</v>
      </c>
      <c r="N52" s="511">
        <f>Table2[[#This Row],[Effectiveness Review &amp; date deemed effective]]-Table2[[#This Row],[CAR initialized date]]</f>
        <v>36</v>
      </c>
    </row>
    <row r="53" spans="1:14" ht="18.75">
      <c r="A53" s="227" t="s">
        <v>30</v>
      </c>
      <c r="B53" s="2">
        <f>VLOOKUP(Table2[[#This Row],[Location 
(drop-down)]],Table14[[Location]:[Location ID]],2,FALSE)</f>
        <v>132</v>
      </c>
      <c r="C53" s="254" t="s">
        <v>198</v>
      </c>
      <c r="D53" s="378" t="s">
        <v>199</v>
      </c>
      <c r="E53" s="254" t="s">
        <v>120</v>
      </c>
      <c r="F53" s="254"/>
      <c r="G53" s="240" t="s">
        <v>200</v>
      </c>
      <c r="H53" s="165" t="s">
        <v>201</v>
      </c>
      <c r="I53" s="230" t="s">
        <v>111</v>
      </c>
      <c r="J53" s="230">
        <v>45506</v>
      </c>
      <c r="K53" s="226">
        <v>45708</v>
      </c>
      <c r="L53" s="532"/>
      <c r="M53" s="2" t="s">
        <v>22</v>
      </c>
      <c r="N53" s="511">
        <f>Table2[[#This Row],[Effectiveness Review &amp; date deemed effective]]-Table2[[#This Row],[CAR initialized date]]</f>
        <v>202</v>
      </c>
    </row>
    <row r="54" spans="1:14" ht="18.75">
      <c r="A54" s="231" t="s">
        <v>202</v>
      </c>
      <c r="B54" s="2">
        <f>VLOOKUP(Table2[[#This Row],[Location 
(drop-down)]],Table14[[Location]:[Location ID]],2,FALSE)</f>
        <v>180</v>
      </c>
      <c r="C54" s="414" t="s">
        <v>203</v>
      </c>
      <c r="D54" s="396" t="s">
        <v>204</v>
      </c>
      <c r="E54" s="414" t="s">
        <v>18</v>
      </c>
      <c r="F54" s="414"/>
      <c r="G54" s="231" t="s">
        <v>205</v>
      </c>
      <c r="H54" s="234" t="s">
        <v>20</v>
      </c>
      <c r="I54" s="234" t="s">
        <v>57</v>
      </c>
      <c r="J54" s="234">
        <v>45552</v>
      </c>
      <c r="K54" s="372">
        <v>45698</v>
      </c>
      <c r="L54" s="532"/>
      <c r="M54" s="2" t="s">
        <v>22</v>
      </c>
      <c r="N54" s="511">
        <f>Table2[[#This Row],[Effectiveness Review &amp; date deemed effective]]-Table2[[#This Row],[CAR initialized date]]</f>
        <v>146</v>
      </c>
    </row>
    <row r="55" spans="1:14" ht="18.75">
      <c r="A55" s="227" t="s">
        <v>119</v>
      </c>
      <c r="B55" s="2">
        <f>VLOOKUP(Table2[[#This Row],[Location 
(drop-down)]],Table14[[Location]:[Location ID]],2,FALSE)</f>
        <v>131</v>
      </c>
      <c r="C55" s="254" t="s">
        <v>206</v>
      </c>
      <c r="D55" s="379" t="str">
        <f>"C" &amp; C55 &amp;"-" &amp; B55 &amp; "-" &amp; "25"</f>
        <v>C005-131-25</v>
      </c>
      <c r="E55" s="254" t="s">
        <v>86</v>
      </c>
      <c r="F55" s="254" t="s">
        <v>207</v>
      </c>
      <c r="G55" s="228" t="s">
        <v>208</v>
      </c>
      <c r="H55" s="165" t="s">
        <v>20</v>
      </c>
      <c r="I55" s="165" t="s">
        <v>111</v>
      </c>
      <c r="J55" s="230">
        <v>45671</v>
      </c>
      <c r="K55" s="226">
        <v>45698</v>
      </c>
      <c r="L55" s="532"/>
      <c r="M55" s="2" t="str">
        <f ca="1">IF(ISBLANK([1]!Table2[[#This Row],[Complete corrective actions (Approved Date)]]), TODAY()-[1]!Table2[[#This Row],[CAR initialized date]], "CLOSED")</f>
        <v>CLOSED</v>
      </c>
      <c r="N55" s="511">
        <f>Table2[[#This Row],[Effectiveness Review &amp; date deemed effective]]-Table2[[#This Row],[CAR initialized date]]</f>
        <v>27</v>
      </c>
    </row>
    <row r="56" spans="1:14" ht="18.75">
      <c r="A56" s="227" t="s">
        <v>209</v>
      </c>
      <c r="B56" s="2">
        <f>VLOOKUP(Table2[[#This Row],[Location 
(drop-down)]],Table14[[Location]:[Location ID]],2,FALSE)</f>
        <v>101</v>
      </c>
      <c r="C56" s="254" t="s">
        <v>210</v>
      </c>
      <c r="D56" s="379" t="str">
        <f>"C" &amp; C56 &amp;"-" &amp; B56 &amp; "-" &amp; "25"</f>
        <v>C012-101-25</v>
      </c>
      <c r="E56" s="254" t="s">
        <v>120</v>
      </c>
      <c r="F56" s="254" t="s">
        <v>211</v>
      </c>
      <c r="G56" s="343" t="s">
        <v>212</v>
      </c>
      <c r="H56" s="165" t="s">
        <v>20</v>
      </c>
      <c r="I56" s="165" t="s">
        <v>47</v>
      </c>
      <c r="J56" s="230">
        <v>45681</v>
      </c>
      <c r="K56" s="226">
        <v>45699</v>
      </c>
      <c r="L56" s="532"/>
      <c r="M56" s="2" t="str">
        <f ca="1">IF(ISBLANK([1]!Table2[[#This Row],[Complete corrective actions (Approved Date)]]), TODAY()-[1]!Table2[[#This Row],[CAR initialized date]], "CLOSED")</f>
        <v>CLOSED</v>
      </c>
      <c r="N56" s="511">
        <f>Table2[[#This Row],[Effectiveness Review &amp; date deemed effective]]-Table2[[#This Row],[CAR initialized date]]</f>
        <v>18</v>
      </c>
    </row>
    <row r="57" spans="1:14" ht="18.75">
      <c r="A57" s="227" t="s">
        <v>213</v>
      </c>
      <c r="B57" s="2">
        <f>VLOOKUP(Table2[[#This Row],[Location 
(drop-down)]],Table14[[Location]:[Location ID]],2,FALSE)</f>
        <v>140</v>
      </c>
      <c r="C57" s="254" t="s">
        <v>214</v>
      </c>
      <c r="D57" s="378" t="s">
        <v>215</v>
      </c>
      <c r="E57" s="413" t="s">
        <v>18</v>
      </c>
      <c r="F57" s="413"/>
      <c r="G57" s="227" t="s">
        <v>216</v>
      </c>
      <c r="H57" s="165" t="s">
        <v>20</v>
      </c>
      <c r="I57" s="230" t="s">
        <v>69</v>
      </c>
      <c r="J57" s="230">
        <v>45509</v>
      </c>
      <c r="K57" s="226">
        <v>45699</v>
      </c>
      <c r="L57" s="532"/>
      <c r="M57" s="2" t="s">
        <v>22</v>
      </c>
      <c r="N57" s="511">
        <f>Table2[[#This Row],[Effectiveness Review &amp; date deemed effective]]-Table2[[#This Row],[CAR initialized date]]</f>
        <v>190</v>
      </c>
    </row>
    <row r="58" spans="1:14" ht="18.75">
      <c r="A58" s="227" t="s">
        <v>213</v>
      </c>
      <c r="B58" s="2">
        <f>VLOOKUP(Table2[[#This Row],[Location 
(drop-down)]],Table14[[Location]:[Location ID]],2,FALSE)</f>
        <v>140</v>
      </c>
      <c r="C58" s="254" t="s">
        <v>123</v>
      </c>
      <c r="D58" s="378" t="s">
        <v>217</v>
      </c>
      <c r="E58" s="413" t="s">
        <v>18</v>
      </c>
      <c r="F58" s="413"/>
      <c r="G58" s="227" t="s">
        <v>218</v>
      </c>
      <c r="H58" s="165" t="s">
        <v>20</v>
      </c>
      <c r="I58" s="230" t="s">
        <v>69</v>
      </c>
      <c r="J58" s="230">
        <v>45509</v>
      </c>
      <c r="K58" s="226">
        <v>45700</v>
      </c>
      <c r="L58" s="532"/>
      <c r="M58" s="2" t="s">
        <v>22</v>
      </c>
      <c r="N58" s="511">
        <f>Table2[[#This Row],[Effectiveness Review &amp; date deemed effective]]-Table2[[#This Row],[CAR initialized date]]</f>
        <v>191</v>
      </c>
    </row>
    <row r="59" spans="1:14" ht="18.75">
      <c r="A59" s="227" t="s">
        <v>30</v>
      </c>
      <c r="B59" s="2">
        <f>VLOOKUP(Table2[[#This Row],[Location 
(drop-down)]],Table14[[Location]:[Location ID]],2,FALSE)</f>
        <v>132</v>
      </c>
      <c r="C59" s="254" t="s">
        <v>219</v>
      </c>
      <c r="D59" s="378" t="s">
        <v>220</v>
      </c>
      <c r="E59" s="254" t="s">
        <v>18</v>
      </c>
      <c r="F59" s="254"/>
      <c r="G59" s="227" t="s">
        <v>221</v>
      </c>
      <c r="H59" s="165" t="s">
        <v>68</v>
      </c>
      <c r="I59" s="230" t="s">
        <v>47</v>
      </c>
      <c r="J59" s="230">
        <v>45517</v>
      </c>
      <c r="K59" s="226">
        <v>45698</v>
      </c>
      <c r="L59" s="532"/>
      <c r="M59" s="2" t="s">
        <v>22</v>
      </c>
      <c r="N59" s="511">
        <f>Table2[[#This Row],[Effectiveness Review &amp; date deemed effective]]-Table2[[#This Row],[CAR initialized date]]</f>
        <v>181</v>
      </c>
    </row>
    <row r="60" spans="1:14" ht="18.75">
      <c r="A60" s="227" t="s">
        <v>30</v>
      </c>
      <c r="B60" s="2">
        <f>VLOOKUP(Table2[[#This Row],[Location 
(drop-down)]],Table14[[Location]:[Location ID]],2,FALSE)</f>
        <v>132</v>
      </c>
      <c r="C60" s="254" t="s">
        <v>222</v>
      </c>
      <c r="D60" s="378" t="s">
        <v>223</v>
      </c>
      <c r="E60" s="254" t="s">
        <v>18</v>
      </c>
      <c r="F60" s="254"/>
      <c r="G60" s="115" t="s">
        <v>224</v>
      </c>
      <c r="H60" s="165" t="s">
        <v>20</v>
      </c>
      <c r="I60" s="230" t="s">
        <v>47</v>
      </c>
      <c r="J60" s="230">
        <v>45517</v>
      </c>
      <c r="K60" s="226">
        <v>45705</v>
      </c>
      <c r="L60" s="532"/>
      <c r="M60" s="2" t="s">
        <v>22</v>
      </c>
      <c r="N60" s="511">
        <f>Table2[[#This Row],[Effectiveness Review &amp; date deemed effective]]-Table2[[#This Row],[CAR initialized date]]</f>
        <v>188</v>
      </c>
    </row>
    <row r="61" spans="1:14" ht="18.75">
      <c r="A61" s="227" t="s">
        <v>114</v>
      </c>
      <c r="B61" s="2">
        <f>VLOOKUP(Table2[[#This Row],[Location 
(drop-down)]],Table14[[Location]:[Location ID]],2,FALSE)</f>
        <v>189</v>
      </c>
      <c r="C61" s="254" t="s">
        <v>225</v>
      </c>
      <c r="D61" s="378" t="s">
        <v>226</v>
      </c>
      <c r="E61" s="254" t="s">
        <v>18</v>
      </c>
      <c r="F61" s="254"/>
      <c r="G61" s="227" t="s">
        <v>227</v>
      </c>
      <c r="H61" s="165" t="s">
        <v>68</v>
      </c>
      <c r="I61" s="165" t="s">
        <v>118</v>
      </c>
      <c r="J61" s="230">
        <v>45602</v>
      </c>
      <c r="K61" s="226">
        <v>45705</v>
      </c>
      <c r="L61" s="532"/>
      <c r="M61" s="2" t="s">
        <v>22</v>
      </c>
      <c r="N61" s="511">
        <f>Table2[[#This Row],[Effectiveness Review &amp; date deemed effective]]-Table2[[#This Row],[CAR initialized date]]</f>
        <v>103</v>
      </c>
    </row>
    <row r="62" spans="1:14" ht="18.75">
      <c r="A62" s="227" t="s">
        <v>139</v>
      </c>
      <c r="B62" s="2">
        <f>VLOOKUP(Table2[[#This Row],[Location 
(drop-down)]],Table14[[Location]:[Location ID]],2,FALSE)</f>
        <v>191</v>
      </c>
      <c r="C62" s="254" t="s">
        <v>228</v>
      </c>
      <c r="D62" s="378" t="s">
        <v>229</v>
      </c>
      <c r="E62" s="254" t="s">
        <v>18</v>
      </c>
      <c r="F62" s="254"/>
      <c r="G62" s="227" t="s">
        <v>230</v>
      </c>
      <c r="H62" s="165" t="s">
        <v>20</v>
      </c>
      <c r="I62" s="165" t="s">
        <v>47</v>
      </c>
      <c r="J62" s="230">
        <v>45615</v>
      </c>
      <c r="K62" s="226">
        <v>45705</v>
      </c>
      <c r="L62" s="532"/>
      <c r="M62" s="2" t="s">
        <v>22</v>
      </c>
      <c r="N62" s="511">
        <f>Table2[[#This Row],[Effectiveness Review &amp; date deemed effective]]-Table2[[#This Row],[CAR initialized date]]</f>
        <v>90</v>
      </c>
    </row>
    <row r="63" spans="1:14" ht="18.75">
      <c r="A63" s="227" t="s">
        <v>64</v>
      </c>
      <c r="B63" s="2">
        <f>VLOOKUP(Table2[[#This Row],[Location 
(drop-down)]],Table14[[Location]:[Location ID]],2,FALSE)</f>
        <v>145</v>
      </c>
      <c r="C63" s="254" t="s">
        <v>231</v>
      </c>
      <c r="D63" s="378" t="s">
        <v>232</v>
      </c>
      <c r="E63" s="254" t="s">
        <v>18</v>
      </c>
      <c r="F63" s="254"/>
      <c r="G63" s="227" t="s">
        <v>233</v>
      </c>
      <c r="H63" s="165" t="s">
        <v>201</v>
      </c>
      <c r="I63" s="230" t="s">
        <v>69</v>
      </c>
      <c r="J63" s="260">
        <v>45419</v>
      </c>
      <c r="K63" s="226">
        <v>45705</v>
      </c>
      <c r="L63" s="532"/>
      <c r="M63" s="2" t="s">
        <v>22</v>
      </c>
      <c r="N63" s="511">
        <f>Table2[[#This Row],[Effectiveness Review &amp; date deemed effective]]-Table2[[#This Row],[CAR initialized date]]</f>
        <v>286</v>
      </c>
    </row>
    <row r="64" spans="1:14" ht="18.75">
      <c r="A64" s="227" t="s">
        <v>73</v>
      </c>
      <c r="B64" s="2">
        <f>VLOOKUP(Table2[[#This Row],[Location 
(drop-down)]],Table14[[Location]:[Location ID]],2,FALSE)</f>
        <v>160</v>
      </c>
      <c r="C64" s="254" t="s">
        <v>234</v>
      </c>
      <c r="D64" s="378" t="s">
        <v>235</v>
      </c>
      <c r="E64" s="254" t="s">
        <v>18</v>
      </c>
      <c r="F64" s="254"/>
      <c r="G64" s="190" t="s">
        <v>236</v>
      </c>
      <c r="H64" s="165" t="s">
        <v>20</v>
      </c>
      <c r="I64" s="230" t="s">
        <v>69</v>
      </c>
      <c r="J64" s="230">
        <v>45511</v>
      </c>
      <c r="K64" s="226">
        <v>45705</v>
      </c>
      <c r="L64" s="532"/>
      <c r="M64" s="2" t="s">
        <v>22</v>
      </c>
      <c r="N64" s="511">
        <f>Table2[[#This Row],[Effectiveness Review &amp; date deemed effective]]-Table2[[#This Row],[CAR initialized date]]</f>
        <v>194</v>
      </c>
    </row>
    <row r="65" spans="1:14" ht="18.75">
      <c r="A65" s="227" t="s">
        <v>119</v>
      </c>
      <c r="B65" s="2">
        <f>VLOOKUP(Table2[[#This Row],[Location 
(drop-down)]],Table14[[Location]:[Location ID]],2,FALSE)</f>
        <v>131</v>
      </c>
      <c r="C65" s="254" t="s">
        <v>237</v>
      </c>
      <c r="D65" s="379" t="str">
        <f>"C" &amp; C65 &amp;"-" &amp; B65 &amp; "-" &amp; "25"</f>
        <v>C027-131-25</v>
      </c>
      <c r="E65" s="254" t="s">
        <v>18</v>
      </c>
      <c r="F65" s="254"/>
      <c r="G65" s="227" t="s">
        <v>238</v>
      </c>
      <c r="H65" s="165" t="s">
        <v>20</v>
      </c>
      <c r="I65" s="165" t="s">
        <v>239</v>
      </c>
      <c r="J65" s="230">
        <v>45687</v>
      </c>
      <c r="K65" s="226">
        <v>45705</v>
      </c>
      <c r="L65" s="532"/>
      <c r="M65" s="226" t="s">
        <v>22</v>
      </c>
      <c r="N65" s="511">
        <f>Table2[[#This Row],[Effectiveness Review &amp; date deemed effective]]-Table2[[#This Row],[CAR initialized date]]</f>
        <v>18</v>
      </c>
    </row>
    <row r="66" spans="1:14" ht="18.75">
      <c r="A66" s="227" t="s">
        <v>119</v>
      </c>
      <c r="B66" s="2">
        <f>VLOOKUP(Table2[[#This Row],[Location 
(drop-down)]],Table14[[Location]:[Location ID]],2,FALSE)</f>
        <v>131</v>
      </c>
      <c r="C66" s="254" t="s">
        <v>240</v>
      </c>
      <c r="D66" s="379" t="str">
        <f>"C" &amp; C66 &amp;"-" &amp; B66 &amp; "-" &amp; "25"</f>
        <v>C006-131-25</v>
      </c>
      <c r="E66" s="254" t="s">
        <v>86</v>
      </c>
      <c r="F66" s="254" t="s">
        <v>207</v>
      </c>
      <c r="G66" s="575" t="s">
        <v>241</v>
      </c>
      <c r="H66" s="165" t="s">
        <v>20</v>
      </c>
      <c r="I66" s="165" t="s">
        <v>111</v>
      </c>
      <c r="J66" s="230">
        <v>45671</v>
      </c>
      <c r="K66" s="226">
        <v>45707</v>
      </c>
      <c r="L66" s="532"/>
      <c r="M66" s="226" t="s">
        <v>22</v>
      </c>
      <c r="N66" s="511">
        <f>Table2[[#This Row],[Effectiveness Review &amp; date deemed effective]]-Table2[[#This Row],[CAR initialized date]]</f>
        <v>36</v>
      </c>
    </row>
    <row r="67" spans="1:14" ht="18.75">
      <c r="A67" s="227" t="s">
        <v>30</v>
      </c>
      <c r="B67" s="2">
        <f>VLOOKUP(Table2[[#This Row],[Location 
(drop-down)]],Table14[[Location]:[Location ID]],2,FALSE)</f>
        <v>132</v>
      </c>
      <c r="C67" s="254" t="s">
        <v>242</v>
      </c>
      <c r="D67" s="378" t="s">
        <v>243</v>
      </c>
      <c r="E67" s="254" t="s">
        <v>18</v>
      </c>
      <c r="F67" s="254"/>
      <c r="G67" s="227" t="s">
        <v>191</v>
      </c>
      <c r="H67" s="165" t="s">
        <v>20</v>
      </c>
      <c r="I67" s="230" t="s">
        <v>47</v>
      </c>
      <c r="J67" s="230">
        <v>45517</v>
      </c>
      <c r="K67" s="226">
        <v>45708</v>
      </c>
      <c r="L67" s="532"/>
      <c r="M67" s="2" t="s">
        <v>22</v>
      </c>
      <c r="N67" s="511">
        <f>Table2[[#This Row],[Effectiveness Review &amp; date deemed effective]]-Table2[[#This Row],[CAR initialized date]]</f>
        <v>191</v>
      </c>
    </row>
    <row r="68" spans="1:14" ht="18.75">
      <c r="A68" s="227" t="s">
        <v>30</v>
      </c>
      <c r="B68" s="2">
        <f>VLOOKUP(Table2[[#This Row],[Location 
(drop-down)]],Table14[[Location]:[Location ID]],2,FALSE)</f>
        <v>132</v>
      </c>
      <c r="C68" s="254" t="s">
        <v>244</v>
      </c>
      <c r="D68" s="378" t="s">
        <v>245</v>
      </c>
      <c r="E68" s="254" t="s">
        <v>18</v>
      </c>
      <c r="F68" s="254"/>
      <c r="G68" s="227" t="s">
        <v>246</v>
      </c>
      <c r="H68" s="165" t="s">
        <v>20</v>
      </c>
      <c r="I68" s="230" t="s">
        <v>47</v>
      </c>
      <c r="J68" s="230">
        <v>45517</v>
      </c>
      <c r="K68" s="226">
        <v>45714</v>
      </c>
      <c r="L68" s="532"/>
      <c r="M68" s="2" t="s">
        <v>22</v>
      </c>
      <c r="N68" s="511">
        <f>Table2[[#This Row],[Effectiveness Review &amp; date deemed effective]]-Table2[[#This Row],[CAR initialized date]]</f>
        <v>197</v>
      </c>
    </row>
    <row r="69" spans="1:14" ht="18.75">
      <c r="A69" s="227" t="s">
        <v>30</v>
      </c>
      <c r="B69" s="2">
        <f>VLOOKUP(Table2[[#This Row],[Location 
(drop-down)]],Table14[[Location]:[Location ID]],2,FALSE)</f>
        <v>132</v>
      </c>
      <c r="C69" s="254" t="s">
        <v>247</v>
      </c>
      <c r="D69" s="378" t="s">
        <v>248</v>
      </c>
      <c r="E69" s="254" t="s">
        <v>18</v>
      </c>
      <c r="F69" s="254"/>
      <c r="G69" s="227" t="s">
        <v>249</v>
      </c>
      <c r="H69" s="165" t="s">
        <v>20</v>
      </c>
      <c r="I69" s="230" t="s">
        <v>47</v>
      </c>
      <c r="J69" s="230">
        <v>45517</v>
      </c>
      <c r="K69" s="226">
        <v>45755</v>
      </c>
      <c r="L69" s="532"/>
      <c r="M69" s="2" t="s">
        <v>22</v>
      </c>
      <c r="N69" s="511">
        <f>Table2[[#This Row],[Effectiveness Review &amp; date deemed effective]]-Table2[[#This Row],[CAR initialized date]]</f>
        <v>238</v>
      </c>
    </row>
    <row r="70" spans="1:14" ht="18.75">
      <c r="A70" s="227" t="s">
        <v>167</v>
      </c>
      <c r="B70" s="2">
        <f>VLOOKUP(Table2[[#This Row],[Location 
(drop-down)]],Table14[[Location]:[Location ID]],2,FALSE)</f>
        <v>146</v>
      </c>
      <c r="C70" s="254" t="s">
        <v>250</v>
      </c>
      <c r="D70" s="378" t="s">
        <v>251</v>
      </c>
      <c r="E70" s="254" t="s">
        <v>18</v>
      </c>
      <c r="F70" s="254"/>
      <c r="G70" s="416" t="s">
        <v>252</v>
      </c>
      <c r="H70" s="165" t="s">
        <v>20</v>
      </c>
      <c r="I70" s="165" t="s">
        <v>69</v>
      </c>
      <c r="J70" s="230">
        <v>45615</v>
      </c>
      <c r="K70" s="226">
        <v>45708</v>
      </c>
      <c r="L70" s="532"/>
      <c r="M70" s="2" t="s">
        <v>22</v>
      </c>
      <c r="N70" s="511">
        <f>Table2[[#This Row],[Effectiveness Review &amp; date deemed effective]]-Table2[[#This Row],[CAR initialized date]]</f>
        <v>93</v>
      </c>
    </row>
    <row r="71" spans="1:14" ht="18.75">
      <c r="A71" s="227" t="s">
        <v>253</v>
      </c>
      <c r="B71" s="2">
        <f>VLOOKUP(Table2[[#This Row],[Location 
(drop-down)]],Table14[[Location]:[Location ID]],2,FALSE)</f>
        <v>178</v>
      </c>
      <c r="C71" s="254" t="s">
        <v>254</v>
      </c>
      <c r="D71" s="379" t="str">
        <f>"C" &amp; C71 &amp;"-" &amp; B71 &amp; "-" &amp; "25"</f>
        <v>C046-178-25</v>
      </c>
      <c r="E71" s="254" t="s">
        <v>18</v>
      </c>
      <c r="F71" s="254"/>
      <c r="G71" s="227" t="s">
        <v>255</v>
      </c>
      <c r="H71" s="165" t="s">
        <v>20</v>
      </c>
      <c r="I71" s="165" t="s">
        <v>47</v>
      </c>
      <c r="J71" s="230">
        <v>45695</v>
      </c>
      <c r="K71" s="226">
        <v>45712</v>
      </c>
      <c r="L71" s="532"/>
      <c r="M71" s="226" t="s">
        <v>22</v>
      </c>
      <c r="N71" s="511">
        <f>Table2[[#This Row],[Effectiveness Review &amp; date deemed effective]]-Table2[[#This Row],[CAR initialized date]]</f>
        <v>17</v>
      </c>
    </row>
    <row r="72" spans="1:14" ht="18.75">
      <c r="A72" s="334" t="s">
        <v>30</v>
      </c>
      <c r="B72" s="2">
        <f>VLOOKUP(Table2[[#This Row],[Location 
(drop-down)]],Table14[[Location]:[Location ID]],2,FALSE)</f>
        <v>132</v>
      </c>
      <c r="C72" s="411" t="s">
        <v>256</v>
      </c>
      <c r="D72" s="386" t="s">
        <v>257</v>
      </c>
      <c r="E72" s="254" t="s">
        <v>18</v>
      </c>
      <c r="F72" s="254"/>
      <c r="G72" s="227" t="s">
        <v>258</v>
      </c>
      <c r="H72" s="165" t="s">
        <v>68</v>
      </c>
      <c r="I72" s="230" t="s">
        <v>47</v>
      </c>
      <c r="J72" s="230">
        <v>45517</v>
      </c>
      <c r="K72" s="338">
        <v>45769</v>
      </c>
      <c r="L72" s="532"/>
      <c r="M72" s="2" t="s">
        <v>22</v>
      </c>
      <c r="N72" s="511">
        <f>Table2[[#This Row],[Effectiveness Review &amp; date deemed effective]]-Table2[[#This Row],[CAR initialized date]]</f>
        <v>252</v>
      </c>
    </row>
    <row r="73" spans="1:14" ht="18.75">
      <c r="A73" s="334" t="s">
        <v>30</v>
      </c>
      <c r="B73" s="2">
        <f>VLOOKUP(Table2[[#This Row],[Location 
(drop-down)]],Table14[[Location]:[Location ID]],2,FALSE)</f>
        <v>132</v>
      </c>
      <c r="C73" s="411" t="s">
        <v>259</v>
      </c>
      <c r="D73" s="386" t="s">
        <v>260</v>
      </c>
      <c r="E73" s="254" t="s">
        <v>18</v>
      </c>
      <c r="F73" s="254"/>
      <c r="G73" s="227" t="s">
        <v>261</v>
      </c>
      <c r="H73" s="165" t="s">
        <v>201</v>
      </c>
      <c r="I73" s="230" t="s">
        <v>47</v>
      </c>
      <c r="J73" s="230">
        <v>45517</v>
      </c>
      <c r="K73" s="338">
        <v>45772</v>
      </c>
      <c r="L73" s="532"/>
      <c r="M73" s="2" t="str">
        <f ca="1">IF(ISBLANK([1]!Table2[[#This Row],[Complete corrective actions (Approved Date)]]), TODAY()-[1]!Table2[[#This Row],[CAR initialized date]], "CLOSED")</f>
        <v>CLOSED</v>
      </c>
      <c r="N73" s="511">
        <f>Table2[[#This Row],[Effectiveness Review &amp; date deemed effective]]-Table2[[#This Row],[CAR initialized date]]</f>
        <v>255</v>
      </c>
    </row>
    <row r="74" spans="1:14" ht="18.75">
      <c r="A74" s="227" t="s">
        <v>30</v>
      </c>
      <c r="B74" s="2">
        <f>VLOOKUP(Table2[[#This Row],[Location 
(drop-down)]],Table14[[Location]:[Location ID]],2,FALSE)</f>
        <v>132</v>
      </c>
      <c r="C74" s="254" t="s">
        <v>262</v>
      </c>
      <c r="D74" s="378" t="s">
        <v>263</v>
      </c>
      <c r="E74" s="254" t="s">
        <v>18</v>
      </c>
      <c r="F74" s="254"/>
      <c r="G74" s="227" t="s">
        <v>113</v>
      </c>
      <c r="H74" s="165" t="s">
        <v>20</v>
      </c>
      <c r="I74" s="230" t="s">
        <v>47</v>
      </c>
      <c r="J74" s="230">
        <v>45517</v>
      </c>
      <c r="K74" s="226">
        <v>45783</v>
      </c>
      <c r="L74" s="532"/>
      <c r="M74" s="2" t="str">
        <f ca="1">IF(ISBLANK([1]!Table2[[#This Row],[Complete corrective actions (Approved Date)]]), TODAY()-[1]!Table2[[#This Row],[CAR initialized date]], "CLOSED")</f>
        <v>CLOSED</v>
      </c>
      <c r="N74" s="511">
        <f>Table2[[#This Row],[Effectiveness Review &amp; date deemed effective]]-Table2[[#This Row],[CAR initialized date]]</f>
        <v>266</v>
      </c>
    </row>
    <row r="75" spans="1:14" ht="18.75">
      <c r="A75" s="334" t="s">
        <v>264</v>
      </c>
      <c r="B75" s="2">
        <f>VLOOKUP(Table2[[#This Row],[Location 
(drop-down)]],Table14[[Location]:[Location ID]],2,FALSE)</f>
        <v>142</v>
      </c>
      <c r="C75" s="411" t="s">
        <v>265</v>
      </c>
      <c r="D75" s="386" t="s">
        <v>266</v>
      </c>
      <c r="E75" s="411" t="s">
        <v>86</v>
      </c>
      <c r="F75" s="411" t="s">
        <v>158</v>
      </c>
      <c r="G75" s="334" t="s">
        <v>267</v>
      </c>
      <c r="H75" s="335" t="s">
        <v>20</v>
      </c>
      <c r="I75" s="335" t="s">
        <v>239</v>
      </c>
      <c r="J75" s="337">
        <v>45607</v>
      </c>
      <c r="K75" s="338">
        <v>45715</v>
      </c>
      <c r="L75" s="532"/>
      <c r="M75" s="2" t="s">
        <v>22</v>
      </c>
      <c r="N75" s="511">
        <f>Table2[[#This Row],[Effectiveness Review &amp; date deemed effective]]-Table2[[#This Row],[CAR initialized date]]</f>
        <v>108</v>
      </c>
    </row>
    <row r="76" spans="1:14" ht="18.75">
      <c r="A76" s="227" t="s">
        <v>119</v>
      </c>
      <c r="B76" s="2">
        <f>VLOOKUP(Table2[[#This Row],[Location 
(drop-down)]],Table14[[Location]:[Location ID]],2,FALSE)</f>
        <v>131</v>
      </c>
      <c r="C76" s="254" t="s">
        <v>268</v>
      </c>
      <c r="D76" s="379" t="str">
        <f>"C" &amp; C76 &amp;"-" &amp; B76 &amp; "-" &amp; "25"</f>
        <v>C099-131-25</v>
      </c>
      <c r="E76" s="254" t="s">
        <v>120</v>
      </c>
      <c r="F76" s="254" t="s">
        <v>269</v>
      </c>
      <c r="G76" s="227" t="s">
        <v>270</v>
      </c>
      <c r="H76" s="165" t="s">
        <v>20</v>
      </c>
      <c r="I76" s="165" t="s">
        <v>111</v>
      </c>
      <c r="J76" s="230">
        <v>45709</v>
      </c>
      <c r="K76" s="226">
        <v>45715</v>
      </c>
      <c r="L76" s="532"/>
      <c r="M76" s="226" t="s">
        <v>22</v>
      </c>
      <c r="N76" s="511">
        <f>Table2[[#This Row],[Effectiveness Review &amp; date deemed effective]]-Table2[[#This Row],[CAR initialized date]]</f>
        <v>6</v>
      </c>
    </row>
    <row r="77" spans="1:14" ht="18.75">
      <c r="A77" s="227" t="s">
        <v>135</v>
      </c>
      <c r="B77" s="2">
        <f>VLOOKUP(Table2[[#This Row],[Location 
(drop-down)]],Table14[[Location]:[Location ID]],2,FALSE)</f>
        <v>179</v>
      </c>
      <c r="C77" s="254" t="s">
        <v>271</v>
      </c>
      <c r="D77" s="378" t="s">
        <v>272</v>
      </c>
      <c r="E77" s="413" t="s">
        <v>18</v>
      </c>
      <c r="F77" s="413"/>
      <c r="G77" s="227" t="s">
        <v>273</v>
      </c>
      <c r="H77" s="165" t="s">
        <v>20</v>
      </c>
      <c r="I77" s="230" t="s">
        <v>21</v>
      </c>
      <c r="J77" s="230">
        <v>45659</v>
      </c>
      <c r="K77" s="226">
        <v>45719</v>
      </c>
      <c r="L77" s="532"/>
      <c r="M77" s="2" t="s">
        <v>22</v>
      </c>
      <c r="N77" s="511">
        <f>Table2[[#This Row],[Effectiveness Review &amp; date deemed effective]]-Table2[[#This Row],[CAR initialized date]]</f>
        <v>60</v>
      </c>
    </row>
    <row r="78" spans="1:14" ht="18.75">
      <c r="A78" s="227" t="s">
        <v>39</v>
      </c>
      <c r="B78" s="2">
        <f>VLOOKUP(Table2[[#This Row],[Location 
(drop-down)]],Table14[[Location]:[Location ID]],2,FALSE)</f>
        <v>120</v>
      </c>
      <c r="C78" s="254" t="s">
        <v>274</v>
      </c>
      <c r="D78" s="378" t="s">
        <v>275</v>
      </c>
      <c r="E78" s="254" t="s">
        <v>18</v>
      </c>
      <c r="F78" s="254"/>
      <c r="G78" s="228" t="s">
        <v>276</v>
      </c>
      <c r="H78" s="165" t="s">
        <v>20</v>
      </c>
      <c r="I78" s="230" t="s">
        <v>21</v>
      </c>
      <c r="J78" s="230">
        <v>45468</v>
      </c>
      <c r="K78" s="226">
        <v>45720</v>
      </c>
      <c r="L78" s="532"/>
      <c r="M78" s="2" t="s">
        <v>22</v>
      </c>
      <c r="N78" s="511">
        <f>Table2[[#This Row],[Effectiveness Review &amp; date deemed effective]]-Table2[[#This Row],[CAR initialized date]]</f>
        <v>252</v>
      </c>
    </row>
    <row r="79" spans="1:14" ht="18.75">
      <c r="A79" s="227" t="s">
        <v>39</v>
      </c>
      <c r="B79" s="2">
        <f>VLOOKUP(Table2[[#This Row],[Location 
(drop-down)]],Table14[[Location]:[Location ID]],2,FALSE)</f>
        <v>120</v>
      </c>
      <c r="C79" s="254" t="s">
        <v>277</v>
      </c>
      <c r="D79" s="378" t="s">
        <v>278</v>
      </c>
      <c r="E79" s="254" t="s">
        <v>18</v>
      </c>
      <c r="F79" s="254"/>
      <c r="G79" s="242" t="s">
        <v>279</v>
      </c>
      <c r="H79" s="165" t="s">
        <v>20</v>
      </c>
      <c r="I79" s="230" t="s">
        <v>21</v>
      </c>
      <c r="J79" s="230">
        <v>45468</v>
      </c>
      <c r="K79" s="226">
        <v>45720</v>
      </c>
      <c r="L79" s="532"/>
      <c r="M79" s="2" t="s">
        <v>22</v>
      </c>
      <c r="N79" s="511">
        <f>Table2[[#This Row],[Effectiveness Review &amp; date deemed effective]]-Table2[[#This Row],[CAR initialized date]]</f>
        <v>252</v>
      </c>
    </row>
    <row r="80" spans="1:14" ht="18.75">
      <c r="A80" s="227" t="s">
        <v>135</v>
      </c>
      <c r="B80" s="2">
        <f>VLOOKUP(Table2[[#This Row],[Location 
(drop-down)]],Table14[[Location]:[Location ID]],2,FALSE)</f>
        <v>179</v>
      </c>
      <c r="C80" s="254" t="s">
        <v>280</v>
      </c>
      <c r="D80" s="378" t="s">
        <v>281</v>
      </c>
      <c r="E80" s="2" t="s">
        <v>18</v>
      </c>
      <c r="F80" s="413"/>
      <c r="G80" s="227" t="s">
        <v>282</v>
      </c>
      <c r="H80" s="165" t="s">
        <v>20</v>
      </c>
      <c r="I80" s="230" t="s">
        <v>21</v>
      </c>
      <c r="J80" s="230">
        <v>45659</v>
      </c>
      <c r="K80" s="226">
        <v>45720</v>
      </c>
      <c r="L80" s="532"/>
      <c r="M80" s="2" t="s">
        <v>22</v>
      </c>
      <c r="N80" s="511">
        <f>Table2[[#This Row],[Effectiveness Review &amp; date deemed effective]]-Table2[[#This Row],[CAR initialized date]]</f>
        <v>61</v>
      </c>
    </row>
    <row r="81" spans="1:14" ht="18.75">
      <c r="A81" s="227" t="s">
        <v>53</v>
      </c>
      <c r="B81" s="2">
        <f>VLOOKUP(Table2[[#This Row],[Location 
(drop-down)]],Table14[[Location]:[Location ID]],2,FALSE)</f>
        <v>158</v>
      </c>
      <c r="C81" s="254" t="s">
        <v>283</v>
      </c>
      <c r="D81" s="379" t="str">
        <f>"C" &amp; C81 &amp;"-" &amp; B81 &amp; "-" &amp; "25"</f>
        <v>C018-158-25</v>
      </c>
      <c r="E81" s="254" t="s">
        <v>18</v>
      </c>
      <c r="F81" s="254"/>
      <c r="G81" s="227" t="s">
        <v>284</v>
      </c>
      <c r="H81" s="165" t="s">
        <v>20</v>
      </c>
      <c r="I81" s="165" t="s">
        <v>69</v>
      </c>
      <c r="J81" s="230">
        <v>45684</v>
      </c>
      <c r="K81" s="226">
        <v>45721</v>
      </c>
      <c r="L81" s="532"/>
      <c r="M81" s="226" t="s">
        <v>22</v>
      </c>
      <c r="N81" s="511">
        <f>Table2[[#This Row],[Effectiveness Review &amp; date deemed effective]]-Table2[[#This Row],[CAR initialized date]]</f>
        <v>37</v>
      </c>
    </row>
    <row r="82" spans="1:14" ht="18.75">
      <c r="A82" s="227" t="s">
        <v>39</v>
      </c>
      <c r="B82" s="2">
        <f>VLOOKUP(Table2[[#This Row],[Location 
(drop-down)]],Table14[[Location]:[Location ID]],2,FALSE)</f>
        <v>120</v>
      </c>
      <c r="C82" s="254" t="s">
        <v>285</v>
      </c>
      <c r="D82" s="378" t="s">
        <v>286</v>
      </c>
      <c r="E82" s="254" t="s">
        <v>18</v>
      </c>
      <c r="F82" s="254"/>
      <c r="G82" s="228" t="s">
        <v>287</v>
      </c>
      <c r="H82" s="165" t="s">
        <v>20</v>
      </c>
      <c r="I82" s="230" t="s">
        <v>21</v>
      </c>
      <c r="J82" s="230">
        <v>45468</v>
      </c>
      <c r="K82" s="226">
        <v>45721</v>
      </c>
      <c r="L82" s="532"/>
      <c r="M82" s="2" t="s">
        <v>22</v>
      </c>
      <c r="N82" s="511">
        <f>Table2[[#This Row],[Effectiveness Review &amp; date deemed effective]]-Table2[[#This Row],[CAR initialized date]]</f>
        <v>253</v>
      </c>
    </row>
    <row r="83" spans="1:14" ht="18.75">
      <c r="A83" s="227" t="s">
        <v>167</v>
      </c>
      <c r="B83" s="2">
        <f>VLOOKUP(Table2[[#This Row],[Location 
(drop-down)]],Table14[[Location]:[Location ID]],2,FALSE)</f>
        <v>146</v>
      </c>
      <c r="C83" s="254" t="s">
        <v>288</v>
      </c>
      <c r="D83" s="379" t="str">
        <f>"C" &amp; C83 &amp;"-" &amp; B83 &amp; "-" &amp; "25"</f>
        <v>C054-146-25</v>
      </c>
      <c r="E83" s="254" t="s">
        <v>26</v>
      </c>
      <c r="F83" s="254" t="s">
        <v>151</v>
      </c>
      <c r="G83" s="227" t="s">
        <v>289</v>
      </c>
      <c r="H83" s="165" t="s">
        <v>20</v>
      </c>
      <c r="I83" s="165" t="s">
        <v>21</v>
      </c>
      <c r="J83" s="230">
        <v>45694</v>
      </c>
      <c r="K83" s="226">
        <v>45721</v>
      </c>
      <c r="L83" s="532"/>
      <c r="M83" s="226" t="s">
        <v>22</v>
      </c>
      <c r="N83" s="511">
        <f>Table2[[#This Row],[Effectiveness Review &amp; date deemed effective]]-Table2[[#This Row],[CAR initialized date]]</f>
        <v>27</v>
      </c>
    </row>
    <row r="84" spans="1:14" ht="18.75">
      <c r="A84" s="227" t="s">
        <v>253</v>
      </c>
      <c r="B84" s="2">
        <f>VLOOKUP(Table2[[#This Row],[Location 
(drop-down)]],Table14[[Location]:[Location ID]],2,FALSE)</f>
        <v>178</v>
      </c>
      <c r="C84" s="254" t="s">
        <v>290</v>
      </c>
      <c r="D84" s="379" t="str">
        <f>"C" &amp; C84 &amp;"-" &amp; B84 &amp; "-" &amp; "25"</f>
        <v>C045-178-25</v>
      </c>
      <c r="E84" s="254" t="s">
        <v>18</v>
      </c>
      <c r="F84" s="254"/>
      <c r="G84" s="227" t="s">
        <v>291</v>
      </c>
      <c r="H84" s="165" t="s">
        <v>20</v>
      </c>
      <c r="I84" s="165" t="s">
        <v>47</v>
      </c>
      <c r="J84" s="230">
        <v>45695</v>
      </c>
      <c r="K84" s="226">
        <v>45722</v>
      </c>
      <c r="L84" s="532"/>
      <c r="M84" s="226" t="s">
        <v>22</v>
      </c>
      <c r="N84" s="511">
        <f>Table2[[#This Row],[Effectiveness Review &amp; date deemed effective]]-Table2[[#This Row],[CAR initialized date]]</f>
        <v>27</v>
      </c>
    </row>
    <row r="85" spans="1:14" ht="18.75">
      <c r="A85" s="227" t="s">
        <v>119</v>
      </c>
      <c r="B85" s="2">
        <f>VLOOKUP(Table2[[#This Row],[Location 
(drop-down)]],Table14[[Location]:[Location ID]],2,FALSE)</f>
        <v>131</v>
      </c>
      <c r="C85" s="254" t="s">
        <v>292</v>
      </c>
      <c r="D85" s="379" t="str">
        <f>"C" &amp; C85 &amp;"-" &amp; B85 &amp; "-" &amp; "25"</f>
        <v>C008-131-25</v>
      </c>
      <c r="E85" s="254" t="s">
        <v>86</v>
      </c>
      <c r="F85" s="254" t="s">
        <v>207</v>
      </c>
      <c r="G85" s="228" t="s">
        <v>293</v>
      </c>
      <c r="H85" s="165" t="s">
        <v>20</v>
      </c>
      <c r="I85" s="165" t="s">
        <v>111</v>
      </c>
      <c r="J85" s="230">
        <v>45671</v>
      </c>
      <c r="K85" s="226">
        <v>45722</v>
      </c>
      <c r="L85" s="532"/>
      <c r="M85" s="226" t="s">
        <v>22</v>
      </c>
      <c r="N85" s="511">
        <f>Table2[[#This Row],[Effectiveness Review &amp; date deemed effective]]-Table2[[#This Row],[CAR initialized date]]</f>
        <v>51</v>
      </c>
    </row>
    <row r="86" spans="1:14" ht="18.75">
      <c r="A86" s="227" t="s">
        <v>294</v>
      </c>
      <c r="B86" s="2">
        <f>VLOOKUP(Table2[[#This Row],[Location 
(drop-down)]],Table14[[Location]:[Location ID]],2,FALSE)</f>
        <v>155</v>
      </c>
      <c r="C86" s="254" t="s">
        <v>295</v>
      </c>
      <c r="D86" s="379" t="str">
        <f>"C" &amp; C86 &amp;"-" &amp; B86 &amp; "-" &amp; "25"</f>
        <v>C070-155-25</v>
      </c>
      <c r="E86" s="254" t="s">
        <v>18</v>
      </c>
      <c r="F86" s="165"/>
      <c r="G86" s="227" t="s">
        <v>296</v>
      </c>
      <c r="H86" s="165" t="s">
        <v>20</v>
      </c>
      <c r="I86" s="165" t="s">
        <v>21</v>
      </c>
      <c r="J86" s="230">
        <v>45706</v>
      </c>
      <c r="K86" s="226">
        <v>45725</v>
      </c>
      <c r="L86" s="532"/>
      <c r="M86" s="226" t="s">
        <v>22</v>
      </c>
      <c r="N86" s="511">
        <f>Table2[[#This Row],[Effectiveness Review &amp; date deemed effective]]-Table2[[#This Row],[CAR initialized date]]</f>
        <v>19</v>
      </c>
    </row>
    <row r="87" spans="1:14" ht="18.75">
      <c r="A87" s="227" t="s">
        <v>160</v>
      </c>
      <c r="B87" s="2">
        <f>VLOOKUP(Table2[[#This Row],[Location 
(drop-down)]],Table14[[Location]:[Location ID]],2,FALSE)</f>
        <v>128</v>
      </c>
      <c r="C87" s="254" t="s">
        <v>297</v>
      </c>
      <c r="D87" s="379" t="str">
        <f>"C" &amp; C87 &amp;"-" &amp; B87 &amp; "-" &amp; "25"</f>
        <v>C090-128-25</v>
      </c>
      <c r="E87" s="254" t="s">
        <v>18</v>
      </c>
      <c r="F87" s="254"/>
      <c r="G87" s="228" t="s">
        <v>298</v>
      </c>
      <c r="H87" s="165" t="s">
        <v>20</v>
      </c>
      <c r="I87" s="165" t="s">
        <v>69</v>
      </c>
      <c r="J87" s="230">
        <v>45709</v>
      </c>
      <c r="K87" s="226">
        <v>45725</v>
      </c>
      <c r="L87" s="532"/>
      <c r="M87" s="226" t="s">
        <v>22</v>
      </c>
      <c r="N87" s="511">
        <f>Table2[[#This Row],[Effectiveness Review &amp; date deemed effective]]-Table2[[#This Row],[CAR initialized date]]</f>
        <v>16</v>
      </c>
    </row>
    <row r="88" spans="1:14" ht="18.75">
      <c r="A88" s="227" t="s">
        <v>160</v>
      </c>
      <c r="B88" s="2">
        <f>VLOOKUP(Table2[[#This Row],[Location 
(drop-down)]],Table14[[Location]:[Location ID]],2,FALSE)</f>
        <v>128</v>
      </c>
      <c r="C88" s="254" t="s">
        <v>299</v>
      </c>
      <c r="D88" s="379" t="str">
        <f>"C" &amp; C88 &amp;"-" &amp; B88 &amp; "-" &amp; "25"</f>
        <v>C096-128-25</v>
      </c>
      <c r="E88" s="254" t="s">
        <v>18</v>
      </c>
      <c r="F88" s="254"/>
      <c r="G88" s="227" t="s">
        <v>300</v>
      </c>
      <c r="H88" s="165" t="s">
        <v>20</v>
      </c>
      <c r="I88" s="165" t="s">
        <v>69</v>
      </c>
      <c r="J88" s="230">
        <v>45709</v>
      </c>
      <c r="K88" s="226">
        <v>45725</v>
      </c>
      <c r="L88" s="532"/>
      <c r="M88" s="226" t="s">
        <v>22</v>
      </c>
      <c r="N88" s="511">
        <f>Table2[[#This Row],[Effectiveness Review &amp; date deemed effective]]-Table2[[#This Row],[CAR initialized date]]</f>
        <v>16</v>
      </c>
    </row>
    <row r="89" spans="1:14" ht="18.75">
      <c r="A89" s="227" t="s">
        <v>160</v>
      </c>
      <c r="B89" s="2">
        <f>VLOOKUP(Table2[[#This Row],[Location 
(drop-down)]],Table14[[Location]:[Location ID]],2,FALSE)</f>
        <v>128</v>
      </c>
      <c r="C89" s="254" t="s">
        <v>301</v>
      </c>
      <c r="D89" s="379" t="str">
        <f>"C" &amp; C89 &amp;"-" &amp; B89 &amp; "-" &amp; "25"</f>
        <v>C097-128-25</v>
      </c>
      <c r="E89" s="254" t="s">
        <v>18</v>
      </c>
      <c r="F89" s="254"/>
      <c r="G89" s="227" t="s">
        <v>302</v>
      </c>
      <c r="H89" s="165" t="s">
        <v>201</v>
      </c>
      <c r="I89" s="165" t="s">
        <v>69</v>
      </c>
      <c r="J89" s="230">
        <v>45709</v>
      </c>
      <c r="K89" s="226">
        <v>45725</v>
      </c>
      <c r="L89" s="532"/>
      <c r="M89" s="226" t="s">
        <v>22</v>
      </c>
      <c r="N89" s="511">
        <f>Table2[[#This Row],[Effectiveness Review &amp; date deemed effective]]-Table2[[#This Row],[CAR initialized date]]</f>
        <v>16</v>
      </c>
    </row>
    <row r="90" spans="1:14" ht="18.75">
      <c r="A90" s="227" t="s">
        <v>303</v>
      </c>
      <c r="B90" s="2" t="str">
        <f>VLOOKUP(Table2[[#This Row],[Location 
(drop-down)]],Table14[[Location]:[Location ID]],2,FALSE)</f>
        <v>120a</v>
      </c>
      <c r="C90" s="254" t="s">
        <v>304</v>
      </c>
      <c r="D90" s="379" t="str">
        <f>"C" &amp; C90 &amp;"-" &amp; B90 &amp; "-" &amp; "25"</f>
        <v>C009-120a-25</v>
      </c>
      <c r="E90" s="254" t="s">
        <v>18</v>
      </c>
      <c r="F90" s="254"/>
      <c r="G90" s="228" t="s">
        <v>305</v>
      </c>
      <c r="H90" s="165" t="s">
        <v>20</v>
      </c>
      <c r="I90" s="165" t="s">
        <v>47</v>
      </c>
      <c r="J90" s="230">
        <v>45681</v>
      </c>
      <c r="K90" s="226">
        <v>45725</v>
      </c>
      <c r="L90" s="532"/>
      <c r="M90" s="226" t="s">
        <v>22</v>
      </c>
      <c r="N90" s="511">
        <f>Table2[[#This Row],[Effectiveness Review &amp; date deemed effective]]-Table2[[#This Row],[CAR initialized date]]</f>
        <v>44</v>
      </c>
    </row>
    <row r="91" spans="1:14" ht="18.75">
      <c r="A91" s="227" t="s">
        <v>306</v>
      </c>
      <c r="B91" s="2">
        <f>VLOOKUP(Table2[[#This Row],[Location 
(drop-down)]],Table14[[Location]:[Location ID]],2,FALSE)</f>
        <v>147</v>
      </c>
      <c r="C91" s="254" t="s">
        <v>307</v>
      </c>
      <c r="D91" s="379" t="str">
        <f>"C" &amp; C91 &amp;"-" &amp; B91 &amp; "-" &amp; "25"</f>
        <v>C086-147-25</v>
      </c>
      <c r="E91" s="254" t="s">
        <v>81</v>
      </c>
      <c r="F91" s="254" t="s">
        <v>308</v>
      </c>
      <c r="G91" s="421" t="s">
        <v>309</v>
      </c>
      <c r="H91" s="165" t="s">
        <v>68</v>
      </c>
      <c r="I91" s="165" t="s">
        <v>310</v>
      </c>
      <c r="J91" s="230">
        <v>45708</v>
      </c>
      <c r="K91" s="278">
        <v>45726</v>
      </c>
      <c r="L91" s="532"/>
      <c r="M91" s="226" t="s">
        <v>22</v>
      </c>
      <c r="N91" s="511">
        <f>Table2[[#This Row],[Effectiveness Review &amp; date deemed effective]]-Table2[[#This Row],[CAR initialized date]]</f>
        <v>18</v>
      </c>
    </row>
    <row r="92" spans="1:14" ht="18.75">
      <c r="A92" s="227" t="s">
        <v>311</v>
      </c>
      <c r="B92" s="2">
        <f>VLOOKUP(Table2[[#This Row],[Location 
(drop-down)]],Table14[[Location]:[Location ID]],2,FALSE)</f>
        <v>139</v>
      </c>
      <c r="C92" s="254" t="s">
        <v>312</v>
      </c>
      <c r="D92" s="379" t="str">
        <f>"C" &amp; C92 &amp;"-" &amp; B92 &amp; "-" &amp; "25"</f>
        <v>C048-139-25</v>
      </c>
      <c r="E92" s="254" t="s">
        <v>18</v>
      </c>
      <c r="F92" s="254"/>
      <c r="G92" s="227" t="s">
        <v>313</v>
      </c>
      <c r="H92" s="165" t="s">
        <v>68</v>
      </c>
      <c r="I92" s="165" t="s">
        <v>239</v>
      </c>
      <c r="J92" s="230">
        <v>45698</v>
      </c>
      <c r="K92" s="226">
        <v>45726</v>
      </c>
      <c r="L92" s="532"/>
      <c r="M92" s="226" t="s">
        <v>22</v>
      </c>
      <c r="N92" s="511">
        <f>Table2[[#This Row],[Effectiveness Review &amp; date deemed effective]]-Table2[[#This Row],[CAR initialized date]]</f>
        <v>28</v>
      </c>
    </row>
    <row r="93" spans="1:14" ht="18.75">
      <c r="A93" s="227" t="s">
        <v>314</v>
      </c>
      <c r="B93" s="2">
        <f>VLOOKUP(Table2[[#This Row],[Location 
(drop-down)]],Table14[[Location]:[Location ID]],2,FALSE)</f>
        <v>150</v>
      </c>
      <c r="C93" s="254" t="s">
        <v>315</v>
      </c>
      <c r="D93" s="378" t="s">
        <v>316</v>
      </c>
      <c r="E93" s="89" t="s">
        <v>26</v>
      </c>
      <c r="F93" s="254" t="s">
        <v>151</v>
      </c>
      <c r="G93" s="227" t="s">
        <v>317</v>
      </c>
      <c r="H93" s="165" t="s">
        <v>20</v>
      </c>
      <c r="I93" s="230" t="s">
        <v>47</v>
      </c>
      <c r="J93" s="230">
        <v>45588</v>
      </c>
      <c r="K93" s="226">
        <v>45726</v>
      </c>
      <c r="L93" s="532"/>
      <c r="M93" s="2" t="s">
        <v>22</v>
      </c>
      <c r="N93" s="511">
        <f>Table2[[#This Row],[Effectiveness Review &amp; date deemed effective]]-Table2[[#This Row],[CAR initialized date]]</f>
        <v>138</v>
      </c>
    </row>
    <row r="94" spans="1:14" ht="18.75">
      <c r="A94" s="227" t="s">
        <v>160</v>
      </c>
      <c r="B94" s="2">
        <f>VLOOKUP(Table2[[#This Row],[Location 
(drop-down)]],Table14[[Location]:[Location ID]],2,FALSE)</f>
        <v>128</v>
      </c>
      <c r="C94" s="254" t="s">
        <v>318</v>
      </c>
      <c r="D94" s="379" t="str">
        <f>"C" &amp; C94 &amp;"-" &amp; B94 &amp; "-" &amp; "25"</f>
        <v>C088-128-25</v>
      </c>
      <c r="E94" s="254" t="s">
        <v>18</v>
      </c>
      <c r="F94" s="254"/>
      <c r="G94" s="227" t="s">
        <v>319</v>
      </c>
      <c r="H94" s="165" t="s">
        <v>68</v>
      </c>
      <c r="I94" s="165" t="s">
        <v>69</v>
      </c>
      <c r="J94" s="230">
        <v>45709</v>
      </c>
      <c r="K94" s="226">
        <v>45727</v>
      </c>
      <c r="L94" s="532"/>
      <c r="M94" s="226" t="s">
        <v>22</v>
      </c>
      <c r="N94" s="511">
        <f>Table2[[#This Row],[Effectiveness Review &amp; date deemed effective]]-Table2[[#This Row],[CAR initialized date]]</f>
        <v>18</v>
      </c>
    </row>
    <row r="95" spans="1:14" ht="18.75">
      <c r="A95" s="227" t="s">
        <v>303</v>
      </c>
      <c r="B95" s="2" t="str">
        <f>VLOOKUP(Table2[[#This Row],[Location 
(drop-down)]],Table14[[Location]:[Location ID]],2,FALSE)</f>
        <v>120a</v>
      </c>
      <c r="C95" s="254" t="s">
        <v>320</v>
      </c>
      <c r="D95" s="379" t="str">
        <f>"C" &amp; C95 &amp;"-" &amp; B95 &amp; "-" &amp; "25"</f>
        <v>C010-120a-25</v>
      </c>
      <c r="E95" s="254" t="s">
        <v>18</v>
      </c>
      <c r="F95" s="254"/>
      <c r="G95" s="228" t="s">
        <v>321</v>
      </c>
      <c r="H95" s="165" t="s">
        <v>20</v>
      </c>
      <c r="I95" s="165" t="s">
        <v>47</v>
      </c>
      <c r="J95" s="230">
        <v>45681</v>
      </c>
      <c r="K95" s="226">
        <v>45727</v>
      </c>
      <c r="L95" s="532"/>
      <c r="M95" s="226" t="s">
        <v>22</v>
      </c>
      <c r="N95" s="511">
        <f>Table2[[#This Row],[Effectiveness Review &amp; date deemed effective]]-Table2[[#This Row],[CAR initialized date]]</f>
        <v>46</v>
      </c>
    </row>
    <row r="96" spans="1:14" ht="18.75">
      <c r="A96" s="227" t="s">
        <v>303</v>
      </c>
      <c r="B96" s="2" t="str">
        <f>VLOOKUP(Table2[[#This Row],[Location 
(drop-down)]],Table14[[Location]:[Location ID]],2,FALSE)</f>
        <v>120a</v>
      </c>
      <c r="C96" s="254" t="s">
        <v>322</v>
      </c>
      <c r="D96" s="379" t="str">
        <f>"C" &amp; C96 &amp;"-" &amp; B96 &amp; "-" &amp; "25"</f>
        <v>C011-120a-25</v>
      </c>
      <c r="E96" s="254" t="s">
        <v>18</v>
      </c>
      <c r="F96" s="254"/>
      <c r="G96" s="228" t="s">
        <v>255</v>
      </c>
      <c r="H96" s="165" t="s">
        <v>20</v>
      </c>
      <c r="I96" s="165" t="s">
        <v>47</v>
      </c>
      <c r="J96" s="230">
        <v>45681</v>
      </c>
      <c r="K96" s="226">
        <v>45727</v>
      </c>
      <c r="L96" s="532"/>
      <c r="M96" s="226" t="s">
        <v>22</v>
      </c>
      <c r="N96" s="511">
        <f>Table2[[#This Row],[Effectiveness Review &amp; date deemed effective]]-Table2[[#This Row],[CAR initialized date]]</f>
        <v>46</v>
      </c>
    </row>
    <row r="97" spans="1:14" ht="18.75">
      <c r="A97" s="227" t="s">
        <v>323</v>
      </c>
      <c r="B97" s="2">
        <f>VLOOKUP(Table2[[#This Row],[Location 
(drop-down)]],Table14[[Location]:[Location ID]],2,FALSE)</f>
        <v>156</v>
      </c>
      <c r="C97" s="254" t="s">
        <v>324</v>
      </c>
      <c r="D97" s="378" t="s">
        <v>325</v>
      </c>
      <c r="E97" s="254" t="s">
        <v>86</v>
      </c>
      <c r="F97" s="254" t="s">
        <v>106</v>
      </c>
      <c r="G97" s="227" t="s">
        <v>326</v>
      </c>
      <c r="H97" s="165" t="s">
        <v>20</v>
      </c>
      <c r="I97" s="165" t="s">
        <v>327</v>
      </c>
      <c r="J97" s="230">
        <v>45636</v>
      </c>
      <c r="K97" s="226">
        <v>45727</v>
      </c>
      <c r="L97" s="532"/>
      <c r="M97" s="2" t="s">
        <v>22</v>
      </c>
      <c r="N97" s="511">
        <f>Table2[[#This Row],[Effectiveness Review &amp; date deemed effective]]-Table2[[#This Row],[CAR initialized date]]</f>
        <v>91</v>
      </c>
    </row>
    <row r="98" spans="1:14" ht="18.75">
      <c r="A98" s="227" t="s">
        <v>253</v>
      </c>
      <c r="B98" s="2">
        <f>VLOOKUP(Table2[[#This Row],[Location 
(drop-down)]],Table14[[Location]:[Location ID]],2,FALSE)</f>
        <v>178</v>
      </c>
      <c r="C98" s="254" t="s">
        <v>328</v>
      </c>
      <c r="D98" s="379" t="str">
        <f>"C" &amp; C98 &amp;"-" &amp; B98 &amp; "-" &amp; "25"</f>
        <v>C044-178-25</v>
      </c>
      <c r="E98" s="254" t="s">
        <v>18</v>
      </c>
      <c r="F98" s="254"/>
      <c r="G98" s="227" t="s">
        <v>329</v>
      </c>
      <c r="H98" s="165" t="s">
        <v>20</v>
      </c>
      <c r="I98" s="165" t="s">
        <v>47</v>
      </c>
      <c r="J98" s="230">
        <v>45695</v>
      </c>
      <c r="K98" s="226">
        <v>45728</v>
      </c>
      <c r="L98" s="532"/>
      <c r="M98" s="226" t="s">
        <v>22</v>
      </c>
      <c r="N98" s="511">
        <f>Table2[[#This Row],[Effectiveness Review &amp; date deemed effective]]-Table2[[#This Row],[CAR initialized date]]</f>
        <v>33</v>
      </c>
    </row>
    <row r="99" spans="1:14" ht="18.75">
      <c r="A99" s="227" t="s">
        <v>253</v>
      </c>
      <c r="B99" s="2">
        <f>VLOOKUP(Table2[[#This Row],[Location 
(drop-down)]],Table14[[Location]:[Location ID]],2,FALSE)</f>
        <v>178</v>
      </c>
      <c r="C99" s="254" t="s">
        <v>330</v>
      </c>
      <c r="D99" s="379" t="str">
        <f>"C" &amp; C99 &amp;"-" &amp; B99 &amp; "-" &amp; "25"</f>
        <v>C041-178-25</v>
      </c>
      <c r="E99" s="254" t="s">
        <v>18</v>
      </c>
      <c r="F99" s="254"/>
      <c r="G99" s="242" t="s">
        <v>331</v>
      </c>
      <c r="H99" s="165" t="s">
        <v>201</v>
      </c>
      <c r="I99" s="165" t="s">
        <v>47</v>
      </c>
      <c r="J99" s="230">
        <v>45695</v>
      </c>
      <c r="K99" s="226">
        <v>45729</v>
      </c>
      <c r="L99" s="532"/>
      <c r="M99" s="226" t="s">
        <v>22</v>
      </c>
      <c r="N99" s="511">
        <f>Table2[[#This Row],[Effectiveness Review &amp; date deemed effective]]-Table2[[#This Row],[CAR initialized date]]</f>
        <v>34</v>
      </c>
    </row>
    <row r="100" spans="1:14" ht="18.75">
      <c r="A100" s="227" t="s">
        <v>160</v>
      </c>
      <c r="B100" s="2">
        <f>VLOOKUP(Table2[[#This Row],[Location 
(drop-down)]],Table14[[Location]:[Location ID]],2,FALSE)</f>
        <v>128</v>
      </c>
      <c r="C100" s="254" t="s">
        <v>332</v>
      </c>
      <c r="D100" s="379" t="str">
        <f>"C" &amp; C100 &amp;"-" &amp; B100 &amp; "-" &amp; "25"</f>
        <v>C089-128-25</v>
      </c>
      <c r="E100" s="254" t="s">
        <v>18</v>
      </c>
      <c r="F100" s="254"/>
      <c r="G100" s="227" t="s">
        <v>333</v>
      </c>
      <c r="H100" s="165" t="s">
        <v>68</v>
      </c>
      <c r="I100" s="165" t="s">
        <v>69</v>
      </c>
      <c r="J100" s="230">
        <v>45709</v>
      </c>
      <c r="K100" s="226">
        <v>45733</v>
      </c>
      <c r="L100" s="532"/>
      <c r="M100" s="226" t="s">
        <v>22</v>
      </c>
      <c r="N100" s="511">
        <f>Table2[[#This Row],[Effectiveness Review &amp; date deemed effective]]-Table2[[#This Row],[CAR initialized date]]</f>
        <v>24</v>
      </c>
    </row>
    <row r="101" spans="1:14" ht="18.75">
      <c r="A101" s="227" t="s">
        <v>167</v>
      </c>
      <c r="B101" s="2">
        <f>VLOOKUP(Table2[[#This Row],[Location 
(drop-down)]],Table14[[Location]:[Location ID]],2,FALSE)</f>
        <v>146</v>
      </c>
      <c r="C101" s="254" t="s">
        <v>334</v>
      </c>
      <c r="D101" s="378" t="s">
        <v>335</v>
      </c>
      <c r="E101" s="254" t="s">
        <v>18</v>
      </c>
      <c r="F101" s="254"/>
      <c r="G101" s="227" t="s">
        <v>336</v>
      </c>
      <c r="H101" s="230" t="s">
        <v>20</v>
      </c>
      <c r="I101" s="165" t="s">
        <v>69</v>
      </c>
      <c r="J101" s="230">
        <v>45615</v>
      </c>
      <c r="K101" s="226">
        <v>45733</v>
      </c>
      <c r="L101" s="532"/>
      <c r="M101" s="2" t="s">
        <v>22</v>
      </c>
      <c r="N101" s="511">
        <f>Table2[[#This Row],[Effectiveness Review &amp; date deemed effective]]-Table2[[#This Row],[CAR initialized date]]</f>
        <v>118</v>
      </c>
    </row>
    <row r="102" spans="1:14" ht="18.75">
      <c r="A102" s="227" t="s">
        <v>73</v>
      </c>
      <c r="B102" s="2">
        <f>VLOOKUP(Table2[[#This Row],[Location 
(drop-down)]],Table14[[Location]:[Location ID]],2,FALSE)</f>
        <v>160</v>
      </c>
      <c r="C102" s="254" t="s">
        <v>337</v>
      </c>
      <c r="D102" s="379" t="str">
        <f>"C" &amp; C102 &amp;"-" &amp; B102 &amp; "-" &amp; "25"</f>
        <v>C107-160-25</v>
      </c>
      <c r="E102" s="254" t="s">
        <v>86</v>
      </c>
      <c r="F102" s="254" t="s">
        <v>308</v>
      </c>
      <c r="G102" s="227" t="s">
        <v>338</v>
      </c>
      <c r="H102" s="165" t="s">
        <v>20</v>
      </c>
      <c r="I102" s="165" t="s">
        <v>327</v>
      </c>
      <c r="J102" s="230">
        <v>45713</v>
      </c>
      <c r="K102" s="226">
        <v>45735</v>
      </c>
      <c r="L102" s="532"/>
      <c r="M102" s="226" t="s">
        <v>22</v>
      </c>
      <c r="N102" s="511">
        <f>Table2[[#This Row],[Effectiveness Review &amp; date deemed effective]]-Table2[[#This Row],[CAR initialized date]]</f>
        <v>22</v>
      </c>
    </row>
    <row r="103" spans="1:14" ht="18.75">
      <c r="A103" s="227" t="s">
        <v>311</v>
      </c>
      <c r="B103" s="2">
        <f>VLOOKUP(Table2[[#This Row],[Location 
(drop-down)]],Table14[[Location]:[Location ID]],2,FALSE)</f>
        <v>139</v>
      </c>
      <c r="C103" s="254" t="s">
        <v>339</v>
      </c>
      <c r="D103" s="379" t="str">
        <f>"C" &amp; C103 &amp;"-" &amp; B103 &amp; "-" &amp; "25"</f>
        <v>C047-139-25</v>
      </c>
      <c r="E103" s="254" t="s">
        <v>18</v>
      </c>
      <c r="F103" s="254"/>
      <c r="G103" s="115" t="s">
        <v>261</v>
      </c>
      <c r="H103" s="165" t="s">
        <v>201</v>
      </c>
      <c r="I103" s="165" t="s">
        <v>239</v>
      </c>
      <c r="J103" s="230">
        <v>45698</v>
      </c>
      <c r="K103" s="226">
        <v>45735</v>
      </c>
      <c r="L103" s="532"/>
      <c r="M103" s="226" t="s">
        <v>22</v>
      </c>
      <c r="N103" s="511">
        <f>Table2[[#This Row],[Effectiveness Review &amp; date deemed effective]]-Table2[[#This Row],[CAR initialized date]]</f>
        <v>37</v>
      </c>
    </row>
    <row r="104" spans="1:14" ht="18.75">
      <c r="A104" s="227" t="s">
        <v>311</v>
      </c>
      <c r="B104" s="2">
        <f>VLOOKUP(Table2[[#This Row],[Location 
(drop-down)]],Table14[[Location]:[Location ID]],2,FALSE)</f>
        <v>139</v>
      </c>
      <c r="C104" s="254" t="s">
        <v>340</v>
      </c>
      <c r="D104" s="379" t="str">
        <f>"C" &amp; C104 &amp;"-" &amp; B104 &amp; "-" &amp; "25"</f>
        <v>C049-139-25</v>
      </c>
      <c r="E104" s="254" t="s">
        <v>18</v>
      </c>
      <c r="F104" s="254"/>
      <c r="G104" s="227" t="s">
        <v>329</v>
      </c>
      <c r="H104" s="165" t="s">
        <v>20</v>
      </c>
      <c r="I104" s="165" t="s">
        <v>239</v>
      </c>
      <c r="J104" s="230">
        <v>45698</v>
      </c>
      <c r="K104" s="226">
        <v>45735</v>
      </c>
      <c r="L104" s="532"/>
      <c r="M104" s="226" t="s">
        <v>22</v>
      </c>
      <c r="N104" s="511">
        <f>Table2[[#This Row],[Effectiveness Review &amp; date deemed effective]]-Table2[[#This Row],[CAR initialized date]]</f>
        <v>37</v>
      </c>
    </row>
    <row r="105" spans="1:14" ht="18.75">
      <c r="A105" s="227" t="s">
        <v>311</v>
      </c>
      <c r="B105" s="2">
        <f>VLOOKUP(Table2[[#This Row],[Location 
(drop-down)]],Table14[[Location]:[Location ID]],2,FALSE)</f>
        <v>139</v>
      </c>
      <c r="C105" s="254" t="s">
        <v>341</v>
      </c>
      <c r="D105" s="379" t="str">
        <f>"C" &amp; C105 &amp;"-" &amp; B105 &amp; "-" &amp; "25"</f>
        <v>C050-139-25</v>
      </c>
      <c r="E105" s="254" t="s">
        <v>18</v>
      </c>
      <c r="F105" s="254"/>
      <c r="G105" s="227" t="s">
        <v>255</v>
      </c>
      <c r="H105" s="165" t="s">
        <v>20</v>
      </c>
      <c r="I105" s="165" t="s">
        <v>239</v>
      </c>
      <c r="J105" s="230">
        <v>45698</v>
      </c>
      <c r="K105" s="226">
        <v>45735</v>
      </c>
      <c r="L105" s="532"/>
      <c r="M105" s="226" t="s">
        <v>22</v>
      </c>
      <c r="N105" s="511">
        <f>Table2[[#This Row],[Effectiveness Review &amp; date deemed effective]]-Table2[[#This Row],[CAR initialized date]]</f>
        <v>37</v>
      </c>
    </row>
    <row r="106" spans="1:14" ht="18.75">
      <c r="A106" s="227" t="s">
        <v>311</v>
      </c>
      <c r="B106" s="2">
        <f>VLOOKUP(Table2[[#This Row],[Location 
(drop-down)]],Table14[[Location]:[Location ID]],2,FALSE)</f>
        <v>139</v>
      </c>
      <c r="C106" s="254" t="s">
        <v>342</v>
      </c>
      <c r="D106" s="379" t="str">
        <f>"C" &amp; C106 &amp;"-" &amp; B106 &amp; "-" &amp; "25"</f>
        <v>C051-139-25</v>
      </c>
      <c r="E106" s="254" t="s">
        <v>18</v>
      </c>
      <c r="F106" s="254"/>
      <c r="G106" s="115" t="s">
        <v>343</v>
      </c>
      <c r="H106" s="165" t="s">
        <v>20</v>
      </c>
      <c r="I106" s="165" t="s">
        <v>239</v>
      </c>
      <c r="J106" s="230">
        <v>45698</v>
      </c>
      <c r="K106" s="226">
        <v>45735</v>
      </c>
      <c r="L106" s="532"/>
      <c r="M106" s="226" t="s">
        <v>22</v>
      </c>
      <c r="N106" s="511">
        <f>Table2[[#This Row],[Effectiveness Review &amp; date deemed effective]]-Table2[[#This Row],[CAR initialized date]]</f>
        <v>37</v>
      </c>
    </row>
    <row r="107" spans="1:14" ht="18.75">
      <c r="A107" s="227" t="s">
        <v>344</v>
      </c>
      <c r="B107" s="2">
        <f>VLOOKUP(Table2[[#This Row],[Location 
(drop-down)]],Table14[[Location]:[Location ID]],2,FALSE)</f>
        <v>157</v>
      </c>
      <c r="C107" s="254" t="s">
        <v>345</v>
      </c>
      <c r="D107" s="379" t="str">
        <f>"C" &amp; C107 &amp;"-" &amp; B107 &amp; "-" &amp; "25"</f>
        <v>C080-157-25</v>
      </c>
      <c r="E107" s="254" t="s">
        <v>18</v>
      </c>
      <c r="F107" s="254"/>
      <c r="G107" s="240" t="s">
        <v>346</v>
      </c>
      <c r="H107" s="165" t="s">
        <v>20</v>
      </c>
      <c r="I107" s="165" t="s">
        <v>239</v>
      </c>
      <c r="J107" s="230">
        <v>45707</v>
      </c>
      <c r="K107" s="226">
        <v>45737</v>
      </c>
      <c r="L107" s="532"/>
      <c r="M107" s="226" t="s">
        <v>22</v>
      </c>
      <c r="N107" s="511">
        <f>Table2[[#This Row],[Effectiveness Review &amp; date deemed effective]]-Table2[[#This Row],[CAR initialized date]]</f>
        <v>30</v>
      </c>
    </row>
    <row r="108" spans="1:14" ht="18.75">
      <c r="A108" s="227" t="s">
        <v>344</v>
      </c>
      <c r="B108" s="2">
        <f>VLOOKUP(Table2[[#This Row],[Location 
(drop-down)]],Table14[[Location]:[Location ID]],2,FALSE)</f>
        <v>157</v>
      </c>
      <c r="C108" s="254" t="s">
        <v>161</v>
      </c>
      <c r="D108" s="379" t="str">
        <f>"C" &amp; C108 &amp;"-" &amp; B108 &amp; "-" &amp; "25"</f>
        <v>C081-157-25</v>
      </c>
      <c r="E108" s="254" t="s">
        <v>18</v>
      </c>
      <c r="F108" s="254"/>
      <c r="G108" s="240" t="s">
        <v>347</v>
      </c>
      <c r="H108" s="165" t="s">
        <v>20</v>
      </c>
      <c r="I108" s="165" t="s">
        <v>239</v>
      </c>
      <c r="J108" s="230">
        <v>45707</v>
      </c>
      <c r="K108" s="226">
        <v>45737</v>
      </c>
      <c r="L108" s="532"/>
      <c r="M108" s="226" t="s">
        <v>22</v>
      </c>
      <c r="N108" s="511">
        <f>Table2[[#This Row],[Effectiveness Review &amp; date deemed effective]]-Table2[[#This Row],[CAR initialized date]]</f>
        <v>30</v>
      </c>
    </row>
    <row r="109" spans="1:14" ht="18.75">
      <c r="A109" s="227" t="s">
        <v>344</v>
      </c>
      <c r="B109" s="2">
        <f>VLOOKUP(Table2[[#This Row],[Location 
(drop-down)]],Table14[[Location]:[Location ID]],2,FALSE)</f>
        <v>157</v>
      </c>
      <c r="C109" s="254" t="s">
        <v>348</v>
      </c>
      <c r="D109" s="379" t="str">
        <f>"C" &amp; C109 &amp;"-" &amp; B109 &amp; "-" &amp; "25"</f>
        <v>C082-157-25</v>
      </c>
      <c r="E109" s="254" t="s">
        <v>18</v>
      </c>
      <c r="F109" s="254"/>
      <c r="G109" s="240" t="s">
        <v>349</v>
      </c>
      <c r="H109" s="165" t="s">
        <v>20</v>
      </c>
      <c r="I109" s="165" t="s">
        <v>239</v>
      </c>
      <c r="J109" s="230">
        <v>45707</v>
      </c>
      <c r="K109" s="226">
        <v>45737</v>
      </c>
      <c r="L109" s="532"/>
      <c r="M109" s="226" t="s">
        <v>22</v>
      </c>
      <c r="N109" s="511">
        <f>Table2[[#This Row],[Effectiveness Review &amp; date deemed effective]]-Table2[[#This Row],[CAR initialized date]]</f>
        <v>30</v>
      </c>
    </row>
    <row r="110" spans="1:14" ht="18.75">
      <c r="A110" s="227" t="s">
        <v>344</v>
      </c>
      <c r="B110" s="2">
        <f>VLOOKUP(Table2[[#This Row],[Location 
(drop-down)]],Table14[[Location]:[Location ID]],2,FALSE)</f>
        <v>157</v>
      </c>
      <c r="C110" s="254" t="s">
        <v>350</v>
      </c>
      <c r="D110" s="379" t="str">
        <f>"C" &amp; C110 &amp;"-" &amp; B110 &amp; "-" &amp; "25"</f>
        <v>C083-157-25</v>
      </c>
      <c r="E110" s="254" t="s">
        <v>18</v>
      </c>
      <c r="F110" s="254"/>
      <c r="G110" s="227" t="s">
        <v>351</v>
      </c>
      <c r="H110" s="165" t="s">
        <v>201</v>
      </c>
      <c r="I110" s="165" t="s">
        <v>239</v>
      </c>
      <c r="J110" s="230">
        <v>45707</v>
      </c>
      <c r="K110" s="226">
        <v>45737</v>
      </c>
      <c r="L110" s="532"/>
      <c r="M110" s="226" t="s">
        <v>22</v>
      </c>
      <c r="N110" s="511">
        <f>Table2[[#This Row],[Effectiveness Review &amp; date deemed effective]]-Table2[[#This Row],[CAR initialized date]]</f>
        <v>30</v>
      </c>
    </row>
    <row r="111" spans="1:14" ht="18.75">
      <c r="A111" s="227" t="s">
        <v>344</v>
      </c>
      <c r="B111" s="2">
        <f>VLOOKUP(Table2[[#This Row],[Location 
(drop-down)]],Table14[[Location]:[Location ID]],2,FALSE)</f>
        <v>157</v>
      </c>
      <c r="C111" s="254" t="s">
        <v>352</v>
      </c>
      <c r="D111" s="379" t="str">
        <f>"C" &amp; C111 &amp;"-" &amp; B111 &amp; "-" &amp; "25"</f>
        <v>C085-157-25</v>
      </c>
      <c r="E111" s="254" t="s">
        <v>18</v>
      </c>
      <c r="F111" s="254"/>
      <c r="G111" s="227" t="s">
        <v>353</v>
      </c>
      <c r="H111" s="165" t="s">
        <v>20</v>
      </c>
      <c r="I111" s="165" t="s">
        <v>239</v>
      </c>
      <c r="J111" s="230">
        <v>45707</v>
      </c>
      <c r="K111" s="278">
        <v>45737</v>
      </c>
      <c r="L111" s="532"/>
      <c r="M111" s="226" t="s">
        <v>22</v>
      </c>
      <c r="N111" s="511">
        <f>Table2[[#This Row],[Effectiveness Review &amp; date deemed effective]]-Table2[[#This Row],[CAR initialized date]]</f>
        <v>30</v>
      </c>
    </row>
    <row r="112" spans="1:14" ht="18.75">
      <c r="A112" s="227" t="s">
        <v>344</v>
      </c>
      <c r="B112" s="2">
        <f>VLOOKUP(Table2[[#This Row],[Location 
(drop-down)]],Table14[[Location]:[Location ID]],2,FALSE)</f>
        <v>157</v>
      </c>
      <c r="C112" s="254" t="s">
        <v>354</v>
      </c>
      <c r="D112" s="379" t="str">
        <f>"C" &amp; C112 &amp;"-" &amp; B112 &amp; "-" &amp; "25"</f>
        <v>C084-157-25</v>
      </c>
      <c r="E112" s="254" t="s">
        <v>18</v>
      </c>
      <c r="F112" s="254"/>
      <c r="G112" s="227" t="s">
        <v>355</v>
      </c>
      <c r="H112" s="235" t="s">
        <v>201</v>
      </c>
      <c r="I112" s="165" t="s">
        <v>239</v>
      </c>
      <c r="J112" s="230">
        <v>45707</v>
      </c>
      <c r="K112" s="258">
        <v>45740</v>
      </c>
      <c r="L112" s="532"/>
      <c r="M112" s="226" t="s">
        <v>22</v>
      </c>
      <c r="N112" s="511">
        <f>Table2[[#This Row],[Effectiveness Review &amp; date deemed effective]]-Table2[[#This Row],[CAR initialized date]]</f>
        <v>33</v>
      </c>
    </row>
    <row r="113" spans="1:14" ht="18.75">
      <c r="A113" s="227" t="s">
        <v>167</v>
      </c>
      <c r="B113" s="2">
        <f>VLOOKUP(Table2[[#This Row],[Location 
(drop-down)]],Table14[[Location]:[Location ID]],2,FALSE)</f>
        <v>146</v>
      </c>
      <c r="C113" s="254" t="s">
        <v>356</v>
      </c>
      <c r="D113" s="379" t="str">
        <f>"C" &amp; C113 &amp;"-" &amp; B113 &amp; "-" &amp; "25"</f>
        <v>C055-146-25</v>
      </c>
      <c r="E113" s="254" t="s">
        <v>26</v>
      </c>
      <c r="F113" s="254" t="s">
        <v>151</v>
      </c>
      <c r="G113" s="227" t="s">
        <v>357</v>
      </c>
      <c r="H113" s="165" t="s">
        <v>20</v>
      </c>
      <c r="I113" s="165" t="s">
        <v>21</v>
      </c>
      <c r="J113" s="230">
        <v>45694</v>
      </c>
      <c r="K113" s="226">
        <v>45741</v>
      </c>
      <c r="L113" s="532"/>
      <c r="M113" s="226" t="s">
        <v>22</v>
      </c>
      <c r="N113" s="511">
        <f>Table2[[#This Row],[Effectiveness Review &amp; date deemed effective]]-Table2[[#This Row],[CAR initialized date]]</f>
        <v>47</v>
      </c>
    </row>
    <row r="114" spans="1:14" ht="18.75">
      <c r="A114" s="227" t="s">
        <v>358</v>
      </c>
      <c r="B114" s="2">
        <f>VLOOKUP(Table2[[#This Row],[Location 
(drop-down)]],Table14[[Location]:[Location ID]],2,FALSE)</f>
        <v>190</v>
      </c>
      <c r="C114" s="254" t="s">
        <v>359</v>
      </c>
      <c r="D114" s="379" t="str">
        <f>"C" &amp; C114 &amp;"-" &amp; B114 &amp; "-" &amp; "25"</f>
        <v>C128-190-25</v>
      </c>
      <c r="E114" s="254" t="s">
        <v>18</v>
      </c>
      <c r="F114" s="254"/>
      <c r="G114" s="227" t="s">
        <v>360</v>
      </c>
      <c r="H114" s="165" t="s">
        <v>20</v>
      </c>
      <c r="I114" s="165" t="s">
        <v>47</v>
      </c>
      <c r="J114" s="230">
        <v>45727</v>
      </c>
      <c r="K114" s="226">
        <v>45742</v>
      </c>
      <c r="L114" s="532"/>
      <c r="M114" s="226" t="s">
        <v>22</v>
      </c>
      <c r="N114" s="511">
        <f>Table2[[#This Row],[Effectiveness Review &amp; date deemed effective]]-Table2[[#This Row],[CAR initialized date]]</f>
        <v>15</v>
      </c>
    </row>
    <row r="115" spans="1:14" ht="18.75">
      <c r="A115" s="227" t="s">
        <v>358</v>
      </c>
      <c r="B115" s="2">
        <f>VLOOKUP(Table2[[#This Row],[Location 
(drop-down)]],Table14[[Location]:[Location ID]],2,FALSE)</f>
        <v>190</v>
      </c>
      <c r="C115" s="254" t="s">
        <v>361</v>
      </c>
      <c r="D115" s="379" t="str">
        <f>"C" &amp; C115 &amp;"-" &amp; B115 &amp; "-" &amp; "25"</f>
        <v>C131-190-25</v>
      </c>
      <c r="E115" s="254" t="s">
        <v>18</v>
      </c>
      <c r="F115" s="254"/>
      <c r="G115" s="227" t="s">
        <v>362</v>
      </c>
      <c r="H115" s="165" t="s">
        <v>20</v>
      </c>
      <c r="I115" s="165" t="s">
        <v>47</v>
      </c>
      <c r="J115" s="230">
        <v>45727</v>
      </c>
      <c r="K115" s="226">
        <v>45742</v>
      </c>
      <c r="L115" s="532"/>
      <c r="M115" s="226" t="s">
        <v>22</v>
      </c>
      <c r="N115" s="511">
        <f>Table2[[#This Row],[Effectiveness Review &amp; date deemed effective]]-Table2[[#This Row],[CAR initialized date]]</f>
        <v>15</v>
      </c>
    </row>
    <row r="116" spans="1:14" ht="18.75">
      <c r="A116" s="227" t="s">
        <v>80</v>
      </c>
      <c r="B116" s="2">
        <f>VLOOKUP(Table2[[#This Row],[Location 
(drop-down)]],Table14[[Location]:[Location ID]],2,FALSE)</f>
        <v>141</v>
      </c>
      <c r="C116" s="254" t="s">
        <v>363</v>
      </c>
      <c r="D116" s="379" t="str">
        <f>"C" &amp; C116 &amp;"-" &amp; B116 &amp; "-" &amp; "25"</f>
        <v>C108-141-25</v>
      </c>
      <c r="E116" s="254" t="s">
        <v>18</v>
      </c>
      <c r="F116" s="254"/>
      <c r="G116" s="227" t="s">
        <v>364</v>
      </c>
      <c r="H116" s="165" t="s">
        <v>20</v>
      </c>
      <c r="I116" s="165" t="s">
        <v>21</v>
      </c>
      <c r="J116" s="230">
        <v>45716</v>
      </c>
      <c r="K116" s="226">
        <v>45742</v>
      </c>
      <c r="L116" s="532"/>
      <c r="M116" s="226" t="s">
        <v>22</v>
      </c>
      <c r="N116" s="511">
        <f>Table2[[#This Row],[Effectiveness Review &amp; date deemed effective]]-Table2[[#This Row],[CAR initialized date]]</f>
        <v>26</v>
      </c>
    </row>
    <row r="117" spans="1:14" ht="18.75">
      <c r="A117" s="227" t="s">
        <v>80</v>
      </c>
      <c r="B117" s="2">
        <f>VLOOKUP(Table2[[#This Row],[Location 
(drop-down)]],Table14[[Location]:[Location ID]],2,FALSE)</f>
        <v>141</v>
      </c>
      <c r="C117" s="254" t="s">
        <v>365</v>
      </c>
      <c r="D117" s="379" t="str">
        <f>"C" &amp; C117 &amp;"-" &amp; B117 &amp; "-" &amp; "25"</f>
        <v>C111-141-25</v>
      </c>
      <c r="E117" s="254" t="s">
        <v>18</v>
      </c>
      <c r="F117" s="254"/>
      <c r="G117" s="227" t="s">
        <v>366</v>
      </c>
      <c r="H117" s="165" t="s">
        <v>20</v>
      </c>
      <c r="I117" s="165" t="s">
        <v>21</v>
      </c>
      <c r="J117" s="230">
        <v>45716</v>
      </c>
      <c r="K117" s="226">
        <v>45742</v>
      </c>
      <c r="L117" s="532"/>
      <c r="M117" s="226" t="s">
        <v>22</v>
      </c>
      <c r="N117" s="511">
        <f>Table2[[#This Row],[Effectiveness Review &amp; date deemed effective]]-Table2[[#This Row],[CAR initialized date]]</f>
        <v>26</v>
      </c>
    </row>
    <row r="118" spans="1:14" ht="18.75">
      <c r="A118" s="227" t="s">
        <v>80</v>
      </c>
      <c r="B118" s="2">
        <f>VLOOKUP(Table2[[#This Row],[Location 
(drop-down)]],Table14[[Location]:[Location ID]],2,FALSE)</f>
        <v>141</v>
      </c>
      <c r="C118" s="254" t="s">
        <v>367</v>
      </c>
      <c r="D118" s="379" t="str">
        <f>"C" &amp; C118 &amp;"-" &amp; B118 &amp; "-" &amp; "25"</f>
        <v>C112-141-25</v>
      </c>
      <c r="E118" s="254" t="s">
        <v>18</v>
      </c>
      <c r="F118" s="254"/>
      <c r="G118" s="306" t="s">
        <v>368</v>
      </c>
      <c r="H118" s="165" t="s">
        <v>20</v>
      </c>
      <c r="I118" s="165" t="s">
        <v>21</v>
      </c>
      <c r="J118" s="230">
        <v>45716</v>
      </c>
      <c r="K118" s="226">
        <v>45742</v>
      </c>
      <c r="L118" s="532"/>
      <c r="M118" s="226" t="s">
        <v>22</v>
      </c>
      <c r="N118" s="511">
        <f>Table2[[#This Row],[Effectiveness Review &amp; date deemed effective]]-Table2[[#This Row],[CAR initialized date]]</f>
        <v>26</v>
      </c>
    </row>
    <row r="119" spans="1:14" ht="18.75">
      <c r="A119" s="334" t="s">
        <v>202</v>
      </c>
      <c r="B119" s="2">
        <f>VLOOKUP(Table2[[#This Row],[Location 
(drop-down)]],Table14[[Location]:[Location ID]],2,FALSE)</f>
        <v>180</v>
      </c>
      <c r="C119" s="411" t="s">
        <v>369</v>
      </c>
      <c r="D119" s="386" t="s">
        <v>370</v>
      </c>
      <c r="E119" s="411" t="s">
        <v>18</v>
      </c>
      <c r="F119" s="411"/>
      <c r="G119" s="334" t="s">
        <v>371</v>
      </c>
      <c r="H119" s="335" t="s">
        <v>20</v>
      </c>
      <c r="I119" s="337" t="s">
        <v>57</v>
      </c>
      <c r="J119" s="337">
        <v>45552</v>
      </c>
      <c r="K119" s="338">
        <v>45742</v>
      </c>
      <c r="L119" s="532"/>
      <c r="M119" s="2" t="s">
        <v>22</v>
      </c>
      <c r="N119" s="511">
        <f>Table2[[#This Row],[Effectiveness Review &amp; date deemed effective]]-Table2[[#This Row],[CAR initialized date]]</f>
        <v>190</v>
      </c>
    </row>
    <row r="120" spans="1:14" ht="18.75">
      <c r="A120" s="231" t="s">
        <v>202</v>
      </c>
      <c r="B120" s="2">
        <f>VLOOKUP(Table2[[#This Row],[Location 
(drop-down)]],Table14[[Location]:[Location ID]],2,FALSE)</f>
        <v>180</v>
      </c>
      <c r="C120" s="414" t="s">
        <v>372</v>
      </c>
      <c r="D120" s="396" t="s">
        <v>373</v>
      </c>
      <c r="E120" s="414" t="s">
        <v>18</v>
      </c>
      <c r="F120" s="414"/>
      <c r="G120" s="231" t="s">
        <v>374</v>
      </c>
      <c r="H120" s="232" t="s">
        <v>20</v>
      </c>
      <c r="I120" s="234" t="s">
        <v>57</v>
      </c>
      <c r="J120" s="234">
        <v>45552</v>
      </c>
      <c r="K120" s="372">
        <v>45742</v>
      </c>
      <c r="L120" s="532"/>
      <c r="M120" s="2" t="s">
        <v>22</v>
      </c>
      <c r="N120" s="511">
        <f>Table2[[#This Row],[Effectiveness Review &amp; date deemed effective]]-Table2[[#This Row],[CAR initialized date]]</f>
        <v>190</v>
      </c>
    </row>
    <row r="121" spans="1:14" ht="18.75">
      <c r="A121" s="227" t="s">
        <v>119</v>
      </c>
      <c r="B121" s="2">
        <f>VLOOKUP(Table2[[#This Row],[Location 
(drop-down)]],Table14[[Location]:[Location ID]],2,FALSE)</f>
        <v>131</v>
      </c>
      <c r="C121" s="254" t="s">
        <v>375</v>
      </c>
      <c r="D121" s="379" t="str">
        <f>"C" &amp; C121 &amp;"-" &amp; B121 &amp; "-" &amp; "25"</f>
        <v>C024-131-25</v>
      </c>
      <c r="E121" s="254" t="s">
        <v>18</v>
      </c>
      <c r="F121" s="254"/>
      <c r="G121" s="227" t="s">
        <v>376</v>
      </c>
      <c r="H121" s="165" t="s">
        <v>20</v>
      </c>
      <c r="I121" s="165" t="s">
        <v>239</v>
      </c>
      <c r="J121" s="235">
        <v>45687</v>
      </c>
      <c r="K121" s="226">
        <v>45742</v>
      </c>
      <c r="L121" s="532"/>
      <c r="M121" s="226" t="s">
        <v>22</v>
      </c>
      <c r="N121" s="511">
        <f>Table2[[#This Row],[Effectiveness Review &amp; date deemed effective]]-Table2[[#This Row],[CAR initialized date]]</f>
        <v>55</v>
      </c>
    </row>
    <row r="122" spans="1:14" ht="18.75">
      <c r="A122" s="227" t="s">
        <v>119</v>
      </c>
      <c r="B122" s="2">
        <f>VLOOKUP(Table2[[#This Row],[Location 
(drop-down)]],Table14[[Location]:[Location ID]],2,FALSE)</f>
        <v>131</v>
      </c>
      <c r="C122" s="254" t="s">
        <v>377</v>
      </c>
      <c r="D122" s="379" t="str">
        <f>"C" &amp; C122 &amp;"-" &amp; B122 &amp; "-" &amp; "25"</f>
        <v>C025-131-25</v>
      </c>
      <c r="E122" s="254" t="s">
        <v>18</v>
      </c>
      <c r="F122" s="254"/>
      <c r="G122" s="227" t="s">
        <v>378</v>
      </c>
      <c r="H122" s="165" t="s">
        <v>68</v>
      </c>
      <c r="I122" s="165" t="s">
        <v>239</v>
      </c>
      <c r="J122" s="230">
        <v>45687</v>
      </c>
      <c r="K122" s="226">
        <v>45742</v>
      </c>
      <c r="L122" s="532"/>
      <c r="M122" s="226" t="s">
        <v>22</v>
      </c>
      <c r="N122" s="511">
        <f>Table2[[#This Row],[Effectiveness Review &amp; date deemed effective]]-Table2[[#This Row],[CAR initialized date]]</f>
        <v>55</v>
      </c>
    </row>
    <row r="123" spans="1:14" ht="18.75">
      <c r="A123" s="227" t="s">
        <v>119</v>
      </c>
      <c r="B123" s="2">
        <f>VLOOKUP(Table2[[#This Row],[Location 
(drop-down)]],Table14[[Location]:[Location ID]],2,FALSE)</f>
        <v>131</v>
      </c>
      <c r="C123" s="254" t="s">
        <v>379</v>
      </c>
      <c r="D123" s="379" t="str">
        <f>"C" &amp; C123 &amp;"-" &amp; B123 &amp; "-" &amp; "25"</f>
        <v>C039-131-25</v>
      </c>
      <c r="E123" s="254" t="s">
        <v>18</v>
      </c>
      <c r="F123" s="254"/>
      <c r="G123" s="227" t="s">
        <v>380</v>
      </c>
      <c r="H123" s="165" t="s">
        <v>20</v>
      </c>
      <c r="I123" s="165" t="s">
        <v>239</v>
      </c>
      <c r="J123" s="230">
        <v>45687</v>
      </c>
      <c r="K123" s="226">
        <v>45742</v>
      </c>
      <c r="L123" s="532"/>
      <c r="M123" s="226" t="s">
        <v>22</v>
      </c>
      <c r="N123" s="511">
        <f>Table2[[#This Row],[Effectiveness Review &amp; date deemed effective]]-Table2[[#This Row],[CAR initialized date]]</f>
        <v>55</v>
      </c>
    </row>
    <row r="124" spans="1:14" ht="18.75">
      <c r="A124" s="227" t="s">
        <v>53</v>
      </c>
      <c r="B124" s="2">
        <f>VLOOKUP(Table2[[#This Row],[Location 
(drop-down)]],Table14[[Location]:[Location ID]],2,FALSE)</f>
        <v>158</v>
      </c>
      <c r="C124" s="254" t="s">
        <v>381</v>
      </c>
      <c r="D124" s="379" t="str">
        <f>"C" &amp; C124 &amp;"-" &amp; B124 &amp; "-" &amp; "25"</f>
        <v>C017-158-25</v>
      </c>
      <c r="E124" s="254" t="s">
        <v>18</v>
      </c>
      <c r="F124" s="418"/>
      <c r="G124" s="227" t="s">
        <v>382</v>
      </c>
      <c r="H124" s="165" t="s">
        <v>20</v>
      </c>
      <c r="I124" s="165" t="s">
        <v>69</v>
      </c>
      <c r="J124" s="230">
        <v>45684</v>
      </c>
      <c r="K124" s="226">
        <v>45743</v>
      </c>
      <c r="L124" s="532"/>
      <c r="M124" s="226" t="s">
        <v>22</v>
      </c>
      <c r="N124" s="511">
        <f>Table2[[#This Row],[Effectiveness Review &amp; date deemed effective]]-Table2[[#This Row],[CAR initialized date]]</f>
        <v>59</v>
      </c>
    </row>
    <row r="125" spans="1:14" ht="18.75">
      <c r="A125" s="227" t="s">
        <v>73</v>
      </c>
      <c r="B125" s="2">
        <f>VLOOKUP(Table2[[#This Row],[Location 
(drop-down)]],Table14[[Location]:[Location ID]],2,FALSE)</f>
        <v>160</v>
      </c>
      <c r="C125" s="254" t="s">
        <v>383</v>
      </c>
      <c r="D125" s="379" t="str">
        <f>"C" &amp; C125 &amp;"-" &amp; B125 &amp; "-" &amp; "25"</f>
        <v>C141-160-25</v>
      </c>
      <c r="E125" s="254" t="s">
        <v>120</v>
      </c>
      <c r="F125" s="18" t="s">
        <v>384</v>
      </c>
      <c r="G125" s="240" t="s">
        <v>385</v>
      </c>
      <c r="H125" s="165" t="s">
        <v>68</v>
      </c>
      <c r="I125" s="165" t="s">
        <v>47</v>
      </c>
      <c r="J125" s="260">
        <v>45741</v>
      </c>
      <c r="K125" s="226">
        <v>45743</v>
      </c>
      <c r="L125" s="532"/>
      <c r="M125" s="226" t="s">
        <v>22</v>
      </c>
      <c r="N125" s="511">
        <f>Table2[[#This Row],[Effectiveness Review &amp; date deemed effective]]-Table2[[#This Row],[CAR initialized date]]</f>
        <v>2</v>
      </c>
    </row>
    <row r="126" spans="1:14" ht="18.75">
      <c r="A126" s="227" t="s">
        <v>73</v>
      </c>
      <c r="B126" s="2">
        <f>VLOOKUP(Table2[[#This Row],[Location 
(drop-down)]],Table14[[Location]:[Location ID]],2,FALSE)</f>
        <v>160</v>
      </c>
      <c r="C126" s="254" t="s">
        <v>386</v>
      </c>
      <c r="D126" s="379" t="str">
        <f>"C" &amp; C126 &amp;"-" &amp; B126 &amp; "-" &amp; "25"</f>
        <v>C142-160-25</v>
      </c>
      <c r="E126" s="254" t="s">
        <v>120</v>
      </c>
      <c r="F126" s="18" t="s">
        <v>387</v>
      </c>
      <c r="G126" s="240" t="s">
        <v>388</v>
      </c>
      <c r="H126" s="165" t="s">
        <v>68</v>
      </c>
      <c r="I126" s="165" t="s">
        <v>47</v>
      </c>
      <c r="J126" s="230">
        <v>45741</v>
      </c>
      <c r="K126" s="226">
        <v>45743</v>
      </c>
      <c r="L126" s="532"/>
      <c r="M126" s="226" t="s">
        <v>22</v>
      </c>
      <c r="N126" s="511">
        <f>Table2[[#This Row],[Effectiveness Review &amp; date deemed effective]]-Table2[[#This Row],[CAR initialized date]]</f>
        <v>2</v>
      </c>
    </row>
    <row r="127" spans="1:14" ht="18.75">
      <c r="A127" s="227" t="s">
        <v>344</v>
      </c>
      <c r="B127" s="2">
        <f>VLOOKUP(Table2[[#This Row],[Location 
(drop-down)]],Table14[[Location]:[Location ID]],2,FALSE)</f>
        <v>157</v>
      </c>
      <c r="C127" s="254" t="s">
        <v>389</v>
      </c>
      <c r="D127" s="379" t="str">
        <f>"C" &amp; C127 &amp;"-" &amp; B127 &amp; "-" &amp; "25"</f>
        <v>C140-157-25</v>
      </c>
      <c r="E127" s="254" t="s">
        <v>81</v>
      </c>
      <c r="F127" s="18" t="s">
        <v>390</v>
      </c>
      <c r="G127" s="240" t="s">
        <v>391</v>
      </c>
      <c r="H127" s="165" t="s">
        <v>68</v>
      </c>
      <c r="I127" s="165" t="s">
        <v>47</v>
      </c>
      <c r="J127" s="230">
        <v>45734</v>
      </c>
      <c r="K127" s="226">
        <v>45744</v>
      </c>
      <c r="L127" s="532"/>
      <c r="M127" s="226" t="s">
        <v>22</v>
      </c>
      <c r="N127" s="511">
        <f>Table2[[#This Row],[Effectiveness Review &amp; date deemed effective]]-Table2[[#This Row],[CAR initialized date]]</f>
        <v>10</v>
      </c>
    </row>
    <row r="128" spans="1:14" ht="18.75">
      <c r="A128" s="227" t="s">
        <v>167</v>
      </c>
      <c r="B128" s="2">
        <f>VLOOKUP(Table2[[#This Row],[Location 
(drop-down)]],Table14[[Location]:[Location ID]],2,FALSE)</f>
        <v>146</v>
      </c>
      <c r="C128" s="254" t="s">
        <v>392</v>
      </c>
      <c r="D128" s="379" t="str">
        <f>"C" &amp; C128 &amp;"-" &amp; B128 &amp; "-" &amp; "25"</f>
        <v>C053-146-25</v>
      </c>
      <c r="E128" s="254" t="s">
        <v>26</v>
      </c>
      <c r="F128" s="254" t="s">
        <v>151</v>
      </c>
      <c r="G128" s="227" t="s">
        <v>393</v>
      </c>
      <c r="H128" s="165" t="s">
        <v>20</v>
      </c>
      <c r="I128" s="165" t="s">
        <v>21</v>
      </c>
      <c r="J128" s="230">
        <v>45694</v>
      </c>
      <c r="K128" s="226">
        <v>45744</v>
      </c>
      <c r="L128" s="532"/>
      <c r="M128" s="226" t="s">
        <v>22</v>
      </c>
      <c r="N128" s="511">
        <f>Table2[[#This Row],[Effectiveness Review &amp; date deemed effective]]-Table2[[#This Row],[CAR initialized date]]</f>
        <v>50</v>
      </c>
    </row>
    <row r="129" spans="1:14" ht="18.75">
      <c r="A129" s="227" t="s">
        <v>167</v>
      </c>
      <c r="B129" s="2">
        <f>VLOOKUP(Table2[[#This Row],[Location 
(drop-down)]],Table14[[Location]:[Location ID]],2,FALSE)</f>
        <v>146</v>
      </c>
      <c r="C129" s="254" t="s">
        <v>394</v>
      </c>
      <c r="D129" s="378" t="s">
        <v>395</v>
      </c>
      <c r="E129" s="254" t="s">
        <v>18</v>
      </c>
      <c r="F129" s="254"/>
      <c r="G129" s="227" t="s">
        <v>396</v>
      </c>
      <c r="H129" s="165" t="s">
        <v>68</v>
      </c>
      <c r="I129" s="165" t="s">
        <v>69</v>
      </c>
      <c r="J129" s="230">
        <v>45615</v>
      </c>
      <c r="K129" s="226">
        <v>45748</v>
      </c>
      <c r="L129" s="532"/>
      <c r="M129" s="2" t="s">
        <v>22</v>
      </c>
      <c r="N129" s="511">
        <f>Table2[[#This Row],[Effectiveness Review &amp; date deemed effective]]-Table2[[#This Row],[CAR initialized date]]</f>
        <v>133</v>
      </c>
    </row>
    <row r="130" spans="1:14" ht="18.75">
      <c r="A130" s="227" t="s">
        <v>73</v>
      </c>
      <c r="B130" s="2">
        <f>VLOOKUP(Table2[[#This Row],[Location 
(drop-down)]],Table14[[Location]:[Location ID]],2,FALSE)</f>
        <v>160</v>
      </c>
      <c r="C130" s="254" t="s">
        <v>397</v>
      </c>
      <c r="D130" s="378" t="s">
        <v>398</v>
      </c>
      <c r="E130" s="254" t="s">
        <v>18</v>
      </c>
      <c r="F130" s="254"/>
      <c r="G130" s="227" t="s">
        <v>396</v>
      </c>
      <c r="H130" s="165" t="s">
        <v>201</v>
      </c>
      <c r="I130" s="230" t="s">
        <v>69</v>
      </c>
      <c r="J130" s="230">
        <v>45511</v>
      </c>
      <c r="K130" s="226">
        <v>45748</v>
      </c>
      <c r="L130" s="532"/>
      <c r="M130" s="2" t="s">
        <v>22</v>
      </c>
      <c r="N130" s="511">
        <f>Table2[[#This Row],[Effectiveness Review &amp; date deemed effective]]-Table2[[#This Row],[CAR initialized date]]</f>
        <v>237</v>
      </c>
    </row>
    <row r="131" spans="1:14" ht="18.75">
      <c r="A131" s="227" t="s">
        <v>399</v>
      </c>
      <c r="B131" s="2">
        <f>VLOOKUP(Table2[[#This Row],[Location 
(drop-down)]],Table14[[Location]:[Location ID]],2,FALSE)</f>
        <v>198</v>
      </c>
      <c r="C131" s="254" t="s">
        <v>400</v>
      </c>
      <c r="D131" s="378" t="s">
        <v>401</v>
      </c>
      <c r="E131" s="254" t="s">
        <v>18</v>
      </c>
      <c r="F131" s="254"/>
      <c r="G131" s="227" t="s">
        <v>255</v>
      </c>
      <c r="H131" s="165" t="s">
        <v>20</v>
      </c>
      <c r="I131" s="230" t="s">
        <v>47</v>
      </c>
      <c r="J131" s="230">
        <v>45530</v>
      </c>
      <c r="K131" s="226">
        <v>45749</v>
      </c>
      <c r="L131" s="532"/>
      <c r="M131" s="2" t="s">
        <v>22</v>
      </c>
      <c r="N131" s="511">
        <f>Table2[[#This Row],[Effectiveness Review &amp; date deemed effective]]-Table2[[#This Row],[CAR initialized date]]</f>
        <v>219</v>
      </c>
    </row>
    <row r="132" spans="1:14" ht="18.75">
      <c r="A132" s="227" t="s">
        <v>30</v>
      </c>
      <c r="B132" s="2">
        <f>VLOOKUP(Table2[[#This Row],[Location 
(drop-down)]],Table14[[Location]:[Location ID]],2,FALSE)</f>
        <v>132</v>
      </c>
      <c r="C132" s="254" t="s">
        <v>402</v>
      </c>
      <c r="D132" s="378" t="s">
        <v>403</v>
      </c>
      <c r="E132" s="254" t="s">
        <v>18</v>
      </c>
      <c r="F132" s="254"/>
      <c r="G132" s="227" t="s">
        <v>404</v>
      </c>
      <c r="H132" s="165" t="s">
        <v>68</v>
      </c>
      <c r="I132" s="230" t="s">
        <v>47</v>
      </c>
      <c r="J132" s="230">
        <v>45517</v>
      </c>
      <c r="K132" s="226">
        <v>45785</v>
      </c>
      <c r="L132" s="532"/>
      <c r="M132" s="2" t="str">
        <f ca="1">IF(ISBLANK([1]!Table2[[#This Row],[Complete corrective actions (Approved Date)]]), TODAY()-[1]!Table2[[#This Row],[CAR initialized date]], "CLOSED")</f>
        <v>CLOSED</v>
      </c>
      <c r="N132" s="511">
        <f>Table2[[#This Row],[Effectiveness Review &amp; date deemed effective]]-Table2[[#This Row],[CAR initialized date]]</f>
        <v>268</v>
      </c>
    </row>
    <row r="133" spans="1:14" ht="18.75">
      <c r="A133" s="227" t="s">
        <v>294</v>
      </c>
      <c r="B133" s="2">
        <f>VLOOKUP(Table2[[#This Row],[Location 
(drop-down)]],Table14[[Location]:[Location ID]],2,FALSE)</f>
        <v>155</v>
      </c>
      <c r="C133" s="254" t="s">
        <v>405</v>
      </c>
      <c r="D133" s="379" t="str">
        <f>"C" &amp; C133 &amp;"-" &amp; B133 &amp; "-" &amp; "25"</f>
        <v>C066-155-25</v>
      </c>
      <c r="E133" s="254" t="s">
        <v>18</v>
      </c>
      <c r="F133" s="254"/>
      <c r="G133" s="227" t="s">
        <v>406</v>
      </c>
      <c r="H133" s="165" t="s">
        <v>68</v>
      </c>
      <c r="I133" s="165" t="s">
        <v>21</v>
      </c>
      <c r="J133" s="230">
        <v>45706</v>
      </c>
      <c r="K133" s="226">
        <v>45754</v>
      </c>
      <c r="L133" s="532"/>
      <c r="M133" s="226" t="s">
        <v>22</v>
      </c>
      <c r="N133" s="511">
        <f>Table2[[#This Row],[Effectiveness Review &amp; date deemed effective]]-Table2[[#This Row],[CAR initialized date]]</f>
        <v>48</v>
      </c>
    </row>
    <row r="134" spans="1:14" ht="18.75">
      <c r="A134" s="227" t="s">
        <v>139</v>
      </c>
      <c r="B134" s="2">
        <f>VLOOKUP(Table2[[#This Row],[Location 
(drop-down)]],Table14[[Location]:[Location ID]],2,FALSE)</f>
        <v>191</v>
      </c>
      <c r="C134" s="254" t="s">
        <v>407</v>
      </c>
      <c r="D134" s="378" t="s">
        <v>408</v>
      </c>
      <c r="E134" s="254" t="s">
        <v>26</v>
      </c>
      <c r="F134" s="254" t="s">
        <v>151</v>
      </c>
      <c r="G134" s="227" t="s">
        <v>409</v>
      </c>
      <c r="H134" s="165" t="s">
        <v>20</v>
      </c>
      <c r="I134" s="165" t="s">
        <v>69</v>
      </c>
      <c r="J134" s="230">
        <v>45637</v>
      </c>
      <c r="K134" s="226">
        <v>45754</v>
      </c>
      <c r="L134" s="532"/>
      <c r="M134" s="2" t="s">
        <v>22</v>
      </c>
      <c r="N134" s="511">
        <f>Table2[[#This Row],[Effectiveness Review &amp; date deemed effective]]-Table2[[#This Row],[CAR initialized date]]</f>
        <v>117</v>
      </c>
    </row>
    <row r="135" spans="1:14" ht="18.75">
      <c r="A135" s="227" t="s">
        <v>253</v>
      </c>
      <c r="B135" s="2">
        <f>VLOOKUP(Table2[[#This Row],[Location 
(drop-down)]],Table14[[Location]:[Location ID]],2,FALSE)</f>
        <v>178</v>
      </c>
      <c r="C135" s="254" t="s">
        <v>410</v>
      </c>
      <c r="D135" s="379" t="str">
        <f>"C" &amp; C135 &amp;"-" &amp; B135 &amp; "-" &amp; "25"</f>
        <v>C042-178-25</v>
      </c>
      <c r="E135" s="254" t="s">
        <v>18</v>
      </c>
      <c r="F135" s="254"/>
      <c r="G135" s="227" t="s">
        <v>411</v>
      </c>
      <c r="H135" s="165" t="s">
        <v>68</v>
      </c>
      <c r="I135" s="165" t="s">
        <v>47</v>
      </c>
      <c r="J135" s="230">
        <v>45695</v>
      </c>
      <c r="K135" s="226">
        <v>45754</v>
      </c>
      <c r="L135" s="532"/>
      <c r="M135" s="226" t="s">
        <v>22</v>
      </c>
      <c r="N135" s="511">
        <f>Table2[[#This Row],[Effectiveness Review &amp; date deemed effective]]-Table2[[#This Row],[CAR initialized date]]</f>
        <v>59</v>
      </c>
    </row>
    <row r="136" spans="1:14" ht="18.75">
      <c r="A136" s="227" t="s">
        <v>253</v>
      </c>
      <c r="B136" s="2">
        <f>VLOOKUP(Table2[[#This Row],[Location 
(drop-down)]],Table14[[Location]:[Location ID]],2,FALSE)</f>
        <v>178</v>
      </c>
      <c r="C136" s="254" t="s">
        <v>412</v>
      </c>
      <c r="D136" s="379" t="str">
        <f>"C" &amp; C136 &amp;"-" &amp; B136 &amp; "-" &amp; "25"</f>
        <v>C043-178-25</v>
      </c>
      <c r="E136" s="254" t="s">
        <v>18</v>
      </c>
      <c r="F136" s="254"/>
      <c r="G136" s="227" t="s">
        <v>413</v>
      </c>
      <c r="H136" s="165" t="s">
        <v>68</v>
      </c>
      <c r="I136" s="165" t="s">
        <v>47</v>
      </c>
      <c r="J136" s="230">
        <v>45695</v>
      </c>
      <c r="K136" s="226">
        <v>45754</v>
      </c>
      <c r="L136" s="532"/>
      <c r="M136" s="226" t="s">
        <v>22</v>
      </c>
      <c r="N136" s="511">
        <f>Table2[[#This Row],[Effectiveness Review &amp; date deemed effective]]-Table2[[#This Row],[CAR initialized date]]</f>
        <v>59</v>
      </c>
    </row>
    <row r="137" spans="1:14" ht="18.75">
      <c r="A137" s="227" t="s">
        <v>30</v>
      </c>
      <c r="B137" s="2">
        <f>VLOOKUP(Table2[[#This Row],[Location 
(drop-down)]],Table14[[Location]:[Location ID]],2,FALSE)</f>
        <v>132</v>
      </c>
      <c r="C137" s="254" t="s">
        <v>414</v>
      </c>
      <c r="D137" s="378" t="s">
        <v>415</v>
      </c>
      <c r="E137" s="254" t="s">
        <v>18</v>
      </c>
      <c r="F137" s="254"/>
      <c r="G137" s="242" t="s">
        <v>416</v>
      </c>
      <c r="H137" s="165" t="s">
        <v>20</v>
      </c>
      <c r="I137" s="230" t="s">
        <v>47</v>
      </c>
      <c r="J137" s="230">
        <v>45517</v>
      </c>
      <c r="K137" s="226">
        <v>45845</v>
      </c>
      <c r="L137" s="532"/>
      <c r="M137" s="2" t="str">
        <f ca="1">IF(ISBLANK([1]!Table2[[#This Row],[Complete corrective actions (Approved Date)]]), TODAY()-[1]!Table2[[#This Row],[CAR initialized date]], "CLOSED")</f>
        <v>CLOSED</v>
      </c>
      <c r="N137" s="511">
        <f>Table2[[#This Row],[Effectiveness Review &amp; date deemed effective]]-Table2[[#This Row],[CAR initialized date]]</f>
        <v>328</v>
      </c>
    </row>
    <row r="138" spans="1:14" ht="18.75">
      <c r="A138" s="227" t="s">
        <v>399</v>
      </c>
      <c r="B138" s="2">
        <f>VLOOKUP(Table2[[#This Row],[Location 
(drop-down)]],Table14[[Location]:[Location ID]],2,FALSE)</f>
        <v>198</v>
      </c>
      <c r="C138" s="254" t="s">
        <v>417</v>
      </c>
      <c r="D138" s="379" t="str">
        <f>"C" &amp; C138 &amp;"-" &amp; B138 &amp; "-" &amp; "25"</f>
        <v>C118-198-25</v>
      </c>
      <c r="E138" s="254" t="s">
        <v>86</v>
      </c>
      <c r="F138" s="254" t="s">
        <v>158</v>
      </c>
      <c r="G138" s="227" t="s">
        <v>418</v>
      </c>
      <c r="H138" s="165" t="s">
        <v>20</v>
      </c>
      <c r="I138" s="165" t="s">
        <v>118</v>
      </c>
      <c r="J138" s="230">
        <v>45723</v>
      </c>
      <c r="K138" s="226">
        <v>45755</v>
      </c>
      <c r="L138" s="532"/>
      <c r="M138" s="226" t="s">
        <v>22</v>
      </c>
      <c r="N138" s="511">
        <f>Table2[[#This Row],[Effectiveness Review &amp; date deemed effective]]-Table2[[#This Row],[CAR initialized date]]</f>
        <v>32</v>
      </c>
    </row>
    <row r="139" spans="1:14" ht="18.75">
      <c r="A139" s="227" t="s">
        <v>399</v>
      </c>
      <c r="B139" s="2">
        <f>VLOOKUP(Table2[[#This Row],[Location 
(drop-down)]],Table14[[Location]:[Location ID]],2,FALSE)</f>
        <v>198</v>
      </c>
      <c r="C139" s="254" t="s">
        <v>419</v>
      </c>
      <c r="D139" s="379" t="str">
        <f>"C" &amp; C139 &amp;"-" &amp; B139 &amp; "-" &amp; "25"</f>
        <v>C119-198-25</v>
      </c>
      <c r="E139" s="254" t="s">
        <v>86</v>
      </c>
      <c r="F139" s="254" t="s">
        <v>158</v>
      </c>
      <c r="G139" s="227" t="s">
        <v>420</v>
      </c>
      <c r="H139" s="165" t="s">
        <v>20</v>
      </c>
      <c r="I139" s="165" t="s">
        <v>118</v>
      </c>
      <c r="J139" s="230">
        <v>45723</v>
      </c>
      <c r="K139" s="226">
        <v>45755</v>
      </c>
      <c r="L139" s="532"/>
      <c r="M139" s="226" t="s">
        <v>22</v>
      </c>
      <c r="N139" s="511">
        <f>Table2[[#This Row],[Effectiveness Review &amp; date deemed effective]]-Table2[[#This Row],[CAR initialized date]]</f>
        <v>32</v>
      </c>
    </row>
    <row r="140" spans="1:14" ht="18.75">
      <c r="A140" s="227" t="s">
        <v>160</v>
      </c>
      <c r="B140" s="2">
        <f>VLOOKUP(Table2[[#This Row],[Location 
(drop-down)]],Table14[[Location]:[Location ID]],2,FALSE)</f>
        <v>128</v>
      </c>
      <c r="C140" s="254" t="s">
        <v>421</v>
      </c>
      <c r="D140" s="379" t="str">
        <f>"C" &amp; C140 &amp;"-" &amp; B140 &amp; "-" &amp; "25"</f>
        <v>C094-128-25</v>
      </c>
      <c r="E140" s="254" t="s">
        <v>18</v>
      </c>
      <c r="F140" s="254"/>
      <c r="G140" s="227" t="s">
        <v>422</v>
      </c>
      <c r="H140" s="165" t="s">
        <v>20</v>
      </c>
      <c r="I140" s="165" t="s">
        <v>69</v>
      </c>
      <c r="J140" s="230">
        <v>45709</v>
      </c>
      <c r="K140" s="226">
        <v>45755</v>
      </c>
      <c r="L140" s="532"/>
      <c r="M140" s="226" t="s">
        <v>22</v>
      </c>
      <c r="N140" s="511">
        <f>Table2[[#This Row],[Effectiveness Review &amp; date deemed effective]]-Table2[[#This Row],[CAR initialized date]]</f>
        <v>46</v>
      </c>
    </row>
    <row r="141" spans="1:14" ht="18.75">
      <c r="A141" s="227" t="s">
        <v>39</v>
      </c>
      <c r="B141" s="2">
        <f>VLOOKUP(Table2[[#This Row],[Location 
(drop-down)]],Table14[[Location]:[Location ID]],2,FALSE)</f>
        <v>120</v>
      </c>
      <c r="C141" s="254" t="s">
        <v>423</v>
      </c>
      <c r="D141" s="379" t="str">
        <f>"C" &amp; C141 &amp;"-" &amp; B141 &amp; "-" &amp; "25"</f>
        <v>C117-120-25</v>
      </c>
      <c r="E141" s="254" t="s">
        <v>26</v>
      </c>
      <c r="F141" s="254" t="s">
        <v>424</v>
      </c>
      <c r="G141" s="227" t="s">
        <v>425</v>
      </c>
      <c r="H141" s="165" t="s">
        <v>20</v>
      </c>
      <c r="I141" s="165" t="s">
        <v>69</v>
      </c>
      <c r="J141" s="230">
        <v>45721</v>
      </c>
      <c r="K141" s="226">
        <v>45755</v>
      </c>
      <c r="L141" s="532"/>
      <c r="M141" s="226" t="s">
        <v>22</v>
      </c>
      <c r="N141" s="511">
        <f>Table2[[#This Row],[Effectiveness Review &amp; date deemed effective]]-Table2[[#This Row],[CAR initialized date]]</f>
        <v>34</v>
      </c>
    </row>
    <row r="142" spans="1:14" ht="18.75">
      <c r="A142" s="227" t="s">
        <v>167</v>
      </c>
      <c r="B142" s="2">
        <f>VLOOKUP(Table2[[#This Row],[Location 
(drop-down)]],Table14[[Location]:[Location ID]],2,FALSE)</f>
        <v>146</v>
      </c>
      <c r="C142" s="254" t="s">
        <v>426</v>
      </c>
      <c r="D142" s="378" t="s">
        <v>427</v>
      </c>
      <c r="E142" s="254" t="s">
        <v>18</v>
      </c>
      <c r="F142" s="254"/>
      <c r="G142" s="227" t="s">
        <v>236</v>
      </c>
      <c r="H142" s="165" t="s">
        <v>20</v>
      </c>
      <c r="I142" s="165" t="s">
        <v>69</v>
      </c>
      <c r="J142" s="230">
        <v>45615</v>
      </c>
      <c r="K142" s="226">
        <v>45755</v>
      </c>
      <c r="L142" s="532"/>
      <c r="M142" s="2" t="s">
        <v>22</v>
      </c>
      <c r="N142" s="511">
        <f>Table2[[#This Row],[Effectiveness Review &amp; date deemed effective]]-Table2[[#This Row],[CAR initialized date]]</f>
        <v>140</v>
      </c>
    </row>
    <row r="143" spans="1:14" ht="18.75">
      <c r="A143" s="227" t="s">
        <v>119</v>
      </c>
      <c r="B143" s="2">
        <f>VLOOKUP(Table2[[#This Row],[Location 
(drop-down)]],Table14[[Location]:[Location ID]],2,FALSE)</f>
        <v>131</v>
      </c>
      <c r="C143" s="254" t="s">
        <v>428</v>
      </c>
      <c r="D143" s="379" t="str">
        <f>"C" &amp; C143 &amp;"-" &amp; B143 &amp; "-" &amp; "25"</f>
        <v>C028-131-25</v>
      </c>
      <c r="E143" s="254" t="s">
        <v>18</v>
      </c>
      <c r="F143" s="254"/>
      <c r="G143" s="227" t="s">
        <v>429</v>
      </c>
      <c r="H143" s="165" t="s">
        <v>20</v>
      </c>
      <c r="I143" s="165" t="s">
        <v>239</v>
      </c>
      <c r="J143" s="230">
        <v>45687</v>
      </c>
      <c r="K143" s="226">
        <v>45756</v>
      </c>
      <c r="L143" s="532"/>
      <c r="M143" s="226" t="s">
        <v>22</v>
      </c>
      <c r="N143" s="511">
        <f>Table2[[#This Row],[Effectiveness Review &amp; date deemed effective]]-Table2[[#This Row],[CAR initialized date]]</f>
        <v>69</v>
      </c>
    </row>
    <row r="144" spans="1:14" ht="18.75">
      <c r="A144" s="227" t="s">
        <v>119</v>
      </c>
      <c r="B144" s="2">
        <f>VLOOKUP(Table2[[#This Row],[Location 
(drop-down)]],Table14[[Location]:[Location ID]],2,FALSE)</f>
        <v>131</v>
      </c>
      <c r="C144" s="254" t="s">
        <v>430</v>
      </c>
      <c r="D144" s="379" t="str">
        <f>"C" &amp; C144 &amp;"-" &amp; B144 &amp; "-" &amp; "25"</f>
        <v>C031-131-25</v>
      </c>
      <c r="E144" s="254" t="s">
        <v>18</v>
      </c>
      <c r="F144" s="254"/>
      <c r="G144" s="115" t="s">
        <v>431</v>
      </c>
      <c r="H144" s="165" t="s">
        <v>20</v>
      </c>
      <c r="I144" s="165" t="s">
        <v>239</v>
      </c>
      <c r="J144" s="230">
        <v>45687</v>
      </c>
      <c r="K144" s="226">
        <v>45756</v>
      </c>
      <c r="L144" s="532"/>
      <c r="M144" s="226" t="s">
        <v>22</v>
      </c>
      <c r="N144" s="511">
        <f>Table2[[#This Row],[Effectiveness Review &amp; date deemed effective]]-Table2[[#This Row],[CAR initialized date]]</f>
        <v>69</v>
      </c>
    </row>
    <row r="145" spans="1:14" ht="18.75">
      <c r="A145" s="227" t="s">
        <v>432</v>
      </c>
      <c r="B145" s="2">
        <f>VLOOKUP(Table2[[#This Row],[Location 
(drop-down)]],Table14[[Location]:[Location ID]],2,FALSE)</f>
        <v>125</v>
      </c>
      <c r="C145" s="254" t="s">
        <v>433</v>
      </c>
      <c r="D145" s="379" t="str">
        <f>"C" &amp; C145 &amp;"-" &amp; B145 &amp; "-" &amp; "25"</f>
        <v>C137-125-25</v>
      </c>
      <c r="E145" s="254" t="s">
        <v>18</v>
      </c>
      <c r="F145" s="254"/>
      <c r="G145" s="227" t="s">
        <v>434</v>
      </c>
      <c r="H145" s="165" t="s">
        <v>20</v>
      </c>
      <c r="I145" s="165" t="s">
        <v>47</v>
      </c>
      <c r="J145" s="230">
        <v>45740</v>
      </c>
      <c r="K145" s="226">
        <v>45758</v>
      </c>
      <c r="L145" s="532"/>
      <c r="M145" s="226" t="s">
        <v>22</v>
      </c>
      <c r="N145" s="511">
        <f>Table2[[#This Row],[Effectiveness Review &amp; date deemed effective]]-Table2[[#This Row],[CAR initialized date]]</f>
        <v>18</v>
      </c>
    </row>
    <row r="146" spans="1:14" ht="18.75">
      <c r="A146" s="227" t="s">
        <v>39</v>
      </c>
      <c r="B146" s="2">
        <f>VLOOKUP(Table2[[#This Row],[Location 
(drop-down)]],Table14[[Location]:[Location ID]],2,FALSE)</f>
        <v>120</v>
      </c>
      <c r="C146" s="254" t="s">
        <v>435</v>
      </c>
      <c r="D146" s="379" t="str">
        <f>"C" &amp; C146 &amp;"-" &amp; B146 &amp; "-" &amp; "25"</f>
        <v>C116-120-25</v>
      </c>
      <c r="E146" s="254" t="s">
        <v>26</v>
      </c>
      <c r="F146" s="254" t="s">
        <v>424</v>
      </c>
      <c r="G146" s="227" t="s">
        <v>436</v>
      </c>
      <c r="H146" s="165" t="s">
        <v>20</v>
      </c>
      <c r="I146" s="165" t="s">
        <v>69</v>
      </c>
      <c r="J146" s="230">
        <v>45721</v>
      </c>
      <c r="K146" s="226">
        <v>45758</v>
      </c>
      <c r="L146" s="532"/>
      <c r="M146" s="226" t="s">
        <v>22</v>
      </c>
      <c r="N146" s="511">
        <f>Table2[[#This Row],[Effectiveness Review &amp; date deemed effective]]-Table2[[#This Row],[CAR initialized date]]</f>
        <v>37</v>
      </c>
    </row>
    <row r="147" spans="1:14" ht="18.75">
      <c r="A147" s="227" t="s">
        <v>15</v>
      </c>
      <c r="B147" s="2">
        <f>VLOOKUP(Table2[[#This Row],[Location 
(drop-down)]],Table14[[Location]:[Location ID]],2,FALSE)</f>
        <v>197</v>
      </c>
      <c r="C147" s="254" t="s">
        <v>437</v>
      </c>
      <c r="D147" s="378" t="s">
        <v>438</v>
      </c>
      <c r="E147" s="254" t="s">
        <v>18</v>
      </c>
      <c r="F147" s="254"/>
      <c r="G147" s="227" t="s">
        <v>439</v>
      </c>
      <c r="H147" s="165" t="s">
        <v>20</v>
      </c>
      <c r="I147" s="230" t="s">
        <v>21</v>
      </c>
      <c r="J147" s="230">
        <v>45533</v>
      </c>
      <c r="K147" s="226">
        <v>45758</v>
      </c>
      <c r="L147" s="532"/>
      <c r="M147" s="2" t="s">
        <v>22</v>
      </c>
      <c r="N147" s="511">
        <f>Table2[[#This Row],[Effectiveness Review &amp; date deemed effective]]-Table2[[#This Row],[CAR initialized date]]</f>
        <v>225</v>
      </c>
    </row>
    <row r="148" spans="1:14" ht="18.75">
      <c r="A148" s="227" t="s">
        <v>399</v>
      </c>
      <c r="B148" s="2">
        <f>VLOOKUP(Table2[[#This Row],[Location 
(drop-down)]],Table14[[Location]:[Location ID]],2,FALSE)</f>
        <v>198</v>
      </c>
      <c r="C148" s="254" t="s">
        <v>440</v>
      </c>
      <c r="D148" s="378" t="s">
        <v>441</v>
      </c>
      <c r="E148" s="254" t="s">
        <v>18</v>
      </c>
      <c r="F148" s="254"/>
      <c r="G148" s="227" t="s">
        <v>291</v>
      </c>
      <c r="H148" s="165" t="s">
        <v>20</v>
      </c>
      <c r="I148" s="230" t="s">
        <v>47</v>
      </c>
      <c r="J148" s="230">
        <v>45530</v>
      </c>
      <c r="K148" s="226">
        <v>45762</v>
      </c>
      <c r="L148" s="532"/>
      <c r="M148" s="2" t="s">
        <v>22</v>
      </c>
      <c r="N148" s="511">
        <f>Table2[[#This Row],[Effectiveness Review &amp; date deemed effective]]-Table2[[#This Row],[CAR initialized date]]</f>
        <v>232</v>
      </c>
    </row>
    <row r="149" spans="1:14" ht="18.75">
      <c r="A149" s="227" t="s">
        <v>30</v>
      </c>
      <c r="B149" s="2">
        <f>VLOOKUP(Table2[[#This Row],[Location 
(drop-down)]],Table14[[Location]:[Location ID]],2,FALSE)</f>
        <v>132</v>
      </c>
      <c r="C149" s="254" t="s">
        <v>442</v>
      </c>
      <c r="D149" s="378" t="s">
        <v>443</v>
      </c>
      <c r="E149" s="254" t="s">
        <v>18</v>
      </c>
      <c r="F149" s="254"/>
      <c r="G149" s="227" t="s">
        <v>444</v>
      </c>
      <c r="H149" s="165" t="s">
        <v>20</v>
      </c>
      <c r="I149" s="230" t="s">
        <v>47</v>
      </c>
      <c r="J149" s="230">
        <v>45517</v>
      </c>
      <c r="K149" s="226">
        <v>45927</v>
      </c>
      <c r="L149" s="532"/>
      <c r="M149" s="2" t="str">
        <f ca="1">IF(ISBLANK([1]!Table2[[#This Row],[Complete corrective actions (Approved Date)]]), TODAY()-[1]!Table2[[#This Row],[CAR initialized date]], "CLOSED")</f>
        <v>CLOSED</v>
      </c>
      <c r="N149" s="511">
        <f>Table2[[#This Row],[Effectiveness Review &amp; date deemed effective]]-Table2[[#This Row],[CAR initialized date]]</f>
        <v>410</v>
      </c>
    </row>
    <row r="150" spans="1:14" ht="18.75">
      <c r="A150" s="227" t="s">
        <v>209</v>
      </c>
      <c r="B150" s="2">
        <f>VLOOKUP(Table2[[#This Row],[Location 
(drop-down)]],Table14[[Location]:[Location ID]],2,FALSE)</f>
        <v>101</v>
      </c>
      <c r="C150" s="254" t="s">
        <v>445</v>
      </c>
      <c r="D150" s="379" t="str">
        <f>"C" &amp; C150 &amp;"-" &amp; B150 &amp; "-" &amp; "25"</f>
        <v>C079-101-25</v>
      </c>
      <c r="E150" s="254" t="s">
        <v>120</v>
      </c>
      <c r="F150" s="254"/>
      <c r="G150" s="242" t="s">
        <v>446</v>
      </c>
      <c r="H150" s="165" t="s">
        <v>68</v>
      </c>
      <c r="I150" s="165" t="s">
        <v>21</v>
      </c>
      <c r="J150" s="230">
        <v>45707</v>
      </c>
      <c r="K150" s="226">
        <v>45763</v>
      </c>
      <c r="L150" s="532"/>
      <c r="M150" s="226" t="s">
        <v>22</v>
      </c>
      <c r="N150" s="511">
        <f>Table2[[#This Row],[Effectiveness Review &amp; date deemed effective]]-Table2[[#This Row],[CAR initialized date]]</f>
        <v>56</v>
      </c>
    </row>
    <row r="151" spans="1:14" ht="18.75">
      <c r="A151" s="227" t="s">
        <v>432</v>
      </c>
      <c r="B151" s="2">
        <f>VLOOKUP(Table2[[#This Row],[Location 
(drop-down)]],Table14[[Location]:[Location ID]],2,FALSE)</f>
        <v>125</v>
      </c>
      <c r="C151" s="254" t="s">
        <v>447</v>
      </c>
      <c r="D151" s="379" t="str">
        <f>"C" &amp; C151 &amp;"-" &amp; B151 &amp; "-" &amp; "25"</f>
        <v>C135-125-25</v>
      </c>
      <c r="E151" s="254" t="s">
        <v>18</v>
      </c>
      <c r="F151" s="254"/>
      <c r="G151" s="89" t="s">
        <v>448</v>
      </c>
      <c r="H151" s="254" t="s">
        <v>20</v>
      </c>
      <c r="I151" s="165" t="s">
        <v>47</v>
      </c>
      <c r="J151" s="230">
        <v>45740</v>
      </c>
      <c r="K151" s="226">
        <v>45764</v>
      </c>
      <c r="L151" s="532"/>
      <c r="M151" s="226" t="s">
        <v>22</v>
      </c>
      <c r="N151" s="511">
        <f>Table2[[#This Row],[Effectiveness Review &amp; date deemed effective]]-Table2[[#This Row],[CAR initialized date]]</f>
        <v>24</v>
      </c>
    </row>
    <row r="152" spans="1:14" ht="18.75">
      <c r="A152" s="227" t="s">
        <v>53</v>
      </c>
      <c r="B152" s="2">
        <f>VLOOKUP(Table2[[#This Row],[Location 
(drop-down)]],Table14[[Location]:[Location ID]],2,FALSE)</f>
        <v>158</v>
      </c>
      <c r="C152" s="254" t="s">
        <v>449</v>
      </c>
      <c r="D152" s="379" t="str">
        <f>"C" &amp; C152 &amp;"-" &amp; B152 &amp; "-" &amp; "25"</f>
        <v>C014-158-25</v>
      </c>
      <c r="E152" s="254" t="s">
        <v>18</v>
      </c>
      <c r="F152" s="254"/>
      <c r="G152" s="227" t="s">
        <v>450</v>
      </c>
      <c r="H152" s="165" t="s">
        <v>20</v>
      </c>
      <c r="I152" s="165" t="s">
        <v>69</v>
      </c>
      <c r="J152" s="230">
        <v>45684</v>
      </c>
      <c r="K152" s="226">
        <v>45768</v>
      </c>
      <c r="L152" s="532"/>
      <c r="M152" s="226" t="s">
        <v>22</v>
      </c>
      <c r="N152" s="511">
        <f>Table2[[#This Row],[Effectiveness Review &amp; date deemed effective]]-Table2[[#This Row],[CAR initialized date]]</f>
        <v>84</v>
      </c>
    </row>
    <row r="153" spans="1:14" ht="18.75">
      <c r="A153" s="227" t="s">
        <v>53</v>
      </c>
      <c r="B153" s="2">
        <f>VLOOKUP(Table2[[#This Row],[Location 
(drop-down)]],Table14[[Location]:[Location ID]],2,FALSE)</f>
        <v>158</v>
      </c>
      <c r="C153" s="254" t="s">
        <v>451</v>
      </c>
      <c r="D153" s="379" t="str">
        <f>"C" &amp; C153 &amp;"-" &amp; B153 &amp; "-" &amp; "25"</f>
        <v>C016-158-25</v>
      </c>
      <c r="E153" s="254" t="s">
        <v>18</v>
      </c>
      <c r="F153" s="418"/>
      <c r="G153" s="227" t="s">
        <v>452</v>
      </c>
      <c r="H153" s="165" t="s">
        <v>20</v>
      </c>
      <c r="I153" s="165" t="s">
        <v>69</v>
      </c>
      <c r="J153" s="230">
        <v>45684</v>
      </c>
      <c r="K153" s="226">
        <v>45768</v>
      </c>
      <c r="L153" s="532"/>
      <c r="M153" s="226" t="s">
        <v>22</v>
      </c>
      <c r="N153" s="511">
        <f>Table2[[#This Row],[Effectiveness Review &amp; date deemed effective]]-Table2[[#This Row],[CAR initialized date]]</f>
        <v>84</v>
      </c>
    </row>
    <row r="154" spans="1:14" ht="18.75">
      <c r="A154" s="227" t="s">
        <v>453</v>
      </c>
      <c r="B154" s="2">
        <f>VLOOKUP(Table2[[#This Row],[Location 
(drop-down)]],Table14[[Location]:[Location ID]],2,FALSE)</f>
        <v>138</v>
      </c>
      <c r="C154" s="254" t="s">
        <v>454</v>
      </c>
      <c r="D154" s="379" t="str">
        <f>"C" &amp; C154 &amp;"-" &amp; B154 &amp; "-" &amp; "25"</f>
        <v>C100-138-25</v>
      </c>
      <c r="E154" s="254" t="s">
        <v>18</v>
      </c>
      <c r="F154" s="254"/>
      <c r="G154" s="227" t="s">
        <v>455</v>
      </c>
      <c r="H154" s="165" t="s">
        <v>201</v>
      </c>
      <c r="I154" s="165" t="s">
        <v>47</v>
      </c>
      <c r="J154" s="230">
        <v>45716</v>
      </c>
      <c r="K154" s="226">
        <v>45768</v>
      </c>
      <c r="L154" s="532"/>
      <c r="M154" s="226" t="s">
        <v>22</v>
      </c>
      <c r="N154" s="511">
        <f>Table2[[#This Row],[Effectiveness Review &amp; date deemed effective]]-Table2[[#This Row],[CAR initialized date]]</f>
        <v>52</v>
      </c>
    </row>
    <row r="155" spans="1:14" ht="18.75">
      <c r="A155" s="227" t="s">
        <v>453</v>
      </c>
      <c r="B155" s="2">
        <f>VLOOKUP(Table2[[#This Row],[Location 
(drop-down)]],Table14[[Location]:[Location ID]],2,FALSE)</f>
        <v>138</v>
      </c>
      <c r="C155" s="254" t="s">
        <v>456</v>
      </c>
      <c r="D155" s="379" t="str">
        <f>"C" &amp; C155 &amp;"-" &amp; B155 &amp; "-" &amp; "25"</f>
        <v>C103-138-25</v>
      </c>
      <c r="E155" s="254" t="s">
        <v>18</v>
      </c>
      <c r="F155" s="254"/>
      <c r="G155" s="242" t="s">
        <v>457</v>
      </c>
      <c r="H155" s="165" t="s">
        <v>20</v>
      </c>
      <c r="I155" s="165" t="s">
        <v>47</v>
      </c>
      <c r="J155" s="230">
        <v>45716</v>
      </c>
      <c r="K155" s="226">
        <v>45768</v>
      </c>
      <c r="L155" s="532"/>
      <c r="M155" s="226" t="s">
        <v>22</v>
      </c>
      <c r="N155" s="511">
        <f>Table2[[#This Row],[Effectiveness Review &amp; date deemed effective]]-Table2[[#This Row],[CAR initialized date]]</f>
        <v>52</v>
      </c>
    </row>
    <row r="156" spans="1:14" ht="18.75">
      <c r="A156" s="227" t="s">
        <v>160</v>
      </c>
      <c r="B156" s="2">
        <f>VLOOKUP(Table2[[#This Row],[Location 
(drop-down)]],Table14[[Location]:[Location ID]],2,FALSE)</f>
        <v>128</v>
      </c>
      <c r="C156" s="254" t="s">
        <v>458</v>
      </c>
      <c r="D156" s="379" t="str">
        <f>"C" &amp; C156 &amp;"-" &amp; B156 &amp; "-" &amp; "25"</f>
        <v>C091-128-25</v>
      </c>
      <c r="E156" s="254" t="s">
        <v>18</v>
      </c>
      <c r="F156" s="254"/>
      <c r="G156" s="227" t="s">
        <v>459</v>
      </c>
      <c r="H156" s="165" t="s">
        <v>20</v>
      </c>
      <c r="I156" s="165" t="s">
        <v>69</v>
      </c>
      <c r="J156" s="230">
        <v>45709</v>
      </c>
      <c r="K156" s="226">
        <v>45768</v>
      </c>
      <c r="L156" s="532"/>
      <c r="M156" s="226" t="s">
        <v>22</v>
      </c>
      <c r="N156" s="511">
        <f>Table2[[#This Row],[Effectiveness Review &amp; date deemed effective]]-Table2[[#This Row],[CAR initialized date]]</f>
        <v>59</v>
      </c>
    </row>
    <row r="157" spans="1:14" ht="18.75">
      <c r="A157" s="227" t="s">
        <v>160</v>
      </c>
      <c r="B157" s="2">
        <f>VLOOKUP(Table2[[#This Row],[Location 
(drop-down)]],Table14[[Location]:[Location ID]],2,FALSE)</f>
        <v>128</v>
      </c>
      <c r="C157" s="254" t="s">
        <v>460</v>
      </c>
      <c r="D157" s="379" t="str">
        <f>"C" &amp; C157 &amp;"-" &amp; B157 &amp; "-" &amp; "25"</f>
        <v>C095-128-25</v>
      </c>
      <c r="E157" s="254" t="s">
        <v>18</v>
      </c>
      <c r="F157" s="254"/>
      <c r="G157" s="227" t="s">
        <v>461</v>
      </c>
      <c r="H157" s="165" t="s">
        <v>201</v>
      </c>
      <c r="I157" s="165" t="s">
        <v>69</v>
      </c>
      <c r="J157" s="230">
        <v>45709</v>
      </c>
      <c r="K157" s="226">
        <v>45768</v>
      </c>
      <c r="L157" s="532"/>
      <c r="M157" s="226" t="s">
        <v>22</v>
      </c>
      <c r="N157" s="511">
        <f>Table2[[#This Row],[Effectiveness Review &amp; date deemed effective]]-Table2[[#This Row],[CAR initialized date]]</f>
        <v>59</v>
      </c>
    </row>
    <row r="158" spans="1:14" ht="18.75">
      <c r="A158" s="227" t="s">
        <v>462</v>
      </c>
      <c r="B158" s="2">
        <f>VLOOKUP(Table2[[#This Row],[Location 
(drop-down)]],Table14[[Location]:[Location ID]],2,FALSE)</f>
        <v>126</v>
      </c>
      <c r="C158" s="254" t="s">
        <v>463</v>
      </c>
      <c r="D158" s="378" t="s">
        <v>464</v>
      </c>
      <c r="E158" s="254" t="s">
        <v>18</v>
      </c>
      <c r="F158" s="254"/>
      <c r="G158" s="227" t="s">
        <v>465</v>
      </c>
      <c r="H158" s="165" t="s">
        <v>20</v>
      </c>
      <c r="I158" s="230" t="s">
        <v>57</v>
      </c>
      <c r="J158" s="260">
        <v>45413</v>
      </c>
      <c r="K158" s="226">
        <v>45768</v>
      </c>
      <c r="L158" s="532"/>
      <c r="M158" s="2" t="s">
        <v>22</v>
      </c>
      <c r="N158" s="511">
        <f>Table2[[#This Row],[Effectiveness Review &amp; date deemed effective]]-Table2[[#This Row],[CAR initialized date]]</f>
        <v>355</v>
      </c>
    </row>
    <row r="159" spans="1:14" ht="18.75">
      <c r="A159" s="227" t="s">
        <v>30</v>
      </c>
      <c r="B159" s="2">
        <f>VLOOKUP(Table2[[#This Row],[Location 
(drop-down)]],Table14[[Location]:[Location ID]],2,FALSE)</f>
        <v>132</v>
      </c>
      <c r="C159" s="254" t="s">
        <v>466</v>
      </c>
      <c r="D159" s="378" t="s">
        <v>467</v>
      </c>
      <c r="E159" s="254" t="s">
        <v>86</v>
      </c>
      <c r="F159" s="254" t="s">
        <v>468</v>
      </c>
      <c r="G159" s="227" t="s">
        <v>469</v>
      </c>
      <c r="H159" s="165" t="s">
        <v>20</v>
      </c>
      <c r="I159" s="165" t="s">
        <v>47</v>
      </c>
      <c r="J159" s="230">
        <v>45607</v>
      </c>
      <c r="K159" s="226">
        <v>45664</v>
      </c>
      <c r="L159" s="532"/>
      <c r="M159" s="2" t="s">
        <v>22</v>
      </c>
      <c r="N159" s="511">
        <f>Table2[[#This Row],[Effectiveness Review &amp; date deemed effective]]-Table2[[#This Row],[CAR initialized date]]</f>
        <v>57</v>
      </c>
    </row>
    <row r="160" spans="1:14" ht="18.75">
      <c r="A160" s="227" t="s">
        <v>53</v>
      </c>
      <c r="B160" s="2">
        <f>VLOOKUP(Table2[[#This Row],[Location 
(drop-down)]],Table14[[Location]:[Location ID]],2,FALSE)</f>
        <v>158</v>
      </c>
      <c r="C160" s="254" t="s">
        <v>470</v>
      </c>
      <c r="D160" s="379" t="str">
        <f>"C" &amp; C160 &amp;"-" &amp; B160 &amp; "-" &amp; "25"</f>
        <v>C013-158-25</v>
      </c>
      <c r="E160" s="254" t="s">
        <v>18</v>
      </c>
      <c r="F160" s="254"/>
      <c r="G160" s="343" t="s">
        <v>471</v>
      </c>
      <c r="H160" s="165" t="s">
        <v>68</v>
      </c>
      <c r="I160" s="165" t="s">
        <v>69</v>
      </c>
      <c r="J160" s="230">
        <v>45684</v>
      </c>
      <c r="K160" s="226">
        <v>45769</v>
      </c>
      <c r="L160" s="532"/>
      <c r="M160" s="226" t="s">
        <v>22</v>
      </c>
      <c r="N160" s="511">
        <f>Table2[[#This Row],[Effectiveness Review &amp; date deemed effective]]-Table2[[#This Row],[CAR initialized date]]</f>
        <v>85</v>
      </c>
    </row>
    <row r="161" spans="1:14" ht="18.75">
      <c r="A161" s="227" t="s">
        <v>294</v>
      </c>
      <c r="B161" s="2">
        <f>VLOOKUP(Table2[[#This Row],[Location 
(drop-down)]],Table14[[Location]:[Location ID]],2,FALSE)</f>
        <v>155</v>
      </c>
      <c r="C161" s="254" t="s">
        <v>472</v>
      </c>
      <c r="D161" s="379" t="str">
        <f>"C" &amp; C161 &amp;"-" &amp; B161 &amp; "-" &amp; "25"</f>
        <v>C065-155-25</v>
      </c>
      <c r="E161" s="254" t="s">
        <v>18</v>
      </c>
      <c r="F161" s="254"/>
      <c r="G161" s="227" t="s">
        <v>351</v>
      </c>
      <c r="H161" s="165" t="s">
        <v>201</v>
      </c>
      <c r="I161" s="165" t="s">
        <v>21</v>
      </c>
      <c r="J161" s="230">
        <v>45706</v>
      </c>
      <c r="K161" s="226">
        <v>45769</v>
      </c>
      <c r="L161" s="532"/>
      <c r="M161" s="226" t="s">
        <v>22</v>
      </c>
      <c r="N161" s="511">
        <f>Table2[[#This Row],[Effectiveness Review &amp; date deemed effective]]-Table2[[#This Row],[CAR initialized date]]</f>
        <v>63</v>
      </c>
    </row>
    <row r="162" spans="1:14" ht="18.75">
      <c r="A162" s="227" t="s">
        <v>462</v>
      </c>
      <c r="B162" s="2">
        <f>VLOOKUP(Table2[[#This Row],[Location 
(drop-down)]],Table14[[Location]:[Location ID]],2,FALSE)</f>
        <v>126</v>
      </c>
      <c r="C162" s="254" t="s">
        <v>473</v>
      </c>
      <c r="D162" s="378" t="s">
        <v>474</v>
      </c>
      <c r="E162" s="254" t="s">
        <v>18</v>
      </c>
      <c r="F162" s="254"/>
      <c r="G162" s="227" t="s">
        <v>475</v>
      </c>
      <c r="H162" s="165" t="s">
        <v>20</v>
      </c>
      <c r="I162" s="230" t="s">
        <v>57</v>
      </c>
      <c r="J162" s="260">
        <v>45413</v>
      </c>
      <c r="K162" s="226">
        <v>45769</v>
      </c>
      <c r="L162" s="532"/>
      <c r="M162" s="2" t="s">
        <v>22</v>
      </c>
      <c r="N162" s="511">
        <f>Table2[[#This Row],[Effectiveness Review &amp; date deemed effective]]-Table2[[#This Row],[CAR initialized date]]</f>
        <v>356</v>
      </c>
    </row>
    <row r="163" spans="1:14" ht="18.75">
      <c r="A163" s="227" t="s">
        <v>453</v>
      </c>
      <c r="B163" s="2">
        <f>VLOOKUP(Table2[[#This Row],[Location 
(drop-down)]],Table14[[Location]:[Location ID]],2,FALSE)</f>
        <v>138</v>
      </c>
      <c r="C163" s="254" t="s">
        <v>476</v>
      </c>
      <c r="D163" s="379" t="str">
        <f>"C" &amp; C163 &amp;"-" &amp; B163 &amp; "-" &amp; "25"</f>
        <v>C104-138-25</v>
      </c>
      <c r="E163" s="254" t="s">
        <v>18</v>
      </c>
      <c r="F163" s="254"/>
      <c r="G163" s="227" t="s">
        <v>329</v>
      </c>
      <c r="H163" s="165" t="s">
        <v>20</v>
      </c>
      <c r="I163" s="165" t="s">
        <v>47</v>
      </c>
      <c r="J163" s="230">
        <v>45716</v>
      </c>
      <c r="K163" s="226">
        <v>45770</v>
      </c>
      <c r="L163" s="532"/>
      <c r="M163" s="226" t="s">
        <v>22</v>
      </c>
      <c r="N163" s="511">
        <f>Table2[[#This Row],[Effectiveness Review &amp; date deemed effective]]-Table2[[#This Row],[CAR initialized date]]</f>
        <v>54</v>
      </c>
    </row>
    <row r="164" spans="1:14" ht="18.75">
      <c r="A164" s="227" t="s">
        <v>202</v>
      </c>
      <c r="B164" s="2">
        <f>VLOOKUP(Table2[[#This Row],[Location 
(drop-down)]],Table14[[Location]:[Location ID]],2,FALSE)</f>
        <v>180</v>
      </c>
      <c r="C164" s="254" t="s">
        <v>477</v>
      </c>
      <c r="D164" s="379" t="str">
        <f>"C" &amp; C164 &amp;"-" &amp; B164 &amp; "-" &amp; "25"</f>
        <v>C179-180-25</v>
      </c>
      <c r="E164" s="254" t="s">
        <v>120</v>
      </c>
      <c r="F164" s="254"/>
      <c r="G164" s="227" t="s">
        <v>478</v>
      </c>
      <c r="H164" s="165" t="s">
        <v>20</v>
      </c>
      <c r="I164" s="165" t="s">
        <v>69</v>
      </c>
      <c r="J164" s="260">
        <v>45769</v>
      </c>
      <c r="K164" s="226">
        <v>45770</v>
      </c>
      <c r="L164" s="532"/>
      <c r="M164" s="226" t="s">
        <v>22</v>
      </c>
      <c r="N164" s="511">
        <f>Table2[[#This Row],[Effectiveness Review &amp; date deemed effective]]-Table2[[#This Row],[CAR initialized date]]</f>
        <v>1</v>
      </c>
    </row>
    <row r="165" spans="1:14" ht="18.75">
      <c r="A165" s="227" t="s">
        <v>39</v>
      </c>
      <c r="B165" s="2">
        <f>VLOOKUP(Table2[[#This Row],[Location 
(drop-down)]],Table14[[Location]:[Location ID]],2,FALSE)</f>
        <v>120</v>
      </c>
      <c r="C165" s="254" t="s">
        <v>479</v>
      </c>
      <c r="D165" s="378" t="s">
        <v>480</v>
      </c>
      <c r="E165" s="254" t="s">
        <v>18</v>
      </c>
      <c r="F165" s="254"/>
      <c r="G165" s="228" t="s">
        <v>481</v>
      </c>
      <c r="H165" s="165" t="s">
        <v>20</v>
      </c>
      <c r="I165" s="230" t="s">
        <v>21</v>
      </c>
      <c r="J165" s="230">
        <v>45468</v>
      </c>
      <c r="K165" s="226">
        <v>45771</v>
      </c>
      <c r="L165" s="532"/>
      <c r="M165" s="2" t="str">
        <f ca="1">IF(ISBLANK([1]!Table2[[#This Row],[Complete corrective actions (Approved Date)]]), TODAY()-[1]!Table2[[#This Row],[CAR initialized date]], "CLOSED")</f>
        <v>CLOSED</v>
      </c>
      <c r="N165" s="511">
        <f>Table2[[#This Row],[Effectiveness Review &amp; date deemed effective]]-Table2[[#This Row],[CAR initialized date]]</f>
        <v>303</v>
      </c>
    </row>
    <row r="166" spans="1:14" ht="18.75">
      <c r="A166" s="227" t="s">
        <v>30</v>
      </c>
      <c r="B166" s="2">
        <f>VLOOKUP(Table2[[#This Row],[Location 
(drop-down)]],Table14[[Location]:[Location ID]],2,FALSE)</f>
        <v>132</v>
      </c>
      <c r="C166" s="254" t="s">
        <v>482</v>
      </c>
      <c r="D166" s="378" t="s">
        <v>483</v>
      </c>
      <c r="E166" s="254" t="s">
        <v>86</v>
      </c>
      <c r="F166" s="254" t="s">
        <v>468</v>
      </c>
      <c r="G166" s="227" t="s">
        <v>484</v>
      </c>
      <c r="H166" s="165" t="s">
        <v>20</v>
      </c>
      <c r="I166" s="165" t="s">
        <v>47</v>
      </c>
      <c r="J166" s="230">
        <v>45607</v>
      </c>
      <c r="K166" s="226">
        <v>45664</v>
      </c>
      <c r="L166" s="532"/>
      <c r="M166" s="2" t="s">
        <v>22</v>
      </c>
      <c r="N166" s="511">
        <f>Table2[[#This Row],[Effectiveness Review &amp; date deemed effective]]-Table2[[#This Row],[CAR initialized date]]</f>
        <v>57</v>
      </c>
    </row>
    <row r="167" spans="1:14" ht="18.75">
      <c r="A167" s="227" t="s">
        <v>485</v>
      </c>
      <c r="B167" s="2">
        <f>VLOOKUP(Table2[[#This Row],[Location 
(drop-down)]],Table14[[Location]:[Location ID]],2,FALSE)</f>
        <v>165</v>
      </c>
      <c r="C167" s="254" t="s">
        <v>486</v>
      </c>
      <c r="D167" s="379" t="str">
        <f>"C" &amp; C167 &amp;"-" &amp; B167 &amp; "-" &amp; "25"</f>
        <v>C132-165-25</v>
      </c>
      <c r="E167" s="254" t="s">
        <v>120</v>
      </c>
      <c r="F167" s="254" t="s">
        <v>487</v>
      </c>
      <c r="G167" s="227" t="s">
        <v>488</v>
      </c>
      <c r="H167" s="165" t="s">
        <v>68</v>
      </c>
      <c r="I167" s="165" t="s">
        <v>327</v>
      </c>
      <c r="J167" s="230">
        <v>45727</v>
      </c>
      <c r="K167" s="226">
        <v>45775</v>
      </c>
      <c r="L167" s="532"/>
      <c r="M167" s="2" t="str">
        <f ca="1">IF(ISBLANK([1]!Table2[[#This Row],[Complete corrective actions (Approved Date)]]), TODAY()-[1]!Table2[[#This Row],[CAR initialized date]], "CLOSED")</f>
        <v>CLOSED</v>
      </c>
      <c r="N167" s="511">
        <f>Table2[[#This Row],[Effectiveness Review &amp; date deemed effective]]-Table2[[#This Row],[CAR initialized date]]</f>
        <v>48</v>
      </c>
    </row>
    <row r="168" spans="1:14" ht="18.75">
      <c r="A168" s="227" t="s">
        <v>125</v>
      </c>
      <c r="B168" s="2">
        <f>VLOOKUP(Table2[[#This Row],[Location 
(drop-down)]],Table14[[Location]:[Location ID]],2,FALSE)</f>
        <v>130</v>
      </c>
      <c r="C168" s="254" t="s">
        <v>489</v>
      </c>
      <c r="D168" s="379" t="str">
        <f>"C" &amp; C168 &amp;"-" &amp; B168 &amp; "-" &amp; "25"</f>
        <v>C040-130-25</v>
      </c>
      <c r="E168" s="254" t="s">
        <v>120</v>
      </c>
      <c r="F168" s="254" t="s">
        <v>490</v>
      </c>
      <c r="G168" s="227" t="s">
        <v>491</v>
      </c>
      <c r="H168" s="165" t="s">
        <v>68</v>
      </c>
      <c r="I168" s="165" t="s">
        <v>111</v>
      </c>
      <c r="J168" s="230">
        <v>45691</v>
      </c>
      <c r="K168" s="226">
        <v>45776</v>
      </c>
      <c r="L168" s="532"/>
      <c r="M168" s="2" t="str">
        <f ca="1">IF(ISBLANK([1]!Table2[[#This Row],[Complete corrective actions (Approved Date)]]), TODAY()-[1]!Table2[[#This Row],[CAR initialized date]], "CLOSED")</f>
        <v>CLOSED</v>
      </c>
      <c r="N168" s="511">
        <f>Table2[[#This Row],[Effectiveness Review &amp; date deemed effective]]-Table2[[#This Row],[CAR initialized date]]</f>
        <v>85</v>
      </c>
    </row>
    <row r="169" spans="1:14" ht="18.75">
      <c r="A169" s="227" t="s">
        <v>30</v>
      </c>
      <c r="B169" s="2">
        <f>VLOOKUP(Table2[[#This Row],[Location 
(drop-down)]],Table14[[Location]:[Location ID]],2,FALSE)</f>
        <v>132</v>
      </c>
      <c r="C169" s="254" t="s">
        <v>492</v>
      </c>
      <c r="D169" s="378" t="s">
        <v>493</v>
      </c>
      <c r="E169" s="254" t="s">
        <v>86</v>
      </c>
      <c r="F169" s="254" t="s">
        <v>468</v>
      </c>
      <c r="G169" s="227" t="s">
        <v>494</v>
      </c>
      <c r="H169" s="165" t="s">
        <v>20</v>
      </c>
      <c r="I169" s="165" t="s">
        <v>47</v>
      </c>
      <c r="J169" s="230">
        <v>45607</v>
      </c>
      <c r="K169" s="226">
        <v>45754</v>
      </c>
      <c r="L169" s="532"/>
      <c r="M169" s="2" t="s">
        <v>22</v>
      </c>
      <c r="N169" s="511">
        <f>Table2[[#This Row],[Effectiveness Review &amp; date deemed effective]]-Table2[[#This Row],[CAR initialized date]]</f>
        <v>147</v>
      </c>
    </row>
    <row r="170" spans="1:14" ht="18.75">
      <c r="A170" s="227" t="s">
        <v>495</v>
      </c>
      <c r="B170" s="2">
        <f>VLOOKUP(Table2[[#This Row],[Location 
(drop-down)]],Table14[[Location]:[Location ID]],2,FALSE)</f>
        <v>194</v>
      </c>
      <c r="C170" s="254" t="s">
        <v>496</v>
      </c>
      <c r="D170" s="379" t="str">
        <f>"C" &amp; C170 &amp;"-" &amp; B170 &amp; "-" &amp; "25"</f>
        <v>C177-194-25</v>
      </c>
      <c r="E170" s="254" t="s">
        <v>18</v>
      </c>
      <c r="F170" s="254"/>
      <c r="G170" s="227" t="s">
        <v>497</v>
      </c>
      <c r="H170" s="165" t="s">
        <v>20</v>
      </c>
      <c r="I170" s="165" t="s">
        <v>239</v>
      </c>
      <c r="J170" s="260">
        <v>45764</v>
      </c>
      <c r="K170" s="226">
        <v>45777</v>
      </c>
      <c r="L170" s="532"/>
      <c r="M170" s="2" t="str">
        <f ca="1">IF(ISBLANK([1]!Table2[[#This Row],[Complete corrective actions (Approved Date)]]), TODAY()-[1]!Table2[[#This Row],[CAR initialized date]], "CLOSED")</f>
        <v>CLOSED</v>
      </c>
      <c r="N170" s="511">
        <f>Table2[[#This Row],[Effectiveness Review &amp; date deemed effective]]-Table2[[#This Row],[CAR initialized date]]</f>
        <v>13</v>
      </c>
    </row>
    <row r="171" spans="1:14" ht="18.75">
      <c r="A171" s="227" t="s">
        <v>495</v>
      </c>
      <c r="B171" s="2">
        <f>VLOOKUP(Table2[[#This Row],[Location 
(drop-down)]],Table14[[Location]:[Location ID]],2,FALSE)</f>
        <v>194</v>
      </c>
      <c r="C171" s="254" t="s">
        <v>498</v>
      </c>
      <c r="D171" s="379" t="str">
        <f>"C" &amp; C171 &amp;"-" &amp; B171 &amp; "-" &amp; "25"</f>
        <v>C178-194-25</v>
      </c>
      <c r="E171" s="254" t="s">
        <v>18</v>
      </c>
      <c r="F171" s="254"/>
      <c r="G171" s="227" t="s">
        <v>499</v>
      </c>
      <c r="H171" s="165" t="s">
        <v>20</v>
      </c>
      <c r="I171" s="165" t="s">
        <v>239</v>
      </c>
      <c r="J171" s="260">
        <v>45764</v>
      </c>
      <c r="K171" s="226">
        <v>45777</v>
      </c>
      <c r="L171" s="532"/>
      <c r="M171" s="2" t="str">
        <f ca="1">IF(ISBLANK([1]!Table2[[#This Row],[Complete corrective actions (Approved Date)]]), TODAY()-[1]!Table2[[#This Row],[CAR initialized date]], "CLOSED")</f>
        <v>CLOSED</v>
      </c>
      <c r="N171" s="511">
        <f>Table2[[#This Row],[Effectiveness Review &amp; date deemed effective]]-Table2[[#This Row],[CAR initialized date]]</f>
        <v>13</v>
      </c>
    </row>
    <row r="172" spans="1:14" ht="18.75">
      <c r="A172" s="227" t="s">
        <v>500</v>
      </c>
      <c r="B172" s="2">
        <f>VLOOKUP(Table2[[#This Row],[Location 
(drop-down)]],Table14[[Location]:[Location ID]],2,FALSE)</f>
        <v>170</v>
      </c>
      <c r="C172" s="254" t="s">
        <v>501</v>
      </c>
      <c r="D172" s="379" t="str">
        <f>"C" &amp; C172 &amp;"-" &amp; B172 &amp; "-" &amp; "25"</f>
        <v>C120-170-25</v>
      </c>
      <c r="E172" s="254" t="s">
        <v>81</v>
      </c>
      <c r="F172" s="254" t="s">
        <v>490</v>
      </c>
      <c r="G172" s="227" t="s">
        <v>502</v>
      </c>
      <c r="H172" s="165" t="s">
        <v>20</v>
      </c>
      <c r="I172" s="165" t="s">
        <v>310</v>
      </c>
      <c r="J172" s="230">
        <v>45727</v>
      </c>
      <c r="K172" s="226">
        <v>45777</v>
      </c>
      <c r="L172" s="532"/>
      <c r="M172" s="2" t="str">
        <f ca="1">IF(ISBLANK([1]!Table2[[#This Row],[Complete corrective actions (Approved Date)]]), TODAY()-[1]!Table2[[#This Row],[CAR initialized date]], "CLOSED")</f>
        <v>CLOSED</v>
      </c>
      <c r="N172" s="511">
        <f>Table2[[#This Row],[Effectiveness Review &amp; date deemed effective]]-Table2[[#This Row],[CAR initialized date]]</f>
        <v>50</v>
      </c>
    </row>
    <row r="173" spans="1:14" ht="18.75">
      <c r="A173" s="227" t="s">
        <v>119</v>
      </c>
      <c r="B173" s="2">
        <f>VLOOKUP(Table2[[#This Row],[Location 
(drop-down)]],Table14[[Location]:[Location ID]],2,FALSE)</f>
        <v>131</v>
      </c>
      <c r="C173" s="254" t="s">
        <v>54</v>
      </c>
      <c r="D173" s="379" t="str">
        <f>"C" &amp; C173 &amp;"-" &amp; B173 &amp; "-" &amp; "25"</f>
        <v>C026-131-25</v>
      </c>
      <c r="E173" s="254" t="s">
        <v>18</v>
      </c>
      <c r="F173" s="254"/>
      <c r="G173" s="227" t="s">
        <v>503</v>
      </c>
      <c r="H173" s="165" t="s">
        <v>201</v>
      </c>
      <c r="I173" s="165" t="s">
        <v>239</v>
      </c>
      <c r="J173" s="230">
        <v>45687</v>
      </c>
      <c r="K173" s="226">
        <v>45777</v>
      </c>
      <c r="L173" s="532"/>
      <c r="M173" s="2" t="str">
        <f ca="1">IF(ISBLANK([1]!Table2[[#This Row],[Complete corrective actions (Approved Date)]]), TODAY()-[1]!Table2[[#This Row],[CAR initialized date]], "CLOSED")</f>
        <v>CLOSED</v>
      </c>
      <c r="N173" s="511">
        <f>Table2[[#This Row],[Effectiveness Review &amp; date deemed effective]]-Table2[[#This Row],[CAR initialized date]]</f>
        <v>90</v>
      </c>
    </row>
    <row r="174" spans="1:14" ht="18.75">
      <c r="A174" s="227" t="s">
        <v>119</v>
      </c>
      <c r="B174" s="2">
        <f>VLOOKUP(Table2[[#This Row],[Location 
(drop-down)]],Table14[[Location]:[Location ID]],2,FALSE)</f>
        <v>131</v>
      </c>
      <c r="C174" s="254" t="s">
        <v>504</v>
      </c>
      <c r="D174" s="379" t="str">
        <f>"C" &amp; C174 &amp;"-" &amp; B174 &amp; "-" &amp; "25"</f>
        <v>C034-131-25</v>
      </c>
      <c r="E174" s="254" t="s">
        <v>18</v>
      </c>
      <c r="F174" s="254"/>
      <c r="G174" s="227" t="s">
        <v>505</v>
      </c>
      <c r="H174" s="165" t="s">
        <v>201</v>
      </c>
      <c r="I174" s="165" t="s">
        <v>239</v>
      </c>
      <c r="J174" s="230">
        <v>45687</v>
      </c>
      <c r="K174" s="226">
        <v>45777</v>
      </c>
      <c r="L174" s="532"/>
      <c r="M174" s="2" t="str">
        <f ca="1">IF(ISBLANK([1]!Table2[[#This Row],[Complete corrective actions (Approved Date)]]), TODAY()-[1]!Table2[[#This Row],[CAR initialized date]], "CLOSED")</f>
        <v>CLOSED</v>
      </c>
      <c r="N174" s="511">
        <f>Table2[[#This Row],[Effectiveness Review &amp; date deemed effective]]-Table2[[#This Row],[CAR initialized date]]</f>
        <v>90</v>
      </c>
    </row>
    <row r="175" spans="1:14" ht="18.75">
      <c r="A175" s="227" t="s">
        <v>119</v>
      </c>
      <c r="B175" s="2">
        <f>VLOOKUP(Table2[[#This Row],[Location 
(drop-down)]],Table14[[Location]:[Location ID]],2,FALSE)</f>
        <v>131</v>
      </c>
      <c r="C175" s="254" t="s">
        <v>506</v>
      </c>
      <c r="D175" s="379" t="str">
        <f>"C" &amp; C175 &amp;"-" &amp; B175 &amp; "-" &amp; "25"</f>
        <v>C036-131-25</v>
      </c>
      <c r="E175" s="254" t="s">
        <v>18</v>
      </c>
      <c r="F175" s="254"/>
      <c r="G175" s="227" t="s">
        <v>507</v>
      </c>
      <c r="H175" s="165" t="s">
        <v>20</v>
      </c>
      <c r="I175" s="165" t="s">
        <v>239</v>
      </c>
      <c r="J175" s="230">
        <v>45687</v>
      </c>
      <c r="K175" s="420">
        <v>45777</v>
      </c>
      <c r="L175" s="532"/>
      <c r="M175" s="2" t="str">
        <f ca="1">IF(ISBLANK([1]!Table2[[#This Row],[Complete corrective actions (Approved Date)]]), TODAY()-[1]!Table2[[#This Row],[CAR initialized date]], "CLOSED")</f>
        <v>CLOSED</v>
      </c>
      <c r="N175" s="511">
        <f>Table2[[#This Row],[Effectiveness Review &amp; date deemed effective]]-Table2[[#This Row],[CAR initialized date]]</f>
        <v>90</v>
      </c>
    </row>
    <row r="176" spans="1:14" ht="18.75">
      <c r="A176" s="227" t="s">
        <v>119</v>
      </c>
      <c r="B176" s="2">
        <f>VLOOKUP(Table2[[#This Row],[Location 
(drop-down)]],Table14[[Location]:[Location ID]],2,FALSE)</f>
        <v>131</v>
      </c>
      <c r="C176" s="254" t="s">
        <v>508</v>
      </c>
      <c r="D176" s="379" t="str">
        <f>"C" &amp; C176 &amp;"-" &amp; B176 &amp; "-" &amp; "25"</f>
        <v>C038-131-25</v>
      </c>
      <c r="E176" s="254" t="s">
        <v>18</v>
      </c>
      <c r="F176" s="254"/>
      <c r="G176" s="227" t="s">
        <v>452</v>
      </c>
      <c r="H176" s="165" t="s">
        <v>20</v>
      </c>
      <c r="I176" s="165" t="s">
        <v>239</v>
      </c>
      <c r="J176" s="579">
        <v>45687</v>
      </c>
      <c r="K176" s="420">
        <v>45777</v>
      </c>
      <c r="L176" s="532"/>
      <c r="M176" s="2" t="str">
        <f ca="1">IF(ISBLANK([1]!Table2[[#This Row],[Complete corrective actions (Approved Date)]]), TODAY()-[1]!Table2[[#This Row],[CAR initialized date]], "CLOSED")</f>
        <v>CLOSED</v>
      </c>
      <c r="N176" s="511">
        <f>Table2[[#This Row],[Effectiveness Review &amp; date deemed effective]]-Table2[[#This Row],[CAR initialized date]]</f>
        <v>90</v>
      </c>
    </row>
    <row r="177" spans="1:14" ht="18.75">
      <c r="A177" s="227" t="s">
        <v>119</v>
      </c>
      <c r="B177" s="2">
        <f>VLOOKUP(Table2[[#This Row],[Location 
(drop-down)]],Table14[[Location]:[Location ID]],2,FALSE)</f>
        <v>131</v>
      </c>
      <c r="C177" s="254" t="s">
        <v>509</v>
      </c>
      <c r="D177" s="379" t="str">
        <f>"C" &amp; C177 &amp;"-" &amp; B177 &amp; "-" &amp; "25"</f>
        <v>C162-131-25</v>
      </c>
      <c r="E177" s="165" t="s">
        <v>81</v>
      </c>
      <c r="F177" s="224" t="s">
        <v>490</v>
      </c>
      <c r="G177" s="426" t="s">
        <v>510</v>
      </c>
      <c r="H177" s="165" t="s">
        <v>68</v>
      </c>
      <c r="I177" s="165" t="s">
        <v>111</v>
      </c>
      <c r="J177" s="260">
        <v>45747</v>
      </c>
      <c r="K177" s="427">
        <v>45779</v>
      </c>
      <c r="L177" s="532"/>
      <c r="M177" s="2" t="str">
        <f ca="1">IF(ISBLANK([1]!Table2[[#This Row],[Complete corrective actions (Approved Date)]]), TODAY()-[1]!Table2[[#This Row],[CAR initialized date]], "CLOSED")</f>
        <v>CLOSED</v>
      </c>
      <c r="N177" s="511">
        <f>Table2[[#This Row],[Effectiveness Review &amp; date deemed effective]]-Table2[[#This Row],[CAR initialized date]]</f>
        <v>32</v>
      </c>
    </row>
    <row r="178" spans="1:14" ht="18.75">
      <c r="A178" s="227" t="s">
        <v>358</v>
      </c>
      <c r="B178" s="2">
        <f>VLOOKUP(Table2[[#This Row],[Location 
(drop-down)]],Table14[[Location]:[Location ID]],2,FALSE)</f>
        <v>190</v>
      </c>
      <c r="C178" s="254" t="s">
        <v>511</v>
      </c>
      <c r="D178" s="379" t="str">
        <f>"C" &amp; C178 &amp;"-" &amp; B178 &amp; "-" &amp; "25"</f>
        <v>C127-190-25</v>
      </c>
      <c r="E178" s="254" t="s">
        <v>18</v>
      </c>
      <c r="F178" s="417"/>
      <c r="G178" s="227" t="s">
        <v>512</v>
      </c>
      <c r="H178" s="165" t="s">
        <v>20</v>
      </c>
      <c r="I178" s="165" t="s">
        <v>47</v>
      </c>
      <c r="J178" s="230">
        <v>45727</v>
      </c>
      <c r="K178" s="226">
        <v>45780</v>
      </c>
      <c r="L178" s="532"/>
      <c r="M178" s="2" t="str">
        <f ca="1">IF(ISBLANK([1]!Table2[[#This Row],[Complete corrective actions (Approved Date)]]), TODAY()-[1]!Table2[[#This Row],[CAR initialized date]], "CLOSED")</f>
        <v>CLOSED</v>
      </c>
      <c r="N178" s="511">
        <f>Table2[[#This Row],[Effectiveness Review &amp; date deemed effective]]-Table2[[#This Row],[CAR initialized date]]</f>
        <v>53</v>
      </c>
    </row>
    <row r="179" spans="1:14" ht="18.75">
      <c r="A179" s="227" t="s">
        <v>73</v>
      </c>
      <c r="B179" s="2">
        <f>VLOOKUP(Table2[[#This Row],[Location 
(drop-down)]],Table14[[Location]:[Location ID]],2,FALSE)</f>
        <v>160</v>
      </c>
      <c r="C179" s="2">
        <v>164</v>
      </c>
      <c r="D179" s="379" t="str">
        <f>"C" &amp; C179 &amp;"-" &amp; B179 &amp; "-" &amp; "25"</f>
        <v>C164-160-25</v>
      </c>
      <c r="E179" s="418" t="s">
        <v>81</v>
      </c>
      <c r="F179" s="214" t="s">
        <v>513</v>
      </c>
      <c r="G179" s="415" t="s">
        <v>514</v>
      </c>
      <c r="H179" s="165" t="s">
        <v>20</v>
      </c>
      <c r="I179" s="230" t="s">
        <v>47</v>
      </c>
      <c r="J179" s="230">
        <v>45744</v>
      </c>
      <c r="K179" s="226">
        <v>45782</v>
      </c>
      <c r="L179" s="532"/>
      <c r="M179" s="2" t="str">
        <f ca="1">IF(ISBLANK([1]!Table2[[#This Row],[Complete corrective actions (Approved Date)]]), TODAY()-[1]!Table2[[#This Row],[CAR initialized date]], "CLOSED")</f>
        <v>CLOSED</v>
      </c>
      <c r="N179" s="511">
        <f>Table2[[#This Row],[Effectiveness Review &amp; date deemed effective]]-Table2[[#This Row],[CAR initialized date]]</f>
        <v>38</v>
      </c>
    </row>
    <row r="180" spans="1:14" ht="18.75">
      <c r="A180" s="227" t="s">
        <v>73</v>
      </c>
      <c r="B180" s="2">
        <f>VLOOKUP(Table2[[#This Row],[Location 
(drop-down)]],Table14[[Location]:[Location ID]],2,FALSE)</f>
        <v>160</v>
      </c>
      <c r="C180" s="254" t="s">
        <v>515</v>
      </c>
      <c r="D180" s="379" t="str">
        <f>"C" &amp; C180 &amp;"-" &amp; B180 &amp; "-" &amp; "25"</f>
        <v>C163-160-25</v>
      </c>
      <c r="E180" s="254" t="s">
        <v>81</v>
      </c>
      <c r="F180" s="214" t="s">
        <v>513</v>
      </c>
      <c r="G180" s="426" t="s">
        <v>516</v>
      </c>
      <c r="H180" s="165" t="s">
        <v>20</v>
      </c>
      <c r="I180" s="165" t="s">
        <v>47</v>
      </c>
      <c r="J180" s="230">
        <v>45744</v>
      </c>
      <c r="K180" s="258">
        <v>45782</v>
      </c>
      <c r="L180" s="532"/>
      <c r="M180" s="2" t="str">
        <f ca="1">IF(ISBLANK([1]!Table2[[#This Row],[Complete corrective actions (Approved Date)]]), TODAY()-[1]!Table2[[#This Row],[CAR initialized date]], "CLOSED")</f>
        <v>CLOSED</v>
      </c>
      <c r="N180" s="511">
        <f>Table2[[#This Row],[Effectiveness Review &amp; date deemed effective]]-Table2[[#This Row],[CAR initialized date]]</f>
        <v>38</v>
      </c>
    </row>
    <row r="181" spans="1:14" ht="18.75">
      <c r="A181" s="227" t="s">
        <v>23</v>
      </c>
      <c r="B181" s="2">
        <f>VLOOKUP(Table2[[#This Row],[Location 
(drop-down)]],Table14[[Location]:[Location ID]],2,FALSE)</f>
        <v>192</v>
      </c>
      <c r="C181" s="254" t="s">
        <v>517</v>
      </c>
      <c r="D181" s="379" t="str">
        <f>"C" &amp; C181 &amp;"-" &amp; B181 &amp; "-" &amp; "25"</f>
        <v>C166-192-25</v>
      </c>
      <c r="E181" s="254" t="s">
        <v>18</v>
      </c>
      <c r="F181" s="254"/>
      <c r="G181" s="240" t="s">
        <v>378</v>
      </c>
      <c r="H181" s="2" t="s">
        <v>68</v>
      </c>
      <c r="I181" s="165" t="s">
        <v>47</v>
      </c>
      <c r="J181" s="289">
        <v>45754</v>
      </c>
      <c r="K181" s="226">
        <v>45782</v>
      </c>
      <c r="L181" s="532"/>
      <c r="M181" s="2" t="str">
        <f ca="1">IF(ISBLANK([1]!Table2[[#This Row],[Complete corrective actions (Approved Date)]]), TODAY()-[1]!Table2[[#This Row],[CAR initialized date]], "CLOSED")</f>
        <v>CLOSED</v>
      </c>
      <c r="N181" s="511">
        <f>Table2[[#This Row],[Effectiveness Review &amp; date deemed effective]]-Table2[[#This Row],[CAR initialized date]]</f>
        <v>28</v>
      </c>
    </row>
    <row r="182" spans="1:14" ht="18.75">
      <c r="A182" s="227" t="s">
        <v>518</v>
      </c>
      <c r="B182" s="2">
        <f>VLOOKUP(Table2[[#This Row],[Location 
(drop-down)]],Table14[[Location]:[Location ID]],2,FALSE)</f>
        <v>185</v>
      </c>
      <c r="C182" s="254" t="s">
        <v>519</v>
      </c>
      <c r="D182" s="379" t="str">
        <f>"C" &amp; C182 &amp;"-" &amp; B182 &amp; "-" &amp; "25"</f>
        <v>C058-185-25</v>
      </c>
      <c r="E182" s="254" t="s">
        <v>18</v>
      </c>
      <c r="F182" s="254"/>
      <c r="G182" s="227" t="s">
        <v>520</v>
      </c>
      <c r="H182" s="165" t="s">
        <v>20</v>
      </c>
      <c r="I182" s="165" t="s">
        <v>69</v>
      </c>
      <c r="J182" s="289">
        <v>45706</v>
      </c>
      <c r="K182" s="226">
        <v>45782</v>
      </c>
      <c r="L182" s="532"/>
      <c r="M182" s="2" t="str">
        <f ca="1">IF(ISBLANK([1]!Table2[[#This Row],[Complete corrective actions (Approved Date)]]), TODAY()-[1]!Table2[[#This Row],[CAR initialized date]], "CLOSED")</f>
        <v>CLOSED</v>
      </c>
      <c r="N182" s="511">
        <f>Table2[[#This Row],[Effectiveness Review &amp; date deemed effective]]-Table2[[#This Row],[CAR initialized date]]</f>
        <v>76</v>
      </c>
    </row>
    <row r="183" spans="1:14" ht="18.75">
      <c r="A183" s="334" t="s">
        <v>30</v>
      </c>
      <c r="B183" s="2">
        <f>VLOOKUP(Table2[[#This Row],[Location 
(drop-down)]],Table14[[Location]:[Location ID]],2,FALSE)</f>
        <v>132</v>
      </c>
      <c r="C183" s="411" t="s">
        <v>521</v>
      </c>
      <c r="D183" s="386" t="s">
        <v>522</v>
      </c>
      <c r="E183" s="412" t="s">
        <v>86</v>
      </c>
      <c r="F183" s="412" t="s">
        <v>523</v>
      </c>
      <c r="G183" s="310" t="s">
        <v>524</v>
      </c>
      <c r="H183" s="165" t="s">
        <v>201</v>
      </c>
      <c r="I183" s="165" t="s">
        <v>111</v>
      </c>
      <c r="J183" s="289">
        <v>45644</v>
      </c>
      <c r="K183" s="338">
        <v>45670</v>
      </c>
      <c r="L183" s="532"/>
      <c r="M183" s="2" t="s">
        <v>22</v>
      </c>
      <c r="N183" s="511">
        <f>Table2[[#This Row],[Effectiveness Review &amp; date deemed effective]]-Table2[[#This Row],[CAR initialized date]]</f>
        <v>26</v>
      </c>
    </row>
    <row r="184" spans="1:14" ht="18.75">
      <c r="A184" s="227" t="s">
        <v>30</v>
      </c>
      <c r="B184" s="2">
        <f>VLOOKUP(Table2[[#This Row],[Location 
(drop-down)]],Table14[[Location]:[Location ID]],2,FALSE)</f>
        <v>132</v>
      </c>
      <c r="C184" s="254" t="s">
        <v>525</v>
      </c>
      <c r="D184" s="378" t="s">
        <v>526</v>
      </c>
      <c r="E184" s="254" t="s">
        <v>86</v>
      </c>
      <c r="F184" s="254" t="s">
        <v>523</v>
      </c>
      <c r="G184" s="227" t="s">
        <v>527</v>
      </c>
      <c r="H184" s="165" t="s">
        <v>20</v>
      </c>
      <c r="I184" s="165" t="s">
        <v>111</v>
      </c>
      <c r="J184" s="289">
        <v>45644</v>
      </c>
      <c r="K184" s="226">
        <v>45681</v>
      </c>
      <c r="L184" s="532"/>
      <c r="M184" s="2" t="s">
        <v>22</v>
      </c>
      <c r="N184" s="511">
        <f>Table2[[#This Row],[Effectiveness Review &amp; date deemed effective]]-Table2[[#This Row],[CAR initialized date]]</f>
        <v>37</v>
      </c>
    </row>
    <row r="185" spans="1:14" ht="18.75">
      <c r="A185" s="227" t="s">
        <v>30</v>
      </c>
      <c r="B185" s="2">
        <f>VLOOKUP(Table2[[#This Row],[Location 
(drop-down)]],Table14[[Location]:[Location ID]],2,FALSE)</f>
        <v>132</v>
      </c>
      <c r="C185" s="254" t="s">
        <v>528</v>
      </c>
      <c r="D185" s="378" t="s">
        <v>529</v>
      </c>
      <c r="E185" s="412" t="s">
        <v>86</v>
      </c>
      <c r="F185" s="412" t="s">
        <v>523</v>
      </c>
      <c r="G185" s="284" t="s">
        <v>530</v>
      </c>
      <c r="H185" s="165" t="s">
        <v>20</v>
      </c>
      <c r="I185" s="165" t="s">
        <v>111</v>
      </c>
      <c r="J185" s="289">
        <v>45644</v>
      </c>
      <c r="K185" s="226">
        <v>45688</v>
      </c>
      <c r="L185" s="532"/>
      <c r="M185" s="2" t="s">
        <v>22</v>
      </c>
      <c r="N185" s="511">
        <f>Table2[[#This Row],[Effectiveness Review &amp; date deemed effective]]-Table2[[#This Row],[CAR initialized date]]</f>
        <v>44</v>
      </c>
    </row>
    <row r="186" spans="1:14" ht="18.75">
      <c r="A186" s="227" t="s">
        <v>358</v>
      </c>
      <c r="B186" s="2">
        <f>VLOOKUP(Table2[[#This Row],[Location 
(drop-down)]],Table14[[Location]:[Location ID]],2,FALSE)</f>
        <v>190</v>
      </c>
      <c r="C186" s="254" t="s">
        <v>531</v>
      </c>
      <c r="D186" s="379" t="str">
        <f>"C" &amp; C186 &amp;"-" &amp; B186 &amp; "-" &amp; "25"</f>
        <v>C121-190-25</v>
      </c>
      <c r="E186" s="254" t="s">
        <v>18</v>
      </c>
      <c r="F186" s="254"/>
      <c r="G186" s="227" t="s">
        <v>532</v>
      </c>
      <c r="H186" s="165" t="s">
        <v>68</v>
      </c>
      <c r="I186" s="165" t="s">
        <v>47</v>
      </c>
      <c r="J186" s="289">
        <v>45727</v>
      </c>
      <c r="K186" s="226">
        <v>45785</v>
      </c>
      <c r="L186" s="532"/>
      <c r="M186" s="2" t="str">
        <f ca="1">IF(ISBLANK([1]!Table2[[#This Row],[Complete corrective actions (Approved Date)]]), TODAY()-[1]!Table2[[#This Row],[CAR initialized date]], "CLOSED")</f>
        <v>CLOSED</v>
      </c>
      <c r="N186" s="511">
        <f>Table2[[#This Row],[Effectiveness Review &amp; date deemed effective]]-Table2[[#This Row],[CAR initialized date]]</f>
        <v>58</v>
      </c>
    </row>
    <row r="187" spans="1:14" ht="18.75">
      <c r="A187" s="227" t="s">
        <v>358</v>
      </c>
      <c r="B187" s="2">
        <f>VLOOKUP(Table2[[#This Row],[Location 
(drop-down)]],Table14[[Location]:[Location ID]],2,FALSE)</f>
        <v>190</v>
      </c>
      <c r="C187" s="254" t="s">
        <v>533</v>
      </c>
      <c r="D187" s="379" t="str">
        <f>"C" &amp; C187 &amp;"-" &amp; B187 &amp; "-" &amp; "25"</f>
        <v>C125-190-25</v>
      </c>
      <c r="E187" s="254" t="s">
        <v>18</v>
      </c>
      <c r="F187" s="254"/>
      <c r="G187" s="422">
        <v>45727</v>
      </c>
      <c r="H187" s="165" t="s">
        <v>20</v>
      </c>
      <c r="I187" s="165" t="s">
        <v>47</v>
      </c>
      <c r="J187" s="289">
        <v>45727</v>
      </c>
      <c r="K187" s="226">
        <v>45785</v>
      </c>
      <c r="L187" s="532"/>
      <c r="M187" s="2" t="str">
        <f ca="1">IF(ISBLANK([1]!Table2[[#This Row],[Complete corrective actions (Approved Date)]]), TODAY()-[1]!Table2[[#This Row],[CAR initialized date]], "CLOSED")</f>
        <v>CLOSED</v>
      </c>
      <c r="N187" s="511">
        <f>Table2[[#This Row],[Effectiveness Review &amp; date deemed effective]]-Table2[[#This Row],[CAR initialized date]]</f>
        <v>58</v>
      </c>
    </row>
    <row r="188" spans="1:14" ht="18.75">
      <c r="A188" s="227" t="s">
        <v>30</v>
      </c>
      <c r="B188" s="2">
        <f>VLOOKUP(Table2[[#This Row],[Location 
(drop-down)]],Table14[[Location]:[Location ID]],2,FALSE)</f>
        <v>132</v>
      </c>
      <c r="C188" s="254" t="s">
        <v>534</v>
      </c>
      <c r="D188" s="378" t="s">
        <v>535</v>
      </c>
      <c r="E188" s="412" t="s">
        <v>86</v>
      </c>
      <c r="F188" s="412" t="s">
        <v>523</v>
      </c>
      <c r="G188" s="310" t="s">
        <v>536</v>
      </c>
      <c r="H188" s="165" t="s">
        <v>20</v>
      </c>
      <c r="I188" s="165" t="s">
        <v>111</v>
      </c>
      <c r="J188" s="289">
        <v>45644</v>
      </c>
      <c r="K188" s="226">
        <v>45763</v>
      </c>
      <c r="L188" s="532"/>
      <c r="M188" s="2" t="s">
        <v>22</v>
      </c>
      <c r="N188" s="511">
        <f>Table2[[#This Row],[Effectiveness Review &amp; date deemed effective]]-Table2[[#This Row],[CAR initialized date]]</f>
        <v>119</v>
      </c>
    </row>
    <row r="189" spans="1:14" ht="18.75">
      <c r="A189" s="227" t="s">
        <v>495</v>
      </c>
      <c r="B189" s="2">
        <f>VLOOKUP(Table2[[#This Row],[Location 
(drop-down)]],Table14[[Location]:[Location ID]],2,FALSE)</f>
        <v>194</v>
      </c>
      <c r="C189" s="254" t="s">
        <v>537</v>
      </c>
      <c r="D189" s="379" t="str">
        <f>"C" &amp; C189 &amp;"-" &amp; B189 &amp; "-" &amp; "25"</f>
        <v>C175-194-25</v>
      </c>
      <c r="E189" s="254" t="s">
        <v>18</v>
      </c>
      <c r="F189" s="254"/>
      <c r="G189" s="227" t="s">
        <v>538</v>
      </c>
      <c r="H189" s="165" t="s">
        <v>20</v>
      </c>
      <c r="I189" s="165" t="s">
        <v>239</v>
      </c>
      <c r="J189" s="276">
        <v>45764</v>
      </c>
      <c r="K189" s="226">
        <v>45785</v>
      </c>
      <c r="L189" s="532"/>
      <c r="M189" s="2" t="str">
        <f ca="1">IF(ISBLANK([1]!Table2[[#This Row],[Complete corrective actions (Approved Date)]]), TODAY()-[1]!Table2[[#This Row],[CAR initialized date]], "CLOSED")</f>
        <v>CLOSED</v>
      </c>
      <c r="N189" s="511">
        <f>Table2[[#This Row],[Effectiveness Review &amp; date deemed effective]]-Table2[[#This Row],[CAR initialized date]]</f>
        <v>21</v>
      </c>
    </row>
    <row r="190" spans="1:14" ht="18.75">
      <c r="A190" s="227" t="s">
        <v>119</v>
      </c>
      <c r="B190" s="2">
        <f>VLOOKUP(Table2[[#This Row],[Location 
(drop-down)]],Table14[[Location]:[Location ID]],2,FALSE)</f>
        <v>131</v>
      </c>
      <c r="C190" s="254" t="s">
        <v>539</v>
      </c>
      <c r="D190" s="379" t="str">
        <f>"C" &amp; C190 &amp;"-" &amp; B190 &amp; "-" &amp; "25"</f>
        <v>C161-131-25</v>
      </c>
      <c r="E190" s="165" t="s">
        <v>81</v>
      </c>
      <c r="F190" s="165" t="s">
        <v>490</v>
      </c>
      <c r="G190" s="426" t="s">
        <v>540</v>
      </c>
      <c r="H190" s="165" t="s">
        <v>20</v>
      </c>
      <c r="I190" s="165" t="s">
        <v>111</v>
      </c>
      <c r="J190" s="276">
        <v>45747</v>
      </c>
      <c r="K190" s="258">
        <v>45785</v>
      </c>
      <c r="L190" s="532"/>
      <c r="M190" s="2" t="str">
        <f ca="1">IF(ISBLANK([1]!Table2[[#This Row],[Complete corrective actions (Approved Date)]]), TODAY()-[1]!Table2[[#This Row],[CAR initialized date]], "CLOSED")</f>
        <v>CLOSED</v>
      </c>
      <c r="N190" s="511">
        <f>Table2[[#This Row],[Effectiveness Review &amp; date deemed effective]]-Table2[[#This Row],[CAR initialized date]]</f>
        <v>38</v>
      </c>
    </row>
    <row r="191" spans="1:14" ht="18.75">
      <c r="A191" s="227" t="s">
        <v>518</v>
      </c>
      <c r="B191" s="2">
        <f>VLOOKUP(Table2[[#This Row],[Location 
(drop-down)]],Table14[[Location]:[Location ID]],2,FALSE)</f>
        <v>185</v>
      </c>
      <c r="C191" s="254" t="s">
        <v>541</v>
      </c>
      <c r="D191" s="379" t="str">
        <f>"C" &amp; C191 &amp;"-" &amp; B191 &amp; "-" &amp; "25"</f>
        <v>C060-185-25</v>
      </c>
      <c r="E191" s="254" t="s">
        <v>18</v>
      </c>
      <c r="F191" s="254"/>
      <c r="G191" s="227" t="s">
        <v>459</v>
      </c>
      <c r="H191" s="165" t="s">
        <v>20</v>
      </c>
      <c r="I191" s="165" t="s">
        <v>69</v>
      </c>
      <c r="J191" s="289">
        <v>45706</v>
      </c>
      <c r="K191" s="226">
        <v>45785</v>
      </c>
      <c r="L191" s="532"/>
      <c r="M191" s="2" t="str">
        <f ca="1">IF(ISBLANK([1]!Table2[[#This Row],[Complete corrective actions (Approved Date)]]), TODAY()-[1]!Table2[[#This Row],[CAR initialized date]], "CLOSED")</f>
        <v>CLOSED</v>
      </c>
      <c r="N191" s="511">
        <f>Table2[[#This Row],[Effectiveness Review &amp; date deemed effective]]-Table2[[#This Row],[CAR initialized date]]</f>
        <v>79</v>
      </c>
    </row>
    <row r="192" spans="1:14" ht="18.75">
      <c r="A192" s="227" t="s">
        <v>358</v>
      </c>
      <c r="B192" s="2">
        <f>VLOOKUP(Table2[[#This Row],[Location 
(drop-down)]],Table14[[Location]:[Location ID]],2,FALSE)</f>
        <v>190</v>
      </c>
      <c r="C192" s="254" t="s">
        <v>542</v>
      </c>
      <c r="D192" s="379" t="str">
        <f>"C" &amp; C192 &amp;"-" &amp; B192 &amp; "-" &amp; "25"</f>
        <v>C122-190-25</v>
      </c>
      <c r="E192" s="254" t="s">
        <v>18</v>
      </c>
      <c r="F192" s="254"/>
      <c r="G192" s="227" t="s">
        <v>543</v>
      </c>
      <c r="H192" s="165" t="s">
        <v>68</v>
      </c>
      <c r="I192" s="165" t="s">
        <v>47</v>
      </c>
      <c r="J192" s="289">
        <v>45727</v>
      </c>
      <c r="K192" s="226">
        <v>45786</v>
      </c>
      <c r="L192" s="532"/>
      <c r="M192" s="2" t="str">
        <f ca="1">IF(ISBLANK([1]!Table2[[#This Row],[Complete corrective actions (Approved Date)]]), TODAY()-[1]!Table2[[#This Row],[CAR initialized date]], "CLOSED")</f>
        <v>CLOSED</v>
      </c>
      <c r="N192" s="511">
        <f>Table2[[#This Row],[Effectiveness Review &amp; date deemed effective]]-Table2[[#This Row],[CAR initialized date]]</f>
        <v>59</v>
      </c>
    </row>
    <row r="193" spans="1:14" ht="18.75">
      <c r="A193" s="227" t="s">
        <v>358</v>
      </c>
      <c r="B193" s="2">
        <f>VLOOKUP(Table2[[#This Row],[Location 
(drop-down)]],Table14[[Location]:[Location ID]],2,FALSE)</f>
        <v>190</v>
      </c>
      <c r="C193" s="254" t="s">
        <v>544</v>
      </c>
      <c r="D193" s="379" t="str">
        <f>"C" &amp; C193 &amp;"-" &amp; B193 &amp; "-" &amp; "25"</f>
        <v>C123-190-25</v>
      </c>
      <c r="E193" s="254" t="s">
        <v>18</v>
      </c>
      <c r="F193" s="254"/>
      <c r="G193" s="227" t="s">
        <v>545</v>
      </c>
      <c r="H193" s="165" t="s">
        <v>68</v>
      </c>
      <c r="I193" s="165" t="s">
        <v>47</v>
      </c>
      <c r="J193" s="289">
        <v>45727</v>
      </c>
      <c r="K193" s="226">
        <v>45786</v>
      </c>
      <c r="L193" s="532"/>
      <c r="M193" s="2" t="str">
        <f ca="1">IF(ISBLANK([1]!Table2[[#This Row],[Complete corrective actions (Approved Date)]]), TODAY()-[1]!Table2[[#This Row],[CAR initialized date]], "CLOSED")</f>
        <v>CLOSED</v>
      </c>
      <c r="N193" s="511">
        <f>Table2[[#This Row],[Effectiveness Review &amp; date deemed effective]]-Table2[[#This Row],[CAR initialized date]]</f>
        <v>59</v>
      </c>
    </row>
    <row r="194" spans="1:14" ht="18.75">
      <c r="A194" s="227" t="s">
        <v>125</v>
      </c>
      <c r="B194" s="2">
        <f>VLOOKUP(Table2[[#This Row],[Location 
(drop-down)]],Table14[[Location]:[Location ID]],2,FALSE)</f>
        <v>130</v>
      </c>
      <c r="C194" s="254" t="s">
        <v>546</v>
      </c>
      <c r="D194" s="379" t="str">
        <f>"C" &amp; C194 &amp;"-" &amp; B194 &amp; "-" &amp; "25"</f>
        <v>C204-130-25</v>
      </c>
      <c r="E194" s="254" t="s">
        <v>86</v>
      </c>
      <c r="F194" s="254" t="s">
        <v>207</v>
      </c>
      <c r="G194" s="227" t="s">
        <v>547</v>
      </c>
      <c r="H194" s="165" t="s">
        <v>20</v>
      </c>
      <c r="I194" s="165" t="s">
        <v>111</v>
      </c>
      <c r="J194" s="276">
        <v>45782</v>
      </c>
      <c r="K194" s="226">
        <v>45786</v>
      </c>
      <c r="L194" s="532"/>
      <c r="M194" s="2" t="str">
        <f ca="1">IF(ISBLANK([1]!Table2[[#This Row],[Complete corrective actions (Approved Date)]]), TODAY()-[1]!Table2[[#This Row],[CAR initialized date]], "CLOSED")</f>
        <v>CLOSED</v>
      </c>
      <c r="N194" s="511">
        <f>Table2[[#This Row],[Effectiveness Review &amp; date deemed effective]]-Table2[[#This Row],[CAR initialized date]]</f>
        <v>4</v>
      </c>
    </row>
    <row r="195" spans="1:14" ht="18.75">
      <c r="A195" s="334" t="s">
        <v>139</v>
      </c>
      <c r="B195" s="2">
        <f>VLOOKUP(Table2[[#This Row],[Location 
(drop-down)]],Table14[[Location]:[Location ID]],2,FALSE)</f>
        <v>191</v>
      </c>
      <c r="C195" s="411" t="s">
        <v>548</v>
      </c>
      <c r="D195" s="386" t="s">
        <v>549</v>
      </c>
      <c r="E195" s="411" t="s">
        <v>18</v>
      </c>
      <c r="F195" s="571"/>
      <c r="G195" s="334" t="s">
        <v>550</v>
      </c>
      <c r="H195" s="335" t="s">
        <v>68</v>
      </c>
      <c r="I195" s="335" t="s">
        <v>47</v>
      </c>
      <c r="J195" s="518">
        <v>45615</v>
      </c>
      <c r="K195" s="338">
        <v>45787</v>
      </c>
      <c r="L195" s="532"/>
      <c r="M195" s="2" t="s">
        <v>22</v>
      </c>
      <c r="N195" s="511">
        <f>Table2[[#This Row],[Effectiveness Review &amp; date deemed effective]]-Table2[[#This Row],[CAR initialized date]]</f>
        <v>172</v>
      </c>
    </row>
    <row r="196" spans="1:14" ht="18.75">
      <c r="A196" s="227" t="s">
        <v>358</v>
      </c>
      <c r="B196" s="2">
        <f>VLOOKUP(Table2[[#This Row],[Location 
(drop-down)]],Table14[[Location]:[Location ID]],2,FALSE)</f>
        <v>190</v>
      </c>
      <c r="C196" s="254" t="s">
        <v>551</v>
      </c>
      <c r="D196" s="379" t="str">
        <f>"C" &amp; C196 &amp;"-" &amp; B196 &amp; "-" &amp; "25"</f>
        <v>C106-190-25</v>
      </c>
      <c r="E196" s="254" t="s">
        <v>120</v>
      </c>
      <c r="F196" s="417"/>
      <c r="G196" s="227" t="s">
        <v>552</v>
      </c>
      <c r="H196" s="165" t="s">
        <v>20</v>
      </c>
      <c r="I196" s="165" t="s">
        <v>553</v>
      </c>
      <c r="J196" s="289">
        <v>45713</v>
      </c>
      <c r="K196" s="226">
        <v>45791</v>
      </c>
      <c r="L196" s="532"/>
      <c r="M196" s="2" t="str">
        <f ca="1">IF(ISBLANK([1]!Table2[[#This Row],[Complete corrective actions (Approved Date)]]), TODAY()-[1]!Table2[[#This Row],[CAR initialized date]], "CLOSED")</f>
        <v>CLOSED</v>
      </c>
      <c r="N196" s="511">
        <f>Table2[[#This Row],[Effectiveness Review &amp; date deemed effective]]-Table2[[#This Row],[CAR initialized date]]</f>
        <v>78</v>
      </c>
    </row>
    <row r="197" spans="1:14" ht="18.75">
      <c r="A197" s="227" t="s">
        <v>358</v>
      </c>
      <c r="B197" s="2">
        <f>VLOOKUP(Table2[[#This Row],[Location 
(drop-down)]],Table14[[Location]:[Location ID]],2,FALSE)</f>
        <v>190</v>
      </c>
      <c r="C197" s="254" t="s">
        <v>554</v>
      </c>
      <c r="D197" s="379" t="str">
        <f>"C" &amp; C197 &amp;"-" &amp; B197 &amp; "-" &amp; "25"</f>
        <v>C129-190-25</v>
      </c>
      <c r="E197" s="254" t="s">
        <v>18</v>
      </c>
      <c r="F197" s="254"/>
      <c r="G197" s="227" t="s">
        <v>555</v>
      </c>
      <c r="H197" s="165" t="s">
        <v>20</v>
      </c>
      <c r="I197" s="165" t="s">
        <v>47</v>
      </c>
      <c r="J197" s="289">
        <v>45727</v>
      </c>
      <c r="K197" s="226">
        <v>45791</v>
      </c>
      <c r="L197" s="532"/>
      <c r="M197" s="2" t="str">
        <f ca="1">IF(ISBLANK([1]!Table2[[#This Row],[Complete corrective actions (Approved Date)]]), TODAY()-[1]!Table2[[#This Row],[CAR initialized date]], "CLOSED")</f>
        <v>CLOSED</v>
      </c>
      <c r="N197" s="511">
        <f>Table2[[#This Row],[Effectiveness Review &amp; date deemed effective]]-Table2[[#This Row],[CAR initialized date]]</f>
        <v>64</v>
      </c>
    </row>
    <row r="198" spans="1:14" ht="18.75">
      <c r="A198" s="227" t="s">
        <v>80</v>
      </c>
      <c r="B198" s="2">
        <f>VLOOKUP(Table2[[#This Row],[Location 
(drop-down)]],Table14[[Location]:[Location ID]],2,FALSE)</f>
        <v>141</v>
      </c>
      <c r="C198" s="254" t="s">
        <v>556</v>
      </c>
      <c r="D198" s="379" t="str">
        <f>"C" &amp; C198 &amp;"-" &amp; B198 &amp; "-" &amp; "25"</f>
        <v>C110-141-25</v>
      </c>
      <c r="E198" s="254" t="s">
        <v>18</v>
      </c>
      <c r="F198" s="417"/>
      <c r="G198" s="227" t="s">
        <v>557</v>
      </c>
      <c r="H198" s="165" t="s">
        <v>68</v>
      </c>
      <c r="I198" s="165" t="s">
        <v>21</v>
      </c>
      <c r="J198" s="289">
        <v>45716</v>
      </c>
      <c r="K198" s="226">
        <v>45791</v>
      </c>
      <c r="L198" s="532"/>
      <c r="M198" s="2" t="str">
        <f ca="1">IF(ISBLANK([1]!Table2[[#This Row],[Complete corrective actions (Approved Date)]]), TODAY()-[1]!Table2[[#This Row],[CAR initialized date]], "CLOSED")</f>
        <v>CLOSED</v>
      </c>
      <c r="N198" s="511">
        <f>Table2[[#This Row],[Effectiveness Review &amp; date deemed effective]]-Table2[[#This Row],[CAR initialized date]]</f>
        <v>75</v>
      </c>
    </row>
    <row r="199" spans="1:14" ht="18.75">
      <c r="A199" s="334" t="s">
        <v>139</v>
      </c>
      <c r="B199" s="2">
        <f>VLOOKUP(Table2[[#This Row],[Location 
(drop-down)]],Table14[[Location]:[Location ID]],2,FALSE)</f>
        <v>191</v>
      </c>
      <c r="C199" s="411" t="s">
        <v>558</v>
      </c>
      <c r="D199" s="386" t="s">
        <v>559</v>
      </c>
      <c r="E199" s="411" t="s">
        <v>18</v>
      </c>
      <c r="F199" s="411"/>
      <c r="G199" s="334" t="s">
        <v>560</v>
      </c>
      <c r="H199" s="335" t="s">
        <v>68</v>
      </c>
      <c r="I199" s="335" t="s">
        <v>47</v>
      </c>
      <c r="J199" s="518">
        <v>45615</v>
      </c>
      <c r="K199" s="338">
        <v>45791</v>
      </c>
      <c r="L199" s="532"/>
      <c r="M199" s="2" t="s">
        <v>22</v>
      </c>
      <c r="N199" s="511">
        <f>Table2[[#This Row],[Effectiveness Review &amp; date deemed effective]]-Table2[[#This Row],[CAR initialized date]]</f>
        <v>176</v>
      </c>
    </row>
    <row r="200" spans="1:14" ht="18.75">
      <c r="A200" s="227" t="s">
        <v>314</v>
      </c>
      <c r="B200" s="2">
        <f>VLOOKUP(Table2[[#This Row],[Location 
(drop-down)]],Table14[[Location]:[Location ID]],2,FALSE)</f>
        <v>150</v>
      </c>
      <c r="C200" s="254" t="s">
        <v>561</v>
      </c>
      <c r="D200" s="379" t="str">
        <f>"C" &amp; C200 &amp;"-" &amp; B200 &amp; "-" &amp; "25"</f>
        <v>C152-150-25</v>
      </c>
      <c r="E200" s="254" t="s">
        <v>18</v>
      </c>
      <c r="F200" s="254"/>
      <c r="G200" s="240" t="s">
        <v>562</v>
      </c>
      <c r="H200" s="2" t="s">
        <v>20</v>
      </c>
      <c r="I200" s="165" t="s">
        <v>239</v>
      </c>
      <c r="J200" s="289">
        <v>45744</v>
      </c>
      <c r="K200" s="258">
        <v>45791</v>
      </c>
      <c r="L200" s="532"/>
      <c r="M200" s="2" t="str">
        <f ca="1">IF(ISBLANK([1]!Table2[[#This Row],[Complete corrective actions (Approved Date)]]), TODAY()-[1]!Table2[[#This Row],[CAR initialized date]], "CLOSED")</f>
        <v>CLOSED</v>
      </c>
      <c r="N200" s="511">
        <f>Table2[[#This Row],[Effectiveness Review &amp; date deemed effective]]-Table2[[#This Row],[CAR initialized date]]</f>
        <v>47</v>
      </c>
    </row>
    <row r="201" spans="1:14" ht="18.75">
      <c r="A201" s="227" t="s">
        <v>53</v>
      </c>
      <c r="B201" s="2">
        <f>VLOOKUP(Table2[[#This Row],[Location 
(drop-down)]],Table14[[Location]:[Location ID]],2,FALSE)</f>
        <v>158</v>
      </c>
      <c r="C201" s="254" t="s">
        <v>563</v>
      </c>
      <c r="D201" s="378" t="s">
        <v>564</v>
      </c>
      <c r="E201" s="413" t="s">
        <v>86</v>
      </c>
      <c r="F201" s="413" t="s">
        <v>308</v>
      </c>
      <c r="G201" s="227" t="s">
        <v>565</v>
      </c>
      <c r="H201" s="165" t="s">
        <v>20</v>
      </c>
      <c r="I201" s="230" t="s">
        <v>47</v>
      </c>
      <c r="J201" s="289">
        <v>45450</v>
      </c>
      <c r="K201" s="226">
        <v>45792</v>
      </c>
      <c r="L201" s="532"/>
      <c r="M201" s="2" t="str">
        <f ca="1">IF(ISBLANK([1]!Table2[[#This Row],[Complete corrective actions (Approved Date)]]), TODAY()-[1]!Table2[[#This Row],[CAR initialized date]], "CLOSED")</f>
        <v>CLOSED</v>
      </c>
      <c r="N201" s="511">
        <f>Table2[[#This Row],[Effectiveness Review &amp; date deemed effective]]-Table2[[#This Row],[CAR initialized date]]</f>
        <v>342</v>
      </c>
    </row>
    <row r="202" spans="1:14" ht="30">
      <c r="A202" s="64" t="s">
        <v>566</v>
      </c>
      <c r="B202" s="11">
        <f>VLOOKUP(Table2[[#This Row],[Location 
(drop-down)]],Table14[[Location]:[Location ID]],2,FALSE)</f>
        <v>133</v>
      </c>
      <c r="C202" s="9" t="s">
        <v>567</v>
      </c>
      <c r="D202" s="567" t="str">
        <f>"C" &amp; C202 &amp; "-" &amp; B202 &amp; "-" &amp; "23"</f>
        <v>C422-133-23</v>
      </c>
      <c r="E202" s="9" t="s">
        <v>18</v>
      </c>
      <c r="F202" s="532"/>
      <c r="G202" s="64" t="s">
        <v>568</v>
      </c>
      <c r="H202" s="532"/>
      <c r="I202" s="67" t="s">
        <v>57</v>
      </c>
      <c r="J202" s="138">
        <v>45107</v>
      </c>
      <c r="K202" s="68">
        <v>45792</v>
      </c>
      <c r="L202" s="532"/>
      <c r="M202" s="2" t="s">
        <v>22</v>
      </c>
      <c r="N202" s="511">
        <f>Table2[[#This Row],[Effectiveness Review &amp; date deemed effective]]-Table2[[#This Row],[CAR initialized date]]</f>
        <v>685</v>
      </c>
    </row>
    <row r="203" spans="1:14" ht="18.75">
      <c r="A203" s="227" t="s">
        <v>119</v>
      </c>
      <c r="B203" s="2">
        <f>VLOOKUP(Table2[[#This Row],[Location 
(drop-down)]],Table14[[Location]:[Location ID]],2,FALSE)</f>
        <v>131</v>
      </c>
      <c r="C203" s="254" t="s">
        <v>569</v>
      </c>
      <c r="D203" s="379" t="str">
        <f>"C" &amp; C203 &amp;"-" &amp; B203 &amp; "-" &amp; "25"</f>
        <v>C007-131-25</v>
      </c>
      <c r="E203" s="254" t="s">
        <v>86</v>
      </c>
      <c r="F203" s="254" t="s">
        <v>207</v>
      </c>
      <c r="G203" s="228" t="s">
        <v>570</v>
      </c>
      <c r="H203" s="165" t="s">
        <v>20</v>
      </c>
      <c r="I203" s="165" t="s">
        <v>111</v>
      </c>
      <c r="J203" s="289">
        <v>45671</v>
      </c>
      <c r="K203" s="226">
        <v>45792</v>
      </c>
      <c r="L203" s="532"/>
      <c r="M203" s="2" t="str">
        <f ca="1">IF(ISBLANK([1]!Table2[[#This Row],[Complete corrective actions (Approved Date)]]), TODAY()-[1]!Table2[[#This Row],[CAR initialized date]], "CLOSED")</f>
        <v>CLOSED</v>
      </c>
      <c r="N203" s="511">
        <f>Table2[[#This Row],[Effectiveness Review &amp; date deemed effective]]-Table2[[#This Row],[CAR initialized date]]</f>
        <v>121</v>
      </c>
    </row>
    <row r="204" spans="1:14" ht="18.75">
      <c r="A204" s="227" t="s">
        <v>53</v>
      </c>
      <c r="B204" s="2">
        <f>VLOOKUP(Table2[[#This Row],[Location 
(drop-down)]],Table14[[Location]:[Location ID]],2,FALSE)</f>
        <v>158</v>
      </c>
      <c r="C204" s="254" t="s">
        <v>571</v>
      </c>
      <c r="D204" s="378" t="s">
        <v>572</v>
      </c>
      <c r="E204" s="413" t="s">
        <v>86</v>
      </c>
      <c r="F204" s="413" t="s">
        <v>308</v>
      </c>
      <c r="G204" s="227" t="s">
        <v>573</v>
      </c>
      <c r="H204" s="165" t="s">
        <v>20</v>
      </c>
      <c r="I204" s="230" t="s">
        <v>47</v>
      </c>
      <c r="J204" s="289">
        <v>45450</v>
      </c>
      <c r="K204" s="226">
        <v>45793</v>
      </c>
      <c r="L204" s="532"/>
      <c r="M204" s="2" t="s">
        <v>22</v>
      </c>
      <c r="N204" s="511">
        <f>Table2[[#This Row],[Effectiveness Review &amp; date deemed effective]]-Table2[[#This Row],[CAR initialized date]]</f>
        <v>343</v>
      </c>
    </row>
    <row r="205" spans="1:14" ht="18.75">
      <c r="A205" s="227" t="s">
        <v>53</v>
      </c>
      <c r="B205" s="2">
        <f>VLOOKUP(Table2[[#This Row],[Location 
(drop-down)]],Table14[[Location]:[Location ID]],2,FALSE)</f>
        <v>158</v>
      </c>
      <c r="C205" s="254" t="s">
        <v>574</v>
      </c>
      <c r="D205" s="378" t="s">
        <v>575</v>
      </c>
      <c r="E205" s="413" t="s">
        <v>86</v>
      </c>
      <c r="F205" s="413" t="s">
        <v>308</v>
      </c>
      <c r="G205" s="227" t="s">
        <v>576</v>
      </c>
      <c r="H205" s="165" t="s">
        <v>20</v>
      </c>
      <c r="I205" s="230" t="s">
        <v>47</v>
      </c>
      <c r="J205" s="289">
        <v>45450</v>
      </c>
      <c r="K205" s="226">
        <v>45793</v>
      </c>
      <c r="L205" s="532"/>
      <c r="M205" s="2" t="s">
        <v>22</v>
      </c>
      <c r="N205" s="511">
        <f>Table2[[#This Row],[Effectiveness Review &amp; date deemed effective]]-Table2[[#This Row],[CAR initialized date]]</f>
        <v>343</v>
      </c>
    </row>
    <row r="206" spans="1:14" ht="18.75">
      <c r="A206" s="227" t="s">
        <v>209</v>
      </c>
      <c r="B206" s="2">
        <f>VLOOKUP(Table2[[#This Row],[Location 
(drop-down)]],Table14[[Location]:[Location ID]],2,FALSE)</f>
        <v>101</v>
      </c>
      <c r="C206" s="254" t="s">
        <v>577</v>
      </c>
      <c r="D206" s="379" t="str">
        <f>"C" &amp; C206 &amp;"-" &amp; B206 &amp; "-" &amp; "25"</f>
        <v>C087-101-25</v>
      </c>
      <c r="E206" s="254" t="s">
        <v>81</v>
      </c>
      <c r="F206" s="254" t="s">
        <v>158</v>
      </c>
      <c r="G206" s="227" t="s">
        <v>578</v>
      </c>
      <c r="H206" s="165" t="s">
        <v>68</v>
      </c>
      <c r="I206" s="165" t="s">
        <v>118</v>
      </c>
      <c r="J206" s="289">
        <v>45708</v>
      </c>
      <c r="K206" s="278">
        <v>45793</v>
      </c>
      <c r="L206" s="532"/>
      <c r="M206" s="2" t="str">
        <f ca="1">IF(ISBLANK([1]!Table2[[#This Row],[Complete corrective actions (Approved Date)]]), TODAY()-[1]!Table2[[#This Row],[CAR initialized date]], "CLOSED")</f>
        <v>CLOSED</v>
      </c>
      <c r="N206" s="511">
        <f>Table2[[#This Row],[Effectiveness Review &amp; date deemed effective]]-Table2[[#This Row],[CAR initialized date]]</f>
        <v>85</v>
      </c>
    </row>
    <row r="207" spans="1:14" ht="18.75">
      <c r="A207" s="227" t="s">
        <v>294</v>
      </c>
      <c r="B207" s="2">
        <f>VLOOKUP(Table2[[#This Row],[Location 
(drop-down)]],Table14[[Location]:[Location ID]],2,FALSE)</f>
        <v>155</v>
      </c>
      <c r="C207" s="254" t="s">
        <v>579</v>
      </c>
      <c r="D207" s="379" t="str">
        <f>"C" &amp; C207 &amp;"-" &amp; B207 &amp; "-" &amp; "25"</f>
        <v>C191-155-25</v>
      </c>
      <c r="E207" s="254" t="s">
        <v>81</v>
      </c>
      <c r="F207" s="254" t="s">
        <v>158</v>
      </c>
      <c r="G207" s="227" t="s">
        <v>580</v>
      </c>
      <c r="H207" s="165" t="s">
        <v>68</v>
      </c>
      <c r="I207" s="165" t="s">
        <v>47</v>
      </c>
      <c r="J207" s="276">
        <v>45776</v>
      </c>
      <c r="K207" s="226">
        <v>45793</v>
      </c>
      <c r="L207" s="532"/>
      <c r="M207" s="2" t="str">
        <f ca="1">IF(ISBLANK([1]!Table2[[#This Row],[Complete corrective actions (Approved Date)]]), TODAY()-[1]!Table2[[#This Row],[CAR initialized date]], "CLOSED")</f>
        <v>CLOSED</v>
      </c>
      <c r="N207" s="511">
        <f>Table2[[#This Row],[Effectiveness Review &amp; date deemed effective]]-Table2[[#This Row],[CAR initialized date]]</f>
        <v>17</v>
      </c>
    </row>
    <row r="208" spans="1:14" ht="18.75">
      <c r="A208" s="227" t="s">
        <v>358</v>
      </c>
      <c r="B208" s="2">
        <f>VLOOKUP(Table2[[#This Row],[Location 
(drop-down)]],Table14[[Location]:[Location ID]],2,FALSE)</f>
        <v>190</v>
      </c>
      <c r="C208" s="254" t="s">
        <v>581</v>
      </c>
      <c r="D208" s="379" t="str">
        <f>"C" &amp; C208 &amp;"-" &amp; B208 &amp; "-" &amp; "25"</f>
        <v>C130-190-25</v>
      </c>
      <c r="E208" s="254" t="s">
        <v>18</v>
      </c>
      <c r="F208" s="254"/>
      <c r="G208" s="227" t="s">
        <v>582</v>
      </c>
      <c r="H208" s="165" t="s">
        <v>20</v>
      </c>
      <c r="I208" s="165" t="s">
        <v>47</v>
      </c>
      <c r="J208" s="289">
        <v>45727</v>
      </c>
      <c r="K208" s="226">
        <v>45794</v>
      </c>
      <c r="L208" s="532"/>
      <c r="M208" s="2" t="str">
        <f ca="1">IF(ISBLANK([1]!Table2[[#This Row],[Complete corrective actions (Approved Date)]]), TODAY()-[1]!Table2[[#This Row],[CAR initialized date]], "CLOSED")</f>
        <v>CLOSED</v>
      </c>
      <c r="N208" s="511">
        <f>Table2[[#This Row],[Effectiveness Review &amp; date deemed effective]]-Table2[[#This Row],[CAR initialized date]]</f>
        <v>67</v>
      </c>
    </row>
    <row r="209" spans="1:14" ht="18.75">
      <c r="A209" s="227" t="s">
        <v>23</v>
      </c>
      <c r="B209" s="2">
        <f>VLOOKUP(Table2[[#This Row],[Location 
(drop-down)]],Table14[[Location]:[Location ID]],2,FALSE)</f>
        <v>192</v>
      </c>
      <c r="C209" s="254" t="s">
        <v>583</v>
      </c>
      <c r="D209" s="379" t="str">
        <f>"C" &amp; C209 &amp;"-" &amp; B209 &amp; "-" &amp; "25"</f>
        <v>C165-192-25</v>
      </c>
      <c r="E209" s="254" t="s">
        <v>18</v>
      </c>
      <c r="F209" s="254"/>
      <c r="G209" s="240" t="s">
        <v>584</v>
      </c>
      <c r="H209" s="2" t="s">
        <v>201</v>
      </c>
      <c r="I209" s="165" t="s">
        <v>47</v>
      </c>
      <c r="J209" s="289">
        <v>45754</v>
      </c>
      <c r="K209" s="258">
        <v>45796</v>
      </c>
      <c r="L209" s="532"/>
      <c r="M209" s="2" t="str">
        <f ca="1">IF(ISBLANK([1]!Table2[[#This Row],[Complete corrective actions (Approved Date)]]), TODAY()-[1]!Table2[[#This Row],[CAR initialized date]], "CLOSED")</f>
        <v>CLOSED</v>
      </c>
      <c r="N209" s="511">
        <f>Table2[[#This Row],[Effectiveness Review &amp; date deemed effective]]-Table2[[#This Row],[CAR initialized date]]</f>
        <v>42</v>
      </c>
    </row>
    <row r="210" spans="1:14" ht="18.75">
      <c r="A210" s="227" t="s">
        <v>119</v>
      </c>
      <c r="B210" s="2">
        <f>VLOOKUP(Table2[[#This Row],[Location 
(drop-down)]],Table14[[Location]:[Location ID]],2,FALSE)</f>
        <v>131</v>
      </c>
      <c r="C210" s="254" t="s">
        <v>585</v>
      </c>
      <c r="D210" s="379" t="str">
        <f>"C" &amp; C210 &amp;"-" &amp; B210 &amp; "-" &amp; "25"</f>
        <v>C160-131-25</v>
      </c>
      <c r="E210" s="254" t="s">
        <v>120</v>
      </c>
      <c r="F210" s="254"/>
      <c r="G210" s="240" t="s">
        <v>586</v>
      </c>
      <c r="H210" s="2" t="s">
        <v>201</v>
      </c>
      <c r="I210" s="165" t="s">
        <v>111</v>
      </c>
      <c r="J210" s="276">
        <v>45747</v>
      </c>
      <c r="K210" s="258">
        <v>45796</v>
      </c>
      <c r="L210" s="532"/>
      <c r="M210" s="2" t="str">
        <f ca="1">IF(ISBLANK([1]!Table2[[#This Row],[Complete corrective actions (Approved Date)]]), TODAY()-[1]!Table2[[#This Row],[CAR initialized date]], "CLOSED")</f>
        <v>CLOSED</v>
      </c>
      <c r="N210" s="511">
        <f>Table2[[#This Row],[Effectiveness Review &amp; date deemed effective]]-Table2[[#This Row],[CAR initialized date]]</f>
        <v>49</v>
      </c>
    </row>
    <row r="211" spans="1:14" ht="18.75">
      <c r="A211" s="227" t="s">
        <v>518</v>
      </c>
      <c r="B211" s="2">
        <f>VLOOKUP(Table2[[#This Row],[Location 
(drop-down)]],Table14[[Location]:[Location ID]],2,FALSE)</f>
        <v>185</v>
      </c>
      <c r="C211" s="254" t="s">
        <v>587</v>
      </c>
      <c r="D211" s="379" t="str">
        <f>"C" &amp; C211 &amp;"-" &amp; B211 &amp; "-" &amp; "25"</f>
        <v>C059-185-25</v>
      </c>
      <c r="E211" s="254" t="s">
        <v>18</v>
      </c>
      <c r="F211" s="254"/>
      <c r="G211" s="227" t="s">
        <v>588</v>
      </c>
      <c r="H211" s="165" t="s">
        <v>20</v>
      </c>
      <c r="I211" s="165" t="s">
        <v>69</v>
      </c>
      <c r="J211" s="289">
        <v>45706</v>
      </c>
      <c r="K211" s="226">
        <v>45796</v>
      </c>
      <c r="L211" s="532"/>
      <c r="M211" s="2" t="str">
        <f ca="1">IF(ISBLANK([1]!Table2[[#This Row],[Complete corrective actions (Approved Date)]]), TODAY()-[1]!Table2[[#This Row],[CAR initialized date]], "CLOSED")</f>
        <v>CLOSED</v>
      </c>
      <c r="N211" s="511">
        <f>Table2[[#This Row],[Effectiveness Review &amp; date deemed effective]]-Table2[[#This Row],[CAR initialized date]]</f>
        <v>90</v>
      </c>
    </row>
    <row r="212" spans="1:14" ht="18.75">
      <c r="A212" s="227" t="s">
        <v>358</v>
      </c>
      <c r="B212" s="2">
        <f>VLOOKUP(Table2[[#This Row],[Location 
(drop-down)]],Table14[[Location]:[Location ID]],2,FALSE)</f>
        <v>190</v>
      </c>
      <c r="C212" s="254" t="s">
        <v>589</v>
      </c>
      <c r="D212" s="379" t="str">
        <f>"C" &amp; C212 &amp;"-" &amp; B212 &amp; "-" &amp; "25"</f>
        <v>C124-190-25</v>
      </c>
      <c r="E212" s="254" t="s">
        <v>18</v>
      </c>
      <c r="F212" s="254"/>
      <c r="G212" s="227" t="s">
        <v>590</v>
      </c>
      <c r="H212" s="165" t="s">
        <v>68</v>
      </c>
      <c r="I212" s="165" t="s">
        <v>47</v>
      </c>
      <c r="J212" s="289">
        <v>45727</v>
      </c>
      <c r="K212" s="226">
        <v>45797</v>
      </c>
      <c r="L212" s="532"/>
      <c r="M212" s="2" t="str">
        <f ca="1">IF(ISBLANK([1]!Table2[[#This Row],[Complete corrective actions (Approved Date)]]), TODAY()-[1]!Table2[[#This Row],[CAR initialized date]], "CLOSED")</f>
        <v>CLOSED</v>
      </c>
      <c r="N212" s="511">
        <f>Table2[[#This Row],[Effectiveness Review &amp; date deemed effective]]-Table2[[#This Row],[CAR initialized date]]</f>
        <v>70</v>
      </c>
    </row>
    <row r="213" spans="1:14" ht="18.75">
      <c r="A213" s="227" t="s">
        <v>591</v>
      </c>
      <c r="B213" s="2">
        <f>VLOOKUP(Table2[[#This Row],[Location 
(drop-down)]],Table14[[Location]:[Location ID]],2,FALSE)</f>
        <v>127</v>
      </c>
      <c r="C213" s="254" t="s">
        <v>592</v>
      </c>
      <c r="D213" s="379" t="str">
        <f>"C" &amp; C213 &amp;"-" &amp; B213 &amp; "-" &amp; "25"</f>
        <v>C143-127-25</v>
      </c>
      <c r="E213" s="254" t="s">
        <v>18</v>
      </c>
      <c r="F213" s="18"/>
      <c r="G213" s="240" t="s">
        <v>422</v>
      </c>
      <c r="H213" s="165" t="s">
        <v>20</v>
      </c>
      <c r="I213" s="165" t="s">
        <v>69</v>
      </c>
      <c r="J213" s="289">
        <v>45743</v>
      </c>
      <c r="K213" s="226">
        <v>45797</v>
      </c>
      <c r="L213" s="532"/>
      <c r="M213" s="2" t="str">
        <f ca="1">IF(ISBLANK([1]!Table2[[#This Row],[Complete corrective actions (Approved Date)]]), TODAY()-[1]!Table2[[#This Row],[CAR initialized date]], "CLOSED")</f>
        <v>CLOSED</v>
      </c>
      <c r="N213" s="511">
        <f>Table2[[#This Row],[Effectiveness Review &amp; date deemed effective]]-Table2[[#This Row],[CAR initialized date]]</f>
        <v>54</v>
      </c>
    </row>
    <row r="214" spans="1:14" ht="18.75">
      <c r="A214" s="227" t="s">
        <v>160</v>
      </c>
      <c r="B214" s="2">
        <f>VLOOKUP(Table2[[#This Row],[Location 
(drop-down)]],Table14[[Location]:[Location ID]],2,FALSE)</f>
        <v>128</v>
      </c>
      <c r="C214" s="254" t="s">
        <v>593</v>
      </c>
      <c r="D214" s="379" t="str">
        <f>"C" &amp; C214 &amp;"-" &amp; B214 &amp; "-" &amp; "25"</f>
        <v>C093-128-25</v>
      </c>
      <c r="E214" s="254" t="s">
        <v>18</v>
      </c>
      <c r="F214" s="254"/>
      <c r="G214" s="227" t="s">
        <v>594</v>
      </c>
      <c r="H214" s="165" t="s">
        <v>20</v>
      </c>
      <c r="I214" s="165" t="s">
        <v>69</v>
      </c>
      <c r="J214" s="289">
        <v>45709</v>
      </c>
      <c r="K214" s="226">
        <v>45797</v>
      </c>
      <c r="L214" s="532"/>
      <c r="M214" s="2" t="str">
        <f ca="1">IF(ISBLANK([1]!Table2[[#This Row],[Complete corrective actions (Approved Date)]]), TODAY()-[1]!Table2[[#This Row],[CAR initialized date]], "CLOSED")</f>
        <v>CLOSED</v>
      </c>
      <c r="N214" s="511">
        <f>Table2[[#This Row],[Effectiveness Review &amp; date deemed effective]]-Table2[[#This Row],[CAR initialized date]]</f>
        <v>88</v>
      </c>
    </row>
    <row r="215" spans="1:14" ht="18.75">
      <c r="A215" s="231" t="s">
        <v>156</v>
      </c>
      <c r="B215" s="2">
        <f>VLOOKUP(Table2[[#This Row],[Location 
(drop-down)]],Table14[[Location]:[Location ID]],2,FALSE)</f>
        <v>110</v>
      </c>
      <c r="C215" s="414" t="s">
        <v>595</v>
      </c>
      <c r="D215" s="396" t="s">
        <v>596</v>
      </c>
      <c r="E215" s="414" t="s">
        <v>18</v>
      </c>
      <c r="F215" s="414"/>
      <c r="G215" s="231" t="s">
        <v>597</v>
      </c>
      <c r="H215" s="232" t="s">
        <v>20</v>
      </c>
      <c r="I215" s="232" t="s">
        <v>239</v>
      </c>
      <c r="J215" s="519">
        <v>45616</v>
      </c>
      <c r="K215" s="372">
        <v>45799</v>
      </c>
      <c r="L215" s="532"/>
      <c r="M215" s="2" t="str">
        <f ca="1">IF(ISBLANK([1]!Table2[[#This Row],[Complete corrective actions (Approved Date)]]), TODAY()-[1]!Table2[[#This Row],[CAR initialized date]], "CLOSED")</f>
        <v>CLOSED</v>
      </c>
      <c r="N215" s="511">
        <f>Table2[[#This Row],[Effectiveness Review &amp; date deemed effective]]-Table2[[#This Row],[CAR initialized date]]</f>
        <v>183</v>
      </c>
    </row>
    <row r="216" spans="1:14" ht="18.75">
      <c r="A216" s="334" t="s">
        <v>156</v>
      </c>
      <c r="B216" s="2">
        <f>VLOOKUP(Table2[[#This Row],[Location 
(drop-down)]],Table14[[Location]:[Location ID]],2,FALSE)</f>
        <v>110</v>
      </c>
      <c r="C216" s="411" t="s">
        <v>598</v>
      </c>
      <c r="D216" s="386" t="s">
        <v>599</v>
      </c>
      <c r="E216" s="411" t="s">
        <v>18</v>
      </c>
      <c r="F216" s="411"/>
      <c r="G216" s="334" t="s">
        <v>600</v>
      </c>
      <c r="H216" s="335" t="s">
        <v>20</v>
      </c>
      <c r="I216" s="335" t="s">
        <v>239</v>
      </c>
      <c r="J216" s="518">
        <v>45616</v>
      </c>
      <c r="K216" s="338">
        <v>45799</v>
      </c>
      <c r="L216" s="532"/>
      <c r="M216" s="2" t="str">
        <f ca="1">IF(ISBLANK([1]!Table2[[#This Row],[Complete corrective actions (Approved Date)]]), TODAY()-[1]!Table2[[#This Row],[CAR initialized date]], "CLOSED")</f>
        <v>CLOSED</v>
      </c>
      <c r="N216" s="511">
        <f>Table2[[#This Row],[Effectiveness Review &amp; date deemed effective]]-Table2[[#This Row],[CAR initialized date]]</f>
        <v>183</v>
      </c>
    </row>
    <row r="217" spans="1:14" ht="18.75">
      <c r="A217" s="227" t="s">
        <v>156</v>
      </c>
      <c r="B217" s="2">
        <f>VLOOKUP(Table2[[#This Row],[Location 
(drop-down)]],Table14[[Location]:[Location ID]],2,FALSE)</f>
        <v>110</v>
      </c>
      <c r="C217" s="254" t="s">
        <v>601</v>
      </c>
      <c r="D217" s="378" t="s">
        <v>602</v>
      </c>
      <c r="E217" s="254" t="s">
        <v>18</v>
      </c>
      <c r="F217" s="254"/>
      <c r="G217" s="227" t="s">
        <v>603</v>
      </c>
      <c r="H217" s="165" t="s">
        <v>20</v>
      </c>
      <c r="I217" s="165" t="s">
        <v>239</v>
      </c>
      <c r="J217" s="289">
        <v>45616</v>
      </c>
      <c r="K217" s="226">
        <v>45799</v>
      </c>
      <c r="L217" s="532"/>
      <c r="M217" s="2" t="str">
        <f ca="1">IF(ISBLANK([1]!Table2[[#This Row],[Complete corrective actions (Approved Date)]]), TODAY()-[1]!Table2[[#This Row],[CAR initialized date]], "CLOSED")</f>
        <v>CLOSED</v>
      </c>
      <c r="N217" s="511">
        <f>Table2[[#This Row],[Effectiveness Review &amp; date deemed effective]]-Table2[[#This Row],[CAR initialized date]]</f>
        <v>183</v>
      </c>
    </row>
    <row r="218" spans="1:14" ht="18.75">
      <c r="A218" s="334" t="s">
        <v>167</v>
      </c>
      <c r="B218" s="2">
        <f>VLOOKUP(Table2[[#This Row],[Location 
(drop-down)]],Table14[[Location]:[Location ID]],2,FALSE)</f>
        <v>146</v>
      </c>
      <c r="C218" s="411" t="s">
        <v>604</v>
      </c>
      <c r="D218" s="386" t="s">
        <v>605</v>
      </c>
      <c r="E218" s="411" t="s">
        <v>26</v>
      </c>
      <c r="F218" s="411"/>
      <c r="G218" s="334" t="s">
        <v>606</v>
      </c>
      <c r="H218" s="335" t="s">
        <v>20</v>
      </c>
      <c r="I218" s="337" t="s">
        <v>47</v>
      </c>
      <c r="J218" s="518">
        <v>45331</v>
      </c>
      <c r="K218" s="338">
        <v>45799</v>
      </c>
      <c r="L218" s="532"/>
      <c r="M218" s="2" t="str">
        <f ca="1">IF(ISBLANK([1]!Table2[[#This Row],[Complete corrective actions (Approved Date)]]), TODAY()-[1]!Table2[[#This Row],[CAR initialized date]], "CLOSED")</f>
        <v>CLOSED</v>
      </c>
      <c r="N218" s="511">
        <f>Table2[[#This Row],[Effectiveness Review &amp; date deemed effective]]-Table2[[#This Row],[CAR initialized date]]</f>
        <v>468</v>
      </c>
    </row>
    <row r="219" spans="1:14" ht="18.75">
      <c r="A219" s="227" t="s">
        <v>119</v>
      </c>
      <c r="B219" s="2">
        <f>VLOOKUP(Table2[[#This Row],[Location 
(drop-down)]],Table14[[Location]:[Location ID]],2,FALSE)</f>
        <v>131</v>
      </c>
      <c r="C219" s="254" t="s">
        <v>607</v>
      </c>
      <c r="D219" s="379" t="str">
        <f>"C" &amp; C219 &amp;"-" &amp; B219 &amp; "-" &amp; "25"</f>
        <v>C030-131-25</v>
      </c>
      <c r="E219" s="254" t="s">
        <v>18</v>
      </c>
      <c r="F219" s="254"/>
      <c r="G219" s="115" t="s">
        <v>608</v>
      </c>
      <c r="H219" s="165" t="s">
        <v>20</v>
      </c>
      <c r="I219" s="165" t="s">
        <v>239</v>
      </c>
      <c r="J219" s="289">
        <v>45687</v>
      </c>
      <c r="K219" s="226">
        <v>45799</v>
      </c>
      <c r="L219" s="532"/>
      <c r="M219" s="2" t="str">
        <f ca="1">IF(ISBLANK([1]!Table2[[#This Row],[Complete corrective actions (Approved Date)]]), TODAY()-[1]!Table2[[#This Row],[CAR initialized date]], "CLOSED")</f>
        <v>CLOSED</v>
      </c>
      <c r="N219" s="511">
        <f>Table2[[#This Row],[Effectiveness Review &amp; date deemed effective]]-Table2[[#This Row],[CAR initialized date]]</f>
        <v>112</v>
      </c>
    </row>
    <row r="220" spans="1:14" ht="18.75">
      <c r="A220" s="227" t="s">
        <v>119</v>
      </c>
      <c r="B220" s="2">
        <f>VLOOKUP(Table2[[#This Row],[Location 
(drop-down)]],Table14[[Location]:[Location ID]],2,FALSE)</f>
        <v>131</v>
      </c>
      <c r="C220" s="254" t="s">
        <v>609</v>
      </c>
      <c r="D220" s="379" t="str">
        <f>"C" &amp; C220 &amp;"-" &amp; B220 &amp; "-" &amp; "25"</f>
        <v>C033-131-25</v>
      </c>
      <c r="E220" s="254" t="s">
        <v>18</v>
      </c>
      <c r="F220" s="254"/>
      <c r="G220" s="240" t="s">
        <v>610</v>
      </c>
      <c r="H220" s="165" t="s">
        <v>20</v>
      </c>
      <c r="I220" s="165" t="s">
        <v>239</v>
      </c>
      <c r="J220" s="289">
        <v>45687</v>
      </c>
      <c r="K220" s="226">
        <v>45799</v>
      </c>
      <c r="L220" s="532"/>
      <c r="M220" s="2" t="str">
        <f ca="1">IF(ISBLANK([1]!Table2[[#This Row],[Complete corrective actions (Approved Date)]]), TODAY()-[1]!Table2[[#This Row],[CAR initialized date]], "CLOSED")</f>
        <v>CLOSED</v>
      </c>
      <c r="N220" s="511">
        <f>Table2[[#This Row],[Effectiveness Review &amp; date deemed effective]]-Table2[[#This Row],[CAR initialized date]]</f>
        <v>112</v>
      </c>
    </row>
    <row r="221" spans="1:14" ht="18.75">
      <c r="A221" s="227" t="s">
        <v>119</v>
      </c>
      <c r="B221" s="2">
        <f>VLOOKUP(Table2[[#This Row],[Location 
(drop-down)]],Table14[[Location]:[Location ID]],2,FALSE)</f>
        <v>131</v>
      </c>
      <c r="C221" s="254" t="s">
        <v>604</v>
      </c>
      <c r="D221" s="379" t="str">
        <f>"C" &amp; C221 &amp;"-" &amp; B221 &amp; "-" &amp; "25"</f>
        <v>C035-131-25</v>
      </c>
      <c r="E221" s="254" t="s">
        <v>18</v>
      </c>
      <c r="F221" s="254"/>
      <c r="G221" s="227" t="s">
        <v>450</v>
      </c>
      <c r="H221" s="165" t="s">
        <v>20</v>
      </c>
      <c r="I221" s="165" t="s">
        <v>239</v>
      </c>
      <c r="J221" s="289">
        <v>45687</v>
      </c>
      <c r="K221" s="226">
        <v>45799</v>
      </c>
      <c r="L221" s="532"/>
      <c r="M221" s="2" t="str">
        <f ca="1">IF(ISBLANK([1]!Table2[[#This Row],[Complete corrective actions (Approved Date)]]), TODAY()-[1]!Table2[[#This Row],[CAR initialized date]], "CLOSED")</f>
        <v>CLOSED</v>
      </c>
      <c r="N221" s="511">
        <f>Table2[[#This Row],[Effectiveness Review &amp; date deemed effective]]-Table2[[#This Row],[CAR initialized date]]</f>
        <v>112</v>
      </c>
    </row>
    <row r="222" spans="1:14" ht="18.75">
      <c r="A222" s="227" t="s">
        <v>294</v>
      </c>
      <c r="B222" s="2">
        <f>VLOOKUP(Table2[[#This Row],[Location 
(drop-down)]],Table14[[Location]:[Location ID]],2,FALSE)</f>
        <v>155</v>
      </c>
      <c r="C222" s="254" t="s">
        <v>611</v>
      </c>
      <c r="D222" s="379" t="str">
        <f>"C" &amp; C222 &amp;"-" &amp; B222 &amp; "-" &amp; "25"</f>
        <v>C067-155-25</v>
      </c>
      <c r="E222" s="254" t="s">
        <v>18</v>
      </c>
      <c r="F222" s="254"/>
      <c r="G222" s="227" t="s">
        <v>612</v>
      </c>
      <c r="H222" s="165" t="s">
        <v>20</v>
      </c>
      <c r="I222" s="165" t="s">
        <v>21</v>
      </c>
      <c r="J222" s="289">
        <v>45706</v>
      </c>
      <c r="K222" s="226">
        <v>45800</v>
      </c>
      <c r="L222" s="532"/>
      <c r="M222" s="2" t="str">
        <f ca="1">IF(ISBLANK([1]!Table2[[#This Row],[Complete corrective actions (Approved Date)]]), TODAY()-[1]!Table2[[#This Row],[CAR initialized date]], "CLOSED")</f>
        <v>CLOSED</v>
      </c>
      <c r="N222" s="511">
        <f>Table2[[#This Row],[Effectiveness Review &amp; date deemed effective]]-Table2[[#This Row],[CAR initialized date]]</f>
        <v>94</v>
      </c>
    </row>
    <row r="223" spans="1:14" ht="18.75">
      <c r="A223" s="227" t="s">
        <v>294</v>
      </c>
      <c r="B223" s="2">
        <f>VLOOKUP(Table2[[#This Row],[Location 
(drop-down)]],Table14[[Location]:[Location ID]],2,FALSE)</f>
        <v>155</v>
      </c>
      <c r="C223" s="254" t="s">
        <v>613</v>
      </c>
      <c r="D223" s="379" t="str">
        <f>"C" &amp; C223 &amp;"-" &amp; B223 &amp; "-" &amp; "25"</f>
        <v>C074-155-25</v>
      </c>
      <c r="E223" s="254" t="s">
        <v>18</v>
      </c>
      <c r="F223" s="254"/>
      <c r="G223" s="227" t="s">
        <v>614</v>
      </c>
      <c r="H223" s="165" t="s">
        <v>20</v>
      </c>
      <c r="I223" s="165" t="s">
        <v>21</v>
      </c>
      <c r="J223" s="289">
        <v>45706</v>
      </c>
      <c r="K223" s="226">
        <v>45800</v>
      </c>
      <c r="L223" s="532"/>
      <c r="M223" s="2" t="str">
        <f ca="1">IF(ISBLANK([1]!Table2[[#This Row],[Complete corrective actions (Approved Date)]]), TODAY()-[1]!Table2[[#This Row],[CAR initialized date]], "CLOSED")</f>
        <v>CLOSED</v>
      </c>
      <c r="N223" s="511">
        <f>Table2[[#This Row],[Effectiveness Review &amp; date deemed effective]]-Table2[[#This Row],[CAR initialized date]]</f>
        <v>94</v>
      </c>
    </row>
    <row r="224" spans="1:14" ht="18.75">
      <c r="A224" s="227" t="s">
        <v>160</v>
      </c>
      <c r="B224" s="2">
        <f>VLOOKUP(Table2[[#This Row],[Location 
(drop-down)]],Table14[[Location]:[Location ID]],2,FALSE)</f>
        <v>128</v>
      </c>
      <c r="C224" s="254" t="s">
        <v>615</v>
      </c>
      <c r="D224" s="379" t="str">
        <f>"C" &amp; C224 &amp;"-" &amp; B224 &amp; "-" &amp; "25"</f>
        <v>C092-128-25</v>
      </c>
      <c r="E224" s="254" t="s">
        <v>18</v>
      </c>
      <c r="F224" s="254"/>
      <c r="G224" s="227" t="s">
        <v>616</v>
      </c>
      <c r="H224" s="165" t="s">
        <v>20</v>
      </c>
      <c r="I224" s="165" t="s">
        <v>69</v>
      </c>
      <c r="J224" s="289">
        <v>45709</v>
      </c>
      <c r="K224" s="226">
        <v>45800</v>
      </c>
      <c r="L224" s="532"/>
      <c r="M224" s="2" t="str">
        <f ca="1">IF(ISBLANK([1]!Table2[[#This Row],[Complete corrective actions (Approved Date)]]), TODAY()-[1]!Table2[[#This Row],[CAR initialized date]], "CLOSED")</f>
        <v>CLOSED</v>
      </c>
      <c r="N224" s="511">
        <f>Table2[[#This Row],[Effectiveness Review &amp; date deemed effective]]-Table2[[#This Row],[CAR initialized date]]</f>
        <v>91</v>
      </c>
    </row>
    <row r="225" spans="1:14" ht="18.75">
      <c r="A225" s="227" t="s">
        <v>64</v>
      </c>
      <c r="B225" s="2">
        <f>VLOOKUP(Table2[[#This Row],[Location 
(drop-down)]],Table14[[Location]:[Location ID]],2,FALSE)</f>
        <v>145</v>
      </c>
      <c r="C225" s="254" t="s">
        <v>617</v>
      </c>
      <c r="D225" s="379" t="str">
        <f>"C" &amp; C225 &amp;"-" &amp; B225 &amp; "-" &amp; "25"</f>
        <v>C171-145-25</v>
      </c>
      <c r="E225" s="254" t="s">
        <v>18</v>
      </c>
      <c r="F225" s="254"/>
      <c r="G225" s="227" t="s">
        <v>618</v>
      </c>
      <c r="H225" s="165" t="s">
        <v>20</v>
      </c>
      <c r="I225" s="165" t="s">
        <v>21</v>
      </c>
      <c r="J225" s="276">
        <v>45756</v>
      </c>
      <c r="K225" s="258">
        <v>45800</v>
      </c>
      <c r="L225" s="532"/>
      <c r="M225" s="2" t="str">
        <f ca="1">IF(ISBLANK([1]!Table2[[#This Row],[Complete corrective actions (Approved Date)]]), TODAY()-[1]!Table2[[#This Row],[CAR initialized date]], "CLOSED")</f>
        <v>CLOSED</v>
      </c>
      <c r="N225" s="511">
        <f>Table2[[#This Row],[Effectiveness Review &amp; date deemed effective]]-Table2[[#This Row],[CAR initialized date]]</f>
        <v>44</v>
      </c>
    </row>
    <row r="226" spans="1:14" ht="18.75">
      <c r="A226" s="227" t="s">
        <v>185</v>
      </c>
      <c r="B226" s="2">
        <f>VLOOKUP(Table2[[#This Row],[Location 
(drop-down)]],Table14[[Location]:[Location ID]],2,FALSE)</f>
        <v>144</v>
      </c>
      <c r="C226" s="254" t="s">
        <v>51</v>
      </c>
      <c r="D226" s="378" t="s">
        <v>619</v>
      </c>
      <c r="E226" s="254" t="s">
        <v>18</v>
      </c>
      <c r="F226" s="254"/>
      <c r="G226" s="227" t="s">
        <v>620</v>
      </c>
      <c r="H226" s="165" t="s">
        <v>20</v>
      </c>
      <c r="I226" s="230" t="s">
        <v>21</v>
      </c>
      <c r="J226" s="289">
        <v>45531</v>
      </c>
      <c r="K226" s="226">
        <v>45800</v>
      </c>
      <c r="L226" s="532"/>
      <c r="M226" s="2" t="str">
        <f ca="1">IF(ISBLANK([1]!Table2[[#This Row],[Complete corrective actions (Approved Date)]]), TODAY()-[1]!Table2[[#This Row],[CAR initialized date]], "CLOSED")</f>
        <v>CLOSED</v>
      </c>
      <c r="N226" s="511">
        <f>Table2[[#This Row],[Effectiveness Review &amp; date deemed effective]]-Table2[[#This Row],[CAR initialized date]]</f>
        <v>269</v>
      </c>
    </row>
    <row r="227" spans="1:14" ht="18.75">
      <c r="A227" s="227" t="s">
        <v>621</v>
      </c>
      <c r="B227" s="2">
        <f>VLOOKUP(Table2[[#This Row],[Location 
(drop-down)]],Table14[[Location]:[Location ID]],2,FALSE)</f>
        <v>171</v>
      </c>
      <c r="C227" s="254" t="s">
        <v>622</v>
      </c>
      <c r="D227" s="378" t="s">
        <v>623</v>
      </c>
      <c r="E227" s="254" t="s">
        <v>18</v>
      </c>
      <c r="F227" s="254"/>
      <c r="G227" s="227" t="s">
        <v>624</v>
      </c>
      <c r="H227" s="165" t="s">
        <v>68</v>
      </c>
      <c r="I227" s="230" t="s">
        <v>21</v>
      </c>
      <c r="J227" s="289">
        <v>45489</v>
      </c>
      <c r="K227" s="226">
        <v>45800</v>
      </c>
      <c r="L227" s="532"/>
      <c r="M227" s="2" t="str">
        <f ca="1">IF(ISBLANK([1]!Table2[[#This Row],[Complete corrective actions (Approved Date)]]), TODAY()-[1]!Table2[[#This Row],[CAR initialized date]], "CLOSED")</f>
        <v>CLOSED</v>
      </c>
      <c r="N227" s="511">
        <f>Table2[[#This Row],[Effectiveness Review &amp; date deemed effective]]-Table2[[#This Row],[CAR initialized date]]</f>
        <v>311</v>
      </c>
    </row>
    <row r="228" spans="1:14" ht="18.75">
      <c r="A228" s="227" t="s">
        <v>314</v>
      </c>
      <c r="B228" s="2">
        <f>VLOOKUP(Table2[[#This Row],[Location 
(drop-down)]],Table14[[Location]:[Location ID]],2,FALSE)</f>
        <v>150</v>
      </c>
      <c r="C228" s="254" t="s">
        <v>625</v>
      </c>
      <c r="D228" s="379" t="str">
        <f>"C" &amp; C228 &amp;"-" &amp; B228 &amp; "-" &amp; "25"</f>
        <v>C153-150-25</v>
      </c>
      <c r="E228" s="254" t="s">
        <v>18</v>
      </c>
      <c r="F228" s="254"/>
      <c r="G228" s="240" t="s">
        <v>626</v>
      </c>
      <c r="H228" s="2" t="s">
        <v>20</v>
      </c>
      <c r="I228" s="165" t="s">
        <v>239</v>
      </c>
      <c r="J228" s="289">
        <v>45744</v>
      </c>
      <c r="K228" s="258">
        <v>45800</v>
      </c>
      <c r="L228" s="532"/>
      <c r="M228" s="2" t="str">
        <f ca="1">IF(ISBLANK([1]!Table2[[#This Row],[Complete corrective actions (Approved Date)]]), TODAY()-[1]!Table2[[#This Row],[CAR initialized date]], "CLOSED")</f>
        <v>CLOSED</v>
      </c>
      <c r="N228" s="511">
        <f>Table2[[#This Row],[Effectiveness Review &amp; date deemed effective]]-Table2[[#This Row],[CAR initialized date]]</f>
        <v>56</v>
      </c>
    </row>
    <row r="229" spans="1:14" ht="18.75">
      <c r="A229" s="227" t="s">
        <v>314</v>
      </c>
      <c r="B229" s="2">
        <f>VLOOKUP(Table2[[#This Row],[Location 
(drop-down)]],Table14[[Location]:[Location ID]],2,FALSE)</f>
        <v>150</v>
      </c>
      <c r="C229" s="254" t="s">
        <v>627</v>
      </c>
      <c r="D229" s="379" t="str">
        <f>"C" &amp; C229 &amp;"-" &amp; B229 &amp; "-" &amp; "25"</f>
        <v>C155-150-25</v>
      </c>
      <c r="E229" s="254" t="s">
        <v>18</v>
      </c>
      <c r="F229" s="254"/>
      <c r="G229" s="410" t="s">
        <v>276</v>
      </c>
      <c r="H229" s="2" t="s">
        <v>20</v>
      </c>
      <c r="I229" s="165" t="s">
        <v>239</v>
      </c>
      <c r="J229" s="289">
        <v>45744</v>
      </c>
      <c r="K229" s="258">
        <v>45800</v>
      </c>
      <c r="L229" s="532"/>
      <c r="M229" s="2" t="str">
        <f ca="1">IF(ISBLANK([1]!Table2[[#This Row],[Complete corrective actions (Approved Date)]]), TODAY()-[1]!Table2[[#This Row],[CAR initialized date]], "CLOSED")</f>
        <v>CLOSED</v>
      </c>
      <c r="N229" s="511">
        <f>Table2[[#This Row],[Effectiveness Review &amp; date deemed effective]]-Table2[[#This Row],[CAR initialized date]]</f>
        <v>56</v>
      </c>
    </row>
    <row r="230" spans="1:14" ht="18.75">
      <c r="A230" s="227" t="s">
        <v>23</v>
      </c>
      <c r="B230" s="2">
        <f>VLOOKUP(Table2[[#This Row],[Location 
(drop-down)]],Table14[[Location]:[Location ID]],2,FALSE)</f>
        <v>192</v>
      </c>
      <c r="C230" s="254" t="s">
        <v>628</v>
      </c>
      <c r="D230" s="379" t="str">
        <f>"C" &amp; C230 &amp;"-" &amp; B230 &amp; "-" &amp; "25"</f>
        <v>C168-192-25</v>
      </c>
      <c r="E230" s="254" t="s">
        <v>18</v>
      </c>
      <c r="F230" s="254"/>
      <c r="G230" s="227" t="s">
        <v>629</v>
      </c>
      <c r="H230" s="165" t="s">
        <v>20</v>
      </c>
      <c r="I230" s="165" t="s">
        <v>47</v>
      </c>
      <c r="J230" s="289">
        <v>45754</v>
      </c>
      <c r="K230" s="226">
        <v>45805</v>
      </c>
      <c r="L230" s="532"/>
      <c r="M230" s="2" t="str">
        <f ca="1">IF(ISBLANK([1]!Table2[[#This Row],[Complete corrective actions (Approved Date)]]), TODAY()-[1]!Table2[[#This Row],[CAR initialized date]], "CLOSED")</f>
        <v>CLOSED</v>
      </c>
      <c r="N230" s="511">
        <f>Table2[[#This Row],[Effectiveness Review &amp; date deemed effective]]-Table2[[#This Row],[CAR initialized date]]</f>
        <v>51</v>
      </c>
    </row>
    <row r="231" spans="1:14" ht="18.75">
      <c r="A231" s="227" t="s">
        <v>185</v>
      </c>
      <c r="B231" s="2">
        <f>VLOOKUP(Table2[[#This Row],[Location 
(drop-down)]],Table14[[Location]:[Location ID]],2,FALSE)</f>
        <v>144</v>
      </c>
      <c r="C231" s="254" t="s">
        <v>630</v>
      </c>
      <c r="D231" s="378" t="s">
        <v>631</v>
      </c>
      <c r="E231" s="254" t="s">
        <v>18</v>
      </c>
      <c r="F231" s="254"/>
      <c r="G231" s="227" t="s">
        <v>632</v>
      </c>
      <c r="H231" s="165" t="s">
        <v>20</v>
      </c>
      <c r="I231" s="230" t="s">
        <v>21</v>
      </c>
      <c r="J231" s="289">
        <v>45531</v>
      </c>
      <c r="K231" s="226">
        <v>45805</v>
      </c>
      <c r="L231" s="532"/>
      <c r="M231" s="2" t="str">
        <f ca="1">IF(ISBLANK([1]!Table2[[#This Row],[Complete corrective actions (Approved Date)]]), TODAY()-[1]!Table2[[#This Row],[CAR initialized date]], "CLOSED")</f>
        <v>CLOSED</v>
      </c>
      <c r="N231" s="511">
        <f>Table2[[#This Row],[Effectiveness Review &amp; date deemed effective]]-Table2[[#This Row],[CAR initialized date]]</f>
        <v>274</v>
      </c>
    </row>
    <row r="232" spans="1:14" ht="18.75">
      <c r="A232" s="227" t="s">
        <v>39</v>
      </c>
      <c r="B232" s="2">
        <f>VLOOKUP(Table2[[#This Row],[Location 
(drop-down)]],Table14[[Location]:[Location ID]],2,FALSE)</f>
        <v>120</v>
      </c>
      <c r="C232" s="254" t="s">
        <v>633</v>
      </c>
      <c r="D232" s="378" t="s">
        <v>634</v>
      </c>
      <c r="E232" s="254" t="s">
        <v>18</v>
      </c>
      <c r="F232" s="254"/>
      <c r="G232" s="242" t="s">
        <v>635</v>
      </c>
      <c r="H232" s="165" t="s">
        <v>20</v>
      </c>
      <c r="I232" s="230" t="s">
        <v>21</v>
      </c>
      <c r="J232" s="289">
        <v>45468</v>
      </c>
      <c r="K232" s="226">
        <v>45806</v>
      </c>
      <c r="L232" s="532"/>
      <c r="M232" s="2" t="str">
        <f ca="1">IF(ISBLANK([1]!Table2[[#This Row],[Complete corrective actions (Approved Date)]]), TODAY()-[1]!Table2[[#This Row],[CAR initialized date]], "CLOSED")</f>
        <v>CLOSED</v>
      </c>
      <c r="N232" s="511">
        <f>Table2[[#This Row],[Effectiveness Review &amp; date deemed effective]]-Table2[[#This Row],[CAR initialized date]]</f>
        <v>338</v>
      </c>
    </row>
    <row r="233" spans="1:14" ht="18.75">
      <c r="A233" s="227" t="s">
        <v>500</v>
      </c>
      <c r="B233" s="2">
        <f>VLOOKUP(Table2[[#This Row],[Location 
(drop-down)]],Table14[[Location]:[Location ID]],2,FALSE)</f>
        <v>170</v>
      </c>
      <c r="C233" s="254" t="s">
        <v>531</v>
      </c>
      <c r="D233" s="378" t="s">
        <v>636</v>
      </c>
      <c r="E233" s="254" t="s">
        <v>18</v>
      </c>
      <c r="F233" s="254"/>
      <c r="G233" s="227" t="s">
        <v>637</v>
      </c>
      <c r="H233" s="165" t="s">
        <v>20</v>
      </c>
      <c r="I233" s="230" t="s">
        <v>21</v>
      </c>
      <c r="J233" s="289">
        <v>45387</v>
      </c>
      <c r="K233" s="226">
        <v>45806</v>
      </c>
      <c r="L233" s="532"/>
      <c r="M233" s="2" t="str">
        <f ca="1">IF(ISBLANK([1]!Table2[[#This Row],[Complete corrective actions (Approved Date)]]), TODAY()-[1]!Table2[[#This Row],[CAR initialized date]], "CLOSED")</f>
        <v>CLOSED</v>
      </c>
      <c r="N233" s="511">
        <f>Table2[[#This Row],[Effectiveness Review &amp; date deemed effective]]-Table2[[#This Row],[CAR initialized date]]</f>
        <v>419</v>
      </c>
    </row>
    <row r="234" spans="1:14" ht="18.75">
      <c r="A234" s="227" t="s">
        <v>119</v>
      </c>
      <c r="B234" s="2">
        <f>VLOOKUP(Table2[[#This Row],[Location 
(drop-down)]],Table14[[Location]:[Location ID]],2,FALSE)</f>
        <v>131</v>
      </c>
      <c r="C234" s="254" t="s">
        <v>638</v>
      </c>
      <c r="D234" s="379" t="str">
        <f>"C" &amp; C234 &amp;"-" &amp; B234 &amp; "-" &amp; "25"</f>
        <v>C029-131-25</v>
      </c>
      <c r="E234" s="254" t="s">
        <v>18</v>
      </c>
      <c r="F234" s="254"/>
      <c r="G234" s="227" t="s">
        <v>639</v>
      </c>
      <c r="H234" s="165" t="s">
        <v>20</v>
      </c>
      <c r="I234" s="165" t="s">
        <v>239</v>
      </c>
      <c r="J234" s="289">
        <v>45687</v>
      </c>
      <c r="K234" s="226">
        <v>45806</v>
      </c>
      <c r="L234" s="532"/>
      <c r="M234" s="2" t="str">
        <f ca="1">IF(ISBLANK([1]!Table2[[#This Row],[Complete corrective actions (Approved Date)]]), TODAY()-[1]!Table2[[#This Row],[CAR initialized date]], "CLOSED")</f>
        <v>CLOSED</v>
      </c>
      <c r="N234" s="511">
        <f>Table2[[#This Row],[Effectiveness Review &amp; date deemed effective]]-Table2[[#This Row],[CAR initialized date]]</f>
        <v>119</v>
      </c>
    </row>
    <row r="235" spans="1:14" ht="18.75">
      <c r="A235" s="227" t="s">
        <v>30</v>
      </c>
      <c r="B235" s="2">
        <f>VLOOKUP(Table2[[#This Row],[Location 
(drop-down)]],Table14[[Location]:[Location ID]],2,FALSE)</f>
        <v>132</v>
      </c>
      <c r="C235" s="254" t="s">
        <v>640</v>
      </c>
      <c r="D235" s="378" t="s">
        <v>641</v>
      </c>
      <c r="E235" s="254" t="s">
        <v>86</v>
      </c>
      <c r="F235" s="254" t="s">
        <v>523</v>
      </c>
      <c r="G235" s="227" t="s">
        <v>642</v>
      </c>
      <c r="H235" s="165" t="s">
        <v>20</v>
      </c>
      <c r="I235" s="165" t="s">
        <v>111</v>
      </c>
      <c r="J235" s="289">
        <v>45644</v>
      </c>
      <c r="K235" s="226">
        <v>45842</v>
      </c>
      <c r="L235" s="532"/>
      <c r="M235" s="2" t="str">
        <f ca="1">IF(ISBLANK([1]!Table2[[#This Row],[Complete corrective actions (Approved Date)]]), TODAY()-[1]!Table2[[#This Row],[CAR initialized date]], "CLOSED")</f>
        <v>CLOSED</v>
      </c>
      <c r="N235" s="511">
        <f>Table2[[#This Row],[Effectiveness Review &amp; date deemed effective]]-Table2[[#This Row],[CAR initialized date]]</f>
        <v>198</v>
      </c>
    </row>
    <row r="236" spans="1:14" ht="18.75">
      <c r="A236" s="227" t="s">
        <v>53</v>
      </c>
      <c r="B236" s="2">
        <f>VLOOKUP(Table2[[#This Row],[Location 
(drop-down)]],Table14[[Location]:[Location ID]],2,FALSE)</f>
        <v>158</v>
      </c>
      <c r="C236" s="254" t="s">
        <v>643</v>
      </c>
      <c r="D236" s="379" t="str">
        <f>"C" &amp; C236 &amp;"-" &amp; B236 &amp; "-" &amp; "25"</f>
        <v>C019-158-25</v>
      </c>
      <c r="E236" s="254" t="s">
        <v>18</v>
      </c>
      <c r="F236" s="418"/>
      <c r="G236" s="227" t="s">
        <v>644</v>
      </c>
      <c r="H236" s="165" t="s">
        <v>20</v>
      </c>
      <c r="I236" s="165" t="s">
        <v>69</v>
      </c>
      <c r="J236" s="289">
        <v>45684</v>
      </c>
      <c r="K236" s="226">
        <v>45807</v>
      </c>
      <c r="L236" s="532"/>
      <c r="M236" s="2" t="str">
        <f ca="1">IF(ISBLANK([1]!Table2[[#This Row],[Complete corrective actions (Approved Date)]]), TODAY()-[1]!Table2[[#This Row],[CAR initialized date]], "CLOSED")</f>
        <v>CLOSED</v>
      </c>
      <c r="N236" s="511">
        <f>Table2[[#This Row],[Effectiveness Review &amp; date deemed effective]]-Table2[[#This Row],[CAR initialized date]]</f>
        <v>123</v>
      </c>
    </row>
    <row r="237" spans="1:14" ht="18.75">
      <c r="A237" s="227" t="s">
        <v>294</v>
      </c>
      <c r="B237" s="2">
        <f>VLOOKUP(Table2[[#This Row],[Location 
(drop-down)]],Table14[[Location]:[Location ID]],2,FALSE)</f>
        <v>155</v>
      </c>
      <c r="C237" s="254" t="s">
        <v>645</v>
      </c>
      <c r="D237" s="379" t="str">
        <f>"C" &amp; C237 &amp;"-" &amp; B237 &amp; "-" &amp; "25"</f>
        <v>C068-155-25</v>
      </c>
      <c r="E237" s="254" t="s">
        <v>18</v>
      </c>
      <c r="F237" s="254"/>
      <c r="G237" s="115" t="s">
        <v>646</v>
      </c>
      <c r="H237" s="165" t="s">
        <v>20</v>
      </c>
      <c r="I237" s="165" t="s">
        <v>21</v>
      </c>
      <c r="J237" s="289">
        <v>45706</v>
      </c>
      <c r="K237" s="226">
        <v>45807</v>
      </c>
      <c r="L237" s="532"/>
      <c r="M237" s="2" t="str">
        <f ca="1">IF(ISBLANK([1]!Table2[[#This Row],[Complete corrective actions (Approved Date)]]), TODAY()-[1]!Table2[[#This Row],[CAR initialized date]], "CLOSED")</f>
        <v>CLOSED</v>
      </c>
      <c r="N237" s="511">
        <f>Table2[[#This Row],[Effectiveness Review &amp; date deemed effective]]-Table2[[#This Row],[CAR initialized date]]</f>
        <v>101</v>
      </c>
    </row>
    <row r="238" spans="1:14" ht="18.75">
      <c r="A238" s="227" t="s">
        <v>294</v>
      </c>
      <c r="B238" s="2">
        <f>VLOOKUP(Table2[[#This Row],[Location 
(drop-down)]],Table14[[Location]:[Location ID]],2,FALSE)</f>
        <v>155</v>
      </c>
      <c r="C238" s="254" t="s">
        <v>647</v>
      </c>
      <c r="D238" s="379" t="str">
        <f>"C" &amp; C238 &amp;"-" &amp; B238 &amp; "-" &amp; "25"</f>
        <v>C073-155-25</v>
      </c>
      <c r="E238" s="254" t="s">
        <v>18</v>
      </c>
      <c r="F238" s="254"/>
      <c r="G238" s="240" t="s">
        <v>648</v>
      </c>
      <c r="H238" s="165" t="s">
        <v>20</v>
      </c>
      <c r="I238" s="165" t="s">
        <v>21</v>
      </c>
      <c r="J238" s="289">
        <v>45706</v>
      </c>
      <c r="K238" s="226">
        <v>45807</v>
      </c>
      <c r="L238" s="532"/>
      <c r="M238" s="2" t="str">
        <f ca="1">IF(ISBLANK([1]!Table2[[#This Row],[Complete corrective actions (Approved Date)]]), TODAY()-[1]!Table2[[#This Row],[CAR initialized date]], "CLOSED")</f>
        <v>CLOSED</v>
      </c>
      <c r="N238" s="511">
        <f>Table2[[#This Row],[Effectiveness Review &amp; date deemed effective]]-Table2[[#This Row],[CAR initialized date]]</f>
        <v>101</v>
      </c>
    </row>
    <row r="239" spans="1:14" ht="18.75">
      <c r="A239" s="227" t="s">
        <v>314</v>
      </c>
      <c r="B239" s="2">
        <f>VLOOKUP(Table2[[#This Row],[Location 
(drop-down)]],Table14[[Location]:[Location ID]],2,FALSE)</f>
        <v>150</v>
      </c>
      <c r="C239" s="254" t="s">
        <v>301</v>
      </c>
      <c r="D239" s="378" t="s">
        <v>649</v>
      </c>
      <c r="E239" s="254" t="s">
        <v>18</v>
      </c>
      <c r="F239" s="254"/>
      <c r="G239" s="227" t="s">
        <v>650</v>
      </c>
      <c r="H239" s="165" t="s">
        <v>20</v>
      </c>
      <c r="I239" s="230" t="s">
        <v>69</v>
      </c>
      <c r="J239" s="289">
        <v>45369</v>
      </c>
      <c r="K239" s="226">
        <v>45807</v>
      </c>
      <c r="L239" s="532"/>
      <c r="M239" s="2" t="str">
        <f ca="1">IF(ISBLANK([1]!Table2[[#This Row],[Complete corrective actions (Approved Date)]]), TODAY()-[1]!Table2[[#This Row],[CAR initialized date]], "CLOSED")</f>
        <v>CLOSED</v>
      </c>
      <c r="N239" s="511">
        <f>Table2[[#This Row],[Effectiveness Review &amp; date deemed effective]]-Table2[[#This Row],[CAR initialized date]]</f>
        <v>438</v>
      </c>
    </row>
    <row r="240" spans="1:14" ht="18.75">
      <c r="A240" s="227" t="s">
        <v>518</v>
      </c>
      <c r="B240" s="2">
        <f>VLOOKUP(Table2[[#This Row],[Location 
(drop-down)]],Table14[[Location]:[Location ID]],2,FALSE)</f>
        <v>185</v>
      </c>
      <c r="C240" s="254" t="s">
        <v>651</v>
      </c>
      <c r="D240" s="379" t="str">
        <f>"C" &amp; C240 &amp;"-" &amp; B240 &amp; "-" &amp; "25"</f>
        <v>C061-185-25</v>
      </c>
      <c r="E240" s="254" t="s">
        <v>18</v>
      </c>
      <c r="F240" s="254"/>
      <c r="G240" s="227" t="s">
        <v>594</v>
      </c>
      <c r="H240" s="165" t="s">
        <v>20</v>
      </c>
      <c r="I240" s="165" t="s">
        <v>69</v>
      </c>
      <c r="J240" s="289">
        <v>45706</v>
      </c>
      <c r="K240" s="226">
        <v>45807</v>
      </c>
      <c r="L240" s="532"/>
      <c r="M240" s="2" t="str">
        <f ca="1">IF(ISBLANK([1]!Table2[[#This Row],[Complete corrective actions (Approved Date)]]), TODAY()-[1]!Table2[[#This Row],[CAR initialized date]], "CLOSED")</f>
        <v>CLOSED</v>
      </c>
      <c r="N240" s="511">
        <f>Table2[[#This Row],[Effectiveness Review &amp; date deemed effective]]-Table2[[#This Row],[CAR initialized date]]</f>
        <v>101</v>
      </c>
    </row>
    <row r="241" spans="1:14" ht="18.75">
      <c r="A241" s="227" t="s">
        <v>80</v>
      </c>
      <c r="B241" s="2">
        <f>VLOOKUP(Table2[[#This Row],[Location 
(drop-down)]],Table14[[Location]:[Location ID]],2,FALSE)</f>
        <v>141</v>
      </c>
      <c r="C241" s="254" t="s">
        <v>652</v>
      </c>
      <c r="D241" s="379" t="str">
        <f>"C" &amp; C241 &amp;"-" &amp; B241 &amp; "-" &amp; "25"</f>
        <v>C109-141-25</v>
      </c>
      <c r="E241" s="254" t="s">
        <v>18</v>
      </c>
      <c r="F241" s="254"/>
      <c r="G241" s="227" t="s">
        <v>653</v>
      </c>
      <c r="H241" s="165" t="s">
        <v>68</v>
      </c>
      <c r="I241" s="165" t="s">
        <v>21</v>
      </c>
      <c r="J241" s="289">
        <v>45716</v>
      </c>
      <c r="K241" s="226">
        <v>45813</v>
      </c>
      <c r="L241" s="532"/>
      <c r="M241" s="2" t="str">
        <f ca="1">IF(ISBLANK([1]!Table2[[#This Row],[Complete corrective actions (Approved Date)]]), TODAY()-[1]!Table2[[#This Row],[CAR initialized date]], "CLOSED")</f>
        <v>CLOSED</v>
      </c>
      <c r="N241" s="511">
        <f>Table2[[#This Row],[Effectiveness Review &amp; date deemed effective]]-Table2[[#This Row],[CAR initialized date]]</f>
        <v>97</v>
      </c>
    </row>
    <row r="242" spans="1:14" ht="18.75">
      <c r="A242" s="227" t="s">
        <v>202</v>
      </c>
      <c r="B242" s="2">
        <f>VLOOKUP(Table2[[#This Row],[Location 
(drop-down)]],Table14[[Location]:[Location ID]],2,FALSE)</f>
        <v>180</v>
      </c>
      <c r="C242" s="254" t="s">
        <v>654</v>
      </c>
      <c r="D242" s="379" t="str">
        <f>"C" &amp; C242 &amp;"-" &amp; B242 &amp; "-" &amp; "25"</f>
        <v>C203-180-25</v>
      </c>
      <c r="E242" s="254" t="s">
        <v>120</v>
      </c>
      <c r="F242" s="254"/>
      <c r="G242" s="227" t="s">
        <v>655</v>
      </c>
      <c r="H242" s="165" t="s">
        <v>68</v>
      </c>
      <c r="I242" s="165" t="s">
        <v>47</v>
      </c>
      <c r="J242" s="276">
        <v>45782</v>
      </c>
      <c r="K242" s="226">
        <v>45813</v>
      </c>
      <c r="L242" s="532"/>
      <c r="M242" s="2" t="str">
        <f ca="1">IF(ISBLANK([1]!Table2[[#This Row],[Complete corrective actions (Approved Date)]]), TODAY()-[1]!Table2[[#This Row],[CAR initialized date]], "CLOSED")</f>
        <v>CLOSED</v>
      </c>
      <c r="N242" s="511">
        <f>Table2[[#This Row],[Effectiveness Review &amp; date deemed effective]]-Table2[[#This Row],[CAR initialized date]]</f>
        <v>31</v>
      </c>
    </row>
    <row r="243" spans="1:14" ht="18.75">
      <c r="A243" s="227" t="s">
        <v>495</v>
      </c>
      <c r="B243" s="2">
        <f>VLOOKUP(Table2[[#This Row],[Location 
(drop-down)]],Table14[[Location]:[Location ID]],2,FALSE)</f>
        <v>194</v>
      </c>
      <c r="C243" s="254" t="s">
        <v>656</v>
      </c>
      <c r="D243" s="379" t="str">
        <f>"C" &amp; C243 &amp;"-" &amp; B243 &amp; "-" &amp; "25"</f>
        <v>C176-194-25</v>
      </c>
      <c r="E243" s="254" t="s">
        <v>18</v>
      </c>
      <c r="F243" s="254"/>
      <c r="G243" s="227" t="s">
        <v>657</v>
      </c>
      <c r="H243" s="165" t="s">
        <v>20</v>
      </c>
      <c r="I243" s="165" t="s">
        <v>239</v>
      </c>
      <c r="J243" s="276">
        <v>45764</v>
      </c>
      <c r="K243" s="226">
        <v>45817</v>
      </c>
      <c r="L243" s="532"/>
      <c r="M243" s="2" t="str">
        <f ca="1">IF(ISBLANK([1]!Table2[[#This Row],[Complete corrective actions (Approved Date)]]), TODAY()-[1]!Table2[[#This Row],[CAR initialized date]], "CLOSED")</f>
        <v>CLOSED</v>
      </c>
      <c r="N243" s="511">
        <f>Table2[[#This Row],[Effectiveness Review &amp; date deemed effective]]-Table2[[#This Row],[CAR initialized date]]</f>
        <v>53</v>
      </c>
    </row>
    <row r="244" spans="1:14" ht="18.75">
      <c r="A244" s="227" t="s">
        <v>125</v>
      </c>
      <c r="B244" s="2">
        <f>VLOOKUP(Table2[[#This Row],[Location 
(drop-down)]],Table14[[Location]:[Location ID]],2,FALSE)</f>
        <v>130</v>
      </c>
      <c r="C244" s="254" t="s">
        <v>658</v>
      </c>
      <c r="D244" s="379" t="str">
        <f>"C" &amp; C244 &amp;"-" &amp; B244 &amp; "-" &amp; "25"</f>
        <v>C214-130-25</v>
      </c>
      <c r="E244" s="254" t="s">
        <v>18</v>
      </c>
      <c r="F244" s="254"/>
      <c r="G244" s="227" t="s">
        <v>659</v>
      </c>
      <c r="H244" s="165" t="s">
        <v>20</v>
      </c>
      <c r="I244" s="165" t="s">
        <v>239</v>
      </c>
      <c r="J244" s="276">
        <v>45786</v>
      </c>
      <c r="K244" s="226">
        <v>45817</v>
      </c>
      <c r="L244" s="532"/>
      <c r="M244" s="2" t="str">
        <f ca="1">IF(ISBLANK([1]!Table2[[#This Row],[Complete corrective actions (Approved Date)]]), TODAY()-[1]!Table2[[#This Row],[CAR initialized date]], "CLOSED")</f>
        <v>CLOSED</v>
      </c>
      <c r="N244" s="511">
        <f>Table2[[#This Row],[Effectiveness Review &amp; date deemed effective]]-Table2[[#This Row],[CAR initialized date]]</f>
        <v>31</v>
      </c>
    </row>
    <row r="245" spans="1:14" ht="18.75">
      <c r="A245" s="227" t="s">
        <v>125</v>
      </c>
      <c r="B245" s="2">
        <f>VLOOKUP(Table2[[#This Row],[Location 
(drop-down)]],Table14[[Location]:[Location ID]],2,FALSE)</f>
        <v>130</v>
      </c>
      <c r="C245" s="254" t="s">
        <v>660</v>
      </c>
      <c r="D245" s="379" t="str">
        <f>"C" &amp; C245 &amp;"-" &amp; B245 &amp; "-" &amp; "25"</f>
        <v>C217-130-25</v>
      </c>
      <c r="E245" s="254" t="s">
        <v>18</v>
      </c>
      <c r="F245" s="254"/>
      <c r="G245" s="227" t="s">
        <v>661</v>
      </c>
      <c r="H245" s="165" t="s">
        <v>20</v>
      </c>
      <c r="I245" s="165" t="s">
        <v>239</v>
      </c>
      <c r="J245" s="276">
        <v>45786</v>
      </c>
      <c r="K245" s="226">
        <v>45817</v>
      </c>
      <c r="L245" s="532"/>
      <c r="M245" s="2" t="str">
        <f ca="1">IF(ISBLANK([1]!Table2[[#This Row],[Complete corrective actions (Approved Date)]]), TODAY()-[1]!Table2[[#This Row],[CAR initialized date]], "CLOSED")</f>
        <v>CLOSED</v>
      </c>
      <c r="N245" s="511">
        <f>Table2[[#This Row],[Effectiveness Review &amp; date deemed effective]]-Table2[[#This Row],[CAR initialized date]]</f>
        <v>31</v>
      </c>
    </row>
    <row r="246" spans="1:14" ht="18.75">
      <c r="A246" s="227" t="s">
        <v>125</v>
      </c>
      <c r="B246" s="2">
        <f>VLOOKUP(Table2[[#This Row],[Location 
(drop-down)]],Table14[[Location]:[Location ID]],2,FALSE)</f>
        <v>130</v>
      </c>
      <c r="C246" s="254" t="s">
        <v>662</v>
      </c>
      <c r="D246" s="379" t="str">
        <f>"C" &amp; C246 &amp;"-" &amp; B246 &amp; "-" &amp; "25"</f>
        <v>C219-130-25</v>
      </c>
      <c r="E246" s="254" t="s">
        <v>18</v>
      </c>
      <c r="F246" s="254"/>
      <c r="G246" s="227" t="s">
        <v>663</v>
      </c>
      <c r="H246" s="165" t="s">
        <v>20</v>
      </c>
      <c r="I246" s="165" t="s">
        <v>239</v>
      </c>
      <c r="J246" s="276">
        <v>45786</v>
      </c>
      <c r="K246" s="226">
        <v>45817</v>
      </c>
      <c r="L246" s="532"/>
      <c r="M246" s="2" t="str">
        <f ca="1">IF(ISBLANK([1]!Table2[[#This Row],[Complete corrective actions (Approved Date)]]), TODAY()-[1]!Table2[[#This Row],[CAR initialized date]], "CLOSED")</f>
        <v>CLOSED</v>
      </c>
      <c r="N246" s="511">
        <f>Table2[[#This Row],[Effectiveness Review &amp; date deemed effective]]-Table2[[#This Row],[CAR initialized date]]</f>
        <v>31</v>
      </c>
    </row>
    <row r="247" spans="1:14" ht="18.75">
      <c r="A247" s="227" t="s">
        <v>125</v>
      </c>
      <c r="B247" s="2">
        <f>VLOOKUP(Table2[[#This Row],[Location 
(drop-down)]],Table14[[Location]:[Location ID]],2,FALSE)</f>
        <v>130</v>
      </c>
      <c r="C247" s="254" t="s">
        <v>664</v>
      </c>
      <c r="D247" s="379" t="str">
        <f>"C" &amp; C247 &amp;"-" &amp; B247 &amp; "-" &amp; "25"</f>
        <v>C221-130-25</v>
      </c>
      <c r="E247" s="254" t="s">
        <v>18</v>
      </c>
      <c r="F247" s="254"/>
      <c r="G247" s="190" t="s">
        <v>665</v>
      </c>
      <c r="H247" s="165" t="s">
        <v>20</v>
      </c>
      <c r="I247" s="165" t="s">
        <v>239</v>
      </c>
      <c r="J247" s="276">
        <v>45786</v>
      </c>
      <c r="K247" s="226">
        <v>45817</v>
      </c>
      <c r="L247" s="532"/>
      <c r="M247" s="2" t="str">
        <f ca="1">IF(ISBLANK([1]!Table2[[#This Row],[Complete corrective actions (Approved Date)]]), TODAY()-[1]!Table2[[#This Row],[CAR initialized date]], "CLOSED")</f>
        <v>CLOSED</v>
      </c>
      <c r="N247" s="511">
        <f>Table2[[#This Row],[Effectiveness Review &amp; date deemed effective]]-Table2[[#This Row],[CAR initialized date]]</f>
        <v>31</v>
      </c>
    </row>
    <row r="248" spans="1:14" ht="18.75">
      <c r="A248" s="227" t="s">
        <v>125</v>
      </c>
      <c r="B248" s="2">
        <f>VLOOKUP(Table2[[#This Row],[Location 
(drop-down)]],Table14[[Location]:[Location ID]],2,FALSE)</f>
        <v>130</v>
      </c>
      <c r="C248" s="254" t="s">
        <v>666</v>
      </c>
      <c r="D248" s="379" t="str">
        <f>"C" &amp; C248 &amp;"-" &amp; B248 &amp; "-" &amp; "25"</f>
        <v>C222-130-25</v>
      </c>
      <c r="E248" s="254" t="s">
        <v>18</v>
      </c>
      <c r="F248" s="254"/>
      <c r="G248" s="227" t="s">
        <v>667</v>
      </c>
      <c r="H248" s="165" t="s">
        <v>20</v>
      </c>
      <c r="I248" s="165" t="s">
        <v>239</v>
      </c>
      <c r="J248" s="276">
        <v>45786</v>
      </c>
      <c r="K248" s="226">
        <v>45817</v>
      </c>
      <c r="L248" s="532"/>
      <c r="M248" s="2" t="str">
        <f ca="1">IF(ISBLANK([1]!Table2[[#This Row],[Complete corrective actions (Approved Date)]]), TODAY()-[1]!Table2[[#This Row],[CAR initialized date]], "CLOSED")</f>
        <v>CLOSED</v>
      </c>
      <c r="N248" s="511">
        <f>Table2[[#This Row],[Effectiveness Review &amp; date deemed effective]]-Table2[[#This Row],[CAR initialized date]]</f>
        <v>31</v>
      </c>
    </row>
    <row r="249" spans="1:14" ht="18.75">
      <c r="A249" s="227" t="s">
        <v>314</v>
      </c>
      <c r="B249" s="2">
        <f>VLOOKUP(Table2[[#This Row],[Location 
(drop-down)]],Table14[[Location]:[Location ID]],2,FALSE)</f>
        <v>150</v>
      </c>
      <c r="C249" s="254" t="s">
        <v>668</v>
      </c>
      <c r="D249" s="379" t="str">
        <f>"C" &amp; C249 &amp;"-" &amp; B249 &amp; "-" &amp; "25"</f>
        <v>C255-150-25</v>
      </c>
      <c r="E249" s="254" t="s">
        <v>120</v>
      </c>
      <c r="F249" s="254" t="s">
        <v>27</v>
      </c>
      <c r="G249" s="310" t="s">
        <v>669</v>
      </c>
      <c r="H249" s="165" t="s">
        <v>68</v>
      </c>
      <c r="I249" s="165" t="s">
        <v>327</v>
      </c>
      <c r="J249" s="276">
        <v>45806</v>
      </c>
      <c r="K249" s="226">
        <v>45817</v>
      </c>
      <c r="L249" s="532"/>
      <c r="M249" s="2" t="str">
        <f ca="1">IF(ISBLANK([1]!Table2[[#This Row],[Complete corrective actions (Approved Date)]]), TODAY()-[1]!Table2[[#This Row],[CAR initialized date]], "CLOSED")</f>
        <v>CLOSED</v>
      </c>
      <c r="N249" s="511">
        <f>Table2[[#This Row],[Effectiveness Review &amp; date deemed effective]]-Table2[[#This Row],[CAR initialized date]]</f>
        <v>11</v>
      </c>
    </row>
    <row r="250" spans="1:14" ht="18.75">
      <c r="A250" s="227" t="s">
        <v>518</v>
      </c>
      <c r="B250" s="2">
        <f>VLOOKUP(Table2[[#This Row],[Location 
(drop-down)]],Table14[[Location]:[Location ID]],2,FALSE)</f>
        <v>185</v>
      </c>
      <c r="C250" s="254" t="s">
        <v>670</v>
      </c>
      <c r="D250" s="379" t="str">
        <f>"C" &amp; C250 &amp;"-" &amp; B250 &amp; "-" &amp; "25"</f>
        <v>C062-185-25</v>
      </c>
      <c r="E250" s="254" t="s">
        <v>18</v>
      </c>
      <c r="F250" s="254"/>
      <c r="G250" s="227" t="s">
        <v>671</v>
      </c>
      <c r="H250" s="165" t="s">
        <v>20</v>
      </c>
      <c r="I250" s="165" t="s">
        <v>69</v>
      </c>
      <c r="J250" s="289">
        <v>45706</v>
      </c>
      <c r="K250" s="226">
        <v>45817</v>
      </c>
      <c r="L250" s="532"/>
      <c r="M250" s="2" t="str">
        <f ca="1">IF(ISBLANK([1]!Table2[[#This Row],[Complete corrective actions (Approved Date)]]), TODAY()-[1]!Table2[[#This Row],[CAR initialized date]], "CLOSED")</f>
        <v>CLOSED</v>
      </c>
      <c r="N250" s="511">
        <f>Table2[[#This Row],[Effectiveness Review &amp; date deemed effective]]-Table2[[#This Row],[CAR initialized date]]</f>
        <v>111</v>
      </c>
    </row>
    <row r="251" spans="1:14" ht="18.75">
      <c r="A251" s="227" t="s">
        <v>53</v>
      </c>
      <c r="B251" s="2">
        <f>VLOOKUP(Table2[[#This Row],[Location 
(drop-down)]],Table14[[Location]:[Location ID]],2,FALSE)</f>
        <v>158</v>
      </c>
      <c r="C251" s="254" t="s">
        <v>672</v>
      </c>
      <c r="D251" s="379" t="str">
        <f>"C" &amp; C251 &amp;"-" &amp; B251 &amp; "-" &amp; "25"</f>
        <v>C015-158-25</v>
      </c>
      <c r="E251" s="254" t="s">
        <v>18</v>
      </c>
      <c r="F251" s="254"/>
      <c r="G251" s="227" t="s">
        <v>507</v>
      </c>
      <c r="H251" s="165" t="s">
        <v>20</v>
      </c>
      <c r="I251" s="165" t="s">
        <v>69</v>
      </c>
      <c r="J251" s="289">
        <v>45684</v>
      </c>
      <c r="K251" s="226">
        <v>45818</v>
      </c>
      <c r="L251" s="532"/>
      <c r="M251" s="2" t="str">
        <f ca="1">IF(ISBLANK([1]!Table2[[#This Row],[Complete corrective actions (Approved Date)]]), TODAY()-[1]!Table2[[#This Row],[CAR initialized date]], "CLOSED")</f>
        <v>CLOSED</v>
      </c>
      <c r="N251" s="511">
        <f>Table2[[#This Row],[Effectiveness Review &amp; date deemed effective]]-Table2[[#This Row],[CAR initialized date]]</f>
        <v>134</v>
      </c>
    </row>
    <row r="252" spans="1:14" ht="18.75">
      <c r="A252" s="227" t="s">
        <v>73</v>
      </c>
      <c r="B252" s="2">
        <f>VLOOKUP(Table2[[#This Row],[Location 
(drop-down)]],Table14[[Location]:[Location ID]],2,FALSE)</f>
        <v>160</v>
      </c>
      <c r="C252" s="254" t="s">
        <v>673</v>
      </c>
      <c r="D252" s="379" t="str">
        <f>"C" &amp; C252 &amp;"-" &amp; B252 &amp; "-" &amp; "25"</f>
        <v>C262-160-25</v>
      </c>
      <c r="E252" s="254" t="s">
        <v>26</v>
      </c>
      <c r="F252" s="254" t="s">
        <v>151</v>
      </c>
      <c r="G252" s="228" t="s">
        <v>674</v>
      </c>
      <c r="H252" s="165" t="s">
        <v>20</v>
      </c>
      <c r="I252" s="165" t="s">
        <v>239</v>
      </c>
      <c r="J252" s="289">
        <v>45814</v>
      </c>
      <c r="K252" s="226">
        <v>45818</v>
      </c>
      <c r="L252" s="532"/>
      <c r="M252" s="2" t="str">
        <f ca="1">IF(ISBLANK([1]!Table2[[#This Row],[Complete corrective actions (Approved Date)]]), TODAY()-[1]!Table2[[#This Row],[CAR initialized date]], "CLOSED")</f>
        <v>CLOSED</v>
      </c>
      <c r="N252" s="511">
        <f>Table2[[#This Row],[Effectiveness Review &amp; date deemed effective]]-Table2[[#This Row],[CAR initialized date]]</f>
        <v>4</v>
      </c>
    </row>
    <row r="253" spans="1:14" ht="18.75">
      <c r="A253" s="227" t="s">
        <v>518</v>
      </c>
      <c r="B253" s="2">
        <f>VLOOKUP(Table2[[#This Row],[Location 
(drop-down)]],Table14[[Location]:[Location ID]],2,FALSE)</f>
        <v>185</v>
      </c>
      <c r="C253" s="254" t="s">
        <v>675</v>
      </c>
      <c r="D253" s="379" t="str">
        <f>"C" &amp; C253 &amp;"-" &amp; B253 &amp; "-" &amp; "25"</f>
        <v>C063-185-25</v>
      </c>
      <c r="E253" s="254" t="s">
        <v>18</v>
      </c>
      <c r="F253" s="254"/>
      <c r="G253" s="227" t="s">
        <v>676</v>
      </c>
      <c r="H253" s="165" t="s">
        <v>20</v>
      </c>
      <c r="I253" s="165" t="s">
        <v>69</v>
      </c>
      <c r="J253" s="289">
        <v>45706</v>
      </c>
      <c r="K253" s="226">
        <v>45818</v>
      </c>
      <c r="L253" s="532"/>
      <c r="M253" s="2" t="str">
        <f ca="1">IF(ISBLANK([1]!Table2[[#This Row],[Complete corrective actions (Approved Date)]]), TODAY()-[1]!Table2[[#This Row],[CAR initialized date]], "CLOSED")</f>
        <v>CLOSED</v>
      </c>
      <c r="N253" s="511">
        <f>Table2[[#This Row],[Effectiveness Review &amp; date deemed effective]]-Table2[[#This Row],[CAR initialized date]]</f>
        <v>112</v>
      </c>
    </row>
    <row r="254" spans="1:14" ht="18.75">
      <c r="A254" s="227" t="s">
        <v>39</v>
      </c>
      <c r="B254" s="2">
        <f>VLOOKUP(Table2[[#This Row],[Location 
(drop-down)]],Table14[[Location]:[Location ID]],2,FALSE)</f>
        <v>120</v>
      </c>
      <c r="C254" s="254" t="s">
        <v>677</v>
      </c>
      <c r="D254" s="379" t="str">
        <f>"C" &amp; C254 &amp;"-" &amp; B254 &amp; "-" &amp; "25"</f>
        <v>C241-120-25</v>
      </c>
      <c r="E254" s="254" t="s">
        <v>81</v>
      </c>
      <c r="F254" s="254" t="s">
        <v>269</v>
      </c>
      <c r="G254" s="227" t="s">
        <v>678</v>
      </c>
      <c r="H254" s="115" t="s">
        <v>201</v>
      </c>
      <c r="I254" s="165" t="s">
        <v>327</v>
      </c>
      <c r="J254" s="276">
        <v>45799</v>
      </c>
      <c r="K254" s="258">
        <v>45824</v>
      </c>
      <c r="L254" s="532"/>
      <c r="M254" s="2" t="str">
        <f ca="1">IF(ISBLANK([1]!Table2[[#This Row],[Complete corrective actions (Approved Date)]]), TODAY()-[1]!Table2[[#This Row],[CAR initialized date]], "CLOSED")</f>
        <v>CLOSED</v>
      </c>
      <c r="N254" s="511">
        <f>Table2[[#This Row],[Effectiveness Review &amp; date deemed effective]]-Table2[[#This Row],[CAR initialized date]]</f>
        <v>25</v>
      </c>
    </row>
    <row r="255" spans="1:14" ht="18.75">
      <c r="A255" s="227" t="s">
        <v>156</v>
      </c>
      <c r="B255" s="2">
        <f>VLOOKUP(Table2[[#This Row],[Location 
(drop-down)]],Table14[[Location]:[Location ID]],2,FALSE)</f>
        <v>110</v>
      </c>
      <c r="C255" s="254" t="s">
        <v>679</v>
      </c>
      <c r="D255" s="378" t="s">
        <v>680</v>
      </c>
      <c r="E255" s="254" t="s">
        <v>18</v>
      </c>
      <c r="F255" s="254"/>
      <c r="G255" s="227" t="s">
        <v>681</v>
      </c>
      <c r="H255" s="165" t="s">
        <v>20</v>
      </c>
      <c r="I255" s="165" t="s">
        <v>239</v>
      </c>
      <c r="J255" s="289">
        <v>45616</v>
      </c>
      <c r="K255" s="226">
        <v>45825</v>
      </c>
      <c r="L255" s="532"/>
      <c r="M255" s="2" t="str">
        <f ca="1">IF(ISBLANK([1]!Table2[[#This Row],[Complete corrective actions (Approved Date)]]), TODAY()-[1]!Table2[[#This Row],[CAR initialized date]], "CLOSED")</f>
        <v>CLOSED</v>
      </c>
      <c r="N255" s="511">
        <f>Table2[[#This Row],[Effectiveness Review &amp; date deemed effective]]-Table2[[#This Row],[CAR initialized date]]</f>
        <v>209</v>
      </c>
    </row>
    <row r="256" spans="1:14" ht="18.75">
      <c r="A256" s="227" t="s">
        <v>167</v>
      </c>
      <c r="B256" s="2">
        <f>VLOOKUP(Table2[[#This Row],[Location 
(drop-down)]],Table14[[Location]:[Location ID]],2,FALSE)</f>
        <v>146</v>
      </c>
      <c r="C256" s="254" t="s">
        <v>682</v>
      </c>
      <c r="D256" s="378" t="s">
        <v>683</v>
      </c>
      <c r="E256" s="254" t="s">
        <v>18</v>
      </c>
      <c r="F256" s="254"/>
      <c r="G256" s="227" t="s">
        <v>684</v>
      </c>
      <c r="H256" s="165" t="s">
        <v>20</v>
      </c>
      <c r="I256" s="165" t="s">
        <v>69</v>
      </c>
      <c r="J256" s="289">
        <v>45615</v>
      </c>
      <c r="K256" s="226">
        <v>45825</v>
      </c>
      <c r="L256" s="532"/>
      <c r="M256" s="2" t="str">
        <f ca="1">IF(ISBLANK([1]!Table2[[#This Row],[Complete corrective actions (Approved Date)]]), TODAY()-[1]!Table2[[#This Row],[CAR initialized date]], "CLOSED")</f>
        <v>CLOSED</v>
      </c>
      <c r="N256" s="511">
        <f>Table2[[#This Row],[Effectiveness Review &amp; date deemed effective]]-Table2[[#This Row],[CAR initialized date]]</f>
        <v>210</v>
      </c>
    </row>
    <row r="257" spans="1:14" ht="18.75">
      <c r="A257" s="227" t="s">
        <v>167</v>
      </c>
      <c r="B257" s="2">
        <f>VLOOKUP(Table2[[#This Row],[Location 
(drop-down)]],Table14[[Location]:[Location ID]],2,FALSE)</f>
        <v>146</v>
      </c>
      <c r="C257" s="254" t="s">
        <v>685</v>
      </c>
      <c r="D257" s="379" t="str">
        <f>"C" &amp; C257 &amp;"-" &amp; B257 &amp; "-" &amp; "25"</f>
        <v>C020-146-25</v>
      </c>
      <c r="E257" s="254" t="s">
        <v>120</v>
      </c>
      <c r="F257" s="254"/>
      <c r="G257" s="227" t="s">
        <v>686</v>
      </c>
      <c r="H257" s="165" t="s">
        <v>20</v>
      </c>
      <c r="I257" s="165" t="s">
        <v>47</v>
      </c>
      <c r="J257" s="289">
        <v>45681</v>
      </c>
      <c r="K257" s="226">
        <v>45825</v>
      </c>
      <c r="L257" s="532"/>
      <c r="M257" s="2" t="str">
        <f ca="1">IF(ISBLANK([1]!Table2[[#This Row],[Complete corrective actions (Approved Date)]]), TODAY()-[1]!Table2[[#This Row],[CAR initialized date]], "CLOSED")</f>
        <v>CLOSED</v>
      </c>
      <c r="N257" s="511">
        <f>Table2[[#This Row],[Effectiveness Review &amp; date deemed effective]]-Table2[[#This Row],[CAR initialized date]]</f>
        <v>144</v>
      </c>
    </row>
    <row r="258" spans="1:14" ht="18.75">
      <c r="A258" s="227" t="s">
        <v>314</v>
      </c>
      <c r="B258" s="2">
        <f>VLOOKUP(Table2[[#This Row],[Location 
(drop-down)]],Table14[[Location]:[Location ID]],2,FALSE)</f>
        <v>150</v>
      </c>
      <c r="C258" s="254" t="s">
        <v>687</v>
      </c>
      <c r="D258" s="379" t="str">
        <f>"C" &amp; C258 &amp;"-" &amp; B258 &amp; "-" &amp; "25"</f>
        <v>C223-150-25</v>
      </c>
      <c r="E258" s="254" t="s">
        <v>81</v>
      </c>
      <c r="F258" s="2" t="s">
        <v>688</v>
      </c>
      <c r="G258" s="421" t="s">
        <v>689</v>
      </c>
      <c r="H258" s="165" t="s">
        <v>68</v>
      </c>
      <c r="I258" s="165" t="s">
        <v>690</v>
      </c>
      <c r="J258" s="276">
        <v>45789</v>
      </c>
      <c r="K258" s="226">
        <v>45825</v>
      </c>
      <c r="L258" s="532"/>
      <c r="M258" s="2" t="str">
        <f ca="1">IF(ISBLANK([1]!Table2[[#This Row],[Complete corrective actions (Approved Date)]]), TODAY()-[1]!Table2[[#This Row],[CAR initialized date]], "CLOSED")</f>
        <v>CLOSED</v>
      </c>
      <c r="N258" s="511">
        <f>Table2[[#This Row],[Effectiveness Review &amp; date deemed effective]]-Table2[[#This Row],[CAR initialized date]]</f>
        <v>36</v>
      </c>
    </row>
    <row r="259" spans="1:14" ht="18.75">
      <c r="A259" s="227" t="s">
        <v>160</v>
      </c>
      <c r="B259" s="2">
        <f>VLOOKUP(Table2[[#This Row],[Location 
(drop-down)]],Table14[[Location]:[Location ID]],2,FALSE)</f>
        <v>128</v>
      </c>
      <c r="C259" s="254" t="s">
        <v>691</v>
      </c>
      <c r="D259" s="379" t="str">
        <f>"C" &amp; C259 &amp;"-" &amp; B259 &amp; "-" &amp; "25"</f>
        <v>C098-128-25</v>
      </c>
      <c r="E259" s="254" t="s">
        <v>18</v>
      </c>
      <c r="F259" s="254"/>
      <c r="G259" s="227" t="s">
        <v>396</v>
      </c>
      <c r="H259" s="165" t="s">
        <v>201</v>
      </c>
      <c r="I259" s="165" t="s">
        <v>69</v>
      </c>
      <c r="J259" s="289">
        <v>45709</v>
      </c>
      <c r="K259" s="226">
        <v>45828</v>
      </c>
      <c r="L259" s="532"/>
      <c r="M259" s="2" t="str">
        <f ca="1">IF(ISBLANK([1]!Table2[[#This Row],[Complete corrective actions (Approved Date)]]), TODAY()-[1]!Table2[[#This Row],[CAR initialized date]], "CLOSED")</f>
        <v>CLOSED</v>
      </c>
      <c r="N259" s="511">
        <f>Table2[[#This Row],[Effectiveness Review &amp; date deemed effective]]-Table2[[#This Row],[CAR initialized date]]</f>
        <v>119</v>
      </c>
    </row>
    <row r="260" spans="1:14" ht="18.75">
      <c r="A260" s="227" t="s">
        <v>323</v>
      </c>
      <c r="B260" s="2">
        <f>VLOOKUP(Table2[[#This Row],[Location 
(drop-down)]],Table14[[Location]:[Location ID]],2,FALSE)</f>
        <v>156</v>
      </c>
      <c r="C260" s="254" t="s">
        <v>692</v>
      </c>
      <c r="D260" s="379" t="str">
        <f>"C" &amp; C260 &amp;"-" &amp; B260 &amp; "-" &amp; "25"</f>
        <v>C228-156-25</v>
      </c>
      <c r="E260" s="254" t="s">
        <v>18</v>
      </c>
      <c r="F260" s="254"/>
      <c r="G260" s="227" t="s">
        <v>693</v>
      </c>
      <c r="H260" s="165" t="s">
        <v>20</v>
      </c>
      <c r="I260" s="165" t="s">
        <v>47</v>
      </c>
      <c r="J260" s="276">
        <v>45798</v>
      </c>
      <c r="K260" s="226">
        <v>45828</v>
      </c>
      <c r="L260" s="532"/>
      <c r="M260" s="2" t="str">
        <f ca="1">IF(ISBLANK([1]!Table2[[#This Row],[Complete corrective actions (Approved Date)]]), TODAY()-[1]!Table2[[#This Row],[CAR initialized date]], "CLOSED")</f>
        <v>CLOSED</v>
      </c>
      <c r="N260" s="511">
        <f>Table2[[#This Row],[Effectiveness Review &amp; date deemed effective]]-Table2[[#This Row],[CAR initialized date]]</f>
        <v>30</v>
      </c>
    </row>
    <row r="261" spans="1:14" ht="18.75">
      <c r="A261" s="227" t="s">
        <v>323</v>
      </c>
      <c r="B261" s="2">
        <f>VLOOKUP(Table2[[#This Row],[Location 
(drop-down)]],Table14[[Location]:[Location ID]],2,FALSE)</f>
        <v>156</v>
      </c>
      <c r="C261" s="254" t="s">
        <v>694</v>
      </c>
      <c r="D261" s="379" t="str">
        <f>"C" &amp; C261 &amp;"-" &amp; B261 &amp; "-" &amp; "25"</f>
        <v>C230-156-25</v>
      </c>
      <c r="E261" s="254" t="s">
        <v>18</v>
      </c>
      <c r="F261" s="254"/>
      <c r="G261" s="89" t="s">
        <v>695</v>
      </c>
      <c r="H261" s="165" t="s">
        <v>20</v>
      </c>
      <c r="I261" s="165" t="s">
        <v>47</v>
      </c>
      <c r="J261" s="276">
        <v>45798</v>
      </c>
      <c r="K261" s="226">
        <v>45828</v>
      </c>
      <c r="L261" s="532"/>
      <c r="M261" s="2" t="str">
        <f ca="1">IF(ISBLANK([1]!Table2[[#This Row],[Complete corrective actions (Approved Date)]]), TODAY()-[1]!Table2[[#This Row],[CAR initialized date]], "CLOSED")</f>
        <v>CLOSED</v>
      </c>
      <c r="N261" s="511">
        <f>Table2[[#This Row],[Effectiveness Review &amp; date deemed effective]]-Table2[[#This Row],[CAR initialized date]]</f>
        <v>30</v>
      </c>
    </row>
    <row r="262" spans="1:14" ht="18.75">
      <c r="A262" s="227" t="s">
        <v>323</v>
      </c>
      <c r="B262" s="2">
        <f>VLOOKUP(Table2[[#This Row],[Location 
(drop-down)]],Table14[[Location]:[Location ID]],2,FALSE)</f>
        <v>156</v>
      </c>
      <c r="C262" s="254" t="s">
        <v>696</v>
      </c>
      <c r="D262" s="379" t="str">
        <f>"C" &amp; C262 &amp;"-" &amp; B262 &amp; "-" &amp; "25"</f>
        <v>C227-156-25</v>
      </c>
      <c r="E262" s="254" t="s">
        <v>18</v>
      </c>
      <c r="F262" s="254"/>
      <c r="G262" s="227" t="s">
        <v>543</v>
      </c>
      <c r="H262" s="165" t="s">
        <v>68</v>
      </c>
      <c r="I262" s="165" t="s">
        <v>47</v>
      </c>
      <c r="J262" s="276">
        <v>45798</v>
      </c>
      <c r="K262" s="226">
        <v>45831</v>
      </c>
      <c r="L262" s="532"/>
      <c r="M262" s="2" t="str">
        <f ca="1">IF(ISBLANK([1]!Table2[[#This Row],[Complete corrective actions (Approved Date)]]), TODAY()-[1]!Table2[[#This Row],[CAR initialized date]], "CLOSED")</f>
        <v>CLOSED</v>
      </c>
      <c r="N262" s="511">
        <f>Table2[[#This Row],[Effectiveness Review &amp; date deemed effective]]-Table2[[#This Row],[CAR initialized date]]</f>
        <v>33</v>
      </c>
    </row>
    <row r="263" spans="1:14" ht="18.75">
      <c r="A263" s="227" t="s">
        <v>323</v>
      </c>
      <c r="B263" s="2">
        <f>VLOOKUP(Table2[[#This Row],[Location 
(drop-down)]],Table14[[Location]:[Location ID]],2,FALSE)</f>
        <v>156</v>
      </c>
      <c r="C263" s="254" t="s">
        <v>697</v>
      </c>
      <c r="D263" s="379" t="str">
        <f>"C" &amp; C263 &amp;"-" &amp; B263 &amp; "-" &amp; "25"</f>
        <v>C229-156-25</v>
      </c>
      <c r="E263" s="254" t="s">
        <v>18</v>
      </c>
      <c r="F263" s="254"/>
      <c r="G263" s="89" t="s">
        <v>698</v>
      </c>
      <c r="H263" s="165" t="s">
        <v>20</v>
      </c>
      <c r="I263" s="165" t="s">
        <v>47</v>
      </c>
      <c r="J263" s="276">
        <v>45798</v>
      </c>
      <c r="K263" s="226">
        <v>45831</v>
      </c>
      <c r="L263" s="532"/>
      <c r="M263" s="2" t="str">
        <f ca="1">IF(ISBLANK([1]!Table2[[#This Row],[Complete corrective actions (Approved Date)]]), TODAY()-[1]!Table2[[#This Row],[CAR initialized date]], "CLOSED")</f>
        <v>CLOSED</v>
      </c>
      <c r="N263" s="511">
        <f>Table2[[#This Row],[Effectiveness Review &amp; date deemed effective]]-Table2[[#This Row],[CAR initialized date]]</f>
        <v>33</v>
      </c>
    </row>
    <row r="264" spans="1:14" ht="18.75">
      <c r="A264" s="227" t="s">
        <v>53</v>
      </c>
      <c r="B264" s="2">
        <f>VLOOKUP(Table2[[#This Row],[Location 
(drop-down)]],Table14[[Location]:[Location ID]],2,FALSE)</f>
        <v>158</v>
      </c>
      <c r="C264" s="254" t="s">
        <v>699</v>
      </c>
      <c r="D264" s="379" t="str">
        <f>"C" &amp; C264 &amp;"-" &amp; B264 &amp; "-" &amp; "25"</f>
        <v>C280-158-25</v>
      </c>
      <c r="E264" s="254" t="s">
        <v>26</v>
      </c>
      <c r="F264" s="254" t="s">
        <v>151</v>
      </c>
      <c r="G264" s="227" t="s">
        <v>700</v>
      </c>
      <c r="H264" s="165" t="s">
        <v>20</v>
      </c>
      <c r="I264" s="165" t="s">
        <v>239</v>
      </c>
      <c r="J264" s="289">
        <v>45831</v>
      </c>
      <c r="K264" s="226">
        <v>45832</v>
      </c>
      <c r="L264" s="532"/>
      <c r="M264" s="2" t="str">
        <f ca="1">IF(ISBLANK([1]!Table2[[#This Row],[Complete corrective actions (Approved Date)]]), TODAY()-[1]!Table2[[#This Row],[CAR initialized date]], "CLOSED")</f>
        <v>CLOSED</v>
      </c>
      <c r="N264" s="511">
        <f>Table2[[#This Row],[Effectiveness Review &amp; date deemed effective]]-Table2[[#This Row],[CAR initialized date]]</f>
        <v>1</v>
      </c>
    </row>
    <row r="265" spans="1:14" ht="18.75">
      <c r="A265" s="227" t="s">
        <v>701</v>
      </c>
      <c r="B265" s="2" t="str">
        <f>VLOOKUP(Table2[[#This Row],[Location 
(drop-down)]],Table14[[Location]:[Location ID]],2,FALSE)</f>
        <v>160A</v>
      </c>
      <c r="C265" s="254" t="s">
        <v>702</v>
      </c>
      <c r="D265" s="379" t="str">
        <f>"C" &amp; C265 &amp;"-" &amp; B265 &amp; "-" &amp; "25"</f>
        <v>C202-160A-25</v>
      </c>
      <c r="E265" s="254" t="s">
        <v>18</v>
      </c>
      <c r="F265" s="254"/>
      <c r="G265" s="227" t="s">
        <v>703</v>
      </c>
      <c r="H265" s="165" t="s">
        <v>20</v>
      </c>
      <c r="I265" s="165" t="s">
        <v>47</v>
      </c>
      <c r="J265" s="276">
        <v>45782</v>
      </c>
      <c r="K265" s="226">
        <v>45832</v>
      </c>
      <c r="L265" s="532"/>
      <c r="M265" s="2" t="str">
        <f ca="1">IF(ISBLANK([1]!Table2[[#This Row],[Complete corrective actions (Approved Date)]]), TODAY()-[1]!Table2[[#This Row],[CAR initialized date]], "CLOSED")</f>
        <v>CLOSED</v>
      </c>
      <c r="N265" s="511">
        <f>Table2[[#This Row],[Effectiveness Review &amp; date deemed effective]]-Table2[[#This Row],[CAR initialized date]]</f>
        <v>50</v>
      </c>
    </row>
    <row r="266" spans="1:14" ht="18.75">
      <c r="A266" s="227" t="s">
        <v>53</v>
      </c>
      <c r="B266" s="2">
        <f>VLOOKUP(Table2[[#This Row],[Location 
(drop-down)]],Table14[[Location]:[Location ID]],2,FALSE)</f>
        <v>158</v>
      </c>
      <c r="C266" s="254" t="s">
        <v>375</v>
      </c>
      <c r="D266" s="378" t="s">
        <v>704</v>
      </c>
      <c r="E266" s="254" t="s">
        <v>18</v>
      </c>
      <c r="F266" s="254"/>
      <c r="G266" s="227" t="s">
        <v>705</v>
      </c>
      <c r="H266" s="165" t="s">
        <v>20</v>
      </c>
      <c r="I266" s="230" t="s">
        <v>57</v>
      </c>
      <c r="J266" s="419">
        <v>45317</v>
      </c>
      <c r="K266" s="226">
        <v>45834</v>
      </c>
      <c r="L266" s="532"/>
      <c r="M266" s="2" t="s">
        <v>22</v>
      </c>
      <c r="N266" s="511">
        <f>Table2[[#This Row],[Effectiveness Review &amp; date deemed effective]]-Table2[[#This Row],[CAR initialized date]]</f>
        <v>517</v>
      </c>
    </row>
    <row r="267" spans="1:14" ht="18.75">
      <c r="A267" s="227" t="s">
        <v>125</v>
      </c>
      <c r="B267" s="2">
        <f>VLOOKUP(Table2[[#This Row],[Location 
(drop-down)]],Table14[[Location]:[Location ID]],2,FALSE)</f>
        <v>130</v>
      </c>
      <c r="C267" s="254" t="s">
        <v>706</v>
      </c>
      <c r="D267" s="379" t="str">
        <f>"C" &amp; C267 &amp;"-" &amp; B267 &amp; "-" &amp; "25"</f>
        <v>C213-130-25</v>
      </c>
      <c r="E267" s="254" t="s">
        <v>18</v>
      </c>
      <c r="F267" s="254"/>
      <c r="G267" s="227" t="s">
        <v>626</v>
      </c>
      <c r="H267" s="165" t="s">
        <v>20</v>
      </c>
      <c r="I267" s="165" t="s">
        <v>239</v>
      </c>
      <c r="J267" s="276">
        <v>45786</v>
      </c>
      <c r="K267" s="226">
        <v>45837</v>
      </c>
      <c r="L267" s="532"/>
      <c r="M267" s="2" t="str">
        <f ca="1">IF(ISBLANK([1]!Table2[[#This Row],[Complete corrective actions (Approved Date)]]), TODAY()-[1]!Table2[[#This Row],[CAR initialized date]], "CLOSED")</f>
        <v>CLOSED</v>
      </c>
      <c r="N267" s="511">
        <f>Table2[[#This Row],[Effectiveness Review &amp; date deemed effective]]-Table2[[#This Row],[CAR initialized date]]</f>
        <v>51</v>
      </c>
    </row>
    <row r="268" spans="1:14" ht="18.75">
      <c r="A268" s="227" t="s">
        <v>125</v>
      </c>
      <c r="B268" s="2">
        <f>VLOOKUP(Table2[[#This Row],[Location 
(drop-down)]],Table14[[Location]:[Location ID]],2,FALSE)</f>
        <v>130</v>
      </c>
      <c r="C268" s="254" t="s">
        <v>707</v>
      </c>
      <c r="D268" s="379" t="str">
        <f>"C" &amp; C268 &amp;"-" &amp; B268 &amp; "-" &amp; "25"</f>
        <v>C215-130-25</v>
      </c>
      <c r="E268" s="254" t="s">
        <v>18</v>
      </c>
      <c r="F268" s="254"/>
      <c r="G268" s="227" t="s">
        <v>708</v>
      </c>
      <c r="H268" s="165" t="s">
        <v>20</v>
      </c>
      <c r="I268" s="165" t="s">
        <v>239</v>
      </c>
      <c r="J268" s="276">
        <v>45786</v>
      </c>
      <c r="K268" s="226">
        <v>45837</v>
      </c>
      <c r="L268" s="532"/>
      <c r="M268" s="2" t="str">
        <f ca="1">IF(ISBLANK([1]!Table2[[#This Row],[Complete corrective actions (Approved Date)]]), TODAY()-[1]!Table2[[#This Row],[CAR initialized date]], "CLOSED")</f>
        <v>CLOSED</v>
      </c>
      <c r="N268" s="511">
        <f>Table2[[#This Row],[Effectiveness Review &amp; date deemed effective]]-Table2[[#This Row],[CAR initialized date]]</f>
        <v>51</v>
      </c>
    </row>
    <row r="269" spans="1:14" ht="18.75">
      <c r="A269" s="227" t="s">
        <v>125</v>
      </c>
      <c r="B269" s="2">
        <f>VLOOKUP(Table2[[#This Row],[Location 
(drop-down)]],Table14[[Location]:[Location ID]],2,FALSE)</f>
        <v>130</v>
      </c>
      <c r="C269" s="254" t="s">
        <v>709</v>
      </c>
      <c r="D269" s="379" t="str">
        <f>"C" &amp; C269 &amp;"-" &amp; B269 &amp; "-" &amp; "25"</f>
        <v>C220-130-25</v>
      </c>
      <c r="E269" s="254" t="s">
        <v>18</v>
      </c>
      <c r="F269" s="254"/>
      <c r="G269" s="227" t="s">
        <v>710</v>
      </c>
      <c r="H269" s="165" t="s">
        <v>20</v>
      </c>
      <c r="I269" s="165" t="s">
        <v>239</v>
      </c>
      <c r="J269" s="276">
        <v>45786</v>
      </c>
      <c r="K269" s="226">
        <v>45837</v>
      </c>
      <c r="L269" s="532"/>
      <c r="M269" s="2" t="str">
        <f ca="1">IF(ISBLANK([1]!Table2[[#This Row],[Complete corrective actions (Approved Date)]]), TODAY()-[1]!Table2[[#This Row],[CAR initialized date]], "CLOSED")</f>
        <v>CLOSED</v>
      </c>
      <c r="N269" s="511">
        <f>Table2[[#This Row],[Effectiveness Review &amp; date deemed effective]]-Table2[[#This Row],[CAR initialized date]]</f>
        <v>51</v>
      </c>
    </row>
    <row r="270" spans="1:14" ht="18.75">
      <c r="A270" s="227" t="s">
        <v>711</v>
      </c>
      <c r="B270" s="2">
        <f>VLOOKUP(Table2[[#This Row],[Location 
(drop-down)]],Table14[[Location]:[Location ID]],2,FALSE)</f>
        <v>119</v>
      </c>
      <c r="C270" s="254" t="s">
        <v>712</v>
      </c>
      <c r="D270" s="379" t="str">
        <f>"C" &amp; C270 &amp;"-" &amp; B270 &amp; "-" &amp; "25"</f>
        <v>C205-119-25</v>
      </c>
      <c r="E270" s="254" t="s">
        <v>18</v>
      </c>
      <c r="F270" s="254"/>
      <c r="G270" s="227" t="s">
        <v>713</v>
      </c>
      <c r="H270" s="165" t="s">
        <v>68</v>
      </c>
      <c r="I270" s="165" t="s">
        <v>69</v>
      </c>
      <c r="J270" s="276">
        <v>45783</v>
      </c>
      <c r="K270" s="226">
        <v>45838</v>
      </c>
      <c r="L270" s="532"/>
      <c r="M270" s="2" t="str">
        <f ca="1">IF(ISBLANK([1]!Table2[[#This Row],[Complete corrective actions (Approved Date)]]), TODAY()-[1]!Table2[[#This Row],[CAR initialized date]], "CLOSED")</f>
        <v>CLOSED</v>
      </c>
      <c r="N270" s="511">
        <f>Table2[[#This Row],[Effectiveness Review &amp; date deemed effective]]-Table2[[#This Row],[CAR initialized date]]</f>
        <v>55</v>
      </c>
    </row>
    <row r="271" spans="1:14" ht="18.75">
      <c r="A271" s="227" t="s">
        <v>714</v>
      </c>
      <c r="B271" s="2">
        <f>VLOOKUP(Table2[[#This Row],[Location 
(drop-down)]],Table14[[Location]:[Location ID]],2,FALSE)</f>
        <v>215</v>
      </c>
      <c r="C271" s="254" t="s">
        <v>715</v>
      </c>
      <c r="D271" s="379" t="str">
        <f>"C" &amp; C271 &amp;"-" &amp; B271 &amp; "-" &amp; "25"</f>
        <v>C145-215-25</v>
      </c>
      <c r="E271" s="254" t="s">
        <v>18</v>
      </c>
      <c r="F271" s="254"/>
      <c r="G271" s="240" t="s">
        <v>716</v>
      </c>
      <c r="H271" s="165" t="s">
        <v>20</v>
      </c>
      <c r="I271" s="165" t="s">
        <v>21</v>
      </c>
      <c r="J271" s="289">
        <v>45744</v>
      </c>
      <c r="K271" s="226">
        <v>45838</v>
      </c>
      <c r="L271" s="532"/>
      <c r="M271" s="2" t="str">
        <f ca="1">IF(ISBLANK([1]!Table2[[#This Row],[Complete corrective actions (Approved Date)]]), TODAY()-[1]!Table2[[#This Row],[CAR initialized date]], "CLOSED")</f>
        <v>CLOSED</v>
      </c>
      <c r="N271" s="511">
        <f>Table2[[#This Row],[Effectiveness Review &amp; date deemed effective]]-Table2[[#This Row],[CAR initialized date]]</f>
        <v>94</v>
      </c>
    </row>
    <row r="272" spans="1:14" ht="18.75">
      <c r="A272" s="227" t="s">
        <v>714</v>
      </c>
      <c r="B272" s="2">
        <f>VLOOKUP(Table2[[#This Row],[Location 
(drop-down)]],Table14[[Location]:[Location ID]],2,FALSE)</f>
        <v>215</v>
      </c>
      <c r="C272" s="254" t="s">
        <v>717</v>
      </c>
      <c r="D272" s="379" t="str">
        <f>"C" &amp; C272 &amp;"-" &amp; B272 &amp; "-" &amp; "25"</f>
        <v>C146-215-25</v>
      </c>
      <c r="E272" s="254" t="s">
        <v>18</v>
      </c>
      <c r="F272" s="254"/>
      <c r="G272" s="240" t="s">
        <v>718</v>
      </c>
      <c r="H272" s="165" t="s">
        <v>20</v>
      </c>
      <c r="I272" s="165" t="s">
        <v>21</v>
      </c>
      <c r="J272" s="289">
        <v>45744</v>
      </c>
      <c r="K272" s="226">
        <v>45838</v>
      </c>
      <c r="L272" s="532"/>
      <c r="M272" s="2" t="str">
        <f ca="1">IF(ISBLANK([1]!Table2[[#This Row],[Complete corrective actions (Approved Date)]]), TODAY()-[1]!Table2[[#This Row],[CAR initialized date]], "CLOSED")</f>
        <v>CLOSED</v>
      </c>
      <c r="N272" s="511">
        <f>Table2[[#This Row],[Effectiveness Review &amp; date deemed effective]]-Table2[[#This Row],[CAR initialized date]]</f>
        <v>94</v>
      </c>
    </row>
    <row r="273" spans="1:14" ht="18.75">
      <c r="A273" s="227" t="s">
        <v>591</v>
      </c>
      <c r="B273" s="2">
        <f>VLOOKUP(Table2[[#This Row],[Location 
(drop-down)]],Table14[[Location]:[Location ID]],2,FALSE)</f>
        <v>127</v>
      </c>
      <c r="C273" s="254" t="s">
        <v>719</v>
      </c>
      <c r="D273" s="379" t="str">
        <f>"C" &amp; C273 &amp;"-" &amp; B273 &amp; "-" &amp; "25"</f>
        <v>C144-127-25</v>
      </c>
      <c r="E273" s="254" t="s">
        <v>18</v>
      </c>
      <c r="F273" s="18"/>
      <c r="G273" s="240" t="s">
        <v>720</v>
      </c>
      <c r="H273" s="165" t="s">
        <v>20</v>
      </c>
      <c r="I273" s="165" t="s">
        <v>69</v>
      </c>
      <c r="J273" s="289">
        <v>45743</v>
      </c>
      <c r="K273" s="226">
        <v>45838</v>
      </c>
      <c r="L273" s="532"/>
      <c r="M273" s="2" t="str">
        <f ca="1">IF(ISBLANK([1]!Table2[[#This Row],[Complete corrective actions (Approved Date)]]), TODAY()-[1]!Table2[[#This Row],[CAR initialized date]], "CLOSED")</f>
        <v>CLOSED</v>
      </c>
      <c r="N273" s="511">
        <f>Table2[[#This Row],[Effectiveness Review &amp; date deemed effective]]-Table2[[#This Row],[CAR initialized date]]</f>
        <v>95</v>
      </c>
    </row>
    <row r="274" spans="1:14" ht="18.75">
      <c r="A274" s="227" t="s">
        <v>294</v>
      </c>
      <c r="B274" s="2">
        <f>VLOOKUP(Table2[[#This Row],[Location 
(drop-down)]],Table14[[Location]:[Location ID]],2,FALSE)</f>
        <v>155</v>
      </c>
      <c r="C274" s="254" t="s">
        <v>721</v>
      </c>
      <c r="D274" s="379" t="str">
        <f>"C" &amp; C274 &amp;"-" &amp; B274 &amp; "-" &amp; "25"</f>
        <v>C072-155-25</v>
      </c>
      <c r="E274" s="254" t="s">
        <v>18</v>
      </c>
      <c r="F274" s="254"/>
      <c r="G274" s="227" t="s">
        <v>722</v>
      </c>
      <c r="H274" s="165" t="s">
        <v>20</v>
      </c>
      <c r="I274" s="165" t="s">
        <v>21</v>
      </c>
      <c r="J274" s="289">
        <v>45706</v>
      </c>
      <c r="K274" s="226">
        <v>45838</v>
      </c>
      <c r="L274" s="532"/>
      <c r="M274" s="2" t="str">
        <f ca="1">IF(ISBLANK([1]!Table2[[#This Row],[Complete corrective actions (Approved Date)]]), TODAY()-[1]!Table2[[#This Row],[CAR initialized date]], "CLOSED")</f>
        <v>CLOSED</v>
      </c>
      <c r="N274" s="511">
        <f>Table2[[#This Row],[Effectiveness Review &amp; date deemed effective]]-Table2[[#This Row],[CAR initialized date]]</f>
        <v>132</v>
      </c>
    </row>
    <row r="275" spans="1:14" ht="18.75">
      <c r="A275" s="227" t="s">
        <v>294</v>
      </c>
      <c r="B275" s="2">
        <f>VLOOKUP(Table2[[#This Row],[Location 
(drop-down)]],Table14[[Location]:[Location ID]],2,FALSE)</f>
        <v>155</v>
      </c>
      <c r="C275" s="254" t="s">
        <v>723</v>
      </c>
      <c r="D275" s="379" t="str">
        <f>"C" &amp; C275 &amp;"-" &amp; B275 &amp; "-" &amp; "25"</f>
        <v>C076-155-25</v>
      </c>
      <c r="E275" s="254" t="s">
        <v>18</v>
      </c>
      <c r="F275" s="254"/>
      <c r="G275" s="240" t="s">
        <v>724</v>
      </c>
      <c r="H275" s="165" t="s">
        <v>20</v>
      </c>
      <c r="I275" s="165" t="s">
        <v>21</v>
      </c>
      <c r="J275" s="289">
        <v>45706</v>
      </c>
      <c r="K275" s="226">
        <v>45838</v>
      </c>
      <c r="L275" s="532"/>
      <c r="M275" s="2" t="str">
        <f ca="1">IF(ISBLANK([1]!Table2[[#This Row],[Complete corrective actions (Approved Date)]]), TODAY()-[1]!Table2[[#This Row],[CAR initialized date]], "CLOSED")</f>
        <v>CLOSED</v>
      </c>
      <c r="N275" s="511">
        <f>Table2[[#This Row],[Effectiveness Review &amp; date deemed effective]]-Table2[[#This Row],[CAR initialized date]]</f>
        <v>132</v>
      </c>
    </row>
    <row r="276" spans="1:14" ht="18.75">
      <c r="A276" s="227" t="s">
        <v>125</v>
      </c>
      <c r="B276" s="2">
        <f>VLOOKUP(Table2[[#This Row],[Location 
(drop-down)]],Table14[[Location]:[Location ID]],2,FALSE)</f>
        <v>130</v>
      </c>
      <c r="C276" s="254" t="s">
        <v>725</v>
      </c>
      <c r="D276" s="379" t="str">
        <f>"C" &amp; C276 &amp;"-" &amp; B276 &amp; "-" &amp; "25"</f>
        <v>C212-130-25</v>
      </c>
      <c r="E276" s="254" t="s">
        <v>18</v>
      </c>
      <c r="F276" s="254"/>
      <c r="G276" s="227" t="s">
        <v>726</v>
      </c>
      <c r="H276" s="165" t="s">
        <v>20</v>
      </c>
      <c r="I276" s="165" t="s">
        <v>239</v>
      </c>
      <c r="J276" s="276">
        <v>45786</v>
      </c>
      <c r="K276" s="226">
        <v>45838</v>
      </c>
      <c r="L276" s="532"/>
      <c r="M276" s="2" t="str">
        <f ca="1">IF(ISBLANK([1]!Table2[[#This Row],[Complete corrective actions (Approved Date)]]), TODAY()-[1]!Table2[[#This Row],[CAR initialized date]], "CLOSED")</f>
        <v>CLOSED</v>
      </c>
      <c r="N276" s="511">
        <f>Table2[[#This Row],[Effectiveness Review &amp; date deemed effective]]-Table2[[#This Row],[CAR initialized date]]</f>
        <v>52</v>
      </c>
    </row>
    <row r="277" spans="1:14" ht="18.75">
      <c r="A277" s="227" t="s">
        <v>500</v>
      </c>
      <c r="B277" s="2">
        <f>VLOOKUP(Table2[[#This Row],[Location 
(drop-down)]],Table14[[Location]:[Location ID]],2,FALSE)</f>
        <v>170</v>
      </c>
      <c r="C277" s="254" t="s">
        <v>473</v>
      </c>
      <c r="D277" s="379" t="str">
        <f>"C" &amp; C277 &amp;"-" &amp; B277 &amp; "-" &amp; "25"</f>
        <v>C183-170-25</v>
      </c>
      <c r="E277" s="254" t="s">
        <v>18</v>
      </c>
      <c r="F277" s="254"/>
      <c r="G277" s="227" t="s">
        <v>727</v>
      </c>
      <c r="H277" s="165" t="s">
        <v>20</v>
      </c>
      <c r="I277" s="165" t="s">
        <v>69</v>
      </c>
      <c r="J277" s="276">
        <v>45782</v>
      </c>
      <c r="K277" s="226">
        <v>45838</v>
      </c>
      <c r="L277" s="532"/>
      <c r="M277" s="2" t="str">
        <f ca="1">IF(ISBLANK([1]!Table2[[#This Row],[Complete corrective actions (Approved Date)]]), TODAY()-[1]!Table2[[#This Row],[CAR initialized date]], "CLOSED")</f>
        <v>CLOSED</v>
      </c>
      <c r="N277" s="511">
        <f>Table2[[#This Row],[Effectiveness Review &amp; date deemed effective]]-Table2[[#This Row],[CAR initialized date]]</f>
        <v>56</v>
      </c>
    </row>
    <row r="278" spans="1:14" ht="18.75">
      <c r="A278" s="227" t="s">
        <v>73</v>
      </c>
      <c r="B278" s="2">
        <f>VLOOKUP(Table2[[#This Row],[Location 
(drop-down)]],Table14[[Location]:[Location ID]],2,FALSE)</f>
        <v>160</v>
      </c>
      <c r="C278" s="254" t="s">
        <v>728</v>
      </c>
      <c r="D278" s="379" t="str">
        <f>"C" &amp; C278 &amp;"-" &amp; B278 &amp; "-" &amp; "25"</f>
        <v>C244-160-25</v>
      </c>
      <c r="E278" s="254" t="s">
        <v>18</v>
      </c>
      <c r="F278" s="254"/>
      <c r="G278" s="428" t="s">
        <v>729</v>
      </c>
      <c r="H278" s="165" t="s">
        <v>20</v>
      </c>
      <c r="I278" s="165" t="s">
        <v>69</v>
      </c>
      <c r="J278" s="276">
        <v>45800</v>
      </c>
      <c r="K278" s="278">
        <v>45838</v>
      </c>
      <c r="L278" s="532"/>
      <c r="M278" s="2" t="str">
        <f ca="1">IF(ISBLANK([1]!Table2[[#This Row],[Complete corrective actions (Approved Date)]]), TODAY()-[1]!Table2[[#This Row],[CAR initialized date]], "CLOSED")</f>
        <v>CLOSED</v>
      </c>
      <c r="N278" s="511">
        <f>Table2[[#This Row],[Effectiveness Review &amp; date deemed effective]]-Table2[[#This Row],[CAR initialized date]]</f>
        <v>38</v>
      </c>
    </row>
    <row r="279" spans="1:14" ht="18.75">
      <c r="A279" s="227" t="s">
        <v>462</v>
      </c>
      <c r="B279" s="2">
        <f>VLOOKUP(Table2[[#This Row],[Location 
(drop-down)]],Table14[[Location]:[Location ID]],2,FALSE)</f>
        <v>126</v>
      </c>
      <c r="C279" s="254" t="s">
        <v>730</v>
      </c>
      <c r="D279" s="379" t="str">
        <f>"C" &amp; C279 &amp;"-" &amp; B279 &amp; "-" &amp; "25"</f>
        <v>C251-126-25</v>
      </c>
      <c r="E279" s="254" t="s">
        <v>18</v>
      </c>
      <c r="F279" s="254"/>
      <c r="G279" s="227" t="s">
        <v>731</v>
      </c>
      <c r="H279" s="165" t="s">
        <v>20</v>
      </c>
      <c r="I279" s="165" t="s">
        <v>69</v>
      </c>
      <c r="J279" s="276">
        <v>45800</v>
      </c>
      <c r="K279" s="226">
        <v>45838</v>
      </c>
      <c r="L279" s="532"/>
      <c r="M279" s="2" t="str">
        <f ca="1">IF(ISBLANK([1]!Table2[[#This Row],[Complete corrective actions (Approved Date)]]), TODAY()-[1]!Table2[[#This Row],[CAR initialized date]], "CLOSED")</f>
        <v>CLOSED</v>
      </c>
      <c r="N279" s="511">
        <f>Table2[[#This Row],[Effectiveness Review &amp; date deemed effective]]-Table2[[#This Row],[CAR initialized date]]</f>
        <v>38</v>
      </c>
    </row>
    <row r="280" spans="1:14" ht="18.75">
      <c r="A280" s="227" t="s">
        <v>139</v>
      </c>
      <c r="B280" s="2">
        <f>VLOOKUP(Table2[[#This Row],[Location 
(drop-down)]],Table14[[Location]:[Location ID]],2,FALSE)</f>
        <v>191</v>
      </c>
      <c r="C280" s="254" t="s">
        <v>732</v>
      </c>
      <c r="D280" s="378" t="s">
        <v>733</v>
      </c>
      <c r="E280" s="254" t="s">
        <v>18</v>
      </c>
      <c r="F280" s="254"/>
      <c r="G280" s="227" t="s">
        <v>734</v>
      </c>
      <c r="H280" s="165" t="s">
        <v>20</v>
      </c>
      <c r="I280" s="165" t="s">
        <v>47</v>
      </c>
      <c r="J280" s="289">
        <v>45615</v>
      </c>
      <c r="K280" s="226">
        <v>45839</v>
      </c>
      <c r="L280" s="532"/>
      <c r="M280" s="2" t="str">
        <f ca="1">IF(ISBLANK([1]!Table2[[#This Row],[Complete corrective actions (Approved Date)]]), TODAY()-[1]!Table2[[#This Row],[CAR initialized date]], "CLOSED")</f>
        <v>CLOSED</v>
      </c>
      <c r="N280" s="511">
        <f>Table2[[#This Row],[Effectiveness Review &amp; date deemed effective]]-Table2[[#This Row],[CAR initialized date]]</f>
        <v>224</v>
      </c>
    </row>
    <row r="281" spans="1:14" ht="18.75">
      <c r="A281" s="227" t="s">
        <v>73</v>
      </c>
      <c r="B281" s="2">
        <f>VLOOKUP(Table2[[#This Row],[Location 
(drop-down)]],Table14[[Location]:[Location ID]],2,FALSE)</f>
        <v>160</v>
      </c>
      <c r="C281" s="254" t="s">
        <v>735</v>
      </c>
      <c r="D281" s="379" t="str">
        <f>"C" &amp; C281 &amp;"-" &amp; B281 &amp; "-" &amp; "25"</f>
        <v>C245-160-25</v>
      </c>
      <c r="E281" s="254" t="s">
        <v>18</v>
      </c>
      <c r="F281" s="254"/>
      <c r="G281" s="227" t="s">
        <v>736</v>
      </c>
      <c r="H281" s="165" t="s">
        <v>20</v>
      </c>
      <c r="I281" s="165" t="s">
        <v>69</v>
      </c>
      <c r="J281" s="276">
        <v>45800</v>
      </c>
      <c r="K281" s="226">
        <v>45839</v>
      </c>
      <c r="L281" s="532"/>
      <c r="M281" s="2" t="str">
        <f ca="1">IF(ISBLANK([1]!Table2[[#This Row],[Complete corrective actions (Approved Date)]]), TODAY()-[1]!Table2[[#This Row],[CAR initialized date]], "CLOSED")</f>
        <v>CLOSED</v>
      </c>
      <c r="N281" s="511">
        <f>Table2[[#This Row],[Effectiveness Review &amp; date deemed effective]]-Table2[[#This Row],[CAR initialized date]]</f>
        <v>39</v>
      </c>
    </row>
    <row r="282" spans="1:14" ht="18.75">
      <c r="A282" s="227" t="s">
        <v>73</v>
      </c>
      <c r="B282" s="2">
        <f>VLOOKUP(Table2[[#This Row],[Location 
(drop-down)]],Table14[[Location]:[Location ID]],2,FALSE)</f>
        <v>160</v>
      </c>
      <c r="C282" s="254" t="s">
        <v>737</v>
      </c>
      <c r="D282" s="379" t="str">
        <f>"C" &amp; C282 &amp;"-" &amp; B282 &amp; "-" &amp; "25"</f>
        <v>C246-160-25</v>
      </c>
      <c r="E282" s="254" t="s">
        <v>18</v>
      </c>
      <c r="F282" s="254"/>
      <c r="G282" s="227" t="s">
        <v>738</v>
      </c>
      <c r="H282" s="165" t="s">
        <v>20</v>
      </c>
      <c r="I282" s="165" t="s">
        <v>69</v>
      </c>
      <c r="J282" s="276">
        <v>45800</v>
      </c>
      <c r="K282" s="226">
        <v>45839</v>
      </c>
      <c r="L282" s="532"/>
      <c r="M282" s="2" t="str">
        <f ca="1">IF(ISBLANK([1]!Table2[[#This Row],[Complete corrective actions (Approved Date)]]), TODAY()-[1]!Table2[[#This Row],[CAR initialized date]], "CLOSED")</f>
        <v>CLOSED</v>
      </c>
      <c r="N282" s="511">
        <f>Table2[[#This Row],[Effectiveness Review &amp; date deemed effective]]-Table2[[#This Row],[CAR initialized date]]</f>
        <v>39</v>
      </c>
    </row>
    <row r="283" spans="1:14" ht="90">
      <c r="A283" s="64" t="s">
        <v>15</v>
      </c>
      <c r="B283" s="11">
        <f>VLOOKUP(Table2[[#This Row],[Location 
(drop-down)]],Table14[[Location]:[Location ID]],2,FALSE)</f>
        <v>197</v>
      </c>
      <c r="C283" s="9" t="s">
        <v>739</v>
      </c>
      <c r="D283" s="567" t="str">
        <f>"C" &amp; C283 &amp; "-" &amp; B283 &amp; "-" &amp; "23"</f>
        <v>C397-197-23</v>
      </c>
      <c r="E283" s="9" t="s">
        <v>18</v>
      </c>
      <c r="F283" s="532"/>
      <c r="G283" s="64" t="s">
        <v>740</v>
      </c>
      <c r="H283" s="532"/>
      <c r="I283" s="67" t="s">
        <v>69</v>
      </c>
      <c r="J283" s="138">
        <v>45099</v>
      </c>
      <c r="K283" s="68">
        <v>45840</v>
      </c>
      <c r="L283" s="532"/>
      <c r="M283" s="2" t="s">
        <v>22</v>
      </c>
      <c r="N283" s="511">
        <f>Table2[[#This Row],[Effectiveness Review &amp; date deemed effective]]-Table2[[#This Row],[CAR initialized date]]</f>
        <v>741</v>
      </c>
    </row>
    <row r="284" spans="1:14" ht="18.75">
      <c r="A284" s="227" t="s">
        <v>15</v>
      </c>
      <c r="B284" s="2">
        <f>VLOOKUP(Table2[[#This Row],[Location 
(drop-down)]],Table14[[Location]:[Location ID]],2,FALSE)</f>
        <v>197</v>
      </c>
      <c r="C284" s="254" t="s">
        <v>741</v>
      </c>
      <c r="D284" s="378" t="s">
        <v>742</v>
      </c>
      <c r="E284" s="254" t="s">
        <v>18</v>
      </c>
      <c r="F284" s="254"/>
      <c r="G284" s="227" t="s">
        <v>743</v>
      </c>
      <c r="H284" s="165" t="s">
        <v>20</v>
      </c>
      <c r="I284" s="230" t="s">
        <v>21</v>
      </c>
      <c r="J284" s="289">
        <v>45533</v>
      </c>
      <c r="K284" s="226">
        <v>45840</v>
      </c>
      <c r="L284" s="532"/>
      <c r="M284" s="2" t="str">
        <f ca="1">IF(ISBLANK([1]!Table2[[#This Row],[Complete corrective actions (Approved Date)]]), TODAY()-[1]!Table2[[#This Row],[CAR initialized date]], "CLOSED")</f>
        <v>CLOSED</v>
      </c>
      <c r="N284" s="511">
        <f>Table2[[#This Row],[Effectiveness Review &amp; date deemed effective]]-Table2[[#This Row],[CAR initialized date]]</f>
        <v>307</v>
      </c>
    </row>
    <row r="285" spans="1:14" ht="18.75">
      <c r="A285" s="227" t="s">
        <v>139</v>
      </c>
      <c r="B285" s="2">
        <f>VLOOKUP(Table2[[#This Row],[Location 
(drop-down)]],Table14[[Location]:[Location ID]],2,FALSE)</f>
        <v>191</v>
      </c>
      <c r="C285" s="254" t="s">
        <v>744</v>
      </c>
      <c r="D285" s="378" t="s">
        <v>745</v>
      </c>
      <c r="E285" s="254" t="s">
        <v>18</v>
      </c>
      <c r="F285" s="254"/>
      <c r="G285" s="227" t="s">
        <v>746</v>
      </c>
      <c r="H285" s="165" t="s">
        <v>20</v>
      </c>
      <c r="I285" s="165" t="s">
        <v>47</v>
      </c>
      <c r="J285" s="289">
        <v>45615</v>
      </c>
      <c r="K285" s="226">
        <v>45841</v>
      </c>
      <c r="L285" s="532"/>
      <c r="M285" s="2" t="str">
        <f ca="1">IF(ISBLANK([1]!Table2[[#This Row],[Complete corrective actions (Approved Date)]]), TODAY()-[1]!Table2[[#This Row],[CAR initialized date]], "CLOSED")</f>
        <v>CLOSED</v>
      </c>
      <c r="N285" s="511">
        <f>Table2[[#This Row],[Effectiveness Review &amp; date deemed effective]]-Table2[[#This Row],[CAR initialized date]]</f>
        <v>226</v>
      </c>
    </row>
    <row r="286" spans="1:14" ht="18.75">
      <c r="A286" s="227" t="s">
        <v>500</v>
      </c>
      <c r="B286" s="2">
        <f>VLOOKUP(Table2[[#This Row],[Location 
(drop-down)]],Table14[[Location]:[Location ID]],2,FALSE)</f>
        <v>170</v>
      </c>
      <c r="C286" s="254" t="s">
        <v>747</v>
      </c>
      <c r="D286" s="379" t="str">
        <f>"C" &amp; C286 &amp;"-" &amp; B286 &amp; "-" &amp; "25"</f>
        <v>C181-170-25</v>
      </c>
      <c r="E286" s="254" t="s">
        <v>18</v>
      </c>
      <c r="F286" s="254"/>
      <c r="G286" s="227" t="s">
        <v>748</v>
      </c>
      <c r="H286" s="165" t="s">
        <v>20</v>
      </c>
      <c r="I286" s="165" t="s">
        <v>69</v>
      </c>
      <c r="J286" s="276">
        <v>45782</v>
      </c>
      <c r="K286" s="226">
        <v>45841</v>
      </c>
      <c r="L286" s="532"/>
      <c r="M286" s="2" t="str">
        <f ca="1">IF(ISBLANK([1]!Table2[[#This Row],[Complete corrective actions (Approved Date)]]), TODAY()-[1]!Table2[[#This Row],[CAR initialized date]], "CLOSED")</f>
        <v>CLOSED</v>
      </c>
      <c r="N286" s="511">
        <f>Table2[[#This Row],[Effectiveness Review &amp; date deemed effective]]-Table2[[#This Row],[CAR initialized date]]</f>
        <v>59</v>
      </c>
    </row>
    <row r="287" spans="1:14" ht="18.75">
      <c r="A287" s="227" t="s">
        <v>43</v>
      </c>
      <c r="B287" s="2">
        <f>VLOOKUP(Table2[[#This Row],[Location 
(drop-down)]],Table14[[Location]:[Location ID]],2,FALSE)</f>
        <v>210</v>
      </c>
      <c r="C287" s="254" t="s">
        <v>749</v>
      </c>
      <c r="D287" s="379" t="str">
        <f>"C" &amp; C287 &amp;"-" &amp; B287 &amp; "-" &amp; "25"</f>
        <v>C225-210-25</v>
      </c>
      <c r="E287" s="254" t="s">
        <v>26</v>
      </c>
      <c r="F287" s="254" t="s">
        <v>27</v>
      </c>
      <c r="G287" s="227" t="s">
        <v>750</v>
      </c>
      <c r="H287" s="165" t="s">
        <v>20</v>
      </c>
      <c r="I287" s="165" t="s">
        <v>108</v>
      </c>
      <c r="J287" s="276">
        <v>45792</v>
      </c>
      <c r="K287" s="226">
        <v>45841</v>
      </c>
      <c r="L287" s="532"/>
      <c r="M287" s="2" t="str">
        <f ca="1">IF(ISBLANK([1]!Table2[[#This Row],[Complete corrective actions (Approved Date)]]), TODAY()-[1]!Table2[[#This Row],[CAR initialized date]], "CLOSED")</f>
        <v>CLOSED</v>
      </c>
      <c r="N287" s="511">
        <f>Table2[[#This Row],[Effectiveness Review &amp; date deemed effective]]-Table2[[#This Row],[CAR initialized date]]</f>
        <v>49</v>
      </c>
    </row>
    <row r="288" spans="1:14" ht="18.75">
      <c r="A288" s="227" t="s">
        <v>43</v>
      </c>
      <c r="B288" s="2">
        <f>VLOOKUP(Table2[[#This Row],[Location 
(drop-down)]],Table14[[Location]:[Location ID]],2,FALSE)</f>
        <v>210</v>
      </c>
      <c r="C288" s="254" t="s">
        <v>751</v>
      </c>
      <c r="D288" s="379" t="str">
        <f>"C" &amp; C288 &amp;"-" &amp; B288 &amp; "-" &amp; "25"</f>
        <v>C226-210-25</v>
      </c>
      <c r="E288" s="254" t="s">
        <v>26</v>
      </c>
      <c r="F288" s="254" t="s">
        <v>27</v>
      </c>
      <c r="G288" s="343" t="s">
        <v>752</v>
      </c>
      <c r="H288" s="165" t="s">
        <v>20</v>
      </c>
      <c r="I288" s="165" t="s">
        <v>108</v>
      </c>
      <c r="J288" s="276">
        <v>45792</v>
      </c>
      <c r="K288" s="226">
        <v>45841</v>
      </c>
      <c r="L288" s="532"/>
      <c r="M288" s="2" t="str">
        <f ca="1">IF(ISBLANK([1]!Table2[[#This Row],[Complete corrective actions (Approved Date)]]), TODAY()-[1]!Table2[[#This Row],[CAR initialized date]], "CLOSED")</f>
        <v>CLOSED</v>
      </c>
      <c r="N288" s="511">
        <f>Table2[[#This Row],[Effectiveness Review &amp; date deemed effective]]-Table2[[#This Row],[CAR initialized date]]</f>
        <v>49</v>
      </c>
    </row>
    <row r="289" spans="1:14" ht="18.75">
      <c r="A289" s="227" t="s">
        <v>43</v>
      </c>
      <c r="B289" s="2">
        <f>VLOOKUP(Table2[[#This Row],[Location 
(drop-down)]],Table14[[Location]:[Location ID]],2,FALSE)</f>
        <v>210</v>
      </c>
      <c r="C289" s="254" t="s">
        <v>753</v>
      </c>
      <c r="D289" s="379" t="str">
        <f>"C" &amp; C289 &amp;"-" &amp; B289 &amp; "-" &amp; "25"</f>
        <v>C271-210-25</v>
      </c>
      <c r="E289" s="254" t="s">
        <v>26</v>
      </c>
      <c r="F289" s="254" t="s">
        <v>27</v>
      </c>
      <c r="G289" s="228" t="s">
        <v>754</v>
      </c>
      <c r="H289" s="165" t="s">
        <v>68</v>
      </c>
      <c r="I289" s="165" t="s">
        <v>108</v>
      </c>
      <c r="J289" s="289">
        <v>45820</v>
      </c>
      <c r="K289" s="226">
        <v>45841</v>
      </c>
      <c r="L289" s="532"/>
      <c r="M289" s="2" t="str">
        <f ca="1">IF(ISBLANK([1]!Table2[[#This Row],[Complete corrective actions (Approved Date)]]), TODAY()-[1]!Table2[[#This Row],[CAR initialized date]], "CLOSED")</f>
        <v>CLOSED</v>
      </c>
      <c r="N289" s="511">
        <f>Table2[[#This Row],[Effectiveness Review &amp; date deemed effective]]-Table2[[#This Row],[CAR initialized date]]</f>
        <v>21</v>
      </c>
    </row>
    <row r="290" spans="1:14" ht="18.75">
      <c r="A290" s="227" t="s">
        <v>43</v>
      </c>
      <c r="B290" s="2">
        <f>VLOOKUP(Table2[[#This Row],[Location 
(drop-down)]],Table14[[Location]:[Location ID]],2,FALSE)</f>
        <v>210</v>
      </c>
      <c r="C290" s="254" t="s">
        <v>285</v>
      </c>
      <c r="D290" s="379" t="str">
        <f>"C" &amp; C290 &amp;"-" &amp; B290 &amp; "-" &amp; "25"</f>
        <v>C272-210-25</v>
      </c>
      <c r="E290" s="254" t="s">
        <v>26</v>
      </c>
      <c r="F290" s="254" t="s">
        <v>27</v>
      </c>
      <c r="G290" s="228" t="s">
        <v>755</v>
      </c>
      <c r="H290" s="165" t="s">
        <v>20</v>
      </c>
      <c r="I290" s="165" t="s">
        <v>108</v>
      </c>
      <c r="J290" s="289">
        <v>45820</v>
      </c>
      <c r="K290" s="226">
        <v>45841</v>
      </c>
      <c r="L290" s="532"/>
      <c r="M290" s="2" t="str">
        <f ca="1">IF(ISBLANK([1]!Table2[[#This Row],[Complete corrective actions (Approved Date)]]), TODAY()-[1]!Table2[[#This Row],[CAR initialized date]], "CLOSED")</f>
        <v>CLOSED</v>
      </c>
      <c r="N290" s="511">
        <f>Table2[[#This Row],[Effectiveness Review &amp; date deemed effective]]-Table2[[#This Row],[CAR initialized date]]</f>
        <v>21</v>
      </c>
    </row>
    <row r="291" spans="1:14" ht="18.75">
      <c r="A291" s="227" t="s">
        <v>43</v>
      </c>
      <c r="B291" s="2">
        <f>VLOOKUP(Table2[[#This Row],[Location 
(drop-down)]],Table14[[Location]:[Location ID]],2,FALSE)</f>
        <v>210</v>
      </c>
      <c r="C291" s="254" t="s">
        <v>756</v>
      </c>
      <c r="D291" s="379" t="str">
        <f>"C" &amp; C291 &amp;"-" &amp; B291 &amp; "-" &amp; "25"</f>
        <v>C276-210-25</v>
      </c>
      <c r="E291" s="254" t="s">
        <v>26</v>
      </c>
      <c r="F291" s="254" t="s">
        <v>27</v>
      </c>
      <c r="G291" s="228" t="s">
        <v>757</v>
      </c>
      <c r="H291" s="165" t="s">
        <v>20</v>
      </c>
      <c r="I291" s="165" t="s">
        <v>108</v>
      </c>
      <c r="J291" s="419">
        <v>45820</v>
      </c>
      <c r="K291" s="226">
        <v>45841</v>
      </c>
      <c r="L291" s="532"/>
      <c r="M291" s="2" t="str">
        <f ca="1">IF(ISBLANK([1]!Table2[[#This Row],[Complete corrective actions (Approved Date)]]), TODAY()-[1]!Table2[[#This Row],[CAR initialized date]], "CLOSED")</f>
        <v>CLOSED</v>
      </c>
      <c r="N291" s="511">
        <f>Table2[[#This Row],[Effectiveness Review &amp; date deemed effective]]-Table2[[#This Row],[CAR initialized date]]</f>
        <v>21</v>
      </c>
    </row>
    <row r="292" spans="1:14" ht="18.75">
      <c r="A292" s="227" t="s">
        <v>43</v>
      </c>
      <c r="B292" s="2">
        <f>VLOOKUP(Table2[[#This Row],[Location 
(drop-down)]],Table14[[Location]:[Location ID]],2,FALSE)</f>
        <v>210</v>
      </c>
      <c r="C292" s="254" t="s">
        <v>758</v>
      </c>
      <c r="D292" s="379" t="str">
        <f>"C" &amp; C292 &amp;"-" &amp; B292 &amp; "-" &amp; "25"</f>
        <v>C277-210-25</v>
      </c>
      <c r="E292" s="254" t="s">
        <v>26</v>
      </c>
      <c r="F292" s="254" t="s">
        <v>27</v>
      </c>
      <c r="G292" s="89" t="s">
        <v>759</v>
      </c>
      <c r="H292" s="165" t="s">
        <v>20</v>
      </c>
      <c r="I292" s="165" t="s">
        <v>108</v>
      </c>
      <c r="J292" s="289">
        <v>45820</v>
      </c>
      <c r="K292" s="226">
        <v>45841</v>
      </c>
      <c r="L292" s="532"/>
      <c r="M292" s="2" t="str">
        <f ca="1">IF(ISBLANK([1]!Table2[[#This Row],[Complete corrective actions (Approved Date)]]), TODAY()-[1]!Table2[[#This Row],[CAR initialized date]], "CLOSED")</f>
        <v>CLOSED</v>
      </c>
      <c r="N292" s="511">
        <f>Table2[[#This Row],[Effectiveness Review &amp; date deemed effective]]-Table2[[#This Row],[CAR initialized date]]</f>
        <v>21</v>
      </c>
    </row>
    <row r="293" spans="1:14" ht="18.75">
      <c r="A293" s="227" t="s">
        <v>30</v>
      </c>
      <c r="B293" s="2">
        <f>VLOOKUP(Table2[[#This Row],[Location 
(drop-down)]],Table14[[Location]:[Location ID]],2,FALSE)</f>
        <v>132</v>
      </c>
      <c r="C293" s="254" t="s">
        <v>760</v>
      </c>
      <c r="D293" s="378" t="s">
        <v>761</v>
      </c>
      <c r="E293" s="412" t="s">
        <v>86</v>
      </c>
      <c r="F293" s="412" t="s">
        <v>523</v>
      </c>
      <c r="G293" s="284" t="s">
        <v>762</v>
      </c>
      <c r="H293" s="165" t="s">
        <v>20</v>
      </c>
      <c r="I293" s="165" t="s">
        <v>111</v>
      </c>
      <c r="J293" s="289">
        <v>45644</v>
      </c>
      <c r="K293" s="226">
        <v>45940</v>
      </c>
      <c r="L293" s="532"/>
      <c r="M293" s="2" t="str">
        <f ca="1">IF(ISBLANK([1]!Table2[[#This Row],[Complete corrective actions (Approved Date)]]), TODAY()-[1]!Table2[[#This Row],[CAR initialized date]], "CLOSED")</f>
        <v>CLOSED</v>
      </c>
      <c r="N293" s="511">
        <f>Table2[[#This Row],[Effectiveness Review &amp; date deemed effective]]-Table2[[#This Row],[CAR initialized date]]</f>
        <v>296</v>
      </c>
    </row>
    <row r="294" spans="1:14" ht="18.75">
      <c r="A294" s="227" t="s">
        <v>30</v>
      </c>
      <c r="B294" s="2">
        <f>VLOOKUP(Table2[[#This Row],[Location 
(drop-down)]],Table14[[Location]:[Location ID]],2,FALSE)</f>
        <v>132</v>
      </c>
      <c r="C294" s="254" t="s">
        <v>763</v>
      </c>
      <c r="D294" s="379" t="str">
        <f>"C" &amp; C294 &amp;"-" &amp; B294 &amp; "-" &amp; "25"</f>
        <v>C002-132-25</v>
      </c>
      <c r="E294" s="254" t="s">
        <v>120</v>
      </c>
      <c r="F294" s="254" t="s">
        <v>121</v>
      </c>
      <c r="G294" s="345" t="s">
        <v>764</v>
      </c>
      <c r="H294" s="165" t="s">
        <v>68</v>
      </c>
      <c r="I294" s="165" t="s">
        <v>111</v>
      </c>
      <c r="J294" s="289">
        <v>45664</v>
      </c>
      <c r="K294" s="226">
        <v>45671</v>
      </c>
      <c r="L294" s="532"/>
      <c r="M294" s="2" t="str">
        <f ca="1">IF(ISBLANK([1]!Table2[[#This Row],[Complete corrective actions (Approved Date)]]), TODAY()-[1]!Table2[[#This Row],[CAR initialized date]], "CLOSED")</f>
        <v>CLOSED</v>
      </c>
      <c r="N294" s="511">
        <f>Table2[[#This Row],[Effectiveness Review &amp; date deemed effective]]-Table2[[#This Row],[CAR initialized date]]</f>
        <v>7</v>
      </c>
    </row>
    <row r="295" spans="1:14" ht="18.75">
      <c r="A295" s="227" t="s">
        <v>765</v>
      </c>
      <c r="B295" s="2">
        <f>VLOOKUP(Table2[[#This Row],[Location 
(drop-down)]],Table14[[Location]:[Location ID]],2,FALSE)</f>
        <v>121</v>
      </c>
      <c r="C295" s="254" t="s">
        <v>766</v>
      </c>
      <c r="D295" s="379" t="str">
        <f>"C" &amp; C295 &amp;"-" &amp; B295 &amp; "-" &amp; "25"</f>
        <v>C279-121-25</v>
      </c>
      <c r="E295" s="254" t="s">
        <v>18</v>
      </c>
      <c r="F295" s="254"/>
      <c r="G295" s="227" t="s">
        <v>767</v>
      </c>
      <c r="H295" s="165" t="s">
        <v>68</v>
      </c>
      <c r="I295" s="165" t="s">
        <v>768</v>
      </c>
      <c r="J295" s="289">
        <v>45835</v>
      </c>
      <c r="K295" s="226">
        <v>45845</v>
      </c>
      <c r="L295" s="532"/>
      <c r="M295" s="2" t="str">
        <f ca="1">IF(ISBLANK([1]!Table2[[#This Row],[Complete corrective actions (Approved Date)]]), TODAY()-[1]!Table2[[#This Row],[CAR initialized date]], "CLOSED")</f>
        <v>CLOSED</v>
      </c>
      <c r="N295" s="511">
        <f>Table2[[#This Row],[Effectiveness Review &amp; date deemed effective]]-Table2[[#This Row],[CAR initialized date]]</f>
        <v>10</v>
      </c>
    </row>
    <row r="296" spans="1:14" ht="18.75">
      <c r="A296" s="227" t="s">
        <v>119</v>
      </c>
      <c r="B296" s="2">
        <f>VLOOKUP(Table2[[#This Row],[Location 
(drop-down)]],Table14[[Location]:[Location ID]],2,FALSE)</f>
        <v>131</v>
      </c>
      <c r="C296" s="254" t="s">
        <v>769</v>
      </c>
      <c r="D296" s="378" t="s">
        <v>770</v>
      </c>
      <c r="E296" s="254" t="s">
        <v>120</v>
      </c>
      <c r="F296" s="254"/>
      <c r="G296" s="228" t="s">
        <v>771</v>
      </c>
      <c r="H296" s="165" t="s">
        <v>20</v>
      </c>
      <c r="I296" s="230" t="s">
        <v>111</v>
      </c>
      <c r="J296" s="289">
        <v>45462</v>
      </c>
      <c r="K296" s="226">
        <v>45847</v>
      </c>
      <c r="L296" s="532"/>
      <c r="M296" s="2" t="str">
        <f ca="1">IF(ISBLANK([1]!Table2[[#This Row],[Complete corrective actions (Approved Date)]]), TODAY()-[1]!Table2[[#This Row],[CAR initialized date]], "CLOSED")</f>
        <v>CLOSED</v>
      </c>
      <c r="N296" s="511">
        <f>Table2[[#This Row],[Effectiveness Review &amp; date deemed effective]]-Table2[[#This Row],[CAR initialized date]]</f>
        <v>385</v>
      </c>
    </row>
    <row r="297" spans="1:14" ht="18.75">
      <c r="A297" s="227" t="s">
        <v>103</v>
      </c>
      <c r="B297" s="2">
        <f>VLOOKUP(Table2[[#This Row],[Location 
(drop-down)]],Table14[[Location]:[Location ID]],2,FALSE)</f>
        <v>136</v>
      </c>
      <c r="C297" s="254" t="s">
        <v>61</v>
      </c>
      <c r="D297" s="379" t="str">
        <f>"C" &amp; C297 &amp;"-" &amp; B297 &amp; "-" &amp; "25"</f>
        <v>C269-136-25</v>
      </c>
      <c r="E297" s="254" t="s">
        <v>86</v>
      </c>
      <c r="F297" s="254" t="s">
        <v>772</v>
      </c>
      <c r="G297" s="228" t="s">
        <v>773</v>
      </c>
      <c r="H297" s="165" t="s">
        <v>20</v>
      </c>
      <c r="I297" s="165" t="s">
        <v>69</v>
      </c>
      <c r="J297" s="289">
        <v>45819</v>
      </c>
      <c r="K297" s="226">
        <v>45848</v>
      </c>
      <c r="L297" s="532"/>
      <c r="M297" s="2" t="str">
        <f ca="1">IF(ISBLANK([1]!Table2[[#This Row],[Complete corrective actions (Approved Date)]]), TODAY()-[1]!Table2[[#This Row],[CAR initialized date]], "CLOSED")</f>
        <v>CLOSED</v>
      </c>
      <c r="N297" s="511">
        <f>Table2[[#This Row],[Effectiveness Review &amp; date deemed effective]]-Table2[[#This Row],[CAR initialized date]]</f>
        <v>29</v>
      </c>
    </row>
    <row r="298" spans="1:14" ht="18.75">
      <c r="A298" s="227" t="s">
        <v>125</v>
      </c>
      <c r="B298" s="2">
        <f>VLOOKUP(Table2[[#This Row],[Location 
(drop-down)]],Table14[[Location]:[Location ID]],2,FALSE)</f>
        <v>130</v>
      </c>
      <c r="C298" s="254" t="s">
        <v>774</v>
      </c>
      <c r="D298" s="379" t="str">
        <f>"C" &amp; C298 &amp;"-" &amp; B298 &amp; "-" &amp; "25"</f>
        <v>C192-130-25</v>
      </c>
      <c r="E298" s="254" t="s">
        <v>81</v>
      </c>
      <c r="F298" s="254" t="s">
        <v>775</v>
      </c>
      <c r="G298" s="227" t="s">
        <v>776</v>
      </c>
      <c r="H298" s="165" t="s">
        <v>20</v>
      </c>
      <c r="I298" s="165" t="s">
        <v>111</v>
      </c>
      <c r="J298" s="276">
        <v>45776</v>
      </c>
      <c r="K298" s="226">
        <v>45848</v>
      </c>
      <c r="L298" s="532"/>
      <c r="M298" s="2" t="str">
        <f ca="1">IF(ISBLANK([1]!Table2[[#This Row],[Complete corrective actions (Approved Date)]]), TODAY()-[1]!Table2[[#This Row],[CAR initialized date]], "CLOSED")</f>
        <v>CLOSED</v>
      </c>
      <c r="N298" s="511">
        <f>Table2[[#This Row],[Effectiveness Review &amp; date deemed effective]]-Table2[[#This Row],[CAR initialized date]]</f>
        <v>72</v>
      </c>
    </row>
    <row r="299" spans="1:14" ht="18.75">
      <c r="A299" s="227" t="s">
        <v>777</v>
      </c>
      <c r="B299" s="2">
        <f>VLOOKUP(Table2[[#This Row],[Location 
(drop-down)]],Table14[[Location]:[Location ID]],2,FALSE)</f>
        <v>199</v>
      </c>
      <c r="C299" s="254" t="s">
        <v>778</v>
      </c>
      <c r="D299" s="379" t="str">
        <f>"C" &amp; C299 &amp;"-" &amp; B299 &amp; "-" &amp; "25"</f>
        <v>C261-199-25</v>
      </c>
      <c r="E299" s="254" t="s">
        <v>81</v>
      </c>
      <c r="F299" s="254" t="s">
        <v>158</v>
      </c>
      <c r="G299" s="228" t="s">
        <v>779</v>
      </c>
      <c r="H299" s="165" t="s">
        <v>68</v>
      </c>
      <c r="I299" s="165" t="s">
        <v>118</v>
      </c>
      <c r="J299" s="289">
        <v>45813</v>
      </c>
      <c r="K299" s="226">
        <v>45848</v>
      </c>
      <c r="L299" s="532"/>
      <c r="M299" s="2" t="str">
        <f ca="1">IF(ISBLANK([1]!Table2[[#This Row],[Complete corrective actions (Approved Date)]]), TODAY()-[1]!Table2[[#This Row],[CAR initialized date]], "CLOSED")</f>
        <v>CLOSED</v>
      </c>
      <c r="N299" s="511">
        <f>Table2[[#This Row],[Effectiveness Review &amp; date deemed effective]]-Table2[[#This Row],[CAR initialized date]]</f>
        <v>35</v>
      </c>
    </row>
    <row r="300" spans="1:14" ht="18.75">
      <c r="A300" s="227" t="s">
        <v>73</v>
      </c>
      <c r="B300" s="2">
        <f>VLOOKUP(Table2[[#This Row],[Location 
(drop-down)]],Table14[[Location]:[Location ID]],2,FALSE)</f>
        <v>160</v>
      </c>
      <c r="C300" s="254" t="s">
        <v>780</v>
      </c>
      <c r="D300" s="379" t="str">
        <f>"C" &amp; C300 &amp;"-" &amp; B300 &amp; "-" &amp; "25"</f>
        <v>C243-160-25</v>
      </c>
      <c r="E300" s="254" t="s">
        <v>18</v>
      </c>
      <c r="F300" s="254"/>
      <c r="G300" s="517" t="s">
        <v>781</v>
      </c>
      <c r="H300" s="165" t="s">
        <v>20</v>
      </c>
      <c r="I300" s="165" t="s">
        <v>69</v>
      </c>
      <c r="J300" s="276">
        <v>45800</v>
      </c>
      <c r="K300" s="278">
        <v>45849</v>
      </c>
      <c r="L300" s="532"/>
      <c r="M300" s="2" t="str">
        <f ca="1">IF(ISBLANK([1]!Table2[[#This Row],[Complete corrective actions (Approved Date)]]), TODAY()-[1]!Table2[[#This Row],[CAR initialized date]], "CLOSED")</f>
        <v>CLOSED</v>
      </c>
      <c r="N300" s="511">
        <f>Table2[[#This Row],[Effectiveness Review &amp; date deemed effective]]-Table2[[#This Row],[CAR initialized date]]</f>
        <v>49</v>
      </c>
    </row>
    <row r="301" spans="1:14" ht="18.75">
      <c r="A301" s="227" t="s">
        <v>213</v>
      </c>
      <c r="B301" s="2">
        <f>VLOOKUP(Table2[[#This Row],[Location 
(drop-down)]],Table14[[Location]:[Location ID]],2,FALSE)</f>
        <v>140</v>
      </c>
      <c r="C301" s="254" t="s">
        <v>633</v>
      </c>
      <c r="D301" s="379" t="str">
        <f>"C" &amp; C301 &amp;"-" &amp; B301 &amp; "-" &amp; "25"</f>
        <v>C273-140-25</v>
      </c>
      <c r="E301" s="254" t="s">
        <v>18</v>
      </c>
      <c r="F301" s="254"/>
      <c r="G301" s="242" t="s">
        <v>351</v>
      </c>
      <c r="H301" s="165" t="s">
        <v>201</v>
      </c>
      <c r="I301" s="165" t="s">
        <v>239</v>
      </c>
      <c r="J301" s="289">
        <v>45825</v>
      </c>
      <c r="K301" s="226">
        <v>45852</v>
      </c>
      <c r="L301" s="532"/>
      <c r="M301" s="2" t="str">
        <f ca="1">IF(ISBLANK([1]!Table2[[#This Row],[Complete corrective actions (Approved Date)]]), TODAY()-[1]!Table2[[#This Row],[CAR initialized date]], "CLOSED")</f>
        <v>CLOSED</v>
      </c>
      <c r="N301" s="511">
        <f>Table2[[#This Row],[Effectiveness Review &amp; date deemed effective]]-Table2[[#This Row],[CAR initialized date]]</f>
        <v>27</v>
      </c>
    </row>
    <row r="302" spans="1:14" ht="18.75">
      <c r="A302" s="227" t="s">
        <v>213</v>
      </c>
      <c r="B302" s="2">
        <f>VLOOKUP(Table2[[#This Row],[Location 
(drop-down)]],Table14[[Location]:[Location ID]],2,FALSE)</f>
        <v>140</v>
      </c>
      <c r="C302" s="254" t="s">
        <v>277</v>
      </c>
      <c r="D302" s="379" t="str">
        <f>"C" &amp; C302 &amp;"-" &amp; B302 &amp; "-" &amp; "25"</f>
        <v>C274-140-25</v>
      </c>
      <c r="E302" s="254" t="s">
        <v>18</v>
      </c>
      <c r="F302" s="254"/>
      <c r="G302" s="242" t="s">
        <v>184</v>
      </c>
      <c r="H302" s="165" t="s">
        <v>20</v>
      </c>
      <c r="I302" s="165" t="s">
        <v>239</v>
      </c>
      <c r="J302" s="289">
        <v>45825</v>
      </c>
      <c r="K302" s="226">
        <v>45852</v>
      </c>
      <c r="L302" s="532"/>
      <c r="M302" s="2" t="str">
        <f ca="1">IF(ISBLANK([1]!Table2[[#This Row],[Complete corrective actions (Approved Date)]]), TODAY()-[1]!Table2[[#This Row],[CAR initialized date]], "CLOSED")</f>
        <v>CLOSED</v>
      </c>
      <c r="N302" s="511">
        <f>Table2[[#This Row],[Effectiveness Review &amp; date deemed effective]]-Table2[[#This Row],[CAR initialized date]]</f>
        <v>27</v>
      </c>
    </row>
    <row r="303" spans="1:14" ht="18.75">
      <c r="A303" s="227" t="s">
        <v>213</v>
      </c>
      <c r="B303" s="2">
        <f>VLOOKUP(Table2[[#This Row],[Location 
(drop-down)]],Table14[[Location]:[Location ID]],2,FALSE)</f>
        <v>140</v>
      </c>
      <c r="C303" s="254" t="s">
        <v>192</v>
      </c>
      <c r="D303" s="379" t="str">
        <f>"C" &amp; C303 &amp;"-" &amp; B303 &amp; "-" &amp; "25"</f>
        <v>C275-140-25</v>
      </c>
      <c r="E303" s="254" t="s">
        <v>18</v>
      </c>
      <c r="F303" s="254"/>
      <c r="G303" s="227" t="s">
        <v>782</v>
      </c>
      <c r="H303" s="165" t="s">
        <v>20</v>
      </c>
      <c r="I303" s="165" t="s">
        <v>239</v>
      </c>
      <c r="J303" s="289">
        <v>45825</v>
      </c>
      <c r="K303" s="226">
        <v>45852</v>
      </c>
      <c r="L303" s="532"/>
      <c r="M303" s="2" t="str">
        <f ca="1">IF(ISBLANK([1]!Table2[[#This Row],[Complete corrective actions (Approved Date)]]), TODAY()-[1]!Table2[[#This Row],[CAR initialized date]], "CLOSED")</f>
        <v>CLOSED</v>
      </c>
      <c r="N303" s="511">
        <f>Table2[[#This Row],[Effectiveness Review &amp; date deemed effective]]-Table2[[#This Row],[CAR initialized date]]</f>
        <v>27</v>
      </c>
    </row>
    <row r="304" spans="1:14" ht="18.75">
      <c r="A304" s="227" t="s">
        <v>314</v>
      </c>
      <c r="B304" s="2">
        <f>VLOOKUP(Table2[[#This Row],[Location 
(drop-down)]],Table14[[Location]:[Location ID]],2,FALSE)</f>
        <v>150</v>
      </c>
      <c r="C304" s="254" t="s">
        <v>783</v>
      </c>
      <c r="D304" s="379" t="str">
        <f>"C" &amp; C304 &amp;"-" &amp; B304 &amp; "-" &amp; "25"</f>
        <v>C157-150-25</v>
      </c>
      <c r="E304" s="254" t="s">
        <v>18</v>
      </c>
      <c r="F304" s="254"/>
      <c r="G304" s="227" t="s">
        <v>784</v>
      </c>
      <c r="H304" s="2" t="s">
        <v>20</v>
      </c>
      <c r="I304" s="165" t="s">
        <v>239</v>
      </c>
      <c r="J304" s="289">
        <v>45744</v>
      </c>
      <c r="K304" s="258">
        <v>45852</v>
      </c>
      <c r="L304" s="532"/>
      <c r="M304" s="2" t="str">
        <f ca="1">IF(ISBLANK([1]!Table2[[#This Row],[Complete corrective actions (Approved Date)]]), TODAY()-[1]!Table2[[#This Row],[CAR initialized date]], "CLOSED")</f>
        <v>CLOSED</v>
      </c>
      <c r="N304" s="511">
        <f>Table2[[#This Row],[Effectiveness Review &amp; date deemed effective]]-Table2[[#This Row],[CAR initialized date]]</f>
        <v>108</v>
      </c>
    </row>
    <row r="305" spans="1:14" ht="18.75">
      <c r="A305" s="227" t="s">
        <v>314</v>
      </c>
      <c r="B305" s="2">
        <f>VLOOKUP(Table2[[#This Row],[Location 
(drop-down)]],Table14[[Location]:[Location ID]],2,FALSE)</f>
        <v>150</v>
      </c>
      <c r="C305" s="254" t="s">
        <v>785</v>
      </c>
      <c r="D305" s="379" t="str">
        <f>"C" &amp; C305 &amp;"-" &amp; B305 &amp; "-" &amp; "25"</f>
        <v>C158-150-25</v>
      </c>
      <c r="E305" s="254" t="s">
        <v>18</v>
      </c>
      <c r="F305" s="254"/>
      <c r="G305" s="240" t="s">
        <v>194</v>
      </c>
      <c r="H305" s="2" t="s">
        <v>20</v>
      </c>
      <c r="I305" s="165" t="s">
        <v>239</v>
      </c>
      <c r="J305" s="289">
        <v>45744</v>
      </c>
      <c r="K305" s="258">
        <v>45852</v>
      </c>
      <c r="L305" s="532"/>
      <c r="M305" s="2" t="str">
        <f ca="1">IF(ISBLANK([1]!Table2[[#This Row],[Complete corrective actions (Approved Date)]]), TODAY()-[1]!Table2[[#This Row],[CAR initialized date]], "CLOSED")</f>
        <v>CLOSED</v>
      </c>
      <c r="N305" s="511">
        <f>Table2[[#This Row],[Effectiveness Review &amp; date deemed effective]]-Table2[[#This Row],[CAR initialized date]]</f>
        <v>108</v>
      </c>
    </row>
    <row r="306" spans="1:14" ht="18.75">
      <c r="A306" s="227" t="s">
        <v>125</v>
      </c>
      <c r="B306" s="2">
        <f>VLOOKUP(Table2[[#This Row],[Location 
(drop-down)]],Table14[[Location]:[Location ID]],2,FALSE)</f>
        <v>130</v>
      </c>
      <c r="C306" s="254" t="s">
        <v>786</v>
      </c>
      <c r="D306" s="379" t="str">
        <f>"C" &amp; C306 &amp;"-" &amp; B306 &amp; "-" &amp; "25"</f>
        <v>C257-130-25</v>
      </c>
      <c r="E306" s="254" t="s">
        <v>86</v>
      </c>
      <c r="F306" s="254" t="s">
        <v>106</v>
      </c>
      <c r="G306" s="227" t="s">
        <v>787</v>
      </c>
      <c r="H306" s="165" t="s">
        <v>20</v>
      </c>
      <c r="I306" s="165" t="s">
        <v>111</v>
      </c>
      <c r="J306" s="276">
        <v>45807</v>
      </c>
      <c r="K306" s="226">
        <v>45853</v>
      </c>
      <c r="L306" s="532"/>
      <c r="M306" s="2" t="str">
        <f ca="1">IF(ISBLANK([1]!Table2[[#This Row],[Complete corrective actions (Approved Date)]]), TODAY()-[1]!Table2[[#This Row],[CAR initialized date]], "CLOSED")</f>
        <v>CLOSED</v>
      </c>
      <c r="N306" s="511">
        <f>Table2[[#This Row],[Effectiveness Review &amp; date deemed effective]]-Table2[[#This Row],[CAR initialized date]]</f>
        <v>46</v>
      </c>
    </row>
    <row r="307" spans="1:14" ht="18.75">
      <c r="A307" s="227" t="s">
        <v>777</v>
      </c>
      <c r="B307" s="2">
        <f>VLOOKUP(Table2[[#This Row],[Location 
(drop-down)]],Table14[[Location]:[Location ID]],2,FALSE)</f>
        <v>199</v>
      </c>
      <c r="C307" s="254" t="s">
        <v>788</v>
      </c>
      <c r="D307" s="379" t="str">
        <f>"C" &amp; C307 &amp;"-" &amp; B307 &amp; "-" &amp; "25"</f>
        <v>C292-199-25</v>
      </c>
      <c r="E307" s="254" t="s">
        <v>81</v>
      </c>
      <c r="F307" s="254" t="s">
        <v>158</v>
      </c>
      <c r="G307" s="227" t="s">
        <v>789</v>
      </c>
      <c r="H307" s="165" t="s">
        <v>68</v>
      </c>
      <c r="I307" s="165" t="s">
        <v>118</v>
      </c>
      <c r="J307" s="289">
        <v>45831</v>
      </c>
      <c r="K307" s="226">
        <v>45853</v>
      </c>
      <c r="L307" s="532"/>
      <c r="M307" s="2" t="str">
        <f ca="1">IF(ISBLANK([1]!Table2[[#This Row],[Complete corrective actions (Approved Date)]]), TODAY()-[1]!Table2[[#This Row],[CAR initialized date]], "CLOSED")</f>
        <v>CLOSED</v>
      </c>
      <c r="N307" s="511">
        <f>Table2[[#This Row],[Effectiveness Review &amp; date deemed effective]]-Table2[[#This Row],[CAR initialized date]]</f>
        <v>22</v>
      </c>
    </row>
    <row r="308" spans="1:14" ht="18.75">
      <c r="A308" s="227" t="s">
        <v>80</v>
      </c>
      <c r="B308" s="2">
        <f>VLOOKUP(Table2[[#This Row],[Location 
(drop-down)]],Table14[[Location]:[Location ID]],2,FALSE)</f>
        <v>141</v>
      </c>
      <c r="C308" s="254" t="s">
        <v>222</v>
      </c>
      <c r="D308" s="379" t="str">
        <f>"C" &amp; C308 &amp;"-" &amp; B308 &amp; "-" &amp; "25"</f>
        <v>C320-141-25</v>
      </c>
      <c r="E308" s="254" t="s">
        <v>81</v>
      </c>
      <c r="F308" s="254" t="s">
        <v>158</v>
      </c>
      <c r="G308" s="573" t="s">
        <v>790</v>
      </c>
      <c r="H308" s="165" t="s">
        <v>68</v>
      </c>
      <c r="I308" s="165" t="s">
        <v>47</v>
      </c>
      <c r="J308" s="289">
        <v>45846</v>
      </c>
      <c r="K308" s="226">
        <v>45856</v>
      </c>
      <c r="L308" s="532"/>
      <c r="M308" s="2" t="str">
        <f ca="1">IF(ISBLANK([1]!Table2[[#This Row],[Complete corrective actions (Approved Date)]]), TODAY()-[1]!Table2[[#This Row],[CAR initialized date]], "CLOSED")</f>
        <v>CLOSED</v>
      </c>
      <c r="N308" s="511">
        <f>Table2[[#This Row],[Effectiveness Review &amp; date deemed effective]]-Table2[[#This Row],[CAR initialized date]]</f>
        <v>10</v>
      </c>
    </row>
    <row r="309" spans="1:14" ht="18.75">
      <c r="A309" s="227" t="s">
        <v>500</v>
      </c>
      <c r="B309" s="2">
        <f>VLOOKUP(Table2[[#This Row],[Location 
(drop-down)]],Table14[[Location]:[Location ID]],2,FALSE)</f>
        <v>170</v>
      </c>
      <c r="C309" s="254" t="s">
        <v>791</v>
      </c>
      <c r="D309" s="379" t="str">
        <f>"C" &amp; C309 &amp;"-" &amp; B309 &amp; "-" &amp; "25"</f>
        <v>C182-170-25</v>
      </c>
      <c r="E309" s="254" t="s">
        <v>18</v>
      </c>
      <c r="F309" s="254"/>
      <c r="G309" s="227" t="s">
        <v>792</v>
      </c>
      <c r="H309" s="165" t="s">
        <v>20</v>
      </c>
      <c r="I309" s="165" t="s">
        <v>69</v>
      </c>
      <c r="J309" s="276">
        <v>45782</v>
      </c>
      <c r="K309" s="226">
        <v>45856</v>
      </c>
      <c r="L309" s="532"/>
      <c r="M309" s="2" t="str">
        <f ca="1">IF(ISBLANK([1]!Table2[[#This Row],[Complete corrective actions (Approved Date)]]), TODAY()-[1]!Table2[[#This Row],[CAR initialized date]], "CLOSED")</f>
        <v>CLOSED</v>
      </c>
      <c r="N309" s="511">
        <f>Table2[[#This Row],[Effectiveness Review &amp; date deemed effective]]-Table2[[#This Row],[CAR initialized date]]</f>
        <v>74</v>
      </c>
    </row>
    <row r="310" spans="1:14" ht="18.75">
      <c r="A310" s="227" t="s">
        <v>462</v>
      </c>
      <c r="B310" s="2">
        <f>VLOOKUP(Table2[[#This Row],[Location 
(drop-down)]],Table14[[Location]:[Location ID]],2,FALSE)</f>
        <v>126</v>
      </c>
      <c r="C310" s="254" t="s">
        <v>793</v>
      </c>
      <c r="D310" s="379" t="str">
        <f>"C" &amp; C310 &amp;"-" &amp; B310 &amp; "-" &amp; "25"</f>
        <v>C248-126-25</v>
      </c>
      <c r="E310" s="254" t="s">
        <v>18</v>
      </c>
      <c r="F310" s="254"/>
      <c r="G310" s="227" t="s">
        <v>794</v>
      </c>
      <c r="H310" s="165" t="s">
        <v>20</v>
      </c>
      <c r="I310" s="165" t="s">
        <v>69</v>
      </c>
      <c r="J310" s="276">
        <v>45800</v>
      </c>
      <c r="K310" s="226">
        <v>45856</v>
      </c>
      <c r="L310" s="532"/>
      <c r="M310" s="2" t="str">
        <f ca="1">IF(ISBLANK([1]!Table2[[#This Row],[Complete corrective actions (Approved Date)]]), TODAY()-[1]!Table2[[#This Row],[CAR initialized date]], "CLOSED")</f>
        <v>CLOSED</v>
      </c>
      <c r="N310" s="511">
        <f>Table2[[#This Row],[Effectiveness Review &amp; date deemed effective]]-Table2[[#This Row],[CAR initialized date]]</f>
        <v>56</v>
      </c>
    </row>
    <row r="311" spans="1:14" ht="18.75">
      <c r="A311" s="227" t="s">
        <v>518</v>
      </c>
      <c r="B311" s="2">
        <f>VLOOKUP(Table2[[#This Row],[Location 
(drop-down)]],Table14[[Location]:[Location ID]],2,FALSE)</f>
        <v>185</v>
      </c>
      <c r="C311" s="254" t="s">
        <v>795</v>
      </c>
      <c r="D311" s="379" t="str">
        <f>"C" &amp; C311 &amp;"-" &amp; B311 &amp; "-" &amp; "25"</f>
        <v>C064-185-25</v>
      </c>
      <c r="E311" s="254" t="s">
        <v>18</v>
      </c>
      <c r="F311" s="254"/>
      <c r="G311" s="227" t="s">
        <v>396</v>
      </c>
      <c r="H311" s="165" t="s">
        <v>20</v>
      </c>
      <c r="I311" s="165" t="s">
        <v>69</v>
      </c>
      <c r="J311" s="289">
        <v>45706</v>
      </c>
      <c r="K311" s="226">
        <v>45856</v>
      </c>
      <c r="L311" s="532"/>
      <c r="M311" s="2" t="str">
        <f ca="1">IF(ISBLANK([1]!Table2[[#This Row],[Complete corrective actions (Approved Date)]]), TODAY()-[1]!Table2[[#This Row],[CAR initialized date]], "CLOSED")</f>
        <v>CLOSED</v>
      </c>
      <c r="N311" s="511">
        <f>Table2[[#This Row],[Effectiveness Review &amp; date deemed effective]]-Table2[[#This Row],[CAR initialized date]]</f>
        <v>150</v>
      </c>
    </row>
    <row r="312" spans="1:14" ht="30">
      <c r="A312" s="64" t="s">
        <v>566</v>
      </c>
      <c r="B312" s="11">
        <f>VLOOKUP(Table2[[#This Row],[Location 
(drop-down)]],Table14[[Location]:[Location ID]],2,FALSE)</f>
        <v>133</v>
      </c>
      <c r="C312" s="9" t="s">
        <v>796</v>
      </c>
      <c r="D312" s="567" t="str">
        <f>"C" &amp; C312 &amp; "-" &amp; B312 &amp; "-" &amp; "23"</f>
        <v>C419-133-23</v>
      </c>
      <c r="E312" s="9" t="s">
        <v>18</v>
      </c>
      <c r="F312" s="532"/>
      <c r="G312" s="64" t="s">
        <v>797</v>
      </c>
      <c r="H312" s="532"/>
      <c r="I312" s="67" t="s">
        <v>57</v>
      </c>
      <c r="J312" s="138">
        <v>45107</v>
      </c>
      <c r="K312" s="68">
        <v>45865</v>
      </c>
      <c r="L312" s="532"/>
      <c r="M312" s="2" t="s">
        <v>22</v>
      </c>
      <c r="N312" s="511">
        <f>Table2[[#This Row],[Effectiveness Review &amp; date deemed effective]]-Table2[[#This Row],[CAR initialized date]]</f>
        <v>758</v>
      </c>
    </row>
    <row r="313" spans="1:14" ht="18.75">
      <c r="A313" s="227" t="s">
        <v>167</v>
      </c>
      <c r="B313" s="2">
        <f>VLOOKUP(Table2[[#This Row],[Location 
(drop-down)]],Table14[[Location]:[Location ID]],2,FALSE)</f>
        <v>146</v>
      </c>
      <c r="C313" s="254" t="s">
        <v>798</v>
      </c>
      <c r="D313" s="379" t="str">
        <f>"C" &amp; C313 &amp;"-" &amp; B313 &amp; "-" &amp; "25"</f>
        <v>C253-146-25</v>
      </c>
      <c r="E313" s="254" t="s">
        <v>86</v>
      </c>
      <c r="F313" s="254" t="s">
        <v>207</v>
      </c>
      <c r="G313" s="227" t="s">
        <v>799</v>
      </c>
      <c r="H313" s="165" t="s">
        <v>68</v>
      </c>
      <c r="I313" s="165" t="s">
        <v>69</v>
      </c>
      <c r="J313" s="276">
        <v>45706</v>
      </c>
      <c r="K313" s="226">
        <v>45866</v>
      </c>
      <c r="L313" s="532"/>
      <c r="M313" s="2" t="str">
        <f ca="1">IF(ISBLANK([1]!Table2[[#This Row],[Complete corrective actions (Approved Date)]]), TODAY()-[1]!Table2[[#This Row],[CAR initialized date]], "CLOSED")</f>
        <v>CLOSED</v>
      </c>
      <c r="N313" s="511">
        <f>Table2[[#This Row],[Effectiveness Review &amp; date deemed effective]]-Table2[[#This Row],[CAR initialized date]]</f>
        <v>160</v>
      </c>
    </row>
    <row r="314" spans="1:14" ht="18.75">
      <c r="A314" s="227" t="s">
        <v>167</v>
      </c>
      <c r="B314" s="2">
        <f>VLOOKUP(Table2[[#This Row],[Location 
(drop-down)]],Table14[[Location]:[Location ID]],2,FALSE)</f>
        <v>146</v>
      </c>
      <c r="C314" s="254" t="s">
        <v>800</v>
      </c>
      <c r="D314" s="379" t="str">
        <f>"C" &amp; C314 &amp;"-" &amp; B314 &amp; "-" &amp; "25"</f>
        <v>C254-146-25</v>
      </c>
      <c r="E314" s="254" t="s">
        <v>86</v>
      </c>
      <c r="F314" s="254" t="s">
        <v>207</v>
      </c>
      <c r="G314" s="284" t="s">
        <v>801</v>
      </c>
      <c r="H314" s="165" t="s">
        <v>68</v>
      </c>
      <c r="I314" s="165" t="s">
        <v>69</v>
      </c>
      <c r="J314" s="276">
        <v>45706</v>
      </c>
      <c r="K314" s="226">
        <v>45866</v>
      </c>
      <c r="L314" s="532"/>
      <c r="M314" s="2" t="str">
        <f ca="1">IF(ISBLANK([1]!Table2[[#This Row],[Complete corrective actions (Approved Date)]]), TODAY()-[1]!Table2[[#This Row],[CAR initialized date]], "CLOSED")</f>
        <v>CLOSED</v>
      </c>
      <c r="N314" s="511">
        <f>Table2[[#This Row],[Effectiveness Review &amp; date deemed effective]]-Table2[[#This Row],[CAR initialized date]]</f>
        <v>160</v>
      </c>
    </row>
    <row r="315" spans="1:14" ht="18.75">
      <c r="A315" s="227" t="s">
        <v>500</v>
      </c>
      <c r="B315" s="2">
        <f>VLOOKUP(Table2[[#This Row],[Location 
(drop-down)]],Table14[[Location]:[Location ID]],2,FALSE)</f>
        <v>170</v>
      </c>
      <c r="C315" s="254" t="s">
        <v>463</v>
      </c>
      <c r="D315" s="379" t="str">
        <f>"C" &amp; C315 &amp;"-" &amp; B315 &amp; "-" &amp; "25"</f>
        <v>C184-170-25</v>
      </c>
      <c r="E315" s="254" t="s">
        <v>18</v>
      </c>
      <c r="F315" s="254"/>
      <c r="G315" s="227" t="s">
        <v>802</v>
      </c>
      <c r="H315" s="165" t="s">
        <v>20</v>
      </c>
      <c r="I315" s="165" t="s">
        <v>69</v>
      </c>
      <c r="J315" s="276">
        <v>45782</v>
      </c>
      <c r="K315" s="226">
        <v>45866</v>
      </c>
      <c r="L315" s="532"/>
      <c r="M315" s="2" t="str">
        <f ca="1">IF(ISBLANK([1]!Table2[[#This Row],[Complete corrective actions (Approved Date)]]), TODAY()-[1]!Table2[[#This Row],[CAR initialized date]], "CLOSED")</f>
        <v>CLOSED</v>
      </c>
      <c r="N315" s="511">
        <f>Table2[[#This Row],[Effectiveness Review &amp; date deemed effective]]-Table2[[#This Row],[CAR initialized date]]</f>
        <v>84</v>
      </c>
    </row>
    <row r="316" spans="1:14" ht="18.75">
      <c r="A316" s="227" t="s">
        <v>185</v>
      </c>
      <c r="B316" s="2">
        <f>VLOOKUP(Table2[[#This Row],[Location 
(drop-down)]],Table14[[Location]:[Location ID]],2,FALSE)</f>
        <v>144</v>
      </c>
      <c r="C316" s="254" t="s">
        <v>803</v>
      </c>
      <c r="D316" s="378" t="s">
        <v>804</v>
      </c>
      <c r="E316" s="254" t="s">
        <v>18</v>
      </c>
      <c r="F316" s="254"/>
      <c r="G316" s="227" t="s">
        <v>805</v>
      </c>
      <c r="H316" s="165" t="s">
        <v>68</v>
      </c>
      <c r="I316" s="230" t="s">
        <v>21</v>
      </c>
      <c r="J316" s="289">
        <v>45531</v>
      </c>
      <c r="K316" s="226">
        <v>45866</v>
      </c>
      <c r="L316" s="532"/>
      <c r="M316" s="2" t="str">
        <f ca="1">IF(ISBLANK([1]!Table2[[#This Row],[Complete corrective actions (Approved Date)]]), TODAY()-[1]!Table2[[#This Row],[CAR initialized date]], "CLOSED")</f>
        <v>CLOSED</v>
      </c>
      <c r="N316" s="511">
        <f>Table2[[#This Row],[Effectiveness Review &amp; date deemed effective]]-Table2[[#This Row],[CAR initialized date]]</f>
        <v>335</v>
      </c>
    </row>
    <row r="317" spans="1:14" ht="18.75">
      <c r="A317" s="227" t="s">
        <v>185</v>
      </c>
      <c r="B317" s="2">
        <f>VLOOKUP(Table2[[#This Row],[Location 
(drop-down)]],Table14[[Location]:[Location ID]],2,FALSE)</f>
        <v>144</v>
      </c>
      <c r="C317" s="254" t="s">
        <v>806</v>
      </c>
      <c r="D317" s="378" t="s">
        <v>807</v>
      </c>
      <c r="E317" s="254" t="s">
        <v>18</v>
      </c>
      <c r="F317" s="254"/>
      <c r="G317" s="227" t="s">
        <v>808</v>
      </c>
      <c r="H317" s="165" t="s">
        <v>68</v>
      </c>
      <c r="I317" s="230" t="s">
        <v>21</v>
      </c>
      <c r="J317" s="289">
        <v>45531</v>
      </c>
      <c r="K317" s="226">
        <v>45866</v>
      </c>
      <c r="L317" s="532"/>
      <c r="M317" s="2" t="str">
        <f ca="1">IF(ISBLANK([1]!Table2[[#This Row],[Complete corrective actions (Approved Date)]]), TODAY()-[1]!Table2[[#This Row],[CAR initialized date]], "CLOSED")</f>
        <v>CLOSED</v>
      </c>
      <c r="N317" s="511">
        <f>Table2[[#This Row],[Effectiveness Review &amp; date deemed effective]]-Table2[[#This Row],[CAR initialized date]]</f>
        <v>335</v>
      </c>
    </row>
    <row r="318" spans="1:14" ht="18.75">
      <c r="A318" s="227" t="s">
        <v>294</v>
      </c>
      <c r="B318" s="2">
        <f>VLOOKUP(Table2[[#This Row],[Location 
(drop-down)]],Table14[[Location]:[Location ID]],2,FALSE)</f>
        <v>155</v>
      </c>
      <c r="C318" s="254" t="s">
        <v>809</v>
      </c>
      <c r="D318" s="379" t="str">
        <f>"C" &amp; C318 &amp;"-" &amp; B318 &amp; "-" &amp; "25"</f>
        <v>C071-155-25</v>
      </c>
      <c r="E318" s="254" t="s">
        <v>18</v>
      </c>
      <c r="F318" s="423"/>
      <c r="G318" s="227" t="s">
        <v>810</v>
      </c>
      <c r="H318" s="165" t="s">
        <v>20</v>
      </c>
      <c r="I318" s="165" t="s">
        <v>21</v>
      </c>
      <c r="J318" s="289">
        <v>45706</v>
      </c>
      <c r="K318" s="226">
        <v>45868</v>
      </c>
      <c r="L318" s="532"/>
      <c r="M318" s="2" t="str">
        <f ca="1">IF(ISBLANK([1]!Table2[[#This Row],[Complete corrective actions (Approved Date)]]), TODAY()-[1]!Table2[[#This Row],[CAR initialized date]], "CLOSED")</f>
        <v>CLOSED</v>
      </c>
      <c r="N318" s="511">
        <f>Table2[[#This Row],[Effectiveness Review &amp; date deemed effective]]-Table2[[#This Row],[CAR initialized date]]</f>
        <v>162</v>
      </c>
    </row>
    <row r="319" spans="1:14" ht="18.75">
      <c r="A319" s="227" t="s">
        <v>485</v>
      </c>
      <c r="B319" s="2">
        <f>VLOOKUP(Table2[[#This Row],[Location 
(drop-down)]],Table14[[Location]:[Location ID]],2,FALSE)</f>
        <v>165</v>
      </c>
      <c r="C319" s="254" t="s">
        <v>811</v>
      </c>
      <c r="D319" s="379" t="str">
        <f>"C" &amp; C319 &amp;"-" &amp; B319 &amp; "-" &amp; "25"</f>
        <v>C233-165-25</v>
      </c>
      <c r="E319" s="424" t="s">
        <v>18</v>
      </c>
      <c r="F319" s="425"/>
      <c r="G319" s="313" t="s">
        <v>812</v>
      </c>
      <c r="H319" s="165" t="s">
        <v>20</v>
      </c>
      <c r="I319" s="165" t="s">
        <v>21</v>
      </c>
      <c r="J319" s="276">
        <v>45799</v>
      </c>
      <c r="K319" s="226">
        <v>45868</v>
      </c>
      <c r="L319" s="532"/>
      <c r="M319" s="2" t="str">
        <f ca="1">IF(ISBLANK([1]!Table2[[#This Row],[Complete corrective actions (Approved Date)]]), TODAY()-[1]!Table2[[#This Row],[CAR initialized date]], "CLOSED")</f>
        <v>CLOSED</v>
      </c>
      <c r="N319" s="511">
        <f>Table2[[#This Row],[Effectiveness Review &amp; date deemed effective]]-Table2[[#This Row],[CAR initialized date]]</f>
        <v>69</v>
      </c>
    </row>
    <row r="320" spans="1:14" ht="18.75">
      <c r="A320" s="227" t="s">
        <v>485</v>
      </c>
      <c r="B320" s="2">
        <f>VLOOKUP(Table2[[#This Row],[Location 
(drop-down)]],Table14[[Location]:[Location ID]],2,FALSE)</f>
        <v>165</v>
      </c>
      <c r="C320" s="254" t="s">
        <v>813</v>
      </c>
      <c r="D320" s="379" t="str">
        <f>"C" &amp; C320 &amp;"-" &amp; B320 &amp; "-" &amp; "25"</f>
        <v>C234-165-25</v>
      </c>
      <c r="E320" s="424" t="s">
        <v>18</v>
      </c>
      <c r="F320" s="425"/>
      <c r="G320" s="313" t="s">
        <v>814</v>
      </c>
      <c r="H320" s="165" t="s">
        <v>20</v>
      </c>
      <c r="I320" s="165" t="s">
        <v>21</v>
      </c>
      <c r="J320" s="276">
        <v>45799</v>
      </c>
      <c r="K320" s="226">
        <v>45868</v>
      </c>
      <c r="L320" s="532"/>
      <c r="M320" s="2" t="str">
        <f ca="1">IF(ISBLANK([1]!Table2[[#This Row],[Complete corrective actions (Approved Date)]]), TODAY()-[1]!Table2[[#This Row],[CAR initialized date]], "CLOSED")</f>
        <v>CLOSED</v>
      </c>
      <c r="N320" s="511">
        <f>Table2[[#This Row],[Effectiveness Review &amp; date deemed effective]]-Table2[[#This Row],[CAR initialized date]]</f>
        <v>69</v>
      </c>
    </row>
    <row r="321" spans="1:14" ht="18.75">
      <c r="A321" s="227" t="s">
        <v>15</v>
      </c>
      <c r="B321" s="2">
        <f>VLOOKUP(Table2[[#This Row],[Location 
(drop-down)]],Table14[[Location]:[Location ID]],2,FALSE)</f>
        <v>197</v>
      </c>
      <c r="C321" s="254" t="s">
        <v>815</v>
      </c>
      <c r="D321" s="378" t="s">
        <v>816</v>
      </c>
      <c r="E321" s="424" t="s">
        <v>18</v>
      </c>
      <c r="F321" s="515"/>
      <c r="G321" s="576" t="s">
        <v>817</v>
      </c>
      <c r="H321" s="165" t="s">
        <v>20</v>
      </c>
      <c r="I321" s="230" t="s">
        <v>21</v>
      </c>
      <c r="J321" s="289">
        <v>45533</v>
      </c>
      <c r="K321" s="226">
        <v>45868</v>
      </c>
      <c r="L321" s="532"/>
      <c r="M321" s="2" t="str">
        <f ca="1">IF(ISBLANK([1]!Table2[[#This Row],[Complete corrective actions (Approved Date)]]), TODAY()-[1]!Table2[[#This Row],[CAR initialized date]], "CLOSED")</f>
        <v>CLOSED</v>
      </c>
      <c r="N321" s="511">
        <f>Table2[[#This Row],[Effectiveness Review &amp; date deemed effective]]-Table2[[#This Row],[CAR initialized date]]</f>
        <v>335</v>
      </c>
    </row>
    <row r="322" spans="1:14" ht="18.75">
      <c r="A322" s="227" t="s">
        <v>500</v>
      </c>
      <c r="B322" s="2">
        <f>VLOOKUP(Table2[[#This Row],[Location 
(drop-down)]],Table14[[Location]:[Location ID]],2,FALSE)</f>
        <v>170</v>
      </c>
      <c r="C322" s="254" t="s">
        <v>182</v>
      </c>
      <c r="D322" s="379" t="str">
        <f>"C" &amp; C322 &amp;"-" &amp; B322 &amp; "-" &amp; "25"</f>
        <v>C186-170-25</v>
      </c>
      <c r="E322" s="254" t="s">
        <v>18</v>
      </c>
      <c r="F322" s="572"/>
      <c r="G322" s="252" t="s">
        <v>818</v>
      </c>
      <c r="H322" s="165" t="s">
        <v>20</v>
      </c>
      <c r="I322" s="165" t="s">
        <v>69</v>
      </c>
      <c r="J322" s="276">
        <v>45782</v>
      </c>
      <c r="K322" s="226">
        <v>45868</v>
      </c>
      <c r="L322" s="532"/>
      <c r="M322" s="2" t="str">
        <f ca="1">IF(ISBLANK([1]!Table2[[#This Row],[Complete corrective actions (Approved Date)]]), TODAY()-[1]!Table2[[#This Row],[CAR initialized date]], "CLOSED")</f>
        <v>CLOSED</v>
      </c>
      <c r="N322" s="511">
        <f>Table2[[#This Row],[Effectiveness Review &amp; date deemed effective]]-Table2[[#This Row],[CAR initialized date]]</f>
        <v>86</v>
      </c>
    </row>
    <row r="323" spans="1:14" ht="18.75">
      <c r="A323" s="227" t="s">
        <v>119</v>
      </c>
      <c r="B323" s="2">
        <f>VLOOKUP(Table2[[#This Row],[Location 
(drop-down)]],Table14[[Location]:[Location ID]],2,FALSE)</f>
        <v>131</v>
      </c>
      <c r="C323" s="254" t="s">
        <v>819</v>
      </c>
      <c r="D323" s="379" t="str">
        <f>"C" &amp; C323 &amp;"-" &amp; B323 &amp; "-" &amp; "25"</f>
        <v>C037-131-25</v>
      </c>
      <c r="E323" s="424" t="s">
        <v>18</v>
      </c>
      <c r="F323" s="515"/>
      <c r="G323" s="516" t="s">
        <v>820</v>
      </c>
      <c r="H323" s="165" t="s">
        <v>20</v>
      </c>
      <c r="I323" s="165" t="s">
        <v>239</v>
      </c>
      <c r="J323" s="289">
        <v>45687</v>
      </c>
      <c r="K323" s="226">
        <v>45868</v>
      </c>
      <c r="L323" s="532"/>
      <c r="M323" s="2" t="str">
        <f ca="1">IF(ISBLANK([1]!Table2[[#This Row],[Complete corrective actions (Approved Date)]]), TODAY()-[1]!Table2[[#This Row],[CAR initialized date]], "CLOSED")</f>
        <v>CLOSED</v>
      </c>
      <c r="N323" s="511">
        <f>Table2[[#This Row],[Effectiveness Review &amp; date deemed effective]]-Table2[[#This Row],[CAR initialized date]]</f>
        <v>181</v>
      </c>
    </row>
    <row r="324" spans="1:14" ht="18.75">
      <c r="A324" s="227" t="s">
        <v>185</v>
      </c>
      <c r="B324" s="2">
        <f>VLOOKUP(Table2[[#This Row],[Location 
(drop-down)]],Table14[[Location]:[Location ID]],2,FALSE)</f>
        <v>144</v>
      </c>
      <c r="C324" s="254" t="s">
        <v>821</v>
      </c>
      <c r="D324" s="378" t="s">
        <v>822</v>
      </c>
      <c r="E324" s="254" t="s">
        <v>18</v>
      </c>
      <c r="F324" s="417"/>
      <c r="G324" s="313" t="s">
        <v>823</v>
      </c>
      <c r="H324" s="165" t="s">
        <v>20</v>
      </c>
      <c r="I324" s="230" t="s">
        <v>21</v>
      </c>
      <c r="J324" s="289">
        <v>45531</v>
      </c>
      <c r="K324" s="226">
        <v>45868</v>
      </c>
      <c r="L324" s="532"/>
      <c r="M324" s="2" t="str">
        <f ca="1">IF(ISBLANK([1]!Table2[[#This Row],[Complete corrective actions (Approved Date)]]), TODAY()-[1]!Table2[[#This Row],[CAR initialized date]], "CLOSED")</f>
        <v>CLOSED</v>
      </c>
      <c r="N324" s="511">
        <f>Table2[[#This Row],[Effectiveness Review &amp; date deemed effective]]-Table2[[#This Row],[CAR initialized date]]</f>
        <v>337</v>
      </c>
    </row>
    <row r="325" spans="1:14" ht="18.75">
      <c r="A325" s="227" t="s">
        <v>765</v>
      </c>
      <c r="B325" s="2">
        <f>VLOOKUP(Table2[[#This Row],[Location 
(drop-down)]],Table14[[Location]:[Location ID]],2,FALSE)</f>
        <v>121</v>
      </c>
      <c r="C325" s="254" t="s">
        <v>824</v>
      </c>
      <c r="D325" s="379" t="str">
        <f>"C" &amp; C325 &amp;"-" &amp; B325 &amp; "-" &amp; "25"</f>
        <v>C278-121-25</v>
      </c>
      <c r="E325" s="254" t="s">
        <v>18</v>
      </c>
      <c r="F325" s="254"/>
      <c r="G325" s="89" t="s">
        <v>825</v>
      </c>
      <c r="H325" s="165" t="s">
        <v>68</v>
      </c>
      <c r="I325" s="165" t="s">
        <v>768</v>
      </c>
      <c r="J325" s="289">
        <v>45835</v>
      </c>
      <c r="K325" s="226">
        <v>45868</v>
      </c>
      <c r="L325" s="532"/>
      <c r="M325" s="2" t="str">
        <f ca="1">IF(ISBLANK([1]!Table2[[#This Row],[Complete corrective actions (Approved Date)]]), TODAY()-[1]!Table2[[#This Row],[CAR initialized date]], "CLOSED")</f>
        <v>CLOSED</v>
      </c>
      <c r="N325" s="511">
        <f>Table2[[#This Row],[Effectiveness Review &amp; date deemed effective]]-Table2[[#This Row],[CAR initialized date]]</f>
        <v>33</v>
      </c>
    </row>
    <row r="326" spans="1:14" ht="18.75">
      <c r="A326" s="227" t="s">
        <v>43</v>
      </c>
      <c r="B326" s="2">
        <f>VLOOKUP(Table2[[#This Row],[Location 
(drop-down)]],Table14[[Location]:[Location ID]],2,FALSE)</f>
        <v>210</v>
      </c>
      <c r="C326" s="254" t="s">
        <v>826</v>
      </c>
      <c r="D326" s="379" t="str">
        <f>"C" &amp; C326 &amp;"-" &amp; B326 &amp; "-" &amp; "25"</f>
        <v>C324-210-25</v>
      </c>
      <c r="E326" s="254" t="s">
        <v>81</v>
      </c>
      <c r="F326" s="254" t="s">
        <v>827</v>
      </c>
      <c r="G326" s="227" t="s">
        <v>828</v>
      </c>
      <c r="H326" s="165" t="s">
        <v>201</v>
      </c>
      <c r="I326" s="165" t="s">
        <v>108</v>
      </c>
      <c r="J326" s="289">
        <v>45849</v>
      </c>
      <c r="K326" s="226">
        <v>45868</v>
      </c>
      <c r="L326" s="532"/>
      <c r="M326" s="2" t="str">
        <f ca="1">IF(ISBLANK([1]!Table2[[#This Row],[Complete corrective actions (Approved Date)]]), TODAY()-[1]!Table2[[#This Row],[CAR initialized date]], "CLOSED")</f>
        <v>CLOSED</v>
      </c>
      <c r="N326" s="511">
        <f>Table2[[#This Row],[Effectiveness Review &amp; date deemed effective]]-Table2[[#This Row],[CAR initialized date]]</f>
        <v>19</v>
      </c>
    </row>
    <row r="327" spans="1:14" ht="18.75">
      <c r="A327" s="227" t="s">
        <v>156</v>
      </c>
      <c r="B327" s="2">
        <f>VLOOKUP(Table2[[#This Row],[Location 
(drop-down)]],Table14[[Location]:[Location ID]],2,FALSE)</f>
        <v>110</v>
      </c>
      <c r="C327" s="254" t="s">
        <v>829</v>
      </c>
      <c r="D327" s="379" t="str">
        <f>"C" &amp; C327 &amp;"-" &amp; B327 &amp; "-" &amp; "25"</f>
        <v>C343-110-25</v>
      </c>
      <c r="E327" s="254" t="s">
        <v>81</v>
      </c>
      <c r="F327" s="254" t="s">
        <v>269</v>
      </c>
      <c r="G327" s="227" t="s">
        <v>830</v>
      </c>
      <c r="H327" s="165" t="s">
        <v>68</v>
      </c>
      <c r="I327" s="165" t="s">
        <v>47</v>
      </c>
      <c r="J327" s="289">
        <v>45867</v>
      </c>
      <c r="K327" s="226">
        <v>45869</v>
      </c>
      <c r="L327" s="532"/>
      <c r="M327" s="2" t="str">
        <f ca="1">IF(ISBLANK([1]!Table2[[#This Row],[Complete corrective actions (Approved Date)]]), TODAY()-[1]!Table2[[#This Row],[CAR initialized date]], "CLOSED")</f>
        <v>CLOSED</v>
      </c>
      <c r="N327" s="511">
        <f>Table2[[#This Row],[Effectiveness Review &amp; date deemed effective]]-Table2[[#This Row],[CAR initialized date]]</f>
        <v>2</v>
      </c>
    </row>
    <row r="328" spans="1:14" ht="18.75">
      <c r="A328" s="227" t="s">
        <v>156</v>
      </c>
      <c r="B328" s="2">
        <f>VLOOKUP(Table2[[#This Row],[Location 
(drop-down)]],Table14[[Location]:[Location ID]],2,FALSE)</f>
        <v>110</v>
      </c>
      <c r="C328" s="254" t="s">
        <v>831</v>
      </c>
      <c r="D328" s="379" t="str">
        <f>"C" &amp; C328 &amp;"-" &amp; B328 &amp; "-" &amp; "25"</f>
        <v>C344-110-25</v>
      </c>
      <c r="E328" s="254" t="s">
        <v>81</v>
      </c>
      <c r="F328" s="254" t="s">
        <v>269</v>
      </c>
      <c r="G328" s="227" t="s">
        <v>832</v>
      </c>
      <c r="H328" s="165" t="s">
        <v>68</v>
      </c>
      <c r="I328" s="165" t="s">
        <v>47</v>
      </c>
      <c r="J328" s="289">
        <v>45867</v>
      </c>
      <c r="K328" s="226">
        <v>45869</v>
      </c>
      <c r="L328" s="532"/>
      <c r="M328" s="2" t="str">
        <f ca="1">IF(ISBLANK([1]!Table2[[#This Row],[Complete corrective actions (Approved Date)]]), TODAY()-[1]!Table2[[#This Row],[CAR initialized date]], "CLOSED")</f>
        <v>CLOSED</v>
      </c>
      <c r="N328" s="511">
        <f>Table2[[#This Row],[Effectiveness Review &amp; date deemed effective]]-Table2[[#This Row],[CAR initialized date]]</f>
        <v>2</v>
      </c>
    </row>
    <row r="329" spans="1:14" ht="18.75">
      <c r="A329" s="227" t="s">
        <v>500</v>
      </c>
      <c r="B329" s="2">
        <f>VLOOKUP(Table2[[#This Row],[Location 
(drop-down)]],Table14[[Location]:[Location ID]],2,FALSE)</f>
        <v>170</v>
      </c>
      <c r="C329" s="254" t="s">
        <v>833</v>
      </c>
      <c r="D329" s="379" t="str">
        <f>"C" &amp; C329 &amp;"-" &amp; B329 &amp; "-" &amp; "25"</f>
        <v>C311-170-25</v>
      </c>
      <c r="E329" s="254" t="s">
        <v>81</v>
      </c>
      <c r="F329" s="254" t="s">
        <v>490</v>
      </c>
      <c r="G329" s="227" t="s">
        <v>834</v>
      </c>
      <c r="H329" s="165" t="s">
        <v>68</v>
      </c>
      <c r="I329" s="165" t="s">
        <v>310</v>
      </c>
      <c r="J329" s="289">
        <v>45831</v>
      </c>
      <c r="K329" s="226">
        <v>45869</v>
      </c>
      <c r="L329" s="532"/>
      <c r="M329" s="2" t="str">
        <f ca="1">IF(ISBLANK([1]!Table2[[#This Row],[Complete corrective actions (Approved Date)]]), TODAY()-[1]!Table2[[#This Row],[CAR initialized date]], "CLOSED")</f>
        <v>CLOSED</v>
      </c>
      <c r="N329" s="511">
        <f>Table2[[#This Row],[Effectiveness Review &amp; date deemed effective]]-Table2[[#This Row],[CAR initialized date]]</f>
        <v>38</v>
      </c>
    </row>
    <row r="330" spans="1:14" ht="18.75">
      <c r="A330" s="227" t="s">
        <v>344</v>
      </c>
      <c r="B330" s="2">
        <f>VLOOKUP(Table2[[#This Row],[Location 
(drop-down)]],Table14[[Location]:[Location ID]],2,FALSE)</f>
        <v>157</v>
      </c>
      <c r="C330" s="254" t="s">
        <v>835</v>
      </c>
      <c r="D330" s="379" t="str">
        <f>"C" &amp; C330 &amp;"-" &amp; B330 &amp; "-" &amp; "25"</f>
        <v>C346-157-25</v>
      </c>
      <c r="E330" s="254" t="s">
        <v>81</v>
      </c>
      <c r="F330" s="254" t="s">
        <v>836</v>
      </c>
      <c r="G330" s="227" t="s">
        <v>837</v>
      </c>
      <c r="H330" s="165" t="s">
        <v>68</v>
      </c>
      <c r="I330" s="165" t="s">
        <v>47</v>
      </c>
      <c r="J330" s="289">
        <v>45860</v>
      </c>
      <c r="K330" s="226">
        <v>45871</v>
      </c>
      <c r="L330" s="532"/>
      <c r="M330" s="2" t="str">
        <f ca="1">IF(ISBLANK([1]!Table2[[#This Row],[Complete corrective actions (Approved Date)]]), TODAY()-[1]!Table2[[#This Row],[CAR initialized date]], "CLOSED")</f>
        <v>CLOSED</v>
      </c>
      <c r="N330" s="511">
        <f>Table2[[#This Row],[Effectiveness Review &amp; date deemed effective]]-Table2[[#This Row],[CAR initialized date]]</f>
        <v>11</v>
      </c>
    </row>
    <row r="331" spans="1:14" ht="18.75">
      <c r="A331" s="227" t="s">
        <v>39</v>
      </c>
      <c r="B331" s="2">
        <f>VLOOKUP(Table2[[#This Row],[Location 
(drop-down)]],Table14[[Location]:[Location ID]],2,FALSE)</f>
        <v>120</v>
      </c>
      <c r="C331" s="254" t="s">
        <v>838</v>
      </c>
      <c r="D331" s="379" t="str">
        <f>"C" &amp; C331 &amp;"-" &amp; B331 &amp; "-" &amp; "25"</f>
        <v>C345-120-25</v>
      </c>
      <c r="E331" s="254" t="s">
        <v>120</v>
      </c>
      <c r="F331" s="254" t="s">
        <v>839</v>
      </c>
      <c r="G331" s="227" t="s">
        <v>840</v>
      </c>
      <c r="H331" s="165" t="s">
        <v>20</v>
      </c>
      <c r="I331" s="165" t="s">
        <v>327</v>
      </c>
      <c r="J331" s="289">
        <v>45853</v>
      </c>
      <c r="K331" s="226">
        <v>45871</v>
      </c>
      <c r="L331" s="532"/>
      <c r="M331" s="2" t="str">
        <f ca="1">IF(ISBLANK([1]!Table2[[#This Row],[Complete corrective actions (Approved Date)]]), TODAY()-[1]!Table2[[#This Row],[CAR initialized date]], "CLOSED")</f>
        <v>CLOSED</v>
      </c>
      <c r="N331" s="511">
        <f>Table2[[#This Row],[Effectiveness Review &amp; date deemed effective]]-Table2[[#This Row],[CAR initialized date]]</f>
        <v>18</v>
      </c>
    </row>
    <row r="332" spans="1:14" ht="18.75">
      <c r="A332" s="227" t="s">
        <v>314</v>
      </c>
      <c r="B332" s="2">
        <f>VLOOKUP(Table2[[#This Row],[Location 
(drop-down)]],Table14[[Location]:[Location ID]],2,FALSE)</f>
        <v>150</v>
      </c>
      <c r="C332" s="254" t="s">
        <v>841</v>
      </c>
      <c r="D332" s="379" t="str">
        <f>"C" &amp; C332 &amp;"-" &amp; B332 &amp; "-" &amp; "25"</f>
        <v>C156-150-25</v>
      </c>
      <c r="E332" s="254" t="s">
        <v>18</v>
      </c>
      <c r="F332" s="254"/>
      <c r="G332" s="410" t="s">
        <v>842</v>
      </c>
      <c r="H332" s="2" t="s">
        <v>20</v>
      </c>
      <c r="I332" s="165" t="s">
        <v>239</v>
      </c>
      <c r="J332" s="289">
        <v>45744</v>
      </c>
      <c r="K332" s="258">
        <v>45874</v>
      </c>
      <c r="L332" s="532"/>
      <c r="M332" s="2" t="str">
        <f ca="1">IF(ISBLANK([1]!Table2[[#This Row],[Complete corrective actions (Approved Date)]]), TODAY()-[1]!Table2[[#This Row],[CAR initialized date]], "CLOSED")</f>
        <v>CLOSED</v>
      </c>
      <c r="N332" s="511">
        <f>Table2[[#This Row],[Effectiveness Review &amp; date deemed effective]]-Table2[[#This Row],[CAR initialized date]]</f>
        <v>130</v>
      </c>
    </row>
    <row r="333" spans="1:14" ht="18.75">
      <c r="A333" s="227" t="s">
        <v>344</v>
      </c>
      <c r="B333" s="2">
        <f>VLOOKUP(Table2[[#This Row],[Location 
(drop-down)]],Table14[[Location]:[Location ID]],2,FALSE)</f>
        <v>157</v>
      </c>
      <c r="C333" s="254" t="s">
        <v>259</v>
      </c>
      <c r="D333" s="379" t="str">
        <f>"C" &amp; C333 &amp;"-" &amp; B333 &amp; "-" &amp; "25"</f>
        <v>C317-157-25</v>
      </c>
      <c r="E333" s="254" t="s">
        <v>26</v>
      </c>
      <c r="F333" s="254" t="s">
        <v>27</v>
      </c>
      <c r="G333" s="227" t="s">
        <v>843</v>
      </c>
      <c r="H333" s="165" t="s">
        <v>20</v>
      </c>
      <c r="I333" s="165" t="s">
        <v>327</v>
      </c>
      <c r="J333" s="289">
        <v>45846</v>
      </c>
      <c r="K333" s="226">
        <v>45875</v>
      </c>
      <c r="L333" s="532"/>
      <c r="M333" s="2" t="str">
        <f ca="1">IF(ISBLANK([1]!Table2[[#This Row],[Complete corrective actions (Approved Date)]]), TODAY()-[1]!Table2[[#This Row],[CAR initialized date]], "CLOSED")</f>
        <v>CLOSED</v>
      </c>
      <c r="N333" s="511">
        <f>Table2[[#This Row],[Effectiveness Review &amp; date deemed effective]]-Table2[[#This Row],[CAR initialized date]]</f>
        <v>29</v>
      </c>
    </row>
    <row r="334" spans="1:14" ht="18.75">
      <c r="A334" s="227" t="s">
        <v>344</v>
      </c>
      <c r="B334" s="2">
        <f>VLOOKUP(Table2[[#This Row],[Location 
(drop-down)]],Table14[[Location]:[Location ID]],2,FALSE)</f>
        <v>157</v>
      </c>
      <c r="C334" s="254" t="s">
        <v>844</v>
      </c>
      <c r="D334" s="379" t="str">
        <f>"C" &amp; C334 &amp;"-" &amp; B334 &amp; "-" &amp; "25"</f>
        <v>C321-157-25</v>
      </c>
      <c r="E334" s="254" t="s">
        <v>26</v>
      </c>
      <c r="F334" s="254" t="s">
        <v>27</v>
      </c>
      <c r="G334" s="227" t="s">
        <v>845</v>
      </c>
      <c r="H334" s="165" t="s">
        <v>20</v>
      </c>
      <c r="I334" s="165" t="s">
        <v>327</v>
      </c>
      <c r="J334" s="289">
        <v>45846</v>
      </c>
      <c r="K334" s="226">
        <v>45875</v>
      </c>
      <c r="L334" s="532"/>
      <c r="M334" s="2" t="str">
        <f ca="1">IF(ISBLANK([1]!Table2[[#This Row],[Complete corrective actions (Approved Date)]]), TODAY()-[1]!Table2[[#This Row],[CAR initialized date]], "CLOSED")</f>
        <v>CLOSED</v>
      </c>
      <c r="N334" s="511">
        <f>Table2[[#This Row],[Effectiveness Review &amp; date deemed effective]]-Table2[[#This Row],[CAR initialized date]]</f>
        <v>29</v>
      </c>
    </row>
    <row r="335" spans="1:14" ht="18.75">
      <c r="A335" s="227" t="s">
        <v>344</v>
      </c>
      <c r="B335" s="2">
        <f>VLOOKUP(Table2[[#This Row],[Location 
(drop-down)]],Table14[[Location]:[Location ID]],2,FALSE)</f>
        <v>157</v>
      </c>
      <c r="C335" s="254" t="s">
        <v>247</v>
      </c>
      <c r="D335" s="379" t="str">
        <f>"C" &amp; C335 &amp;"-" &amp; B335 &amp; "-" &amp; "25"</f>
        <v>C322-157-25</v>
      </c>
      <c r="E335" s="254" t="s">
        <v>26</v>
      </c>
      <c r="F335" s="254" t="s">
        <v>27</v>
      </c>
      <c r="G335" s="227" t="s">
        <v>846</v>
      </c>
      <c r="H335" s="165" t="s">
        <v>20</v>
      </c>
      <c r="I335" s="165" t="s">
        <v>327</v>
      </c>
      <c r="J335" s="289">
        <v>45846</v>
      </c>
      <c r="K335" s="226">
        <v>45875</v>
      </c>
      <c r="L335" s="532"/>
      <c r="M335" s="2" t="str">
        <f ca="1">IF(ISBLANK([1]!Table2[[#This Row],[Complete corrective actions (Approved Date)]]), TODAY()-[1]!Table2[[#This Row],[CAR initialized date]], "CLOSED")</f>
        <v>CLOSED</v>
      </c>
      <c r="N335" s="511">
        <f>Table2[[#This Row],[Effectiveness Review &amp; date deemed effective]]-Table2[[#This Row],[CAR initialized date]]</f>
        <v>29</v>
      </c>
    </row>
    <row r="336" spans="1:14" ht="18.75">
      <c r="A336" s="227" t="s">
        <v>344</v>
      </c>
      <c r="B336" s="2">
        <f>VLOOKUP(Table2[[#This Row],[Location 
(drop-down)]],Table14[[Location]:[Location ID]],2,FALSE)</f>
        <v>157</v>
      </c>
      <c r="C336" s="254" t="s">
        <v>244</v>
      </c>
      <c r="D336" s="379" t="str">
        <f>"C" &amp; C336 &amp;"-" &amp; B336 &amp; "-" &amp; "25"</f>
        <v>C323-157-25</v>
      </c>
      <c r="E336" s="254" t="s">
        <v>26</v>
      </c>
      <c r="F336" s="254" t="s">
        <v>27</v>
      </c>
      <c r="G336" s="227" t="s">
        <v>847</v>
      </c>
      <c r="H336" s="165" t="s">
        <v>20</v>
      </c>
      <c r="I336" s="165" t="s">
        <v>327</v>
      </c>
      <c r="J336" s="289">
        <v>45846</v>
      </c>
      <c r="K336" s="226">
        <v>45875</v>
      </c>
      <c r="L336" s="532"/>
      <c r="M336" s="2" t="str">
        <f ca="1">IF(ISBLANK([1]!Table2[[#This Row],[Complete corrective actions (Approved Date)]]), TODAY()-[1]!Table2[[#This Row],[CAR initialized date]], "CLOSED")</f>
        <v>CLOSED</v>
      </c>
      <c r="N336" s="511">
        <f>Table2[[#This Row],[Effectiveness Review &amp; date deemed effective]]-Table2[[#This Row],[CAR initialized date]]</f>
        <v>29</v>
      </c>
    </row>
    <row r="337" spans="1:14" ht="18.75">
      <c r="A337" s="227" t="s">
        <v>344</v>
      </c>
      <c r="B337" s="2">
        <f>VLOOKUP(Table2[[#This Row],[Location 
(drop-down)]],Table14[[Location]:[Location ID]],2,FALSE)</f>
        <v>157</v>
      </c>
      <c r="C337" s="254" t="s">
        <v>256</v>
      </c>
      <c r="D337" s="379" t="str">
        <f>"C" &amp; C337 &amp;"-" &amp; B337 &amp; "-" &amp; "25"</f>
        <v>C316-157-25</v>
      </c>
      <c r="E337" s="254" t="s">
        <v>26</v>
      </c>
      <c r="F337" s="254" t="s">
        <v>27</v>
      </c>
      <c r="G337" s="227" t="s">
        <v>848</v>
      </c>
      <c r="H337" s="165" t="s">
        <v>20</v>
      </c>
      <c r="I337" s="165" t="s">
        <v>327</v>
      </c>
      <c r="J337" s="289">
        <v>45846</v>
      </c>
      <c r="K337" s="226">
        <v>45876</v>
      </c>
      <c r="L337" s="532"/>
      <c r="M337" s="2" t="str">
        <f ca="1">IF(ISBLANK([1]!Table2[[#This Row],[Complete corrective actions (Approved Date)]]), TODAY()-[1]!Table2[[#This Row],[CAR initialized date]], "CLOSED")</f>
        <v>CLOSED</v>
      </c>
      <c r="N337" s="511">
        <f>Table2[[#This Row],[Effectiveness Review &amp; date deemed effective]]-Table2[[#This Row],[CAR initialized date]]</f>
        <v>30</v>
      </c>
    </row>
    <row r="338" spans="1:14" ht="18.75">
      <c r="A338" s="227" t="s">
        <v>344</v>
      </c>
      <c r="B338" s="2">
        <f>VLOOKUP(Table2[[#This Row],[Location 
(drop-down)]],Table14[[Location]:[Location ID]],2,FALSE)</f>
        <v>157</v>
      </c>
      <c r="C338" s="254" t="s">
        <v>849</v>
      </c>
      <c r="D338" s="379" t="str">
        <f>"C" &amp; C338 &amp;"-" &amp; B338 &amp; "-" &amp; "25"</f>
        <v>C318-157-25</v>
      </c>
      <c r="E338" s="254" t="s">
        <v>26</v>
      </c>
      <c r="F338" s="254" t="s">
        <v>27</v>
      </c>
      <c r="G338" s="227" t="s">
        <v>850</v>
      </c>
      <c r="H338" s="165" t="s">
        <v>20</v>
      </c>
      <c r="I338" s="165" t="s">
        <v>327</v>
      </c>
      <c r="J338" s="289">
        <v>45846</v>
      </c>
      <c r="K338" s="226">
        <v>45876</v>
      </c>
      <c r="L338" s="532"/>
      <c r="M338" s="2" t="str">
        <f ca="1">IF(ISBLANK([1]!Table2[[#This Row],[Complete corrective actions (Approved Date)]]), TODAY()-[1]!Table2[[#This Row],[CAR initialized date]], "CLOSED")</f>
        <v>CLOSED</v>
      </c>
      <c r="N338" s="511">
        <f>Table2[[#This Row],[Effectiveness Review &amp; date deemed effective]]-Table2[[#This Row],[CAR initialized date]]</f>
        <v>30</v>
      </c>
    </row>
    <row r="339" spans="1:14" ht="18.75">
      <c r="A339" s="227" t="s">
        <v>777</v>
      </c>
      <c r="B339" s="2">
        <f>VLOOKUP(Table2[[#This Row],[Location 
(drop-down)]],Table14[[Location]:[Location ID]],2,FALSE)</f>
        <v>199</v>
      </c>
      <c r="C339" s="254" t="s">
        <v>851</v>
      </c>
      <c r="D339" s="379" t="str">
        <f>"C" &amp; C339 &amp;"-" &amp; B339 &amp; "-" &amp; "25"</f>
        <v>C260-199-25</v>
      </c>
      <c r="E339" s="254" t="s">
        <v>81</v>
      </c>
      <c r="F339" s="18" t="s">
        <v>158</v>
      </c>
      <c r="G339" s="228" t="s">
        <v>852</v>
      </c>
      <c r="H339" s="165" t="s">
        <v>20</v>
      </c>
      <c r="I339" s="165" t="s">
        <v>118</v>
      </c>
      <c r="J339" s="289">
        <v>45812</v>
      </c>
      <c r="K339" s="226">
        <v>45877</v>
      </c>
      <c r="L339" s="532"/>
      <c r="M339" s="2" t="str">
        <f ca="1">IF(ISBLANK([1]!Table2[[#This Row],[Complete corrective actions (Approved Date)]]), TODAY()-[1]!Table2[[#This Row],[CAR initialized date]], "CLOSED")</f>
        <v>CLOSED</v>
      </c>
      <c r="N339" s="511">
        <f>Table2[[#This Row],[Effectiveness Review &amp; date deemed effective]]-Table2[[#This Row],[CAR initialized date]]</f>
        <v>65</v>
      </c>
    </row>
    <row r="340" spans="1:14" ht="18.75">
      <c r="A340" s="227" t="s">
        <v>853</v>
      </c>
      <c r="B340" s="2">
        <f>VLOOKUP(Table2[[#This Row],[Location 
(drop-down)]],Table14[[Location]:[Location ID]],2,FALSE)</f>
        <v>188</v>
      </c>
      <c r="C340" s="254" t="s">
        <v>854</v>
      </c>
      <c r="D340" s="379" t="str">
        <f>"C" &amp; C340 &amp;"-" &amp; B340 &amp; "-" &amp; "25"</f>
        <v>C336-188-25</v>
      </c>
      <c r="E340" s="254" t="s">
        <v>18</v>
      </c>
      <c r="F340" s="254"/>
      <c r="G340" s="227" t="s">
        <v>855</v>
      </c>
      <c r="H340" s="165" t="s">
        <v>20</v>
      </c>
      <c r="I340" s="165" t="s">
        <v>118</v>
      </c>
      <c r="J340" s="289">
        <v>45868</v>
      </c>
      <c r="K340" s="226">
        <v>45878</v>
      </c>
      <c r="L340" s="532"/>
      <c r="M340" s="2" t="str">
        <f ca="1">IF(ISBLANK([1]!Table2[[#This Row],[Complete corrective actions (Approved Date)]]), TODAY()-[1]!Table2[[#This Row],[CAR initialized date]], "CLOSED")</f>
        <v>CLOSED</v>
      </c>
      <c r="N340" s="511">
        <f>Table2[[#This Row],[Effectiveness Review &amp; date deemed effective]]-Table2[[#This Row],[CAR initialized date]]</f>
        <v>10</v>
      </c>
    </row>
    <row r="341" spans="1:14" ht="18.75">
      <c r="A341" s="227" t="s">
        <v>167</v>
      </c>
      <c r="B341" s="2">
        <f>VLOOKUP(Table2[[#This Row],[Location 
(drop-down)]],Table14[[Location]:[Location ID]],2,FALSE)</f>
        <v>146</v>
      </c>
      <c r="C341" s="254" t="s">
        <v>856</v>
      </c>
      <c r="D341" s="379" t="str">
        <f>"C" &amp; C341 &amp;"-" &amp; B341 &amp; "-" &amp; "25"</f>
        <v>C312-146-25</v>
      </c>
      <c r="E341" s="254" t="s">
        <v>26</v>
      </c>
      <c r="F341" s="254" t="s">
        <v>27</v>
      </c>
      <c r="G341" s="227" t="s">
        <v>857</v>
      </c>
      <c r="H341" s="165" t="s">
        <v>68</v>
      </c>
      <c r="I341" s="165" t="s">
        <v>69</v>
      </c>
      <c r="J341" s="289">
        <v>45812</v>
      </c>
      <c r="K341" s="226">
        <v>45880</v>
      </c>
      <c r="L341" s="532"/>
      <c r="M341" s="2" t="str">
        <f ca="1">IF(ISBLANK([1]!Table2[[#This Row],[Complete corrective actions (Approved Date)]]), TODAY()-[1]!Table2[[#This Row],[CAR initialized date]], "CLOSED")</f>
        <v>CLOSED</v>
      </c>
      <c r="N341" s="511">
        <f>Table2[[#This Row],[Effectiveness Review &amp; date deemed effective]]-Table2[[#This Row],[CAR initialized date]]</f>
        <v>68</v>
      </c>
    </row>
    <row r="342" spans="1:14" ht="18.75">
      <c r="A342" s="227" t="s">
        <v>167</v>
      </c>
      <c r="B342" s="2">
        <f>VLOOKUP(Table2[[#This Row],[Location 
(drop-down)]],Table14[[Location]:[Location ID]],2,FALSE)</f>
        <v>146</v>
      </c>
      <c r="C342" s="254" t="s">
        <v>858</v>
      </c>
      <c r="D342" s="379" t="str">
        <f>"C" &amp; C342 &amp;"-" &amp; B342 &amp; "-" &amp; "25"</f>
        <v>C313-146-25</v>
      </c>
      <c r="E342" s="254" t="s">
        <v>26</v>
      </c>
      <c r="F342" s="254" t="s">
        <v>27</v>
      </c>
      <c r="G342" s="227" t="s">
        <v>859</v>
      </c>
      <c r="H342" s="165" t="s">
        <v>68</v>
      </c>
      <c r="I342" s="165" t="s">
        <v>69</v>
      </c>
      <c r="J342" s="289">
        <v>45812</v>
      </c>
      <c r="K342" s="226">
        <v>45880</v>
      </c>
      <c r="L342" s="532"/>
      <c r="M342" s="2" t="str">
        <f ca="1">IF(ISBLANK([1]!Table2[[#This Row],[Complete corrective actions (Approved Date)]]), TODAY()-[1]!Table2[[#This Row],[CAR initialized date]], "CLOSED")</f>
        <v>CLOSED</v>
      </c>
      <c r="N342" s="511">
        <f>Table2[[#This Row],[Effectiveness Review &amp; date deemed effective]]-Table2[[#This Row],[CAR initialized date]]</f>
        <v>68</v>
      </c>
    </row>
    <row r="343" spans="1:14" ht="18.75">
      <c r="A343" s="227" t="s">
        <v>167</v>
      </c>
      <c r="B343" s="2">
        <f>VLOOKUP(Table2[[#This Row],[Location 
(drop-down)]],Table14[[Location]:[Location ID]],2,FALSE)</f>
        <v>146</v>
      </c>
      <c r="C343" s="254" t="s">
        <v>198</v>
      </c>
      <c r="D343" s="379" t="str">
        <f>"C" &amp; C343 &amp;"-" &amp; B343 &amp; "-" &amp; "25"</f>
        <v>C314-146-25</v>
      </c>
      <c r="E343" s="417" t="s">
        <v>26</v>
      </c>
      <c r="F343" s="417" t="s">
        <v>27</v>
      </c>
      <c r="G343" s="240" t="s">
        <v>860</v>
      </c>
      <c r="H343" s="165" t="s">
        <v>201</v>
      </c>
      <c r="I343" s="165" t="s">
        <v>69</v>
      </c>
      <c r="J343" s="230">
        <v>45812</v>
      </c>
      <c r="K343" s="226">
        <v>45880</v>
      </c>
      <c r="L343" s="532"/>
      <c r="M343" s="2" t="str">
        <f ca="1">IF(ISBLANK([1]!Table2[[#This Row],[Complete corrective actions (Approved Date)]]), TODAY()-[1]!Table2[[#This Row],[CAR initialized date]], "CLOSED")</f>
        <v>CLOSED</v>
      </c>
      <c r="N343" s="511">
        <f>Table2[[#This Row],[Effectiveness Review &amp; date deemed effective]]-Table2[[#This Row],[CAR initialized date]]</f>
        <v>68</v>
      </c>
    </row>
    <row r="344" spans="1:14" ht="18.75">
      <c r="A344" s="227" t="s">
        <v>73</v>
      </c>
      <c r="B344" s="2">
        <f>VLOOKUP(Table2[[#This Row],[Location 
(drop-down)]],Table14[[Location]:[Location ID]],2,FALSE)</f>
        <v>160</v>
      </c>
      <c r="C344" s="254" t="s">
        <v>861</v>
      </c>
      <c r="D344" s="379" t="str">
        <f>"C" &amp; C344 &amp;"-" &amp; B344 &amp; "-" &amp; "25"</f>
        <v>C354-160-25</v>
      </c>
      <c r="E344" s="254" t="s">
        <v>81</v>
      </c>
      <c r="F344" s="254" t="s">
        <v>513</v>
      </c>
      <c r="G344" s="115" t="s">
        <v>862</v>
      </c>
      <c r="H344" s="165" t="s">
        <v>863</v>
      </c>
      <c r="I344" s="165" t="s">
        <v>327</v>
      </c>
      <c r="J344" s="289">
        <v>45877</v>
      </c>
      <c r="K344" s="226">
        <v>45880</v>
      </c>
      <c r="L344" s="532"/>
      <c r="M344" s="2" t="str">
        <f ca="1">IF(ISBLANK([1]!Table2[[#This Row],[Complete corrective actions (Approved Date)]]), TODAY()-[1]!Table2[[#This Row],[CAR initialized date]], "CLOSED")</f>
        <v>CLOSED</v>
      </c>
      <c r="N344" s="511">
        <f>Table2[[#This Row],[Effectiveness Review &amp; date deemed effective]]-Table2[[#This Row],[CAR initialized date]]</f>
        <v>3</v>
      </c>
    </row>
    <row r="345" spans="1:14" ht="18.75">
      <c r="A345" s="227" t="s">
        <v>80</v>
      </c>
      <c r="B345" s="2">
        <f>VLOOKUP(Table2[[#This Row],[Location 
(drop-down)]],Table14[[Location]:[Location ID]],2,FALSE)</f>
        <v>141</v>
      </c>
      <c r="C345" s="254" t="s">
        <v>414</v>
      </c>
      <c r="D345" s="379" t="str">
        <f>"C" &amp; C345 &amp;"-" &amp; B345 &amp; "-" &amp; "25"</f>
        <v>C319-141-25</v>
      </c>
      <c r="E345" s="254" t="s">
        <v>81</v>
      </c>
      <c r="F345" s="254" t="s">
        <v>158</v>
      </c>
      <c r="G345" s="242" t="s">
        <v>864</v>
      </c>
      <c r="H345" s="165" t="s">
        <v>201</v>
      </c>
      <c r="I345" s="165" t="s">
        <v>47</v>
      </c>
      <c r="J345" s="289">
        <v>45846</v>
      </c>
      <c r="K345" s="226">
        <v>45882</v>
      </c>
      <c r="L345" s="532"/>
      <c r="M345" s="2" t="str">
        <f ca="1">IF(ISBLANK([1]!Table2[[#This Row],[Complete corrective actions (Approved Date)]]), TODAY()-[1]!Table2[[#This Row],[CAR initialized date]], "CLOSED")</f>
        <v>CLOSED</v>
      </c>
      <c r="N345" s="511">
        <f>Table2[[#This Row],[Effectiveness Review &amp; date deemed effective]]-Table2[[#This Row],[CAR initialized date]]</f>
        <v>36</v>
      </c>
    </row>
    <row r="346" spans="1:14" ht="18.75">
      <c r="A346" s="227" t="s">
        <v>119</v>
      </c>
      <c r="B346" s="2">
        <f>VLOOKUP(Table2[[#This Row],[Location 
(drop-down)]],Table14[[Location]:[Location ID]],2,FALSE)</f>
        <v>131</v>
      </c>
      <c r="C346" s="254" t="s">
        <v>442</v>
      </c>
      <c r="D346" s="379" t="str">
        <f>"C" &amp; C346 &amp;"-" &amp; B346 &amp; "-" &amp; "25"</f>
        <v>C326-131-25</v>
      </c>
      <c r="E346" s="254" t="s">
        <v>81</v>
      </c>
      <c r="F346" s="254" t="s">
        <v>390</v>
      </c>
      <c r="G346" s="176" t="s">
        <v>865</v>
      </c>
      <c r="H346" s="165" t="s">
        <v>68</v>
      </c>
      <c r="I346" s="165" t="s">
        <v>111</v>
      </c>
      <c r="J346" s="289">
        <v>45854</v>
      </c>
      <c r="K346" s="226">
        <v>45882</v>
      </c>
      <c r="L346" s="532"/>
      <c r="M346" s="2" t="str">
        <f ca="1">IF(ISBLANK([1]!Table2[[#This Row],[Complete corrective actions (Approved Date)]]), TODAY()-[1]!Table2[[#This Row],[CAR initialized date]], "CLOSED")</f>
        <v>CLOSED</v>
      </c>
      <c r="N346" s="511">
        <f>Table2[[#This Row],[Effectiveness Review &amp; date deemed effective]]-Table2[[#This Row],[CAR initialized date]]</f>
        <v>28</v>
      </c>
    </row>
    <row r="347" spans="1:14" ht="18.75">
      <c r="A347" s="227" t="s">
        <v>103</v>
      </c>
      <c r="B347" s="2">
        <f>VLOOKUP(Table2[[#This Row],[Location 
(drop-down)]],Table14[[Location]:[Location ID]],2,FALSE)</f>
        <v>136</v>
      </c>
      <c r="C347" s="254" t="s">
        <v>274</v>
      </c>
      <c r="D347" s="379" t="str">
        <f>"C" &amp; C347 &amp;"-" &amp; B347 &amp; "-" &amp; "25"</f>
        <v>C270-136-25</v>
      </c>
      <c r="E347" s="254" t="s">
        <v>86</v>
      </c>
      <c r="F347" s="254" t="s">
        <v>772</v>
      </c>
      <c r="G347" s="228" t="s">
        <v>866</v>
      </c>
      <c r="H347" s="165" t="s">
        <v>20</v>
      </c>
      <c r="I347" s="165" t="s">
        <v>69</v>
      </c>
      <c r="J347" s="289">
        <v>45819</v>
      </c>
      <c r="K347" s="226">
        <v>45883</v>
      </c>
      <c r="L347" s="532"/>
      <c r="M347" s="2" t="str">
        <f ca="1">IF(ISBLANK([1]!Table2[[#This Row],[Complete corrective actions (Approved Date)]]), TODAY()-[1]!Table2[[#This Row],[CAR initialized date]], "CLOSED")</f>
        <v>CLOSED</v>
      </c>
      <c r="N347" s="511">
        <f>Table2[[#This Row],[Effectiveness Review &amp; date deemed effective]]-Table2[[#This Row],[CAR initialized date]]</f>
        <v>64</v>
      </c>
    </row>
    <row r="348" spans="1:14" ht="18.75">
      <c r="A348" s="227" t="s">
        <v>453</v>
      </c>
      <c r="B348" s="2">
        <f>VLOOKUP(Table2[[#This Row],[Location 
(drop-down)]],Table14[[Location]:[Location ID]],2,FALSE)</f>
        <v>138</v>
      </c>
      <c r="C348" s="254" t="s">
        <v>176</v>
      </c>
      <c r="D348" s="379" t="str">
        <f>"C" &amp; C348 &amp;"-" &amp; B348 &amp; "-" &amp; "25"</f>
        <v>C105-138-25</v>
      </c>
      <c r="E348" s="254" t="s">
        <v>18</v>
      </c>
      <c r="F348" s="254"/>
      <c r="G348" s="227" t="s">
        <v>255</v>
      </c>
      <c r="H348" s="165" t="s">
        <v>20</v>
      </c>
      <c r="I348" s="165" t="s">
        <v>47</v>
      </c>
      <c r="J348" s="289">
        <v>45716</v>
      </c>
      <c r="K348" s="226">
        <v>45883</v>
      </c>
      <c r="L348" s="532"/>
      <c r="M348" s="2" t="str">
        <f ca="1">IF(ISBLANK([1]!Table2[[#This Row],[Complete corrective actions (Approved Date)]]), TODAY()-[1]!Table2[[#This Row],[CAR initialized date]], "CLOSED")</f>
        <v>CLOSED</v>
      </c>
      <c r="N348" s="511">
        <f>Table2[[#This Row],[Effectiveness Review &amp; date deemed effective]]-Table2[[#This Row],[CAR initialized date]]</f>
        <v>167</v>
      </c>
    </row>
    <row r="349" spans="1:14" ht="18.75">
      <c r="A349" s="227" t="s">
        <v>323</v>
      </c>
      <c r="B349" s="2">
        <f>VLOOKUP(Table2[[#This Row],[Location 
(drop-down)]],Table14[[Location]:[Location ID]],2,FALSE)</f>
        <v>156</v>
      </c>
      <c r="C349" s="254" t="s">
        <v>867</v>
      </c>
      <c r="D349" s="379" t="str">
        <f>"C" &amp; C349 &amp;"-" &amp; B349 &amp; "-" &amp; "25"</f>
        <v>C231-156-25</v>
      </c>
      <c r="E349" s="254" t="s">
        <v>18</v>
      </c>
      <c r="F349" s="254"/>
      <c r="G349" s="227" t="s">
        <v>868</v>
      </c>
      <c r="H349" s="165" t="s">
        <v>20</v>
      </c>
      <c r="I349" s="165" t="s">
        <v>47</v>
      </c>
      <c r="J349" s="276">
        <v>45798</v>
      </c>
      <c r="K349" s="226">
        <v>45888</v>
      </c>
      <c r="L349" s="532"/>
      <c r="M349" s="2" t="str">
        <f ca="1">IF(ISBLANK([1]!Table2[[#This Row],[Complete corrective actions (Approved Date)]]), TODAY()-[1]!Table2[[#This Row],[CAR initialized date]], "CLOSED")</f>
        <v>CLOSED</v>
      </c>
      <c r="N349" s="511">
        <f>Table2[[#This Row],[Effectiveness Review &amp; date deemed effective]]-Table2[[#This Row],[CAR initialized date]]</f>
        <v>90</v>
      </c>
    </row>
    <row r="350" spans="1:14" ht="18.75">
      <c r="A350" s="227" t="s">
        <v>485</v>
      </c>
      <c r="B350" s="2">
        <f>VLOOKUP(Table2[[#This Row],[Location 
(drop-down)]],Table14[[Location]:[Location ID]],2,FALSE)</f>
        <v>165</v>
      </c>
      <c r="C350" s="254" t="s">
        <v>869</v>
      </c>
      <c r="D350" s="379" t="str">
        <f>"C" &amp; C350 &amp;"-" &amp; B350 &amp; "-" &amp; "25"</f>
        <v>C232-165-25</v>
      </c>
      <c r="E350" s="254" t="s">
        <v>18</v>
      </c>
      <c r="F350" s="254"/>
      <c r="G350" s="227" t="s">
        <v>870</v>
      </c>
      <c r="H350" s="165" t="s">
        <v>68</v>
      </c>
      <c r="I350" s="165" t="s">
        <v>21</v>
      </c>
      <c r="J350" s="276">
        <v>45799</v>
      </c>
      <c r="K350" s="226">
        <v>45889</v>
      </c>
      <c r="L350" s="532"/>
      <c r="M350" s="2" t="str">
        <f ca="1">IF(ISBLANK([1]!Table2[[#This Row],[Complete corrective actions (Approved Date)]]), TODAY()-[1]!Table2[[#This Row],[CAR initialized date]], "CLOSED")</f>
        <v>CLOSED</v>
      </c>
      <c r="N350" s="511">
        <f>Table2[[#This Row],[Effectiveness Review &amp; date deemed effective]]-Table2[[#This Row],[CAR initialized date]]</f>
        <v>90</v>
      </c>
    </row>
    <row r="351" spans="1:14" ht="18.75">
      <c r="A351" s="227" t="s">
        <v>125</v>
      </c>
      <c r="B351" s="2">
        <f>VLOOKUP(Table2[[#This Row],[Location 
(drop-down)]],Table14[[Location]:[Location ID]],2,FALSE)</f>
        <v>130</v>
      </c>
      <c r="C351" s="254" t="s">
        <v>402</v>
      </c>
      <c r="D351" s="379" t="str">
        <f>"C" &amp; C351 &amp;"-" &amp; B351 &amp; "-" &amp; "25"</f>
        <v>C315-130-25</v>
      </c>
      <c r="E351" s="254" t="s">
        <v>81</v>
      </c>
      <c r="F351" s="254" t="s">
        <v>490</v>
      </c>
      <c r="G351" s="227" t="s">
        <v>871</v>
      </c>
      <c r="H351" s="165" t="s">
        <v>68</v>
      </c>
      <c r="I351" s="165" t="s">
        <v>111</v>
      </c>
      <c r="J351" s="289">
        <v>45845</v>
      </c>
      <c r="K351" s="226">
        <v>45891</v>
      </c>
      <c r="L351" s="532"/>
      <c r="M351" s="2" t="str">
        <f ca="1">IF(ISBLANK([1]!Table2[[#This Row],[Complete corrective actions (Approved Date)]]), TODAY()-[1]!Table2[[#This Row],[CAR initialized date]], "CLOSED")</f>
        <v>CLOSED</v>
      </c>
      <c r="N351" s="511">
        <f>Table2[[#This Row],[Effectiveness Review &amp; date deemed effective]]-Table2[[#This Row],[CAR initialized date]]</f>
        <v>46</v>
      </c>
    </row>
    <row r="352" spans="1:14" ht="18.75">
      <c r="A352" s="227" t="s">
        <v>853</v>
      </c>
      <c r="B352" s="2">
        <f>VLOOKUP(Table2[[#This Row],[Location 
(drop-down)]],Table14[[Location]:[Location ID]],2,FALSE)</f>
        <v>188</v>
      </c>
      <c r="C352" s="254" t="s">
        <v>872</v>
      </c>
      <c r="D352" s="379" t="str">
        <f>"C" &amp; C352 &amp;"-" &amp; B352 &amp; "-" &amp; "25"</f>
        <v>C337-188-25</v>
      </c>
      <c r="E352" s="254" t="s">
        <v>18</v>
      </c>
      <c r="F352" s="254"/>
      <c r="G352" s="227" t="s">
        <v>873</v>
      </c>
      <c r="H352" s="165" t="s">
        <v>20</v>
      </c>
      <c r="I352" s="165" t="s">
        <v>118</v>
      </c>
      <c r="J352" s="289">
        <v>45868</v>
      </c>
      <c r="K352" s="226">
        <v>45891</v>
      </c>
      <c r="L352" s="532"/>
      <c r="M352" s="2" t="str">
        <f ca="1">IF(ISBLANK([1]!Table2[[#This Row],[Complete corrective actions (Approved Date)]]), TODAY()-[1]!Table2[[#This Row],[CAR initialized date]], "CLOSED")</f>
        <v>CLOSED</v>
      </c>
      <c r="N352" s="511">
        <f>Table2[[#This Row],[Effectiveness Review &amp; date deemed effective]]-Table2[[#This Row],[CAR initialized date]]</f>
        <v>23</v>
      </c>
    </row>
    <row r="353" spans="1:14" ht="18.75">
      <c r="A353" s="227" t="s">
        <v>853</v>
      </c>
      <c r="B353" s="2">
        <f>VLOOKUP(Table2[[#This Row],[Location 
(drop-down)]],Table14[[Location]:[Location ID]],2,FALSE)</f>
        <v>188</v>
      </c>
      <c r="C353" s="254" t="s">
        <v>874</v>
      </c>
      <c r="D353" s="379" t="str">
        <f>"C" &amp; C353 &amp;"-" &amp; B353 &amp; "-" &amp; "25"</f>
        <v>C338-188-25</v>
      </c>
      <c r="E353" s="254" t="s">
        <v>18</v>
      </c>
      <c r="F353" s="254"/>
      <c r="G353" s="227" t="s">
        <v>875</v>
      </c>
      <c r="H353" s="165" t="s">
        <v>20</v>
      </c>
      <c r="I353" s="165" t="s">
        <v>118</v>
      </c>
      <c r="J353" s="289">
        <v>45868</v>
      </c>
      <c r="K353" s="226">
        <v>45891</v>
      </c>
      <c r="L353" s="532"/>
      <c r="M353" s="2" t="str">
        <f ca="1">IF(ISBLANK([1]!Table2[[#This Row],[Complete corrective actions (Approved Date)]]), TODAY()-[1]!Table2[[#This Row],[CAR initialized date]], "CLOSED")</f>
        <v>CLOSED</v>
      </c>
      <c r="N353" s="511">
        <f>Table2[[#This Row],[Effectiveness Review &amp; date deemed effective]]-Table2[[#This Row],[CAR initialized date]]</f>
        <v>23</v>
      </c>
    </row>
    <row r="354" spans="1:14" ht="18.75">
      <c r="A354" s="227" t="s">
        <v>853</v>
      </c>
      <c r="B354" s="2">
        <f>VLOOKUP(Table2[[#This Row],[Location 
(drop-down)]],Table14[[Location]:[Location ID]],2,FALSE)</f>
        <v>188</v>
      </c>
      <c r="C354" s="254" t="s">
        <v>876</v>
      </c>
      <c r="D354" s="379" t="str">
        <f>"C" &amp; C354 &amp;"-" &amp; B354 &amp; "-" &amp; "25"</f>
        <v>C339-188-25</v>
      </c>
      <c r="E354" s="254" t="s">
        <v>18</v>
      </c>
      <c r="F354" s="254"/>
      <c r="G354" s="227" t="s">
        <v>877</v>
      </c>
      <c r="H354" s="165" t="s">
        <v>20</v>
      </c>
      <c r="I354" s="165" t="s">
        <v>118</v>
      </c>
      <c r="J354" s="289">
        <v>45868</v>
      </c>
      <c r="K354" s="226">
        <v>45891</v>
      </c>
      <c r="L354" s="532"/>
      <c r="M354" s="2" t="str">
        <f ca="1">IF(ISBLANK([1]!Table2[[#This Row],[Complete corrective actions (Approved Date)]]), TODAY()-[1]!Table2[[#This Row],[CAR initialized date]], "CLOSED")</f>
        <v>CLOSED</v>
      </c>
      <c r="N354" s="511">
        <f>Table2[[#This Row],[Effectiveness Review &amp; date deemed effective]]-Table2[[#This Row],[CAR initialized date]]</f>
        <v>23</v>
      </c>
    </row>
    <row r="355" spans="1:14" ht="18.75">
      <c r="A355" s="227" t="s">
        <v>485</v>
      </c>
      <c r="B355" s="2">
        <f>VLOOKUP(Table2[[#This Row],[Location 
(drop-down)]],Table14[[Location]:[Location ID]],2,FALSE)</f>
        <v>165</v>
      </c>
      <c r="C355" s="254" t="s">
        <v>878</v>
      </c>
      <c r="D355" s="379" t="str">
        <f>"C" &amp; C355 &amp;"-" &amp; B355 &amp; "-" &amp; "25"</f>
        <v>C235-165-25</v>
      </c>
      <c r="E355" s="254" t="s">
        <v>18</v>
      </c>
      <c r="F355" s="254"/>
      <c r="G355" s="227" t="s">
        <v>879</v>
      </c>
      <c r="H355" s="165" t="s">
        <v>20</v>
      </c>
      <c r="I355" s="165" t="s">
        <v>21</v>
      </c>
      <c r="J355" s="276">
        <v>45799</v>
      </c>
      <c r="K355" s="226">
        <v>45894</v>
      </c>
      <c r="L355" s="532"/>
      <c r="M355" s="2" t="str">
        <f ca="1">IF(ISBLANK([1]!Table2[[#This Row],[Complete corrective actions (Approved Date)]]), TODAY()-[1]!Table2[[#This Row],[CAR initialized date]], "CLOSED")</f>
        <v>CLOSED</v>
      </c>
      <c r="N355" s="511">
        <f>Table2[[#This Row],[Effectiveness Review &amp; date deemed effective]]-Table2[[#This Row],[CAR initialized date]]</f>
        <v>95</v>
      </c>
    </row>
    <row r="356" spans="1:14" ht="18.75">
      <c r="A356" s="227" t="s">
        <v>485</v>
      </c>
      <c r="B356" s="2">
        <f>VLOOKUP(Table2[[#This Row],[Location 
(drop-down)]],Table14[[Location]:[Location ID]],2,FALSE)</f>
        <v>165</v>
      </c>
      <c r="C356" s="254" t="s">
        <v>880</v>
      </c>
      <c r="D356" s="379" t="str">
        <f>"C" &amp; C356 &amp;"-" &amp; B356 &amp; "-" &amp; "25"</f>
        <v>C236-165-25</v>
      </c>
      <c r="E356" s="254" t="s">
        <v>18</v>
      </c>
      <c r="F356" s="254"/>
      <c r="G356" s="227" t="s">
        <v>881</v>
      </c>
      <c r="H356" s="165" t="s">
        <v>20</v>
      </c>
      <c r="I356" s="165" t="s">
        <v>21</v>
      </c>
      <c r="J356" s="276">
        <v>45799</v>
      </c>
      <c r="K356" s="226">
        <v>45894</v>
      </c>
      <c r="L356" s="532"/>
      <c r="M356" s="2" t="str">
        <f ca="1">IF(ISBLANK([1]!Table2[[#This Row],[Complete corrective actions (Approved Date)]]), TODAY()-[1]!Table2[[#This Row],[CAR initialized date]], "CLOSED")</f>
        <v>CLOSED</v>
      </c>
      <c r="N356" s="511">
        <f>Table2[[#This Row],[Effectiveness Review &amp; date deemed effective]]-Table2[[#This Row],[CAR initialized date]]</f>
        <v>95</v>
      </c>
    </row>
    <row r="357" spans="1:14" ht="18.75">
      <c r="A357" s="227" t="s">
        <v>314</v>
      </c>
      <c r="B357" s="2">
        <f>VLOOKUP(Table2[[#This Row],[Location 
(drop-down)]],Table14[[Location]:[Location ID]],2,FALSE)</f>
        <v>150</v>
      </c>
      <c r="C357" s="254" t="s">
        <v>882</v>
      </c>
      <c r="D357" s="379" t="str">
        <f>"C" &amp; C357 &amp;"-" &amp; B357 &amp; "-" &amp; "25"</f>
        <v>C151-150-25</v>
      </c>
      <c r="E357" s="254" t="s">
        <v>18</v>
      </c>
      <c r="F357" s="254"/>
      <c r="G357" s="240" t="s">
        <v>296</v>
      </c>
      <c r="H357" s="2" t="s">
        <v>20</v>
      </c>
      <c r="I357" s="165" t="s">
        <v>239</v>
      </c>
      <c r="J357" s="289">
        <v>45744</v>
      </c>
      <c r="K357" s="258">
        <v>45894</v>
      </c>
      <c r="L357" s="532"/>
      <c r="M357" s="2" t="str">
        <f ca="1">IF(ISBLANK([1]!Table2[[#This Row],[Complete corrective actions (Approved Date)]]), TODAY()-[1]!Table2[[#This Row],[CAR initialized date]], "CLOSED")</f>
        <v>CLOSED</v>
      </c>
      <c r="N357" s="511">
        <f>Table2[[#This Row],[Effectiveness Review &amp; date deemed effective]]-Table2[[#This Row],[CAR initialized date]]</f>
        <v>150</v>
      </c>
    </row>
    <row r="358" spans="1:14" ht="18.75">
      <c r="A358" s="227" t="s">
        <v>125</v>
      </c>
      <c r="B358" s="2">
        <f>VLOOKUP(Table2[[#This Row],[Location 
(drop-down)]],Table14[[Location]:[Location ID]],2,FALSE)</f>
        <v>130</v>
      </c>
      <c r="C358" s="254" t="s">
        <v>883</v>
      </c>
      <c r="D358" s="379" t="str">
        <f>"C" &amp; C358 &amp;"-" &amp; B358 &amp; "-" &amp; "25"</f>
        <v>C218-130-25</v>
      </c>
      <c r="E358" s="254" t="s">
        <v>18</v>
      </c>
      <c r="F358" s="254"/>
      <c r="G358" s="227" t="s">
        <v>842</v>
      </c>
      <c r="H358" s="165" t="s">
        <v>20</v>
      </c>
      <c r="I358" s="165" t="s">
        <v>239</v>
      </c>
      <c r="J358" s="276">
        <v>45786</v>
      </c>
      <c r="K358" s="226">
        <v>45896</v>
      </c>
      <c r="L358" s="532"/>
      <c r="M358" s="2" t="str">
        <f ca="1">IF(ISBLANK([1]!Table2[[#This Row],[Complete corrective actions (Approved Date)]]), TODAY()-[1]!Table2[[#This Row],[CAR initialized date]], "CLOSED")</f>
        <v>CLOSED</v>
      </c>
      <c r="N358" s="511">
        <f>Table2[[#This Row],[Effectiveness Review &amp; date deemed effective]]-Table2[[#This Row],[CAR initialized date]]</f>
        <v>110</v>
      </c>
    </row>
    <row r="359" spans="1:14" ht="18.75">
      <c r="A359" s="227" t="s">
        <v>853</v>
      </c>
      <c r="B359" s="2">
        <f>VLOOKUP(Table2[[#This Row],[Location 
(drop-down)]],Table14[[Location]:[Location ID]],2,FALSE)</f>
        <v>188</v>
      </c>
      <c r="C359" s="254" t="s">
        <v>884</v>
      </c>
      <c r="D359" s="379" t="str">
        <f>"C" &amp; C359 &amp;"-" &amp; B359 &amp; "-" &amp; "25"</f>
        <v>C335-188-25</v>
      </c>
      <c r="E359" s="254" t="s">
        <v>18</v>
      </c>
      <c r="F359" s="254"/>
      <c r="G359" s="227" t="s">
        <v>885</v>
      </c>
      <c r="H359" s="165" t="s">
        <v>68</v>
      </c>
      <c r="I359" s="165" t="s">
        <v>118</v>
      </c>
      <c r="J359" s="289">
        <v>45868</v>
      </c>
      <c r="K359" s="226">
        <v>45896</v>
      </c>
      <c r="L359" s="532"/>
      <c r="M359" s="2" t="str">
        <f ca="1">IF(ISBLANK([1]!Table2[[#This Row],[Complete corrective actions (Approved Date)]]), TODAY()-[1]!Table2[[#This Row],[CAR initialized date]], "CLOSED")</f>
        <v>CLOSED</v>
      </c>
      <c r="N359" s="511">
        <f>Table2[[#This Row],[Effectiveness Review &amp; date deemed effective]]-Table2[[#This Row],[CAR initialized date]]</f>
        <v>28</v>
      </c>
    </row>
    <row r="360" spans="1:14" ht="18.75">
      <c r="A360" s="227" t="s">
        <v>294</v>
      </c>
      <c r="B360" s="2">
        <f>VLOOKUP(Table2[[#This Row],[Location 
(drop-down)]],Table14[[Location]:[Location ID]],2,FALSE)</f>
        <v>155</v>
      </c>
      <c r="C360" s="254" t="s">
        <v>242</v>
      </c>
      <c r="D360" s="379" t="str">
        <f>"C" &amp; C360 &amp;"-" &amp; B360 &amp; "-" &amp; "25"</f>
        <v>C325-155-25</v>
      </c>
      <c r="E360" s="254" t="s">
        <v>26</v>
      </c>
      <c r="F360" s="254" t="s">
        <v>151</v>
      </c>
      <c r="G360" s="227" t="s">
        <v>674</v>
      </c>
      <c r="H360" s="165" t="s">
        <v>20</v>
      </c>
      <c r="I360" s="165" t="s">
        <v>239</v>
      </c>
      <c r="J360" s="289">
        <v>45852</v>
      </c>
      <c r="K360" s="226">
        <v>45898</v>
      </c>
      <c r="L360" s="532"/>
      <c r="M360" s="2" t="str">
        <f ca="1">IF(ISBLANK([1]!Table2[[#This Row],[Complete corrective actions (Approved Date)]]), TODAY()-[1]!Table2[[#This Row],[CAR initialized date]], "CLOSED")</f>
        <v>CLOSED</v>
      </c>
      <c r="N360" s="511">
        <f>Table2[[#This Row],[Effectiveness Review &amp; date deemed effective]]-Table2[[#This Row],[CAR initialized date]]</f>
        <v>46</v>
      </c>
    </row>
    <row r="361" spans="1:14" ht="18.75">
      <c r="A361" s="227" t="s">
        <v>485</v>
      </c>
      <c r="B361" s="2">
        <f>VLOOKUP(Table2[[#This Row],[Location 
(drop-down)]],Table14[[Location]:[Location ID]],2,FALSE)</f>
        <v>165</v>
      </c>
      <c r="C361" s="254" t="s">
        <v>886</v>
      </c>
      <c r="D361" s="379" t="str">
        <f>"C" &amp; C361 &amp;"-" &amp; B361 &amp; "-" &amp; "25"</f>
        <v>C378-165-25</v>
      </c>
      <c r="E361" s="254" t="s">
        <v>81</v>
      </c>
      <c r="F361" s="254" t="s">
        <v>308</v>
      </c>
      <c r="G361" s="227" t="s">
        <v>887</v>
      </c>
      <c r="H361" s="165" t="s">
        <v>20</v>
      </c>
      <c r="I361" s="165" t="s">
        <v>47</v>
      </c>
      <c r="J361" s="289">
        <v>45889</v>
      </c>
      <c r="K361" s="226">
        <v>45898</v>
      </c>
      <c r="L361" s="532"/>
      <c r="M361" s="2" t="str">
        <f ca="1">IF(ISBLANK([1]!Table2[[#This Row],[Complete corrective actions (Approved Date)]]), TODAY()-[1]!Table2[[#This Row],[CAR initialized date]], "CLOSED")</f>
        <v>CLOSED</v>
      </c>
      <c r="N361" s="511">
        <f>Table2[[#This Row],[Effectiveness Review &amp; date deemed effective]]-Table2[[#This Row],[CAR initialized date]]</f>
        <v>9</v>
      </c>
    </row>
    <row r="362" spans="1:14" ht="18.75">
      <c r="A362" s="227" t="s">
        <v>485</v>
      </c>
      <c r="B362" s="2">
        <f>VLOOKUP(Table2[[#This Row],[Location 
(drop-down)]],Table14[[Location]:[Location ID]],2,FALSE)</f>
        <v>165</v>
      </c>
      <c r="C362" s="254" t="s">
        <v>888</v>
      </c>
      <c r="D362" s="379" t="str">
        <f>"C" &amp; C362 &amp;"-" &amp; B362 &amp; "-" &amp; "25"</f>
        <v>C238-165-25</v>
      </c>
      <c r="E362" s="254" t="s">
        <v>18</v>
      </c>
      <c r="F362" s="254"/>
      <c r="G362" s="227" t="s">
        <v>276</v>
      </c>
      <c r="H362" s="165" t="s">
        <v>20</v>
      </c>
      <c r="I362" s="165" t="s">
        <v>21</v>
      </c>
      <c r="J362" s="276">
        <v>45799</v>
      </c>
      <c r="K362" s="226">
        <v>45902</v>
      </c>
      <c r="L362" s="532"/>
      <c r="M362" s="2" t="str">
        <f ca="1">IF(ISBLANK([1]!Table2[[#This Row],[Complete corrective actions (Approved Date)]]), TODAY()-[1]!Table2[[#This Row],[CAR initialized date]], "CLOSED")</f>
        <v>CLOSED</v>
      </c>
      <c r="N362" s="511">
        <f>Table2[[#This Row],[Effectiveness Review &amp; date deemed effective]]-Table2[[#This Row],[CAR initialized date]]</f>
        <v>103</v>
      </c>
    </row>
    <row r="363" spans="1:14" ht="18.75">
      <c r="A363" s="227" t="s">
        <v>500</v>
      </c>
      <c r="B363" s="2">
        <f>VLOOKUP(Table2[[#This Row],[Location 
(drop-down)]],Table14[[Location]:[Location ID]],2,FALSE)</f>
        <v>170</v>
      </c>
      <c r="C363" s="254" t="s">
        <v>104</v>
      </c>
      <c r="D363" s="379" t="str">
        <f>"C" &amp; C363 &amp;"-" &amp; B363 &amp; "-" &amp; "25"</f>
        <v>C355-170-25</v>
      </c>
      <c r="E363" s="254" t="s">
        <v>26</v>
      </c>
      <c r="F363" s="254" t="s">
        <v>151</v>
      </c>
      <c r="G363" s="227" t="s">
        <v>889</v>
      </c>
      <c r="H363" s="165" t="s">
        <v>20</v>
      </c>
      <c r="I363" s="165" t="s">
        <v>239</v>
      </c>
      <c r="J363" s="289">
        <v>45880</v>
      </c>
      <c r="K363" s="226">
        <v>45902</v>
      </c>
      <c r="L363" s="532"/>
      <c r="M363" s="2" t="str">
        <f ca="1">IF(ISBLANK([1]!Table2[[#This Row],[Complete corrective actions (Approved Date)]]), TODAY()-[1]!Table2[[#This Row],[CAR initialized date]], "CLOSED")</f>
        <v>CLOSED</v>
      </c>
      <c r="N363" s="511">
        <f>Table2[[#This Row],[Effectiveness Review &amp; date deemed effective]]-Table2[[#This Row],[CAR initialized date]]</f>
        <v>22</v>
      </c>
    </row>
    <row r="364" spans="1:14" ht="18.75">
      <c r="A364" s="227" t="s">
        <v>890</v>
      </c>
      <c r="B364" s="2">
        <f>VLOOKUP(Table2[[#This Row],[Location 
(drop-down)]],Table14[[Location]:[Location ID]],2,FALSE)</f>
        <v>124</v>
      </c>
      <c r="C364" s="254" t="s">
        <v>891</v>
      </c>
      <c r="D364" s="379" t="str">
        <f>"C" &amp; C364 &amp;"-" &amp; B364 &amp; "-" &amp; "25"</f>
        <v>C359-124-25</v>
      </c>
      <c r="E364" s="254" t="s">
        <v>18</v>
      </c>
      <c r="F364" s="254"/>
      <c r="G364" s="115" t="s">
        <v>892</v>
      </c>
      <c r="H364" s="165" t="s">
        <v>68</v>
      </c>
      <c r="I364" s="165" t="s">
        <v>239</v>
      </c>
      <c r="J364" s="289">
        <v>45884</v>
      </c>
      <c r="K364" s="226">
        <v>45903</v>
      </c>
      <c r="L364" s="532"/>
      <c r="M364" s="2" t="str">
        <f ca="1">IF(ISBLANK([1]!Table2[[#This Row],[Complete corrective actions (Approved Date)]]), TODAY()-[1]!Table2[[#This Row],[CAR initialized date]], "CLOSED")</f>
        <v>CLOSED</v>
      </c>
      <c r="N364" s="511">
        <f>Table2[[#This Row],[Effectiveness Review &amp; date deemed effective]]-Table2[[#This Row],[CAR initialized date]]</f>
        <v>19</v>
      </c>
    </row>
    <row r="365" spans="1:14" ht="18.75">
      <c r="A365" s="227" t="s">
        <v>890</v>
      </c>
      <c r="B365" s="2">
        <f>VLOOKUP(Table2[[#This Row],[Location 
(drop-down)]],Table14[[Location]:[Location ID]],2,FALSE)</f>
        <v>124</v>
      </c>
      <c r="C365" s="254" t="s">
        <v>893</v>
      </c>
      <c r="D365" s="379" t="str">
        <f>"C" &amp; C365 &amp;"-" &amp; B365 &amp; "-" &amp; "25"</f>
        <v>C360-124-25</v>
      </c>
      <c r="E365" s="254" t="s">
        <v>18</v>
      </c>
      <c r="F365" s="254"/>
      <c r="G365" s="115" t="s">
        <v>351</v>
      </c>
      <c r="H365" s="165" t="s">
        <v>201</v>
      </c>
      <c r="I365" s="165" t="s">
        <v>239</v>
      </c>
      <c r="J365" s="289">
        <v>45884</v>
      </c>
      <c r="K365" s="226">
        <v>45903</v>
      </c>
      <c r="L365" s="532"/>
      <c r="M365" s="2" t="str">
        <f ca="1">IF(ISBLANK([1]!Table2[[#This Row],[Complete corrective actions (Approved Date)]]), TODAY()-[1]!Table2[[#This Row],[CAR initialized date]], "CLOSED")</f>
        <v>CLOSED</v>
      </c>
      <c r="N365" s="511">
        <f>Table2[[#This Row],[Effectiveness Review &amp; date deemed effective]]-Table2[[#This Row],[CAR initialized date]]</f>
        <v>19</v>
      </c>
    </row>
    <row r="366" spans="1:14" ht="18.75">
      <c r="A366" s="227" t="s">
        <v>890</v>
      </c>
      <c r="B366" s="2">
        <f>VLOOKUP(Table2[[#This Row],[Location 
(drop-down)]],Table14[[Location]:[Location ID]],2,FALSE)</f>
        <v>124</v>
      </c>
      <c r="C366" s="254" t="s">
        <v>803</v>
      </c>
      <c r="D366" s="379" t="str">
        <f>"C" &amp; C366 &amp;"-" &amp; B366 &amp; "-" &amp; "25"</f>
        <v>C361-124-25</v>
      </c>
      <c r="E366" s="254" t="s">
        <v>18</v>
      </c>
      <c r="F366" s="254"/>
      <c r="G366" s="227" t="s">
        <v>894</v>
      </c>
      <c r="H366" s="165" t="s">
        <v>20</v>
      </c>
      <c r="I366" s="165" t="s">
        <v>239</v>
      </c>
      <c r="J366" s="289">
        <v>45884</v>
      </c>
      <c r="K366" s="226">
        <v>45903</v>
      </c>
      <c r="L366" s="532"/>
      <c r="M366" s="2" t="str">
        <f ca="1">IF(ISBLANK([1]!Table2[[#This Row],[Complete corrective actions (Approved Date)]]), TODAY()-[1]!Table2[[#This Row],[CAR initialized date]], "CLOSED")</f>
        <v>CLOSED</v>
      </c>
      <c r="N366" s="511">
        <f>Table2[[#This Row],[Effectiveness Review &amp; date deemed effective]]-Table2[[#This Row],[CAR initialized date]]</f>
        <v>19</v>
      </c>
    </row>
    <row r="367" spans="1:14" ht="18.75">
      <c r="A367" s="227" t="s">
        <v>43</v>
      </c>
      <c r="B367" s="2">
        <f>VLOOKUP(Table2[[#This Row],[Location 
(drop-down)]],Table14[[Location]:[Location ID]],2,FALSE)</f>
        <v>210</v>
      </c>
      <c r="C367" s="254" t="s">
        <v>895</v>
      </c>
      <c r="D367" s="378" t="s">
        <v>896</v>
      </c>
      <c r="E367" s="254" t="s">
        <v>18</v>
      </c>
      <c r="F367" s="254"/>
      <c r="G367" s="227" t="s">
        <v>897</v>
      </c>
      <c r="H367" s="165" t="s">
        <v>68</v>
      </c>
      <c r="I367" s="230" t="s">
        <v>57</v>
      </c>
      <c r="J367" s="289">
        <v>45498</v>
      </c>
      <c r="K367" s="226">
        <v>45903</v>
      </c>
      <c r="L367" s="532"/>
      <c r="M367" s="2" t="str">
        <f ca="1">IF(ISBLANK([1]!Table2[[#This Row],[Complete corrective actions (Approved Date)]]), TODAY()-[1]!Table2[[#This Row],[CAR initialized date]], "CLOSED")</f>
        <v>CLOSED</v>
      </c>
      <c r="N367" s="511">
        <f>Table2[[#This Row],[Effectiveness Review &amp; date deemed effective]]-Table2[[#This Row],[CAR initialized date]]</f>
        <v>405</v>
      </c>
    </row>
    <row r="368" spans="1:14" ht="18.75">
      <c r="A368" s="227" t="s">
        <v>43</v>
      </c>
      <c r="B368" s="2">
        <f>VLOOKUP(Table2[[#This Row],[Location 
(drop-down)]],Table14[[Location]:[Location ID]],2,FALSE)</f>
        <v>210</v>
      </c>
      <c r="C368" s="254" t="s">
        <v>898</v>
      </c>
      <c r="D368" s="378" t="s">
        <v>899</v>
      </c>
      <c r="E368" s="254" t="s">
        <v>18</v>
      </c>
      <c r="F368" s="254"/>
      <c r="G368" s="227" t="s">
        <v>900</v>
      </c>
      <c r="H368" s="165" t="s">
        <v>20</v>
      </c>
      <c r="I368" s="230" t="s">
        <v>57</v>
      </c>
      <c r="J368" s="289">
        <v>45541</v>
      </c>
      <c r="K368" s="226">
        <v>45903</v>
      </c>
      <c r="L368" s="532"/>
      <c r="M368" s="2" t="str">
        <f ca="1">IF(ISBLANK([1]!Table2[[#This Row],[Complete corrective actions (Approved Date)]]), TODAY()-[1]!Table2[[#This Row],[CAR initialized date]], "CLOSED")</f>
        <v>CLOSED</v>
      </c>
      <c r="N368" s="511">
        <f>Table2[[#This Row],[Effectiveness Review &amp; date deemed effective]]-Table2[[#This Row],[CAR initialized date]]</f>
        <v>362</v>
      </c>
    </row>
    <row r="369" spans="1:14" ht="18.75">
      <c r="A369" s="227" t="s">
        <v>43</v>
      </c>
      <c r="B369" s="2">
        <f>VLOOKUP(Table2[[#This Row],[Location 
(drop-down)]],Table14[[Location]:[Location ID]],2,FALSE)</f>
        <v>210</v>
      </c>
      <c r="C369" s="254" t="s">
        <v>901</v>
      </c>
      <c r="D369" s="378" t="s">
        <v>902</v>
      </c>
      <c r="E369" s="254" t="s">
        <v>18</v>
      </c>
      <c r="F369" s="254"/>
      <c r="G369" s="227" t="s">
        <v>903</v>
      </c>
      <c r="H369" s="165" t="s">
        <v>20</v>
      </c>
      <c r="I369" s="230" t="s">
        <v>57</v>
      </c>
      <c r="J369" s="289">
        <v>45541</v>
      </c>
      <c r="K369" s="226">
        <v>45903</v>
      </c>
      <c r="L369" s="532"/>
      <c r="M369" s="2" t="str">
        <f ca="1">IF(ISBLANK([1]!Table2[[#This Row],[Complete corrective actions (Approved Date)]]), TODAY()-[1]!Table2[[#This Row],[CAR initialized date]], "CLOSED")</f>
        <v>CLOSED</v>
      </c>
      <c r="N369" s="511">
        <f>Table2[[#This Row],[Effectiveness Review &amp; date deemed effective]]-Table2[[#This Row],[CAR initialized date]]</f>
        <v>362</v>
      </c>
    </row>
    <row r="370" spans="1:14" ht="18.75">
      <c r="A370" s="227" t="s">
        <v>43</v>
      </c>
      <c r="B370" s="2">
        <f>VLOOKUP(Table2[[#This Row],[Location 
(drop-down)]],Table14[[Location]:[Location ID]],2,FALSE)</f>
        <v>210</v>
      </c>
      <c r="C370" s="254" t="s">
        <v>904</v>
      </c>
      <c r="D370" s="378" t="s">
        <v>905</v>
      </c>
      <c r="E370" s="254" t="s">
        <v>18</v>
      </c>
      <c r="F370" s="254"/>
      <c r="G370" s="227" t="s">
        <v>906</v>
      </c>
      <c r="H370" s="165" t="s">
        <v>20</v>
      </c>
      <c r="I370" s="230" t="s">
        <v>57</v>
      </c>
      <c r="J370" s="289">
        <v>45541</v>
      </c>
      <c r="K370" s="226">
        <v>45903</v>
      </c>
      <c r="L370" s="532"/>
      <c r="M370" s="2" t="str">
        <f ca="1">IF(ISBLANK([1]!Table2[[#This Row],[Complete corrective actions (Approved Date)]]), TODAY()-[1]!Table2[[#This Row],[CAR initialized date]], "CLOSED")</f>
        <v>CLOSED</v>
      </c>
      <c r="N370" s="511">
        <f>Table2[[#This Row],[Effectiveness Review &amp; date deemed effective]]-Table2[[#This Row],[CAR initialized date]]</f>
        <v>362</v>
      </c>
    </row>
    <row r="371" spans="1:14" ht="18.75">
      <c r="A371" s="227" t="s">
        <v>43</v>
      </c>
      <c r="B371" s="2">
        <f>VLOOKUP(Table2[[#This Row],[Location 
(drop-down)]],Table14[[Location]:[Location ID]],2,FALSE)</f>
        <v>210</v>
      </c>
      <c r="C371" s="254" t="s">
        <v>907</v>
      </c>
      <c r="D371" s="378" t="s">
        <v>908</v>
      </c>
      <c r="E371" s="413" t="s">
        <v>18</v>
      </c>
      <c r="F371" s="413"/>
      <c r="G371" s="227" t="s">
        <v>909</v>
      </c>
      <c r="H371" s="165" t="s">
        <v>20</v>
      </c>
      <c r="I371" s="230" t="s">
        <v>47</v>
      </c>
      <c r="J371" s="289">
        <v>45657</v>
      </c>
      <c r="K371" s="226">
        <v>45903</v>
      </c>
      <c r="L371" s="532"/>
      <c r="M371" s="2" t="str">
        <f ca="1">IF(ISBLANK([1]!Table2[[#This Row],[Complete corrective actions (Approved Date)]]), TODAY()-[1]!Table2[[#This Row],[CAR initialized date]], "CLOSED")</f>
        <v>CLOSED</v>
      </c>
      <c r="N371" s="511">
        <f>Table2[[#This Row],[Effectiveness Review &amp; date deemed effective]]-Table2[[#This Row],[CAR initialized date]]</f>
        <v>246</v>
      </c>
    </row>
    <row r="372" spans="1:14" ht="18.75">
      <c r="A372" s="227" t="s">
        <v>43</v>
      </c>
      <c r="B372" s="2">
        <f>VLOOKUP(Table2[[#This Row],[Location 
(drop-down)]],Table14[[Location]:[Location ID]],2,FALSE)</f>
        <v>210</v>
      </c>
      <c r="C372" s="254" t="s">
        <v>910</v>
      </c>
      <c r="D372" s="378" t="s">
        <v>911</v>
      </c>
      <c r="E372" s="413" t="s">
        <v>18</v>
      </c>
      <c r="F372" s="413"/>
      <c r="G372" s="227" t="s">
        <v>191</v>
      </c>
      <c r="H372" s="165" t="s">
        <v>20</v>
      </c>
      <c r="I372" s="230" t="s">
        <v>47</v>
      </c>
      <c r="J372" s="289">
        <v>45657</v>
      </c>
      <c r="K372" s="226">
        <v>45903</v>
      </c>
      <c r="L372" s="532"/>
      <c r="M372" s="2" t="str">
        <f ca="1">IF(ISBLANK([1]!Table2[[#This Row],[Complete corrective actions (Approved Date)]]), TODAY()-[1]!Table2[[#This Row],[CAR initialized date]], "CLOSED")</f>
        <v>CLOSED</v>
      </c>
      <c r="N372" s="511">
        <f>Table2[[#This Row],[Effectiveness Review &amp; date deemed effective]]-Table2[[#This Row],[CAR initialized date]]</f>
        <v>246</v>
      </c>
    </row>
    <row r="373" spans="1:14" ht="18.75">
      <c r="A373" s="227" t="s">
        <v>43</v>
      </c>
      <c r="B373" s="2">
        <f>VLOOKUP(Table2[[#This Row],[Location 
(drop-down)]],Table14[[Location]:[Location ID]],2,FALSE)</f>
        <v>210</v>
      </c>
      <c r="C373" s="254" t="s">
        <v>912</v>
      </c>
      <c r="D373" s="378" t="s">
        <v>913</v>
      </c>
      <c r="E373" s="413" t="s">
        <v>18</v>
      </c>
      <c r="F373" s="413"/>
      <c r="G373" s="227" t="s">
        <v>914</v>
      </c>
      <c r="H373" s="165" t="s">
        <v>20</v>
      </c>
      <c r="I373" s="230" t="s">
        <v>47</v>
      </c>
      <c r="J373" s="289">
        <v>45657</v>
      </c>
      <c r="K373" s="226">
        <v>45903</v>
      </c>
      <c r="L373" s="532"/>
      <c r="M373" s="2" t="str">
        <f ca="1">IF(ISBLANK([1]!Table2[[#This Row],[Complete corrective actions (Approved Date)]]), TODAY()-[1]!Table2[[#This Row],[CAR initialized date]], "CLOSED")</f>
        <v>CLOSED</v>
      </c>
      <c r="N373" s="511">
        <f>Table2[[#This Row],[Effectiveness Review &amp; date deemed effective]]-Table2[[#This Row],[CAR initialized date]]</f>
        <v>246</v>
      </c>
    </row>
    <row r="374" spans="1:14" ht="18.75">
      <c r="A374" s="227" t="s">
        <v>777</v>
      </c>
      <c r="B374" s="2">
        <f>VLOOKUP(Table2[[#This Row],[Location 
(drop-down)]],Table14[[Location]:[Location ID]],2,FALSE)</f>
        <v>199</v>
      </c>
      <c r="C374" s="254" t="s">
        <v>915</v>
      </c>
      <c r="D374" s="379" t="str">
        <f>"C" &amp; C374 &amp;"-" &amp; B374 &amp; "-" &amp; "25"</f>
        <v>C352-199-25</v>
      </c>
      <c r="E374" s="254" t="s">
        <v>18</v>
      </c>
      <c r="F374" s="254"/>
      <c r="G374" s="115" t="s">
        <v>916</v>
      </c>
      <c r="H374" s="165" t="s">
        <v>68</v>
      </c>
      <c r="I374" s="165" t="s">
        <v>118</v>
      </c>
      <c r="J374" s="289">
        <v>45877</v>
      </c>
      <c r="K374" s="226">
        <v>45903</v>
      </c>
      <c r="L374" s="532"/>
      <c r="M374" s="2" t="str">
        <f ca="1">IF(ISBLANK([1]!Table2[[#This Row],[Complete corrective actions (Approved Date)]]), TODAY()-[1]!Table2[[#This Row],[CAR initialized date]], "CLOSED")</f>
        <v>CLOSED</v>
      </c>
      <c r="N374" s="511">
        <f>Table2[[#This Row],[Effectiveness Review &amp; date deemed effective]]-Table2[[#This Row],[CAR initialized date]]</f>
        <v>26</v>
      </c>
    </row>
    <row r="375" spans="1:14" ht="18.75">
      <c r="A375" s="227" t="s">
        <v>917</v>
      </c>
      <c r="B375" s="2">
        <f>VLOOKUP(Table2[[#This Row],[Location 
(drop-down)]],Table14[[Location]:[Location ID]],2,FALSE)</f>
        <v>161</v>
      </c>
      <c r="C375" s="254" t="s">
        <v>918</v>
      </c>
      <c r="D375" s="379" t="str">
        <f>"C" &amp; C375 &amp;"-" &amp; B375 &amp; "-" &amp; "25"</f>
        <v>C379-161-25</v>
      </c>
      <c r="E375" s="254" t="s">
        <v>81</v>
      </c>
      <c r="F375" s="254" t="s">
        <v>919</v>
      </c>
      <c r="G375" s="429" t="s">
        <v>920</v>
      </c>
      <c r="H375" s="165" t="s">
        <v>68</v>
      </c>
      <c r="I375" s="165" t="s">
        <v>327</v>
      </c>
      <c r="J375" s="289">
        <v>45894</v>
      </c>
      <c r="K375" s="226">
        <v>45904</v>
      </c>
      <c r="L375" s="532"/>
      <c r="M375" s="2" t="str">
        <f ca="1">IF(ISBLANK([1]!Table2[[#This Row],[Complete corrective actions (Approved Date)]]), TODAY()-[1]!Table2[[#This Row],[CAR initialized date]], "CLOSED")</f>
        <v>CLOSED</v>
      </c>
      <c r="N375" s="511">
        <f>Table2[[#This Row],[Effectiveness Review &amp; date deemed effective]]-Table2[[#This Row],[CAR initialized date]]</f>
        <v>10</v>
      </c>
    </row>
    <row r="376" spans="1:14" ht="18.75">
      <c r="A376" s="227" t="s">
        <v>777</v>
      </c>
      <c r="B376" s="2">
        <f>VLOOKUP(Table2[[#This Row],[Location 
(drop-down)]],Table14[[Location]:[Location ID]],2,FALSE)</f>
        <v>199</v>
      </c>
      <c r="C376" s="254" t="s">
        <v>921</v>
      </c>
      <c r="D376" s="379" t="str">
        <f>"C" &amp; C376 &amp;"-" &amp; B376 &amp; "-" &amp; "25"</f>
        <v>C353-199-25</v>
      </c>
      <c r="E376" s="254" t="s">
        <v>18</v>
      </c>
      <c r="F376" s="254"/>
      <c r="G376" s="115" t="s">
        <v>922</v>
      </c>
      <c r="H376" s="165" t="s">
        <v>68</v>
      </c>
      <c r="I376" s="165" t="s">
        <v>118</v>
      </c>
      <c r="J376" s="289">
        <v>45877</v>
      </c>
      <c r="K376" s="226">
        <v>45908</v>
      </c>
      <c r="L376" s="532"/>
      <c r="M376" s="2" t="str">
        <f ca="1">IF(ISBLANK([1]!Table2[[#This Row],[Complete corrective actions (Approved Date)]]), TODAY()-[1]!Table2[[#This Row],[CAR initialized date]], "CLOSED")</f>
        <v>CLOSED</v>
      </c>
      <c r="N376" s="511">
        <f>Table2[[#This Row],[Effectiveness Review &amp; date deemed effective]]-Table2[[#This Row],[CAR initialized date]]</f>
        <v>31</v>
      </c>
    </row>
    <row r="377" spans="1:14" ht="18.75">
      <c r="A377" s="227" t="s">
        <v>119</v>
      </c>
      <c r="B377" s="2">
        <f>VLOOKUP(Table2[[#This Row],[Location 
(drop-down)]],Table14[[Location]:[Location ID]],2,FALSE)</f>
        <v>131</v>
      </c>
      <c r="C377" s="254" t="s">
        <v>923</v>
      </c>
      <c r="D377" s="378" t="s">
        <v>924</v>
      </c>
      <c r="E377" s="254" t="s">
        <v>120</v>
      </c>
      <c r="F377" s="254"/>
      <c r="G377" s="227" t="s">
        <v>925</v>
      </c>
      <c r="H377" s="165" t="s">
        <v>20</v>
      </c>
      <c r="I377" s="230" t="s">
        <v>47</v>
      </c>
      <c r="J377" s="289">
        <v>45532</v>
      </c>
      <c r="K377" s="226">
        <v>45910</v>
      </c>
      <c r="L377" s="532"/>
      <c r="M377" s="2" t="str">
        <f ca="1">IF(ISBLANK([1]!Table2[[#This Row],[Complete corrective actions (Approved Date)]]), TODAY()-[1]!Table2[[#This Row],[CAR initialized date]], "CLOSED")</f>
        <v>CLOSED</v>
      </c>
      <c r="N377" s="511">
        <f>Table2[[#This Row],[Effectiveness Review &amp; date deemed effective]]-Table2[[#This Row],[CAR initialized date]]</f>
        <v>378</v>
      </c>
    </row>
    <row r="378" spans="1:14" ht="18.75">
      <c r="A378" s="227" t="s">
        <v>167</v>
      </c>
      <c r="B378" s="2">
        <f>VLOOKUP(Table2[[#This Row],[Location 
(drop-down)]],Table14[[Location]:[Location ID]],2,FALSE)</f>
        <v>146</v>
      </c>
      <c r="C378" s="254" t="s">
        <v>926</v>
      </c>
      <c r="D378" s="379" t="str">
        <f>"C" &amp; C378 &amp;"-" &amp; B378 &amp; "-" &amp; "25"</f>
        <v>C052-146-25</v>
      </c>
      <c r="E378" s="254" t="s">
        <v>26</v>
      </c>
      <c r="F378" s="254" t="s">
        <v>151</v>
      </c>
      <c r="G378" s="227" t="s">
        <v>927</v>
      </c>
      <c r="H378" s="165" t="s">
        <v>20</v>
      </c>
      <c r="I378" s="165" t="s">
        <v>21</v>
      </c>
      <c r="J378" s="289">
        <v>45694</v>
      </c>
      <c r="K378" s="226">
        <v>45911</v>
      </c>
      <c r="L378" s="532"/>
      <c r="M378" s="2" t="str">
        <f ca="1">IF(ISBLANK([1]!Table2[[#This Row],[Complete corrective actions (Approved Date)]]), TODAY()-[1]!Table2[[#This Row],[CAR initialized date]], "CLOSED")</f>
        <v>CLOSED</v>
      </c>
      <c r="N378" s="511">
        <f>Table2[[#This Row],[Effectiveness Review &amp; date deemed effective]]-Table2[[#This Row],[CAR initialized date]]</f>
        <v>217</v>
      </c>
    </row>
    <row r="379" spans="1:14" ht="18.75">
      <c r="A379" s="227" t="s">
        <v>518</v>
      </c>
      <c r="B379" s="2">
        <f>VLOOKUP(Table2[[#This Row],[Location 
(drop-down)]],Table14[[Location]:[Location ID]],2,FALSE)</f>
        <v>185</v>
      </c>
      <c r="C379" s="254" t="s">
        <v>785</v>
      </c>
      <c r="D379" s="378" t="s">
        <v>928</v>
      </c>
      <c r="E379" s="254" t="s">
        <v>18</v>
      </c>
      <c r="F379" s="254"/>
      <c r="G379" s="240" t="s">
        <v>929</v>
      </c>
      <c r="H379" s="2" t="s">
        <v>68</v>
      </c>
      <c r="I379" s="235" t="s">
        <v>21</v>
      </c>
      <c r="J379" s="276">
        <v>45401</v>
      </c>
      <c r="K379" s="258">
        <v>45915</v>
      </c>
      <c r="L379" s="532"/>
      <c r="M379" s="2" t="str">
        <f ca="1">IF(ISBLANK([1]!Table2[[#This Row],[Complete corrective actions (Approved Date)]]), TODAY()-[1]!Table2[[#This Row],[CAR initialized date]], "CLOSED")</f>
        <v>CLOSED</v>
      </c>
      <c r="N379" s="511">
        <f>Table2[[#This Row],[Effectiveness Review &amp; date deemed effective]]-Table2[[#This Row],[CAR initialized date]]</f>
        <v>514</v>
      </c>
    </row>
    <row r="380" spans="1:14" ht="18.75">
      <c r="A380" s="227" t="s">
        <v>156</v>
      </c>
      <c r="B380" s="2">
        <f>VLOOKUP(Table2[[#This Row],[Location 
(drop-down)]],Table14[[Location]:[Location ID]],2,FALSE)</f>
        <v>110</v>
      </c>
      <c r="C380" s="254" t="s">
        <v>930</v>
      </c>
      <c r="D380" s="378" t="s">
        <v>931</v>
      </c>
      <c r="E380" s="254" t="s">
        <v>18</v>
      </c>
      <c r="F380" s="254"/>
      <c r="G380" s="227" t="s">
        <v>932</v>
      </c>
      <c r="H380" s="165" t="s">
        <v>20</v>
      </c>
      <c r="I380" s="165" t="s">
        <v>239</v>
      </c>
      <c r="J380" s="289">
        <v>45616</v>
      </c>
      <c r="K380" s="226">
        <v>45916</v>
      </c>
      <c r="L380" s="532"/>
      <c r="M380" s="2" t="str">
        <f ca="1">IF(ISBLANK([1]!Table2[[#This Row],[Complete corrective actions (Approved Date)]]), TODAY()-[1]!Table2[[#This Row],[CAR initialized date]], "CLOSED")</f>
        <v>CLOSED</v>
      </c>
      <c r="N380" s="511">
        <f>Table2[[#This Row],[Effectiveness Review &amp; date deemed effective]]-Table2[[#This Row],[CAR initialized date]]</f>
        <v>300</v>
      </c>
    </row>
    <row r="381" spans="1:14" ht="18.75">
      <c r="A381" s="227" t="s">
        <v>566</v>
      </c>
      <c r="B381" s="2">
        <f>VLOOKUP(Table2[[#This Row],[Location 
(drop-down)]],Table14[[Location]:[Location ID]],2,FALSE)</f>
        <v>133</v>
      </c>
      <c r="C381" s="254" t="s">
        <v>933</v>
      </c>
      <c r="D381" s="378" t="s">
        <v>934</v>
      </c>
      <c r="E381" s="413" t="s">
        <v>18</v>
      </c>
      <c r="F381" s="413"/>
      <c r="G381" s="227" t="s">
        <v>935</v>
      </c>
      <c r="H381" s="165" t="s">
        <v>20</v>
      </c>
      <c r="I381" s="230" t="s">
        <v>69</v>
      </c>
      <c r="J381" s="289">
        <v>45823</v>
      </c>
      <c r="K381" s="226">
        <v>45916</v>
      </c>
      <c r="L381" s="532"/>
      <c r="M381" s="2" t="str">
        <f ca="1">IF(ISBLANK([1]!Table2[[#This Row],[Complete corrective actions (Approved Date)]]), TODAY()-[1]!Table2[[#This Row],[CAR initialized date]], "CLOSED")</f>
        <v>CLOSED</v>
      </c>
      <c r="N381" s="511">
        <f>Table2[[#This Row],[Effectiveness Review &amp; date deemed effective]]-Table2[[#This Row],[CAR initialized date]]</f>
        <v>93</v>
      </c>
    </row>
    <row r="382" spans="1:14" ht="18.75">
      <c r="A382" s="227" t="s">
        <v>125</v>
      </c>
      <c r="B382" s="2">
        <f>VLOOKUP(Table2[[#This Row],[Location 
(drop-down)]],Table14[[Location]:[Location ID]],2,FALSE)</f>
        <v>130</v>
      </c>
      <c r="C382" s="254" t="s">
        <v>936</v>
      </c>
      <c r="D382" s="379" t="str">
        <f>"C" &amp; C382 &amp;"-" &amp; B382 &amp; "-" &amp; "25"</f>
        <v>C216-130-25</v>
      </c>
      <c r="E382" s="254" t="s">
        <v>18</v>
      </c>
      <c r="F382" s="254"/>
      <c r="G382" s="227" t="s">
        <v>937</v>
      </c>
      <c r="H382" s="165" t="s">
        <v>20</v>
      </c>
      <c r="I382" s="165" t="s">
        <v>239</v>
      </c>
      <c r="J382" s="276">
        <v>45786</v>
      </c>
      <c r="K382" s="226">
        <v>45916</v>
      </c>
      <c r="L382" s="532"/>
      <c r="M382" s="2" t="str">
        <f ca="1">IF(ISBLANK([1]!Table2[[#This Row],[Complete corrective actions (Approved Date)]]), TODAY()-[1]!Table2[[#This Row],[CAR initialized date]], "CLOSED")</f>
        <v>CLOSED</v>
      </c>
      <c r="N382" s="511">
        <f>Table2[[#This Row],[Effectiveness Review &amp; date deemed effective]]-Table2[[#This Row],[CAR initialized date]]</f>
        <v>130</v>
      </c>
    </row>
    <row r="383" spans="1:14" ht="18.75">
      <c r="A383" s="227" t="s">
        <v>119</v>
      </c>
      <c r="B383" s="2">
        <f>VLOOKUP(Table2[[#This Row],[Location 
(drop-down)]],Table14[[Location]:[Location ID]],2,FALSE)</f>
        <v>131</v>
      </c>
      <c r="C383" s="254" t="s">
        <v>938</v>
      </c>
      <c r="D383" s="379" t="str">
        <f>"C" &amp; C383 &amp;"-" &amp; B383 &amp; "-" &amp; "25"</f>
        <v>C032-131-25</v>
      </c>
      <c r="E383" s="254" t="s">
        <v>18</v>
      </c>
      <c r="F383" s="254"/>
      <c r="G383" s="227" t="s">
        <v>939</v>
      </c>
      <c r="H383" s="165" t="s">
        <v>20</v>
      </c>
      <c r="I383" s="165" t="s">
        <v>239</v>
      </c>
      <c r="J383" s="289">
        <v>45687</v>
      </c>
      <c r="K383" s="226">
        <v>45916</v>
      </c>
      <c r="L383" s="532"/>
      <c r="M383" s="2" t="str">
        <f ca="1">IF(ISBLANK([1]!Table2[[#This Row],[Complete corrective actions (Approved Date)]]), TODAY()-[1]!Table2[[#This Row],[CAR initialized date]], "CLOSED")</f>
        <v>CLOSED</v>
      </c>
      <c r="N383" s="511">
        <f>Table2[[#This Row],[Effectiveness Review &amp; date deemed effective]]-Table2[[#This Row],[CAR initialized date]]</f>
        <v>229</v>
      </c>
    </row>
    <row r="384" spans="1:14" ht="18.75">
      <c r="A384" s="227" t="s">
        <v>485</v>
      </c>
      <c r="B384" s="2">
        <f>VLOOKUP(Table2[[#This Row],[Location 
(drop-down)]],Table14[[Location]:[Location ID]],2,FALSE)</f>
        <v>165</v>
      </c>
      <c r="C384" s="254" t="s">
        <v>940</v>
      </c>
      <c r="D384" s="379" t="str">
        <f>"C" &amp; C384 &amp;"-" &amp; B384 &amp; "-" &amp; "25"</f>
        <v>C399-165-25</v>
      </c>
      <c r="E384" s="254" t="s">
        <v>81</v>
      </c>
      <c r="F384" s="254" t="s">
        <v>308</v>
      </c>
      <c r="G384" s="227" t="s">
        <v>941</v>
      </c>
      <c r="H384" s="165" t="s">
        <v>68</v>
      </c>
      <c r="I384" s="165" t="s">
        <v>69</v>
      </c>
      <c r="J384" s="289">
        <v>45915</v>
      </c>
      <c r="K384" s="226">
        <v>45918</v>
      </c>
      <c r="L384" s="532"/>
      <c r="M384" s="2" t="str">
        <f ca="1">IF(ISBLANK([1]!Table2[[#This Row],[Complete corrective actions (Approved Date)]]), TODAY()-[1]!Table2[[#This Row],[CAR initialized date]], "CLOSED")</f>
        <v>CLOSED</v>
      </c>
      <c r="N384" s="511">
        <f>Table2[[#This Row],[Effectiveness Review &amp; date deemed effective]]-Table2[[#This Row],[CAR initialized date]]</f>
        <v>3</v>
      </c>
    </row>
    <row r="385" spans="1:14" ht="18.75">
      <c r="A385" s="227" t="s">
        <v>890</v>
      </c>
      <c r="B385" s="2">
        <f>VLOOKUP(Table2[[#This Row],[Location 
(drop-down)]],Table14[[Location]:[Location ID]],2,FALSE)</f>
        <v>124</v>
      </c>
      <c r="C385" s="254" t="s">
        <v>806</v>
      </c>
      <c r="D385" s="379" t="str">
        <f>"C" &amp; C385 &amp;"-" &amp; B385 &amp; "-" &amp; "25"</f>
        <v>C362-124-25</v>
      </c>
      <c r="E385" s="254" t="s">
        <v>18</v>
      </c>
      <c r="F385" s="254"/>
      <c r="G385" s="227" t="s">
        <v>184</v>
      </c>
      <c r="H385" s="165" t="s">
        <v>20</v>
      </c>
      <c r="I385" s="165" t="s">
        <v>239</v>
      </c>
      <c r="J385" s="289">
        <v>45884</v>
      </c>
      <c r="K385" s="226">
        <v>45919</v>
      </c>
      <c r="L385" s="532"/>
      <c r="M385" s="2" t="str">
        <f ca="1">IF(ISBLANK([1]!Table2[[#This Row],[Complete corrective actions (Approved Date)]]), TODAY()-[1]!Table2[[#This Row],[CAR initialized date]], "CLOSED")</f>
        <v>CLOSED</v>
      </c>
      <c r="N385" s="511">
        <f>Table2[[#This Row],[Effectiveness Review &amp; date deemed effective]]-Table2[[#This Row],[CAR initialized date]]</f>
        <v>35</v>
      </c>
    </row>
    <row r="386" spans="1:14" ht="18.75">
      <c r="A386" s="227" t="s">
        <v>64</v>
      </c>
      <c r="B386" s="2">
        <f>VLOOKUP(Table2[[#This Row],[Location 
(drop-down)]],Table14[[Location]:[Location ID]],2,FALSE)</f>
        <v>145</v>
      </c>
      <c r="C386" s="254" t="s">
        <v>942</v>
      </c>
      <c r="D386" s="379" t="str">
        <f>"C" &amp; C386 &amp;"-" &amp; B386 &amp; "-" &amp; "25"</f>
        <v>C170-145-25</v>
      </c>
      <c r="E386" s="254" t="s">
        <v>18</v>
      </c>
      <c r="F386" s="254"/>
      <c r="G386" s="242" t="s">
        <v>943</v>
      </c>
      <c r="H386" s="165" t="s">
        <v>20</v>
      </c>
      <c r="I386" s="165" t="s">
        <v>21</v>
      </c>
      <c r="J386" s="276">
        <v>45756</v>
      </c>
      <c r="K386" s="226">
        <v>45919</v>
      </c>
      <c r="L386" s="532"/>
      <c r="M386" s="2" t="str">
        <f ca="1">IF(ISBLANK([1]!Table2[[#This Row],[Complete corrective actions (Approved Date)]]), TODAY()-[1]!Table2[[#This Row],[CAR initialized date]], "CLOSED")</f>
        <v>CLOSED</v>
      </c>
      <c r="N386" s="511">
        <f>Table2[[#This Row],[Effectiveness Review &amp; date deemed effective]]-Table2[[#This Row],[CAR initialized date]]</f>
        <v>163</v>
      </c>
    </row>
    <row r="387" spans="1:14" ht="18.75">
      <c r="A387" s="227" t="s">
        <v>64</v>
      </c>
      <c r="B387" s="2">
        <f>VLOOKUP(Table2[[#This Row],[Location 
(drop-down)]],Table14[[Location]:[Location ID]],2,FALSE)</f>
        <v>145</v>
      </c>
      <c r="C387" s="254" t="s">
        <v>944</v>
      </c>
      <c r="D387" s="379" t="str">
        <f>"C" &amp; C387 &amp;"-" &amp; B387 &amp; "-" &amp; "25"</f>
        <v>C172-145-25</v>
      </c>
      <c r="E387" s="254" t="s">
        <v>18</v>
      </c>
      <c r="F387" s="254"/>
      <c r="G387" s="227" t="s">
        <v>351</v>
      </c>
      <c r="H387" s="165" t="s">
        <v>20</v>
      </c>
      <c r="I387" s="165" t="s">
        <v>21</v>
      </c>
      <c r="J387" s="276">
        <v>45756</v>
      </c>
      <c r="K387" s="226">
        <v>45919</v>
      </c>
      <c r="L387" s="532"/>
      <c r="M387" s="2" t="str">
        <f ca="1">IF(ISBLANK([1]!Table2[[#This Row],[Complete corrective actions (Approved Date)]]), TODAY()-[1]!Table2[[#This Row],[CAR initialized date]], "CLOSED")</f>
        <v>CLOSED</v>
      </c>
      <c r="N387" s="511">
        <f>Table2[[#This Row],[Effectiveness Review &amp; date deemed effective]]-Table2[[#This Row],[CAR initialized date]]</f>
        <v>163</v>
      </c>
    </row>
    <row r="388" spans="1:14" ht="18.75">
      <c r="A388" s="227" t="s">
        <v>500</v>
      </c>
      <c r="B388" s="2">
        <f>VLOOKUP(Table2[[#This Row],[Location 
(drop-down)]],Table14[[Location]:[Location ID]],2,FALSE)</f>
        <v>170</v>
      </c>
      <c r="C388" s="254" t="s">
        <v>945</v>
      </c>
      <c r="D388" s="379" t="str">
        <f>"C" &amp; C388 &amp;"-" &amp; B388 &amp; "-" &amp; "25"</f>
        <v>C356-170-25</v>
      </c>
      <c r="E388" s="254" t="s">
        <v>26</v>
      </c>
      <c r="F388" s="254" t="s">
        <v>151</v>
      </c>
      <c r="G388" s="227" t="s">
        <v>946</v>
      </c>
      <c r="H388" s="165" t="s">
        <v>20</v>
      </c>
      <c r="I388" s="165" t="s">
        <v>239</v>
      </c>
      <c r="J388" s="289">
        <v>45880</v>
      </c>
      <c r="K388" s="226">
        <v>45919</v>
      </c>
      <c r="L388" s="532"/>
      <c r="M388" s="2" t="str">
        <f ca="1">IF(ISBLANK([1]!Table2[[#This Row],[Complete corrective actions (Approved Date)]]), TODAY()-[1]!Table2[[#This Row],[CAR initialized date]], "CLOSED")</f>
        <v>CLOSED</v>
      </c>
      <c r="N388" s="511">
        <f>Table2[[#This Row],[Effectiveness Review &amp; date deemed effective]]-Table2[[#This Row],[CAR initialized date]]</f>
        <v>39</v>
      </c>
    </row>
    <row r="389" spans="1:14" ht="18.75">
      <c r="A389" s="227" t="s">
        <v>314</v>
      </c>
      <c r="B389" s="2">
        <f>VLOOKUP(Table2[[#This Row],[Location 
(drop-down)]],Table14[[Location]:[Location ID]],2,FALSE)</f>
        <v>150</v>
      </c>
      <c r="C389" s="254" t="s">
        <v>947</v>
      </c>
      <c r="D389" s="379" t="str">
        <f>"C" &amp; C389 &amp;"-" &amp; B389 &amp; "-" &amp; "25"</f>
        <v>C150-150-25</v>
      </c>
      <c r="E389" s="254" t="s">
        <v>18</v>
      </c>
      <c r="F389" s="254"/>
      <c r="G389" s="240" t="s">
        <v>892</v>
      </c>
      <c r="H389" s="2" t="s">
        <v>68</v>
      </c>
      <c r="I389" s="165" t="s">
        <v>239</v>
      </c>
      <c r="J389" s="289">
        <v>45744</v>
      </c>
      <c r="K389" s="258">
        <v>45919</v>
      </c>
      <c r="L389" s="532"/>
      <c r="M389" s="2" t="str">
        <f ca="1">IF(ISBLANK([1]!Table2[[#This Row],[Complete corrective actions (Approved Date)]]), TODAY()-[1]!Table2[[#This Row],[CAR initialized date]], "CLOSED")</f>
        <v>CLOSED</v>
      </c>
      <c r="N389" s="511">
        <f>Table2[[#This Row],[Effectiveness Review &amp; date deemed effective]]-Table2[[#This Row],[CAR initialized date]]</f>
        <v>175</v>
      </c>
    </row>
    <row r="390" spans="1:14" ht="18.75">
      <c r="A390" s="227" t="s">
        <v>185</v>
      </c>
      <c r="B390" s="2">
        <f>VLOOKUP(Table2[[#This Row],[Location 
(drop-down)]],Table14[[Location]:[Location ID]],2,FALSE)</f>
        <v>144</v>
      </c>
      <c r="C390" s="254" t="s">
        <v>948</v>
      </c>
      <c r="D390" s="378" t="s">
        <v>949</v>
      </c>
      <c r="E390" s="254" t="s">
        <v>18</v>
      </c>
      <c r="F390" s="254"/>
      <c r="G390" s="284" t="s">
        <v>950</v>
      </c>
      <c r="H390" s="165" t="s">
        <v>20</v>
      </c>
      <c r="I390" s="230" t="s">
        <v>21</v>
      </c>
      <c r="J390" s="289">
        <v>45531</v>
      </c>
      <c r="K390" s="226">
        <v>45924</v>
      </c>
      <c r="L390" s="532"/>
      <c r="M390" s="2" t="str">
        <f ca="1">IF(ISBLANK([1]!Table2[[#This Row],[Complete corrective actions (Approved Date)]]), TODAY()-[1]!Table2[[#This Row],[CAR initialized date]], "CLOSED")</f>
        <v>CLOSED</v>
      </c>
      <c r="N390" s="511">
        <f>Table2[[#This Row],[Effectiveness Review &amp; date deemed effective]]-Table2[[#This Row],[CAR initialized date]]</f>
        <v>393</v>
      </c>
    </row>
    <row r="391" spans="1:14" ht="18.75">
      <c r="A391" s="227" t="s">
        <v>43</v>
      </c>
      <c r="B391" s="2">
        <f>VLOOKUP(Table2[[#This Row],[Location 
(drop-down)]],Table14[[Location]:[Location ID]],2,FALSE)</f>
        <v>210</v>
      </c>
      <c r="C391" s="254" t="s">
        <v>951</v>
      </c>
      <c r="D391" s="379" t="str">
        <f>"C" &amp; C391 &amp;"-" &amp; B391 &amp; "-" &amp; "25"</f>
        <v>C382-210-25</v>
      </c>
      <c r="E391" s="254" t="s">
        <v>18</v>
      </c>
      <c r="F391" s="254"/>
      <c r="G391" s="227" t="s">
        <v>952</v>
      </c>
      <c r="H391" s="165" t="s">
        <v>68</v>
      </c>
      <c r="I391" s="165" t="s">
        <v>47</v>
      </c>
      <c r="J391" s="289">
        <v>45905</v>
      </c>
      <c r="K391" s="226">
        <v>45924</v>
      </c>
      <c r="L391" s="532"/>
      <c r="M391" s="2" t="str">
        <f ca="1">IF(ISBLANK([1]!Table2[[#This Row],[Complete corrective actions (Approved Date)]]), TODAY()-[1]!Table2[[#This Row],[CAR initialized date]], "CLOSED")</f>
        <v>CLOSED</v>
      </c>
      <c r="N391" s="511">
        <f>Table2[[#This Row],[Effectiveness Review &amp; date deemed effective]]-Table2[[#This Row],[CAR initialized date]]</f>
        <v>19</v>
      </c>
    </row>
    <row r="392" spans="1:14" ht="18.75">
      <c r="A392" s="227" t="s">
        <v>43</v>
      </c>
      <c r="B392" s="2">
        <f>VLOOKUP(Table2[[#This Row],[Location 
(drop-down)]],Table14[[Location]:[Location ID]],2,FALSE)</f>
        <v>210</v>
      </c>
      <c r="C392" s="254" t="s">
        <v>953</v>
      </c>
      <c r="D392" s="379" t="str">
        <f>"C" &amp; C392 &amp;"-" &amp; B392 &amp; "-" &amp; "25"</f>
        <v>C383-210-25</v>
      </c>
      <c r="E392" s="254" t="s">
        <v>18</v>
      </c>
      <c r="F392" s="254"/>
      <c r="G392" s="227" t="s">
        <v>954</v>
      </c>
      <c r="H392" s="165" t="s">
        <v>20</v>
      </c>
      <c r="I392" s="165" t="s">
        <v>47</v>
      </c>
      <c r="J392" s="289">
        <v>45905</v>
      </c>
      <c r="K392" s="226">
        <v>45924</v>
      </c>
      <c r="L392" s="532"/>
      <c r="M392" s="2" t="str">
        <f ca="1">IF(ISBLANK([1]!Table2[[#This Row],[Complete corrective actions (Approved Date)]]), TODAY()-[1]!Table2[[#This Row],[CAR initialized date]], "CLOSED")</f>
        <v>CLOSED</v>
      </c>
      <c r="N392" s="511">
        <f>Table2[[#This Row],[Effectiveness Review &amp; date deemed effective]]-Table2[[#This Row],[CAR initialized date]]</f>
        <v>19</v>
      </c>
    </row>
    <row r="393" spans="1:14" ht="18.75">
      <c r="A393" s="227" t="s">
        <v>43</v>
      </c>
      <c r="B393" s="2">
        <f>VLOOKUP(Table2[[#This Row],[Location 
(drop-down)]],Table14[[Location]:[Location ID]],2,FALSE)</f>
        <v>210</v>
      </c>
      <c r="C393" s="254" t="s">
        <v>955</v>
      </c>
      <c r="D393" s="379" t="str">
        <f>"C" &amp; C393 &amp;"-" &amp; B393 &amp; "-" &amp; "25"</f>
        <v>C384-210-25</v>
      </c>
      <c r="E393" s="254" t="s">
        <v>18</v>
      </c>
      <c r="F393" s="254"/>
      <c r="G393" s="227" t="s">
        <v>956</v>
      </c>
      <c r="H393" s="165" t="s">
        <v>20</v>
      </c>
      <c r="I393" s="165" t="s">
        <v>47</v>
      </c>
      <c r="J393" s="289">
        <v>45905</v>
      </c>
      <c r="K393" s="226">
        <v>45924</v>
      </c>
      <c r="L393" s="532"/>
      <c r="M393" s="2" t="str">
        <f ca="1">IF(ISBLANK([1]!Table2[[#This Row],[Complete corrective actions (Approved Date)]]), TODAY()-[1]!Table2[[#This Row],[CAR initialized date]], "CLOSED")</f>
        <v>CLOSED</v>
      </c>
      <c r="N393" s="511">
        <f>Table2[[#This Row],[Effectiveness Review &amp; date deemed effective]]-Table2[[#This Row],[CAR initialized date]]</f>
        <v>19</v>
      </c>
    </row>
    <row r="394" spans="1:14" ht="18.75">
      <c r="A394" s="227" t="s">
        <v>30</v>
      </c>
      <c r="B394" s="2">
        <f>VLOOKUP(Table2[[#This Row],[Location 
(drop-down)]],Table14[[Location]:[Location ID]],2,FALSE)</f>
        <v>132</v>
      </c>
      <c r="C394" s="254" t="s">
        <v>957</v>
      </c>
      <c r="D394" s="379" t="str">
        <f>"C" &amp; C394 &amp;"-" &amp; B394 &amp; "-" &amp; "25"</f>
        <v>C001-132-25</v>
      </c>
      <c r="E394" s="254" t="s">
        <v>81</v>
      </c>
      <c r="F394" s="254" t="s">
        <v>490</v>
      </c>
      <c r="G394" s="345" t="s">
        <v>958</v>
      </c>
      <c r="H394" s="165" t="s">
        <v>68</v>
      </c>
      <c r="I394" s="165" t="s">
        <v>111</v>
      </c>
      <c r="J394" s="289">
        <v>45664</v>
      </c>
      <c r="K394" s="226">
        <v>45678</v>
      </c>
      <c r="L394" s="532"/>
      <c r="M394" s="226" t="s">
        <v>22</v>
      </c>
      <c r="N394" s="511">
        <f>Table2[[#This Row],[Effectiveness Review &amp; date deemed effective]]-Table2[[#This Row],[CAR initialized date]]</f>
        <v>14</v>
      </c>
    </row>
    <row r="395" spans="1:14" ht="18.75">
      <c r="A395" s="227" t="s">
        <v>125</v>
      </c>
      <c r="B395" s="2">
        <f>VLOOKUP(Table2[[#This Row],[Location 
(drop-down)]],Table14[[Location]:[Location ID]],2,FALSE)</f>
        <v>130</v>
      </c>
      <c r="C395" s="254" t="s">
        <v>959</v>
      </c>
      <c r="D395" s="379" t="str">
        <f>"C" &amp; C395 &amp;"-" &amp; B395 &amp; "-" &amp; "25"</f>
        <v>C210-130-25</v>
      </c>
      <c r="E395" s="254" t="s">
        <v>18</v>
      </c>
      <c r="F395" s="254"/>
      <c r="G395" s="227" t="s">
        <v>716</v>
      </c>
      <c r="H395" s="165" t="s">
        <v>20</v>
      </c>
      <c r="I395" s="165" t="s">
        <v>239</v>
      </c>
      <c r="J395" s="276">
        <v>45786</v>
      </c>
      <c r="K395" s="226">
        <v>45927</v>
      </c>
      <c r="L395" s="532"/>
      <c r="M395" s="2" t="str">
        <f ca="1">IF(ISBLANK([1]!Table2[[#This Row],[Complete corrective actions (Approved Date)]]), TODAY()-[1]!Table2[[#This Row],[CAR initialized date]], "CLOSED")</f>
        <v>CLOSED</v>
      </c>
      <c r="N395" s="511">
        <f>Table2[[#This Row],[Effectiveness Review &amp; date deemed effective]]-Table2[[#This Row],[CAR initialized date]]</f>
        <v>141</v>
      </c>
    </row>
    <row r="396" spans="1:14" ht="18.75">
      <c r="A396" s="227" t="s">
        <v>701</v>
      </c>
      <c r="B396" s="2" t="str">
        <f>VLOOKUP(Table2[[#This Row],[Location 
(drop-down)]],Table14[[Location]:[Location ID]],2,FALSE)</f>
        <v>160A</v>
      </c>
      <c r="C396" s="254" t="s">
        <v>960</v>
      </c>
      <c r="D396" s="379" t="str">
        <f>"C" &amp; C396 &amp;"-" &amp; B396 &amp; "-" &amp; "25"</f>
        <v>C193-160A-25</v>
      </c>
      <c r="E396" s="254" t="s">
        <v>18</v>
      </c>
      <c r="F396" s="254"/>
      <c r="G396" s="227" t="s">
        <v>961</v>
      </c>
      <c r="H396" s="165" t="s">
        <v>68</v>
      </c>
      <c r="I396" s="165" t="s">
        <v>47</v>
      </c>
      <c r="J396" s="276">
        <v>45782</v>
      </c>
      <c r="K396" s="226">
        <v>45927</v>
      </c>
      <c r="L396" s="532"/>
      <c r="M396" s="2" t="str">
        <f ca="1">IF(ISBLANK([1]!Table2[[#This Row],[Complete corrective actions (Approved Date)]]), TODAY()-[1]!Table2[[#This Row],[CAR initialized date]], "CLOSED")</f>
        <v>CLOSED</v>
      </c>
      <c r="N396" s="511">
        <f>Table2[[#This Row],[Effectiveness Review &amp; date deemed effective]]-Table2[[#This Row],[CAR initialized date]]</f>
        <v>145</v>
      </c>
    </row>
    <row r="397" spans="1:14" ht="18.75">
      <c r="A397" s="227" t="s">
        <v>314</v>
      </c>
      <c r="B397" s="2">
        <f>VLOOKUP(Table2[[#This Row],[Location 
(drop-down)]],Table14[[Location]:[Location ID]],2,FALSE)</f>
        <v>150</v>
      </c>
      <c r="C397" s="254" t="s">
        <v>962</v>
      </c>
      <c r="D397" s="379" t="str">
        <f>"C" &amp; C397 &amp;"-" &amp; B397 &amp; "-" &amp; "25"</f>
        <v>C154-150-25</v>
      </c>
      <c r="E397" s="254" t="s">
        <v>18</v>
      </c>
      <c r="F397" s="254"/>
      <c r="G397" s="240" t="s">
        <v>708</v>
      </c>
      <c r="H397" s="2" t="s">
        <v>20</v>
      </c>
      <c r="I397" s="165" t="s">
        <v>239</v>
      </c>
      <c r="J397" s="289">
        <v>45744</v>
      </c>
      <c r="K397" s="258">
        <v>45927</v>
      </c>
      <c r="L397" s="532"/>
      <c r="M397" s="2" t="str">
        <f ca="1">IF(ISBLANK([1]!Table2[[#This Row],[Complete corrective actions (Approved Date)]]), TODAY()-[1]!Table2[[#This Row],[CAR initialized date]], "CLOSED")</f>
        <v>CLOSED</v>
      </c>
      <c r="N397" s="511">
        <f>Table2[[#This Row],[Effectiveness Review &amp; date deemed effective]]-Table2[[#This Row],[CAR initialized date]]</f>
        <v>183</v>
      </c>
    </row>
    <row r="398" spans="1:14" ht="18.75">
      <c r="A398" s="227" t="s">
        <v>566</v>
      </c>
      <c r="B398" s="2">
        <f>VLOOKUP(Table2[[#This Row],[Location 
(drop-down)]],Table14[[Location]:[Location ID]],2,FALSE)</f>
        <v>133</v>
      </c>
      <c r="C398" s="254" t="s">
        <v>963</v>
      </c>
      <c r="D398" s="378" t="s">
        <v>964</v>
      </c>
      <c r="E398" s="413" t="s">
        <v>18</v>
      </c>
      <c r="F398" s="413"/>
      <c r="G398" s="227" t="s">
        <v>965</v>
      </c>
      <c r="H398" s="165" t="s">
        <v>20</v>
      </c>
      <c r="I398" s="230" t="s">
        <v>69</v>
      </c>
      <c r="J398" s="289">
        <v>45823</v>
      </c>
      <c r="K398" s="226">
        <v>45929</v>
      </c>
      <c r="L398" s="532"/>
      <c r="M398" s="2" t="str">
        <f ca="1">IF(ISBLANK([1]!Table2[[#This Row],[Complete corrective actions (Approved Date)]]), TODAY()-[1]!Table2[[#This Row],[CAR initialized date]], "CLOSED")</f>
        <v>CLOSED</v>
      </c>
      <c r="N398" s="511">
        <f>Table2[[#This Row],[Effectiveness Review &amp; date deemed effective]]-Table2[[#This Row],[CAR initialized date]]</f>
        <v>106</v>
      </c>
    </row>
    <row r="399" spans="1:14" ht="18.75">
      <c r="A399" s="227" t="s">
        <v>139</v>
      </c>
      <c r="B399" s="2">
        <f>VLOOKUP(Table2[[#This Row],[Location 
(drop-down)]],Table14[[Location]:[Location ID]],2,FALSE)</f>
        <v>191</v>
      </c>
      <c r="C399" s="254" t="s">
        <v>966</v>
      </c>
      <c r="D399" s="378" t="s">
        <v>967</v>
      </c>
      <c r="E399" s="254" t="s">
        <v>18</v>
      </c>
      <c r="F399" s="254"/>
      <c r="G399" s="227" t="s">
        <v>968</v>
      </c>
      <c r="H399" s="165" t="s">
        <v>20</v>
      </c>
      <c r="I399" s="165" t="s">
        <v>47</v>
      </c>
      <c r="J399" s="289">
        <v>45615</v>
      </c>
      <c r="K399" s="226">
        <v>45929</v>
      </c>
      <c r="L399" s="532"/>
      <c r="M399" s="2" t="str">
        <f ca="1">IF(ISBLANK([1]!Table2[[#This Row],[Complete corrective actions (Approved Date)]]), TODAY()-[1]!Table2[[#This Row],[CAR initialized date]], "CLOSED")</f>
        <v>CLOSED</v>
      </c>
      <c r="N399" s="511">
        <f>Table2[[#This Row],[Effectiveness Review &amp; date deemed effective]]-Table2[[#This Row],[CAR initialized date]]</f>
        <v>314</v>
      </c>
    </row>
    <row r="400" spans="1:14" ht="30">
      <c r="A400" s="64" t="s">
        <v>969</v>
      </c>
      <c r="B400" s="11">
        <f>VLOOKUP(Table2[[#This Row],[Location 
(drop-down)]],Table14[[Location]:[Location ID]],2,FALSE)</f>
        <v>129</v>
      </c>
      <c r="C400" s="9" t="s">
        <v>970</v>
      </c>
      <c r="D400" s="567" t="str">
        <f>"C" &amp; C400 &amp; "-" &amp; B400 &amp; "-" &amp; "23"</f>
        <v>C423-129-23</v>
      </c>
      <c r="E400" s="9" t="s">
        <v>18</v>
      </c>
      <c r="F400" s="532"/>
      <c r="G400" s="64" t="s">
        <v>971</v>
      </c>
      <c r="H400" s="532"/>
      <c r="I400" s="67" t="s">
        <v>57</v>
      </c>
      <c r="J400" s="138">
        <v>45104</v>
      </c>
      <c r="K400" s="68">
        <v>45929</v>
      </c>
      <c r="L400" s="532"/>
      <c r="M400" s="2" t="s">
        <v>22</v>
      </c>
      <c r="N400" s="511">
        <f>Table2[[#This Row],[Effectiveness Review &amp; date deemed effective]]-Table2[[#This Row],[CAR initialized date]]</f>
        <v>825</v>
      </c>
    </row>
    <row r="401" spans="1:14" ht="30">
      <c r="A401" s="64" t="s">
        <v>969</v>
      </c>
      <c r="B401" s="11">
        <f>VLOOKUP(Table2[[#This Row],[Location 
(drop-down)]],Table14[[Location]:[Location ID]],2,FALSE)</f>
        <v>129</v>
      </c>
      <c r="C401" s="9" t="s">
        <v>972</v>
      </c>
      <c r="D401" s="567" t="str">
        <f>"C" &amp; C401 &amp; "-" &amp; B401 &amp; "-" &amp; "23"</f>
        <v>C424-129-23</v>
      </c>
      <c r="E401" s="9" t="s">
        <v>18</v>
      </c>
      <c r="F401" s="533"/>
      <c r="G401" s="64" t="s">
        <v>797</v>
      </c>
      <c r="H401" s="532"/>
      <c r="I401" s="67" t="s">
        <v>57</v>
      </c>
      <c r="J401" s="138">
        <v>45104</v>
      </c>
      <c r="K401" s="68">
        <v>45929</v>
      </c>
      <c r="L401" s="532"/>
      <c r="M401" s="2" t="s">
        <v>22</v>
      </c>
      <c r="N401" s="511">
        <f>Table2[[#This Row],[Effectiveness Review &amp; date deemed effective]]-Table2[[#This Row],[CAR initialized date]]</f>
        <v>825</v>
      </c>
    </row>
    <row r="402" spans="1:14" ht="30">
      <c r="A402" s="64" t="s">
        <v>969</v>
      </c>
      <c r="B402" s="11">
        <f>VLOOKUP(Table2[[#This Row],[Location 
(drop-down)]],Table14[[Location]:[Location ID]],2,FALSE)</f>
        <v>129</v>
      </c>
      <c r="C402" s="9" t="s">
        <v>973</v>
      </c>
      <c r="D402" s="567" t="str">
        <f>"C" &amp; C402 &amp; "-" &amp; B402 &amp; "-" &amp; "23"</f>
        <v>C426-129-23</v>
      </c>
      <c r="E402" s="9" t="s">
        <v>18</v>
      </c>
      <c r="F402" s="532"/>
      <c r="G402" s="64" t="s">
        <v>568</v>
      </c>
      <c r="H402" s="532"/>
      <c r="I402" s="67" t="s">
        <v>57</v>
      </c>
      <c r="J402" s="138">
        <v>45104</v>
      </c>
      <c r="K402" s="68">
        <v>45929</v>
      </c>
      <c r="L402" s="532"/>
      <c r="M402" s="2" t="s">
        <v>22</v>
      </c>
      <c r="N402" s="511">
        <f>Table2[[#This Row],[Effectiveness Review &amp; date deemed effective]]-Table2[[#This Row],[CAR initialized date]]</f>
        <v>825</v>
      </c>
    </row>
    <row r="403" spans="1:14" ht="18.75">
      <c r="A403" s="227" t="s">
        <v>714</v>
      </c>
      <c r="B403" s="2">
        <f>VLOOKUP(Table2[[#This Row],[Location 
(drop-down)]],Table14[[Location]:[Location ID]],2,FALSE)</f>
        <v>215</v>
      </c>
      <c r="C403" s="254" t="s">
        <v>974</v>
      </c>
      <c r="D403" s="379" t="str">
        <f>"C" &amp; C403 &amp;"-" &amp; B403 &amp; "-" &amp; "25"</f>
        <v>C148-215-25</v>
      </c>
      <c r="E403" s="254" t="s">
        <v>18</v>
      </c>
      <c r="F403" s="254"/>
      <c r="G403" s="240" t="s">
        <v>975</v>
      </c>
      <c r="H403" s="165" t="s">
        <v>20</v>
      </c>
      <c r="I403" s="165" t="s">
        <v>21</v>
      </c>
      <c r="J403" s="289">
        <v>45744</v>
      </c>
      <c r="K403" s="258">
        <v>45930</v>
      </c>
      <c r="L403" s="532"/>
      <c r="M403" s="2" t="str">
        <f ca="1">IF(ISBLANK([1]!Table2[[#This Row],[Complete corrective actions (Approved Date)]]), TODAY()-[1]!Table2[[#This Row],[CAR initialized date]], "CLOSED")</f>
        <v>CLOSED</v>
      </c>
      <c r="N403" s="511">
        <f>Table2[[#This Row],[Effectiveness Review &amp; date deemed effective]]-Table2[[#This Row],[CAR initialized date]]</f>
        <v>186</v>
      </c>
    </row>
    <row r="404" spans="1:14" ht="18.75">
      <c r="A404" s="227" t="s">
        <v>314</v>
      </c>
      <c r="B404" s="2">
        <f>VLOOKUP(Table2[[#This Row],[Location 
(drop-down)]],Table14[[Location]:[Location ID]],2,FALSE)</f>
        <v>150</v>
      </c>
      <c r="C404" s="254" t="s">
        <v>369</v>
      </c>
      <c r="D404" s="379" t="str">
        <f>"C" &amp; C404 &amp;"-" &amp; B404 &amp; "-" &amp; "25"</f>
        <v>C404-150-25</v>
      </c>
      <c r="E404" s="254" t="s">
        <v>120</v>
      </c>
      <c r="F404" s="254" t="s">
        <v>269</v>
      </c>
      <c r="G404" s="345" t="s">
        <v>976</v>
      </c>
      <c r="H404" s="165" t="s">
        <v>68</v>
      </c>
      <c r="I404" s="165" t="s">
        <v>327</v>
      </c>
      <c r="J404" s="289">
        <v>45925</v>
      </c>
      <c r="K404" s="226">
        <v>45930</v>
      </c>
      <c r="L404" s="532"/>
      <c r="M404" s="2" t="str">
        <f ca="1">IF(ISBLANK([1]!Table2[[#This Row],[Complete corrective actions (Approved Date)]]), TODAY()-[1]!Table2[[#This Row],[CAR initialized date]], "CLOSED")</f>
        <v>CLOSED</v>
      </c>
      <c r="N404" s="511">
        <f>Table2[[#This Row],[Effectiveness Review &amp; date deemed effective]]-Table2[[#This Row],[CAR initialized date]]</f>
        <v>5</v>
      </c>
    </row>
    <row r="405" spans="1:14" ht="18.75">
      <c r="A405" s="227" t="s">
        <v>485</v>
      </c>
      <c r="B405" s="2">
        <f>VLOOKUP(Table2[[#This Row],[Location 
(drop-down)]],Table14[[Location]:[Location ID]],2,FALSE)</f>
        <v>165</v>
      </c>
      <c r="C405" s="254" t="s">
        <v>977</v>
      </c>
      <c r="D405" s="379" t="str">
        <f>"C" &amp; C405 &amp;"-" &amp; B405 &amp; "-" &amp; "25"</f>
        <v>C237-165-25</v>
      </c>
      <c r="E405" s="254" t="s">
        <v>18</v>
      </c>
      <c r="F405" s="254"/>
      <c r="G405" s="227" t="s">
        <v>708</v>
      </c>
      <c r="H405" s="165" t="s">
        <v>20</v>
      </c>
      <c r="I405" s="165" t="s">
        <v>21</v>
      </c>
      <c r="J405" s="276">
        <v>45799</v>
      </c>
      <c r="K405" s="226">
        <v>45931</v>
      </c>
      <c r="L405" s="532"/>
      <c r="M405" s="2" t="str">
        <f ca="1">IF(ISBLANK([1]!Table2[[#This Row],[Complete corrective actions (Approved Date)]]), TODAY()-[1]!Table2[[#This Row],[CAR initialized date]], "CLOSED")</f>
        <v>CLOSED</v>
      </c>
      <c r="N405" s="511">
        <f>Table2[[#This Row],[Effectiveness Review &amp; date deemed effective]]-Table2[[#This Row],[CAR initialized date]]</f>
        <v>132</v>
      </c>
    </row>
    <row r="406" spans="1:14" ht="18.75">
      <c r="A406" s="227" t="s">
        <v>485</v>
      </c>
      <c r="B406" s="2">
        <f>VLOOKUP(Table2[[#This Row],[Location 
(drop-down)]],Table14[[Location]:[Location ID]],2,FALSE)</f>
        <v>165</v>
      </c>
      <c r="C406" s="254" t="s">
        <v>978</v>
      </c>
      <c r="D406" s="379" t="str">
        <f>"C" &amp; C406 &amp;"-" &amp; B406 &amp; "-" &amp; "25"</f>
        <v>C239-165-25</v>
      </c>
      <c r="E406" s="254" t="s">
        <v>18</v>
      </c>
      <c r="F406" s="254"/>
      <c r="G406" s="227" t="s">
        <v>979</v>
      </c>
      <c r="H406" s="165" t="s">
        <v>20</v>
      </c>
      <c r="I406" s="165" t="s">
        <v>21</v>
      </c>
      <c r="J406" s="276">
        <v>45799</v>
      </c>
      <c r="K406" s="226">
        <v>45931</v>
      </c>
      <c r="L406" s="532"/>
      <c r="M406" s="2" t="str">
        <f ca="1">IF(ISBLANK([1]!Table2[[#This Row],[Complete corrective actions (Approved Date)]]), TODAY()-[1]!Table2[[#This Row],[CAR initialized date]], "CLOSED")</f>
        <v>CLOSED</v>
      </c>
      <c r="N406" s="511">
        <f>Table2[[#This Row],[Effectiveness Review &amp; date deemed effective]]-Table2[[#This Row],[CAR initialized date]]</f>
        <v>132</v>
      </c>
    </row>
    <row r="407" spans="1:14" ht="18.75">
      <c r="A407" s="227" t="s">
        <v>485</v>
      </c>
      <c r="B407" s="2">
        <f>VLOOKUP(Table2[[#This Row],[Location 
(drop-down)]],Table14[[Location]:[Location ID]],2,FALSE)</f>
        <v>165</v>
      </c>
      <c r="C407" s="254" t="s">
        <v>815</v>
      </c>
      <c r="D407" s="379" t="str">
        <f>"C" &amp; C407 &amp;"-" &amp; B407 &amp; "-" &amp; "25"</f>
        <v>C381-165-25</v>
      </c>
      <c r="E407" s="254" t="s">
        <v>120</v>
      </c>
      <c r="F407" s="254" t="s">
        <v>151</v>
      </c>
      <c r="G407" s="227" t="s">
        <v>980</v>
      </c>
      <c r="H407" s="165" t="s">
        <v>20</v>
      </c>
      <c r="I407" s="165" t="s">
        <v>239</v>
      </c>
      <c r="J407" s="289">
        <v>45904</v>
      </c>
      <c r="K407" s="226">
        <v>45931</v>
      </c>
      <c r="L407" s="532"/>
      <c r="M407" s="2" t="str">
        <f ca="1">IF(ISBLANK([1]!Table2[[#This Row],[Complete corrective actions (Approved Date)]]), TODAY()-[1]!Table2[[#This Row],[CAR initialized date]], "CLOSED")</f>
        <v>CLOSED</v>
      </c>
      <c r="N407" s="511">
        <f>Table2[[#This Row],[Effectiveness Review &amp; date deemed effective]]-Table2[[#This Row],[CAR initialized date]]</f>
        <v>27</v>
      </c>
    </row>
    <row r="408" spans="1:14" ht="18.75">
      <c r="A408" s="227" t="s">
        <v>485</v>
      </c>
      <c r="B408" s="2">
        <f>VLOOKUP(Table2[[#This Row],[Location 
(drop-down)]],Table14[[Location]:[Location ID]],2,FALSE)</f>
        <v>165</v>
      </c>
      <c r="C408" s="254" t="s">
        <v>437</v>
      </c>
      <c r="D408" s="379" t="str">
        <f>"C" &amp; C408 &amp;"-" &amp; B408 &amp; "-" &amp; "25"</f>
        <v>C385-165-25</v>
      </c>
      <c r="E408" s="254" t="s">
        <v>26</v>
      </c>
      <c r="F408" s="254" t="s">
        <v>151</v>
      </c>
      <c r="G408" s="227" t="s">
        <v>981</v>
      </c>
      <c r="H408" s="165" t="s">
        <v>20</v>
      </c>
      <c r="I408" s="165" t="s">
        <v>239</v>
      </c>
      <c r="J408" s="289">
        <v>45905</v>
      </c>
      <c r="K408" s="226">
        <v>45931</v>
      </c>
      <c r="L408" s="532"/>
      <c r="M408" s="2" t="str">
        <f ca="1">IF(ISBLANK([1]!Table2[[#This Row],[Complete corrective actions (Approved Date)]]), TODAY()-[1]!Table2[[#This Row],[CAR initialized date]], "CLOSED")</f>
        <v>CLOSED</v>
      </c>
      <c r="N408" s="511">
        <f>Table2[[#This Row],[Effectiveness Review &amp; date deemed effective]]-Table2[[#This Row],[CAR initialized date]]</f>
        <v>26</v>
      </c>
    </row>
    <row r="409" spans="1:14" ht="18.75">
      <c r="A409" s="227" t="s">
        <v>15</v>
      </c>
      <c r="B409" s="2">
        <f>VLOOKUP(Table2[[#This Row],[Location 
(drop-down)]],Table14[[Location]:[Location ID]],2,FALSE)</f>
        <v>197</v>
      </c>
      <c r="C409" s="254" t="s">
        <v>923</v>
      </c>
      <c r="D409" s="379" t="str">
        <f>"C" &amp; C409 &amp;"-" &amp; B409 &amp; "-" &amp; "25"</f>
        <v>C375-197-25</v>
      </c>
      <c r="E409" s="254" t="s">
        <v>26</v>
      </c>
      <c r="F409" s="254" t="s">
        <v>151</v>
      </c>
      <c r="G409" s="227" t="s">
        <v>982</v>
      </c>
      <c r="H409" s="165" t="s">
        <v>20</v>
      </c>
      <c r="I409" s="165" t="s">
        <v>239</v>
      </c>
      <c r="J409" s="289">
        <v>45894</v>
      </c>
      <c r="K409" s="226">
        <v>45931</v>
      </c>
      <c r="L409" s="532"/>
      <c r="M409" s="2" t="str">
        <f ca="1">IF(ISBLANK([1]!Table2[[#This Row],[Complete corrective actions (Approved Date)]]), TODAY()-[1]!Table2[[#This Row],[CAR initialized date]], "CLOSED")</f>
        <v>CLOSED</v>
      </c>
      <c r="N409" s="511">
        <f>Table2[[#This Row],[Effectiveness Review &amp; date deemed effective]]-Table2[[#This Row],[CAR initialized date]]</f>
        <v>37</v>
      </c>
    </row>
    <row r="410" spans="1:14" ht="18.75">
      <c r="A410" s="227" t="s">
        <v>500</v>
      </c>
      <c r="B410" s="2">
        <f>VLOOKUP(Table2[[#This Row],[Location 
(drop-down)]],Table14[[Location]:[Location ID]],2,FALSE)</f>
        <v>170</v>
      </c>
      <c r="C410" s="254" t="s">
        <v>65</v>
      </c>
      <c r="D410" s="379" t="str">
        <f>"C" &amp; C410 &amp;"-" &amp; B410 &amp; "-" &amp; "25"</f>
        <v>C187-170-25</v>
      </c>
      <c r="E410" s="254" t="s">
        <v>18</v>
      </c>
      <c r="F410" s="254"/>
      <c r="G410" s="227" t="s">
        <v>983</v>
      </c>
      <c r="H410" s="165" t="s">
        <v>20</v>
      </c>
      <c r="I410" s="165" t="s">
        <v>69</v>
      </c>
      <c r="J410" s="276">
        <v>45782</v>
      </c>
      <c r="K410" s="226">
        <v>45931</v>
      </c>
      <c r="L410" s="532"/>
      <c r="M410" s="2" t="str">
        <f ca="1">IF(ISBLANK([1]!Table2[[#This Row],[Complete corrective actions (Approved Date)]]), TODAY()-[1]!Table2[[#This Row],[CAR initialized date]], "CLOSED")</f>
        <v>CLOSED</v>
      </c>
      <c r="N410" s="511">
        <f>Table2[[#This Row],[Effectiveness Review &amp; date deemed effective]]-Table2[[#This Row],[CAR initialized date]]</f>
        <v>149</v>
      </c>
    </row>
    <row r="411" spans="1:14" ht="18.75">
      <c r="A411" s="227" t="s">
        <v>23</v>
      </c>
      <c r="B411" s="2">
        <f>VLOOKUP(Table2[[#This Row],[Location 
(drop-down)]],Table14[[Location]:[Location ID]],2,FALSE)</f>
        <v>192</v>
      </c>
      <c r="C411" s="254" t="s">
        <v>984</v>
      </c>
      <c r="D411" s="379" t="str">
        <f>"C" &amp; C411 &amp;"-" &amp; B411 &amp; "-" &amp; "25"</f>
        <v>C167-192-25</v>
      </c>
      <c r="E411" s="254" t="s">
        <v>18</v>
      </c>
      <c r="F411" s="254"/>
      <c r="G411" s="240" t="s">
        <v>305</v>
      </c>
      <c r="H411" s="2" t="s">
        <v>201</v>
      </c>
      <c r="I411" s="165" t="s">
        <v>47</v>
      </c>
      <c r="J411" s="289">
        <v>45754</v>
      </c>
      <c r="K411" s="258">
        <v>45931</v>
      </c>
      <c r="L411" s="532"/>
      <c r="M411" s="2" t="str">
        <f ca="1">IF(ISBLANK([1]!Table2[[#This Row],[Complete corrective actions (Approved Date)]]), TODAY()-[1]!Table2[[#This Row],[CAR initialized date]], "CLOSED")</f>
        <v>CLOSED</v>
      </c>
      <c r="N411" s="511">
        <f>Table2[[#This Row],[Effectiveness Review &amp; date deemed effective]]-Table2[[#This Row],[CAR initialized date]]</f>
        <v>177</v>
      </c>
    </row>
    <row r="412" spans="1:14" ht="18.75">
      <c r="A412" s="227" t="s">
        <v>485</v>
      </c>
      <c r="B412" s="2">
        <f>VLOOKUP(Table2[[#This Row],[Location 
(drop-down)]],Table14[[Location]:[Location ID]],2,FALSE)</f>
        <v>165</v>
      </c>
      <c r="C412" s="254" t="s">
        <v>985</v>
      </c>
      <c r="D412" s="379" t="str">
        <f>"C" &amp; C412 &amp;"-" &amp; B412 &amp; "-" &amp; "25"</f>
        <v>C386-165-25</v>
      </c>
      <c r="E412" s="254" t="s">
        <v>26</v>
      </c>
      <c r="F412" s="254" t="s">
        <v>151</v>
      </c>
      <c r="G412" s="227" t="s">
        <v>986</v>
      </c>
      <c r="H412" s="165" t="s">
        <v>20</v>
      </c>
      <c r="I412" s="165" t="s">
        <v>239</v>
      </c>
      <c r="J412" s="289">
        <v>45905</v>
      </c>
      <c r="K412" s="226">
        <v>45933</v>
      </c>
      <c r="L412" s="532"/>
      <c r="M412" s="2" t="str">
        <f ca="1">IF(ISBLANK([1]!Table2[[#This Row],[Complete corrective actions (Approved Date)]]), TODAY()-[1]!Table2[[#This Row],[CAR initialized date]], "CLOSED")</f>
        <v>CLOSED</v>
      </c>
      <c r="N412" s="511">
        <f>Table2[[#This Row],[Effectiveness Review &amp; date deemed effective]]-Table2[[#This Row],[CAR initialized date]]</f>
        <v>28</v>
      </c>
    </row>
    <row r="413" spans="1:14" ht="18.75">
      <c r="A413" s="227" t="s">
        <v>15</v>
      </c>
      <c r="B413" s="2">
        <f>VLOOKUP(Table2[[#This Row],[Location 
(drop-down)]],Table14[[Location]:[Location ID]],2,FALSE)</f>
        <v>197</v>
      </c>
      <c r="C413" s="254" t="s">
        <v>987</v>
      </c>
      <c r="D413" s="379" t="str">
        <f>"C" &amp; C413 &amp;"-" &amp; B413 &amp; "-" &amp; "25"</f>
        <v>C376-197-25</v>
      </c>
      <c r="E413" s="254" t="s">
        <v>26</v>
      </c>
      <c r="F413" s="254" t="s">
        <v>151</v>
      </c>
      <c r="G413" s="227" t="s">
        <v>988</v>
      </c>
      <c r="H413" s="165" t="s">
        <v>20</v>
      </c>
      <c r="I413" s="165" t="s">
        <v>239</v>
      </c>
      <c r="J413" s="289">
        <v>45894</v>
      </c>
      <c r="K413" s="226">
        <v>45933</v>
      </c>
      <c r="L413" s="532"/>
      <c r="M413" s="2" t="str">
        <f ca="1">IF(ISBLANK([1]!Table2[[#This Row],[Complete corrective actions (Approved Date)]]), TODAY()-[1]!Table2[[#This Row],[CAR initialized date]], "CLOSED")</f>
        <v>CLOSED</v>
      </c>
      <c r="N413" s="511">
        <f>Table2[[#This Row],[Effectiveness Review &amp; date deemed effective]]-Table2[[#This Row],[CAR initialized date]]</f>
        <v>39</v>
      </c>
    </row>
    <row r="414" spans="1:14" ht="18.75">
      <c r="A414" s="227" t="s">
        <v>485</v>
      </c>
      <c r="B414" s="2">
        <f>VLOOKUP(Table2[[#This Row],[Location 
(drop-down)]],Table14[[Location]:[Location ID]],2,FALSE)</f>
        <v>165</v>
      </c>
      <c r="C414" s="254" t="s">
        <v>989</v>
      </c>
      <c r="D414" s="379" t="str">
        <f>"C" &amp; C414 &amp;"-" &amp; B414 &amp; "-" &amp; "25"</f>
        <v>C240-165-25</v>
      </c>
      <c r="E414" s="254" t="s">
        <v>18</v>
      </c>
      <c r="F414" s="254"/>
      <c r="G414" s="227" t="s">
        <v>990</v>
      </c>
      <c r="H414" s="165" t="s">
        <v>20</v>
      </c>
      <c r="I414" s="165" t="s">
        <v>21</v>
      </c>
      <c r="J414" s="276">
        <v>45799</v>
      </c>
      <c r="K414" s="226">
        <v>45937</v>
      </c>
      <c r="L414" s="532"/>
      <c r="M414" s="2" t="str">
        <f ca="1">IF(ISBLANK([1]!Table2[[#This Row],[Complete corrective actions (Approved Date)]]), TODAY()-[1]!Table2[[#This Row],[CAR initialized date]], "CLOSED")</f>
        <v>CLOSED</v>
      </c>
      <c r="N414" s="511">
        <f>Table2[[#This Row],[Effectiveness Review &amp; date deemed effective]]-Table2[[#This Row],[CAR initialized date]]</f>
        <v>138</v>
      </c>
    </row>
    <row r="415" spans="1:14" ht="18.75">
      <c r="A415" s="227" t="s">
        <v>125</v>
      </c>
      <c r="B415" s="2">
        <f>VLOOKUP(Table2[[#This Row],[Location 
(drop-down)]],Table14[[Location]:[Location ID]],2,FALSE)</f>
        <v>130</v>
      </c>
      <c r="C415" s="254" t="s">
        <v>991</v>
      </c>
      <c r="D415" s="379" t="str">
        <f>"C" &amp; C415 &amp;"-" &amp; B415 &amp; "-" &amp; "25"</f>
        <v>C211-130-25</v>
      </c>
      <c r="E415" s="254" t="s">
        <v>18</v>
      </c>
      <c r="F415" s="254"/>
      <c r="G415" s="271" t="s">
        <v>296</v>
      </c>
      <c r="H415" s="165" t="s">
        <v>20</v>
      </c>
      <c r="I415" s="165" t="s">
        <v>239</v>
      </c>
      <c r="J415" s="276">
        <v>45786</v>
      </c>
      <c r="K415" s="226">
        <v>45937</v>
      </c>
      <c r="L415" s="532"/>
      <c r="M415" s="2" t="str">
        <f ca="1">IF(ISBLANK([1]!Table2[[#This Row],[Complete corrective actions (Approved Date)]]), TODAY()-[1]!Table2[[#This Row],[CAR initialized date]], "CLOSED")</f>
        <v>CLOSED</v>
      </c>
      <c r="N415" s="511">
        <f>Table2[[#This Row],[Effectiveness Review &amp; date deemed effective]]-Table2[[#This Row],[CAR initialized date]]</f>
        <v>151</v>
      </c>
    </row>
    <row r="416" spans="1:14" ht="18.75">
      <c r="A416" s="227" t="s">
        <v>500</v>
      </c>
      <c r="B416" s="2">
        <f>VLOOKUP(Table2[[#This Row],[Location 
(drop-down)]],Table14[[Location]:[Location ID]],2,FALSE)</f>
        <v>170</v>
      </c>
      <c r="C416" s="254" t="s">
        <v>992</v>
      </c>
      <c r="D416" s="379" t="str">
        <f>"C" &amp; C416 &amp;"-" &amp; B416 &amp; "-" &amp; "25"</f>
        <v>C180-170-25</v>
      </c>
      <c r="E416" s="254" t="s">
        <v>18</v>
      </c>
      <c r="F416" s="254"/>
      <c r="G416" s="227" t="s">
        <v>993</v>
      </c>
      <c r="H416" s="165" t="s">
        <v>20</v>
      </c>
      <c r="I416" s="165" t="s">
        <v>69</v>
      </c>
      <c r="J416" s="276">
        <v>45782</v>
      </c>
      <c r="K416" s="226">
        <v>45937</v>
      </c>
      <c r="L416" s="532"/>
      <c r="M416" s="2" t="str">
        <f ca="1">IF(ISBLANK([1]!Table2[[#This Row],[Complete corrective actions (Approved Date)]]), TODAY()-[1]!Table2[[#This Row],[CAR initialized date]], "CLOSED")</f>
        <v>CLOSED</v>
      </c>
      <c r="N416" s="511">
        <f>Table2[[#This Row],[Effectiveness Review &amp; date deemed effective]]-Table2[[#This Row],[CAR initialized date]]</f>
        <v>155</v>
      </c>
    </row>
    <row r="417" spans="1:14" ht="30">
      <c r="A417" s="64" t="s">
        <v>969</v>
      </c>
      <c r="B417" s="11">
        <f>VLOOKUP(Table2[[#This Row],[Location 
(drop-down)]],Table14[[Location]:[Location ID]],2,FALSE)</f>
        <v>129</v>
      </c>
      <c r="C417" s="9" t="s">
        <v>994</v>
      </c>
      <c r="D417" s="567" t="str">
        <f>"C" &amp; C417 &amp; "-" &amp; B417 &amp; "-" &amp; "23"</f>
        <v>C425-129-23</v>
      </c>
      <c r="E417" s="9" t="s">
        <v>18</v>
      </c>
      <c r="F417" s="532"/>
      <c r="G417" s="64" t="s">
        <v>995</v>
      </c>
      <c r="H417" s="532"/>
      <c r="I417" s="67" t="s">
        <v>57</v>
      </c>
      <c r="J417" s="138">
        <v>45104</v>
      </c>
      <c r="K417" s="68">
        <v>45937</v>
      </c>
      <c r="L417" s="532"/>
      <c r="M417" s="2" t="s">
        <v>22</v>
      </c>
      <c r="N417" s="511">
        <f>Table2[[#This Row],[Effectiveness Review &amp; date deemed effective]]-Table2[[#This Row],[CAR initialized date]]</f>
        <v>833</v>
      </c>
    </row>
    <row r="418" spans="1:14" ht="18.75">
      <c r="A418" s="227" t="s">
        <v>264</v>
      </c>
      <c r="B418" s="2">
        <f>VLOOKUP(Table2[[#This Row],[Location 
(drop-down)]],Table14[[Location]:[Location ID]],2,FALSE)</f>
        <v>142</v>
      </c>
      <c r="C418" s="254" t="s">
        <v>996</v>
      </c>
      <c r="D418" s="379" t="str">
        <f>"C" &amp; C418 &amp;"-" &amp; B418 &amp; "-" &amp; "25"</f>
        <v>C389-142-25</v>
      </c>
      <c r="E418" s="254" t="s">
        <v>86</v>
      </c>
      <c r="F418" s="254" t="s">
        <v>158</v>
      </c>
      <c r="G418" s="227" t="s">
        <v>997</v>
      </c>
      <c r="H418" s="165" t="s">
        <v>68</v>
      </c>
      <c r="I418" s="165" t="s">
        <v>239</v>
      </c>
      <c r="J418" s="289">
        <v>45916</v>
      </c>
      <c r="K418" s="226">
        <v>45939</v>
      </c>
      <c r="L418" s="532"/>
      <c r="M418" s="2" t="str">
        <f ca="1">IF(ISBLANK([1]!Table2[[#This Row],[Complete corrective actions (Approved Date)]]), TODAY()-[1]!Table2[[#This Row],[CAR initialized date]], "CLOSED")</f>
        <v>CLOSED</v>
      </c>
      <c r="N418" s="511">
        <f>Table2[[#This Row],[Effectiveness Review &amp; date deemed effective]]-Table2[[#This Row],[CAR initialized date]]</f>
        <v>23</v>
      </c>
    </row>
    <row r="419" spans="1:14" ht="18.75">
      <c r="A419" s="227" t="s">
        <v>264</v>
      </c>
      <c r="B419" s="2">
        <f>VLOOKUP(Table2[[#This Row],[Location 
(drop-down)]],Table14[[Location]:[Location ID]],2,FALSE)</f>
        <v>142</v>
      </c>
      <c r="C419" s="254" t="s">
        <v>998</v>
      </c>
      <c r="D419" s="379" t="str">
        <f>"C" &amp; C419 &amp;"-" &amp; B419 &amp; "-" &amp; "25"</f>
        <v>C390-142-25</v>
      </c>
      <c r="E419" s="254" t="s">
        <v>86</v>
      </c>
      <c r="F419" s="254" t="s">
        <v>158</v>
      </c>
      <c r="G419" s="227" t="s">
        <v>999</v>
      </c>
      <c r="H419" s="214" t="s">
        <v>68</v>
      </c>
      <c r="I419" s="165" t="s">
        <v>239</v>
      </c>
      <c r="J419" s="289">
        <v>45916</v>
      </c>
      <c r="K419" s="226">
        <v>45939</v>
      </c>
      <c r="L419" s="532"/>
      <c r="M419" s="2" t="str">
        <f ca="1">IF(ISBLANK([1]!Table2[[#This Row],[Complete corrective actions (Approved Date)]]), TODAY()-[1]!Table2[[#This Row],[CAR initialized date]], "CLOSED")</f>
        <v>CLOSED</v>
      </c>
      <c r="N419" s="511">
        <f>Table2[[#This Row],[Effectiveness Review &amp; date deemed effective]]-Table2[[#This Row],[CAR initialized date]]</f>
        <v>23</v>
      </c>
    </row>
    <row r="420" spans="1:14" ht="18.75">
      <c r="A420" s="227" t="s">
        <v>30</v>
      </c>
      <c r="B420" s="2">
        <f>VLOOKUP(Table2[[#This Row],[Location 
(drop-down)]],Table14[[Location]:[Location ID]],2,FALSE)</f>
        <v>132</v>
      </c>
      <c r="C420" s="254" t="s">
        <v>1000</v>
      </c>
      <c r="D420" s="379" t="str">
        <f>"C" &amp; C420 &amp;"-" &amp; B420 &amp; "-" &amp; "25"</f>
        <v>C021-132-25</v>
      </c>
      <c r="E420" s="254" t="s">
        <v>120</v>
      </c>
      <c r="F420" s="254" t="s">
        <v>1001</v>
      </c>
      <c r="G420" s="227" t="s">
        <v>1002</v>
      </c>
      <c r="H420" s="214" t="s">
        <v>68</v>
      </c>
      <c r="I420" s="165" t="s">
        <v>111</v>
      </c>
      <c r="J420" s="289">
        <v>45684</v>
      </c>
      <c r="K420" s="226">
        <v>45701</v>
      </c>
      <c r="L420" s="532"/>
      <c r="M420" s="226" t="s">
        <v>22</v>
      </c>
      <c r="N420" s="511">
        <f>Table2[[#This Row],[Effectiveness Review &amp; date deemed effective]]-Table2[[#This Row],[CAR initialized date]]</f>
        <v>17</v>
      </c>
    </row>
    <row r="421" spans="1:14" ht="18.75">
      <c r="A421" s="227" t="s">
        <v>969</v>
      </c>
      <c r="B421" s="2">
        <f>VLOOKUP(Table2[[#This Row],[Location 
(drop-down)]],Table14[[Location]:[Location ID]],2,FALSE)</f>
        <v>129</v>
      </c>
      <c r="C421" s="254">
        <v>523</v>
      </c>
      <c r="D421" s="378" t="s">
        <v>1003</v>
      </c>
      <c r="E421" s="413" t="s">
        <v>18</v>
      </c>
      <c r="F421" s="413"/>
      <c r="G421" s="190" t="s">
        <v>1004</v>
      </c>
      <c r="H421" s="165" t="s">
        <v>201</v>
      </c>
      <c r="I421" s="230" t="s">
        <v>1005</v>
      </c>
      <c r="J421" s="289">
        <v>45701</v>
      </c>
      <c r="K421" s="226">
        <v>45944</v>
      </c>
      <c r="L421" s="532"/>
      <c r="M421" s="2" t="str">
        <f ca="1">IF(ISBLANK([1]!Table2[[#This Row],[Complete corrective actions (Approved Date)]]), TODAY()-[1]!Table2[[#This Row],[CAR initialized date]], "CLOSED")</f>
        <v>CLOSED</v>
      </c>
      <c r="N421" s="511">
        <f>Table2[[#This Row],[Effectiveness Review &amp; date deemed effective]]-Table2[[#This Row],[CAR initialized date]]</f>
        <v>243</v>
      </c>
    </row>
    <row r="422" spans="1:14" ht="18.75">
      <c r="A422" s="227" t="s">
        <v>30</v>
      </c>
      <c r="B422" s="2">
        <f>VLOOKUP(Table2[[#This Row],[Location 
(drop-down)]],Table14[[Location]:[Location ID]],2,FALSE)</f>
        <v>132</v>
      </c>
      <c r="C422" s="254" t="s">
        <v>1006</v>
      </c>
      <c r="D422" s="379" t="str">
        <f>"C" &amp; C422 &amp;"-" &amp; B422 &amp; "-" &amp; "25"</f>
        <v>C022-132-25</v>
      </c>
      <c r="E422" s="254" t="s">
        <v>120</v>
      </c>
      <c r="F422" s="254" t="s">
        <v>1001</v>
      </c>
      <c r="G422" s="227" t="s">
        <v>1007</v>
      </c>
      <c r="H422" s="165" t="s">
        <v>20</v>
      </c>
      <c r="I422" s="165" t="s">
        <v>111</v>
      </c>
      <c r="J422" s="289">
        <v>45685</v>
      </c>
      <c r="K422" s="226">
        <v>45688</v>
      </c>
      <c r="L422" s="532"/>
      <c r="M422" s="2" t="str">
        <f ca="1">IF(ISBLANK([1]!Table2[[#This Row],[Complete corrective actions (Approved Date)]]), TODAY()-[1]!Table2[[#This Row],[CAR initialized date]], "CLOSED")</f>
        <v>CLOSED</v>
      </c>
      <c r="N422" s="511">
        <f>Table2[[#This Row],[Effectiveness Review &amp; date deemed effective]]-Table2[[#This Row],[CAR initialized date]]</f>
        <v>3</v>
      </c>
    </row>
    <row r="423" spans="1:14" ht="18.75">
      <c r="A423" s="227" t="s">
        <v>125</v>
      </c>
      <c r="B423" s="2">
        <f>VLOOKUP(Table2[[#This Row],[Location 
(drop-down)]],Table14[[Location]:[Location ID]],2,FALSE)</f>
        <v>130</v>
      </c>
      <c r="C423" s="254" t="s">
        <v>203</v>
      </c>
      <c r="D423" s="379" t="str">
        <f>"C" &amp; C423 &amp;"-" &amp; B423 &amp; "-" &amp; "25"</f>
        <v>C405-130-25</v>
      </c>
      <c r="E423" s="254" t="s">
        <v>86</v>
      </c>
      <c r="F423" s="254" t="s">
        <v>106</v>
      </c>
      <c r="G423" s="227" t="s">
        <v>1008</v>
      </c>
      <c r="H423" s="230" t="s">
        <v>20</v>
      </c>
      <c r="I423" s="165" t="s">
        <v>111</v>
      </c>
      <c r="J423" s="289">
        <v>45807</v>
      </c>
      <c r="K423" s="226">
        <v>45946</v>
      </c>
      <c r="L423" s="532"/>
      <c r="M423" s="2" t="str">
        <f ca="1">IF(ISBLANK([1]!Table2[[#This Row],[Complete corrective actions (Approved Date)]]), TODAY()-[1]!Table2[[#This Row],[CAR initialized date]], "CLOSED")</f>
        <v>CLOSED</v>
      </c>
      <c r="N423" s="511">
        <f>Table2[[#This Row],[Effectiveness Review &amp; date deemed effective]]-Table2[[#This Row],[CAR initialized date]]</f>
        <v>139</v>
      </c>
    </row>
    <row r="424" spans="1:14" ht="18.75">
      <c r="A424" s="227" t="s">
        <v>125</v>
      </c>
      <c r="B424" s="2">
        <f>VLOOKUP(Table2[[#This Row],[Location 
(drop-down)]],Table14[[Location]:[Location ID]],2,FALSE)</f>
        <v>130</v>
      </c>
      <c r="C424" s="254" t="s">
        <v>16</v>
      </c>
      <c r="D424" s="379" t="str">
        <f>"C" &amp; C424 &amp;"-" &amp; B424 &amp; "-" &amp; "25"</f>
        <v>C380-130-25</v>
      </c>
      <c r="E424" s="254" t="s">
        <v>81</v>
      </c>
      <c r="F424" s="254" t="s">
        <v>490</v>
      </c>
      <c r="G424" s="227" t="s">
        <v>1009</v>
      </c>
      <c r="H424" s="165" t="s">
        <v>20</v>
      </c>
      <c r="I424" s="165" t="s">
        <v>111</v>
      </c>
      <c r="J424" s="289">
        <v>45903</v>
      </c>
      <c r="K424" s="226">
        <v>45946</v>
      </c>
      <c r="L424" s="532"/>
      <c r="M424" s="2" t="str">
        <f ca="1">IF(ISBLANK([1]!Table2[[#This Row],[Complete corrective actions (Approved Date)]]), TODAY()-[1]!Table2[[#This Row],[CAR initialized date]], "CLOSED")</f>
        <v>CLOSED</v>
      </c>
      <c r="N424" s="511">
        <f>Table2[[#This Row],[Effectiveness Review &amp; date deemed effective]]-Table2[[#This Row],[CAR initialized date]]</f>
        <v>43</v>
      </c>
    </row>
    <row r="425" spans="1:14" ht="18.75">
      <c r="A425" s="227" t="s">
        <v>969</v>
      </c>
      <c r="B425" s="2">
        <f>VLOOKUP(Table2[[#This Row],[Location 
(drop-down)]],Table14[[Location]:[Location ID]],2,FALSE)</f>
        <v>129</v>
      </c>
      <c r="C425" s="254">
        <v>526</v>
      </c>
      <c r="D425" s="378" t="s">
        <v>1010</v>
      </c>
      <c r="E425" s="413" t="s">
        <v>18</v>
      </c>
      <c r="F425" s="413"/>
      <c r="G425" s="227" t="s">
        <v>1011</v>
      </c>
      <c r="H425" s="165" t="s">
        <v>1012</v>
      </c>
      <c r="I425" s="230" t="s">
        <v>1005</v>
      </c>
      <c r="J425" s="289">
        <v>45701</v>
      </c>
      <c r="K425" s="226">
        <v>45950</v>
      </c>
      <c r="L425" s="532"/>
      <c r="M425" s="2" t="str">
        <f ca="1">IF(ISBLANK([1]!Table2[[#This Row],[Complete corrective actions (Approved Date)]]), TODAY()-[1]!Table2[[#This Row],[CAR initialized date]], "CLOSED")</f>
        <v>CLOSED</v>
      </c>
      <c r="N425" s="511">
        <f>Table2[[#This Row],[Effectiveness Review &amp; date deemed effective]]-Table2[[#This Row],[CAR initialized date]]</f>
        <v>249</v>
      </c>
    </row>
    <row r="426" spans="1:14" ht="18.75">
      <c r="A426" s="227" t="s">
        <v>294</v>
      </c>
      <c r="B426" s="2">
        <f>VLOOKUP(Table2[[#This Row],[Location 
(drop-down)]],Table14[[Location]:[Location ID]],2,FALSE)</f>
        <v>155</v>
      </c>
      <c r="C426" s="254" t="s">
        <v>1013</v>
      </c>
      <c r="D426" s="379" t="str">
        <f>"C" &amp; C426 &amp;"-" &amp; B426 &amp; "-" &amp; "25"</f>
        <v>C077-155-25</v>
      </c>
      <c r="E426" s="254" t="s">
        <v>18</v>
      </c>
      <c r="F426" s="254"/>
      <c r="G426" s="240" t="s">
        <v>499</v>
      </c>
      <c r="H426" s="165" t="s">
        <v>20</v>
      </c>
      <c r="I426" s="165" t="s">
        <v>21</v>
      </c>
      <c r="J426" s="289">
        <v>45706</v>
      </c>
      <c r="K426" s="226">
        <v>45951</v>
      </c>
      <c r="L426" s="532"/>
      <c r="M426" s="2" t="str">
        <f ca="1">IF(ISBLANK([1]!Table2[[#This Row],[Complete corrective actions (Approved Date)]]), TODAY()-[1]!Table2[[#This Row],[CAR initialized date]], "CLOSED")</f>
        <v>CLOSED</v>
      </c>
      <c r="N426" s="511">
        <f>Table2[[#This Row],[Effectiveness Review &amp; date deemed effective]]-Table2[[#This Row],[CAR initialized date]]</f>
        <v>245</v>
      </c>
    </row>
    <row r="427" spans="1:14" ht="18.75">
      <c r="A427" s="227" t="s">
        <v>500</v>
      </c>
      <c r="B427" s="2">
        <f>VLOOKUP(Table2[[#This Row],[Location 
(drop-down)]],Table14[[Location]:[Location ID]],2,FALSE)</f>
        <v>170</v>
      </c>
      <c r="C427" s="254" t="s">
        <v>1014</v>
      </c>
      <c r="D427" s="379" t="str">
        <f>"C" &amp; C427 &amp;"-" &amp; B427 &amp; "-" &amp; "25"</f>
        <v>C406-170-25</v>
      </c>
      <c r="E427" s="254" t="s">
        <v>120</v>
      </c>
      <c r="F427" s="254" t="s">
        <v>490</v>
      </c>
      <c r="G427" s="227" t="s">
        <v>1015</v>
      </c>
      <c r="H427" s="165" t="s">
        <v>68</v>
      </c>
      <c r="I427" s="165" t="s">
        <v>310</v>
      </c>
      <c r="J427" s="289">
        <v>45931</v>
      </c>
      <c r="K427" s="226">
        <v>45951</v>
      </c>
      <c r="L427" s="532"/>
      <c r="M427" s="2" t="str">
        <f ca="1">IF(ISBLANK([1]!Table2[[#This Row],[Complete corrective actions (Approved Date)]]), TODAY()-[1]!Table2[[#This Row],[CAR initialized date]], "CLOSED")</f>
        <v>CLOSED</v>
      </c>
      <c r="N427" s="511">
        <f>Table2[[#This Row],[Effectiveness Review &amp; date deemed effective]]-Table2[[#This Row],[CAR initialized date]]</f>
        <v>20</v>
      </c>
    </row>
    <row r="428" spans="1:14" ht="18.75">
      <c r="A428" s="227" t="s">
        <v>30</v>
      </c>
      <c r="B428" s="2">
        <f>VLOOKUP(Table2[[#This Row],[Location 
(drop-down)]],Table14[[Location]:[Location ID]],2,FALSE)</f>
        <v>132</v>
      </c>
      <c r="C428" s="254" t="s">
        <v>397</v>
      </c>
      <c r="D428" s="379" t="str">
        <f>"C" &amp; C428 &amp;"-" &amp; B428 &amp; "-" &amp; "25"</f>
        <v>C308-132-25</v>
      </c>
      <c r="E428" s="254" t="s">
        <v>18</v>
      </c>
      <c r="F428" s="254"/>
      <c r="G428" s="227" t="s">
        <v>1016</v>
      </c>
      <c r="H428" s="165" t="s">
        <v>20</v>
      </c>
      <c r="I428" s="165" t="s">
        <v>21</v>
      </c>
      <c r="J428" s="289">
        <v>45835</v>
      </c>
      <c r="K428" s="226">
        <v>45952</v>
      </c>
      <c r="L428" s="532"/>
      <c r="M428" s="2" t="str">
        <f ca="1">IF(ISBLANK([1]!Table2[[#This Row],[Complete corrective actions (Approved Date)]]), TODAY()-[1]!Table2[[#This Row],[CAR initialized date]], "CLOSED")</f>
        <v>CLOSED</v>
      </c>
      <c r="N428" s="511">
        <f>Table2[[#This Row],[Effectiveness Review &amp; date deemed effective]]-Table2[[#This Row],[CAR initialized date]]</f>
        <v>117</v>
      </c>
    </row>
    <row r="429" spans="1:14" ht="18.75">
      <c r="A429" s="227" t="s">
        <v>156</v>
      </c>
      <c r="B429" s="2">
        <f>VLOOKUP(Table2[[#This Row],[Location 
(drop-down)]],Table14[[Location]:[Location ID]],2,FALSE)</f>
        <v>110</v>
      </c>
      <c r="C429" s="254" t="s">
        <v>1017</v>
      </c>
      <c r="D429" s="378" t="s">
        <v>1018</v>
      </c>
      <c r="E429" s="254" t="s">
        <v>18</v>
      </c>
      <c r="F429" s="254"/>
      <c r="G429" s="227" t="s">
        <v>261</v>
      </c>
      <c r="H429" s="165" t="s">
        <v>201</v>
      </c>
      <c r="I429" s="165" t="s">
        <v>239</v>
      </c>
      <c r="J429" s="289">
        <v>45616</v>
      </c>
      <c r="K429" s="226">
        <v>45953</v>
      </c>
      <c r="L429" s="532"/>
      <c r="M429" s="2" t="str">
        <f ca="1">IF(ISBLANK([1]!Table2[[#This Row],[Complete corrective actions (Approved Date)]]), TODAY()-[1]!Table2[[#This Row],[CAR initialized date]], "CLOSED")</f>
        <v>CLOSED</v>
      </c>
      <c r="N429" s="511">
        <f>Table2[[#This Row],[Effectiveness Review &amp; date deemed effective]]-Table2[[#This Row],[CAR initialized date]]</f>
        <v>337</v>
      </c>
    </row>
    <row r="430" spans="1:14" ht="18.75">
      <c r="A430" s="227" t="s">
        <v>103</v>
      </c>
      <c r="B430" s="2">
        <f>VLOOKUP(Table2[[#This Row],[Location 
(drop-down)]],Table14[[Location]:[Location ID]],2,FALSE)</f>
        <v>136</v>
      </c>
      <c r="C430" s="254" t="s">
        <v>973</v>
      </c>
      <c r="D430" s="379" t="str">
        <f>"C" &amp; C430 &amp;"-" &amp; B430 &amp; "-" &amp; "25"</f>
        <v>C426-136-25</v>
      </c>
      <c r="E430" s="89" t="s">
        <v>120</v>
      </c>
      <c r="F430" s="254" t="s">
        <v>1019</v>
      </c>
      <c r="G430" s="227" t="s">
        <v>1020</v>
      </c>
      <c r="H430" s="165" t="s">
        <v>201</v>
      </c>
      <c r="I430" s="165" t="s">
        <v>310</v>
      </c>
      <c r="J430" s="289">
        <v>45953</v>
      </c>
      <c r="K430" s="226">
        <v>45953</v>
      </c>
      <c r="L430" s="532"/>
      <c r="M430" s="2" t="str">
        <f ca="1">IF(ISBLANK([1]!Table2[[#This Row],[Complete corrective actions (Approved Date)]]), TODAY()-[1]!Table2[[#This Row],[CAR initialized date]], "CLOSED")</f>
        <v>CLOSED</v>
      </c>
      <c r="N430" s="511">
        <f>Table2[[#This Row],[Effectiveness Review &amp; date deemed effective]]-Table2[[#This Row],[CAR initialized date]]</f>
        <v>0</v>
      </c>
    </row>
    <row r="431" spans="1:14" ht="18.75">
      <c r="A431" s="227" t="s">
        <v>777</v>
      </c>
      <c r="B431" s="2">
        <f>VLOOKUP(Table2[[#This Row],[Location 
(drop-down)]],Table14[[Location]:[Location ID]],2,FALSE)</f>
        <v>199</v>
      </c>
      <c r="C431" s="254" t="s">
        <v>796</v>
      </c>
      <c r="D431" s="379" t="str">
        <f>"C" &amp; C431 &amp;"-" &amp; B431 &amp; "-" &amp; "25"</f>
        <v>C419-199-25</v>
      </c>
      <c r="E431" s="254" t="s">
        <v>81</v>
      </c>
      <c r="F431" s="254" t="s">
        <v>158</v>
      </c>
      <c r="G431" s="227" t="s">
        <v>1021</v>
      </c>
      <c r="H431" s="165" t="s">
        <v>68</v>
      </c>
      <c r="I431" s="165" t="s">
        <v>118</v>
      </c>
      <c r="J431" s="289">
        <v>45945</v>
      </c>
      <c r="K431" s="226">
        <v>45953</v>
      </c>
      <c r="L431" s="532"/>
      <c r="M431" s="2" t="str">
        <f ca="1">IF(ISBLANK([1]!Table2[[#This Row],[Complete corrective actions (Approved Date)]]), TODAY()-[1]!Table2[[#This Row],[CAR initialized date]], "CLOSED")</f>
        <v>CLOSED</v>
      </c>
      <c r="N431" s="511">
        <f>Table2[[#This Row],[Effectiveness Review &amp; date deemed effective]]-Table2[[#This Row],[CAR initialized date]]</f>
        <v>8</v>
      </c>
    </row>
    <row r="432" spans="1:14" ht="18.75">
      <c r="A432" s="227" t="s">
        <v>64</v>
      </c>
      <c r="B432" s="2">
        <f>VLOOKUP(Table2[[#This Row],[Location 
(drop-down)]],Table14[[Location]:[Location ID]],2,FALSE)</f>
        <v>145</v>
      </c>
      <c r="C432" s="254" t="s">
        <v>1022</v>
      </c>
      <c r="D432" s="379" t="str">
        <f>"C" &amp; C432 &amp;"-" &amp; B432 &amp; "-" &amp; "25"</f>
        <v>C411-145-25</v>
      </c>
      <c r="E432" s="254" t="s">
        <v>86</v>
      </c>
      <c r="F432" s="254" t="s">
        <v>1023</v>
      </c>
      <c r="G432" s="227" t="s">
        <v>1024</v>
      </c>
      <c r="H432" s="165" t="s">
        <v>20</v>
      </c>
      <c r="I432" s="165" t="s">
        <v>239</v>
      </c>
      <c r="J432" s="289">
        <v>45940</v>
      </c>
      <c r="K432" s="226">
        <v>45957</v>
      </c>
      <c r="L432" s="532"/>
      <c r="M432" s="2" t="str">
        <f ca="1">IF(ISBLANK([1]!Table2[[#This Row],[Complete corrective actions (Approved Date)]]), TODAY()-[1]!Table2[[#This Row],[CAR initialized date]], "CLOSED")</f>
        <v>CLOSED</v>
      </c>
      <c r="N432" s="511">
        <f>Table2[[#This Row],[Effectiveness Review &amp; date deemed effective]]-Table2[[#This Row],[CAR initialized date]]</f>
        <v>17</v>
      </c>
    </row>
    <row r="433" spans="1:14" ht="18.75">
      <c r="A433" s="227" t="s">
        <v>64</v>
      </c>
      <c r="B433" s="2">
        <f>VLOOKUP(Table2[[#This Row],[Location 
(drop-down)]],Table14[[Location]:[Location ID]],2,FALSE)</f>
        <v>145</v>
      </c>
      <c r="C433" s="254" t="s">
        <v>1025</v>
      </c>
      <c r="D433" s="379" t="str">
        <f>"C" &amp; C433 &amp;"-" &amp; B433 &amp; "-" &amp; "25"</f>
        <v>C412-145-25</v>
      </c>
      <c r="E433" s="254" t="s">
        <v>86</v>
      </c>
      <c r="F433" s="254" t="s">
        <v>523</v>
      </c>
      <c r="G433" s="227" t="s">
        <v>1026</v>
      </c>
      <c r="H433" s="165" t="s">
        <v>20</v>
      </c>
      <c r="I433" s="165" t="s">
        <v>239</v>
      </c>
      <c r="J433" s="289">
        <v>45940</v>
      </c>
      <c r="K433" s="226">
        <v>45957</v>
      </c>
      <c r="L433" s="532"/>
      <c r="M433" s="2" t="str">
        <f ca="1">IF(ISBLANK([1]!Table2[[#This Row],[Complete corrective actions (Approved Date)]]), TODAY()-[1]!Table2[[#This Row],[CAR initialized date]], "CLOSED")</f>
        <v>CLOSED</v>
      </c>
      <c r="N433" s="511">
        <f>Table2[[#This Row],[Effectiveness Review &amp; date deemed effective]]-Table2[[#This Row],[CAR initialized date]]</f>
        <v>17</v>
      </c>
    </row>
    <row r="434" spans="1:14" ht="18.75">
      <c r="A434" s="227" t="s">
        <v>213</v>
      </c>
      <c r="B434" s="2">
        <f>VLOOKUP(Table2[[#This Row],[Location 
(drop-down)]],Table14[[Location]:[Location ID]],2,FALSE)</f>
        <v>140</v>
      </c>
      <c r="C434" s="254" t="s">
        <v>1027</v>
      </c>
      <c r="D434" s="379" t="str">
        <f>"C" &amp; C434 &amp;"-" &amp; B434 &amp; "-" &amp; "25"</f>
        <v>C413-140-25</v>
      </c>
      <c r="E434" s="254" t="s">
        <v>86</v>
      </c>
      <c r="F434" s="254" t="s">
        <v>523</v>
      </c>
      <c r="G434" s="227" t="s">
        <v>1026</v>
      </c>
      <c r="H434" s="165" t="s">
        <v>20</v>
      </c>
      <c r="I434" s="165" t="s">
        <v>130</v>
      </c>
      <c r="J434" s="289">
        <v>45940</v>
      </c>
      <c r="K434" s="226">
        <v>45957</v>
      </c>
      <c r="L434" s="532"/>
      <c r="M434" s="2" t="str">
        <f ca="1">IF(ISBLANK([1]!Table2[[#This Row],[Complete corrective actions (Approved Date)]]), TODAY()-[1]!Table2[[#This Row],[CAR initialized date]], "CLOSED")</f>
        <v>CLOSED</v>
      </c>
      <c r="N434" s="511">
        <f>Table2[[#This Row],[Effectiveness Review &amp; date deemed effective]]-Table2[[#This Row],[CAR initialized date]]</f>
        <v>17</v>
      </c>
    </row>
    <row r="435" spans="1:14" ht="18.75">
      <c r="A435" s="227" t="s">
        <v>119</v>
      </c>
      <c r="B435" s="2">
        <f>VLOOKUP(Table2[[#This Row],[Location 
(drop-down)]],Table14[[Location]:[Location ID]],2,FALSE)</f>
        <v>131</v>
      </c>
      <c r="C435" s="254" t="s">
        <v>1028</v>
      </c>
      <c r="D435" s="379" t="str">
        <f>"C" &amp; C435 &amp;"-" &amp; B435 &amp; "-" &amp; "25"</f>
        <v>C387-131-25</v>
      </c>
      <c r="E435" s="254" t="s">
        <v>81</v>
      </c>
      <c r="F435" s="254" t="s">
        <v>490</v>
      </c>
      <c r="G435" s="227" t="s">
        <v>1029</v>
      </c>
      <c r="H435" s="165" t="s">
        <v>20</v>
      </c>
      <c r="I435" s="165" t="s">
        <v>111</v>
      </c>
      <c r="J435" s="289">
        <v>45909</v>
      </c>
      <c r="K435" s="226">
        <v>45957</v>
      </c>
      <c r="L435" s="532"/>
      <c r="M435" s="2" t="str">
        <f ca="1">IF(ISBLANK([1]!Table2[[#This Row],[Complete corrective actions (Approved Date)]]), TODAY()-[1]!Table2[[#This Row],[CAR initialized date]], "CLOSED")</f>
        <v>CLOSED</v>
      </c>
      <c r="N435" s="511">
        <f>Table2[[#This Row],[Effectiveness Review &amp; date deemed effective]]-Table2[[#This Row],[CAR initialized date]]</f>
        <v>48</v>
      </c>
    </row>
    <row r="436" spans="1:14" ht="18.75">
      <c r="A436" s="227" t="s">
        <v>30</v>
      </c>
      <c r="B436" s="2">
        <f>VLOOKUP(Table2[[#This Row],[Location 
(drop-down)]],Table14[[Location]:[Location ID]],2,FALSE)</f>
        <v>132</v>
      </c>
      <c r="C436" s="254" t="s">
        <v>1030</v>
      </c>
      <c r="D436" s="379" t="str">
        <f>"C" &amp; C436 &amp;"-" &amp; B436 &amp; "-" &amp; "25"</f>
        <v>C301-132-25</v>
      </c>
      <c r="E436" s="254" t="s">
        <v>18</v>
      </c>
      <c r="F436" s="254"/>
      <c r="G436" s="227" t="s">
        <v>1031</v>
      </c>
      <c r="H436" s="165" t="s">
        <v>68</v>
      </c>
      <c r="I436" s="165" t="s">
        <v>21</v>
      </c>
      <c r="J436" s="289">
        <v>45835</v>
      </c>
      <c r="K436" s="226">
        <v>45958</v>
      </c>
      <c r="L436" s="532"/>
      <c r="M436" s="2" t="str">
        <f ca="1">IF(ISBLANK([1]!Table2[[#This Row],[Complete corrective actions (Approved Date)]]), TODAY()-[1]!Table2[[#This Row],[CAR initialized date]], "CLOSED")</f>
        <v>CLOSED</v>
      </c>
      <c r="N436" s="511">
        <f>Table2[[#This Row],[Effectiveness Review &amp; date deemed effective]]-Table2[[#This Row],[CAR initialized date]]</f>
        <v>123</v>
      </c>
    </row>
    <row r="437" spans="1:14" ht="18.75">
      <c r="A437" s="227" t="s">
        <v>30</v>
      </c>
      <c r="B437" s="2">
        <f>VLOOKUP(Table2[[#This Row],[Location 
(drop-down)]],Table14[[Location]:[Location ID]],2,FALSE)</f>
        <v>132</v>
      </c>
      <c r="C437" s="254" t="s">
        <v>1032</v>
      </c>
      <c r="D437" s="379" t="str">
        <f>"C" &amp; C437 &amp;"-" &amp; B437 &amp; "-" &amp; "25"</f>
        <v>C305-132-25</v>
      </c>
      <c r="E437" s="254" t="s">
        <v>18</v>
      </c>
      <c r="F437" s="572"/>
      <c r="G437" s="227" t="s">
        <v>812</v>
      </c>
      <c r="H437" s="165" t="s">
        <v>20</v>
      </c>
      <c r="I437" s="165" t="s">
        <v>21</v>
      </c>
      <c r="J437" s="289">
        <v>45835</v>
      </c>
      <c r="K437" s="226">
        <v>45958</v>
      </c>
      <c r="L437" s="532"/>
      <c r="M437" s="2" t="str">
        <f ca="1">IF(ISBLANK([1]!Table2[[#This Row],[Complete corrective actions (Approved Date)]]), TODAY()-[1]!Table2[[#This Row],[CAR initialized date]], "CLOSED")</f>
        <v>CLOSED</v>
      </c>
      <c r="N437" s="511">
        <f>Table2[[#This Row],[Effectiveness Review &amp; date deemed effective]]-Table2[[#This Row],[CAR initialized date]]</f>
        <v>123</v>
      </c>
    </row>
    <row r="438" spans="1:14" ht="18.75">
      <c r="A438" s="227" t="s">
        <v>30</v>
      </c>
      <c r="B438" s="2">
        <f>VLOOKUP(Table2[[#This Row],[Location 
(drop-down)]],Table14[[Location]:[Location ID]],2,FALSE)</f>
        <v>132</v>
      </c>
      <c r="C438" s="254" t="s">
        <v>1033</v>
      </c>
      <c r="D438" s="379" t="str">
        <f>"C" &amp; C438 &amp;"-" &amp; B438 &amp; "-" &amp; "25"</f>
        <v>C309-132-25</v>
      </c>
      <c r="E438" s="254" t="s">
        <v>18</v>
      </c>
      <c r="F438" s="572"/>
      <c r="G438" s="227" t="s">
        <v>842</v>
      </c>
      <c r="H438" s="165" t="s">
        <v>20</v>
      </c>
      <c r="I438" s="165" t="s">
        <v>21</v>
      </c>
      <c r="J438" s="289">
        <v>45835</v>
      </c>
      <c r="K438" s="226">
        <v>45958</v>
      </c>
      <c r="L438" s="532"/>
      <c r="M438" s="2" t="str">
        <f ca="1">IF(ISBLANK([1]!Table2[[#This Row],[Complete corrective actions (Approved Date)]]), TODAY()-[1]!Table2[[#This Row],[CAR initialized date]], "CLOSED")</f>
        <v>CLOSED</v>
      </c>
      <c r="N438" s="511">
        <f>Table2[[#This Row],[Effectiveness Review &amp; date deemed effective]]-Table2[[#This Row],[CAR initialized date]]</f>
        <v>123</v>
      </c>
    </row>
    <row r="439" spans="1:14" ht="18.75">
      <c r="A439" s="227" t="s">
        <v>294</v>
      </c>
      <c r="B439" s="2">
        <f>VLOOKUP(Table2[[#This Row],[Location 
(drop-down)]],Table14[[Location]:[Location ID]],2,FALSE)</f>
        <v>155</v>
      </c>
      <c r="C439" s="254" t="s">
        <v>1034</v>
      </c>
      <c r="D439" s="379" t="str">
        <f>"C" &amp; C439 &amp;"-" &amp; B439 &amp; "-" &amp; "25"</f>
        <v>C075-155-25</v>
      </c>
      <c r="E439" s="254" t="s">
        <v>18</v>
      </c>
      <c r="F439" s="254"/>
      <c r="G439" s="240" t="s">
        <v>842</v>
      </c>
      <c r="H439" s="165" t="s">
        <v>20</v>
      </c>
      <c r="I439" s="165" t="s">
        <v>21</v>
      </c>
      <c r="J439" s="289">
        <v>45706</v>
      </c>
      <c r="K439" s="226">
        <v>45958</v>
      </c>
      <c r="L439" s="532"/>
      <c r="M439" s="2" t="str">
        <f ca="1">IF(ISBLANK([1]!Table2[[#This Row],[Complete corrective actions (Approved Date)]]), TODAY()-[1]!Table2[[#This Row],[CAR initialized date]], "CLOSED")</f>
        <v>CLOSED</v>
      </c>
      <c r="N439" s="511">
        <f>Table2[[#This Row],[Effectiveness Review &amp; date deemed effective]]-Table2[[#This Row],[CAR initialized date]]</f>
        <v>252</v>
      </c>
    </row>
    <row r="440" spans="1:14" ht="18.75">
      <c r="A440" s="227" t="s">
        <v>80</v>
      </c>
      <c r="B440" s="2">
        <f>VLOOKUP(Table2[[#This Row],[Location 
(drop-down)]],Table14[[Location]:[Location ID]],2,FALSE)</f>
        <v>141</v>
      </c>
      <c r="C440" s="254" t="s">
        <v>972</v>
      </c>
      <c r="D440" s="379" t="str">
        <f>"C" &amp; C440 &amp;"-" &amp; B440 &amp; "-" &amp; "25"</f>
        <v>C424-141-25</v>
      </c>
      <c r="E440" s="89" t="s">
        <v>86</v>
      </c>
      <c r="F440" s="254" t="s">
        <v>158</v>
      </c>
      <c r="G440" s="227" t="s">
        <v>1035</v>
      </c>
      <c r="H440" s="165" t="s">
        <v>68</v>
      </c>
      <c r="I440" s="165" t="s">
        <v>69</v>
      </c>
      <c r="J440" s="289">
        <v>45950</v>
      </c>
      <c r="K440" s="226">
        <v>45961</v>
      </c>
      <c r="L440" s="532"/>
      <c r="M440" s="2" t="str">
        <f ca="1">IF(ISBLANK([1]!Table2[[#This Row],[Complete corrective actions (Approved Date)]]), TODAY()-[1]!Table2[[#This Row],[CAR initialized date]], "CLOSED")</f>
        <v>CLOSED</v>
      </c>
      <c r="N440" s="511">
        <f>Table2[[#This Row],[Effectiveness Review &amp; date deemed effective]]-Table2[[#This Row],[CAR initialized date]]</f>
        <v>11</v>
      </c>
    </row>
    <row r="441" spans="1:14" ht="18.75">
      <c r="A441" s="227" t="s">
        <v>80</v>
      </c>
      <c r="B441" s="2">
        <f>VLOOKUP(Table2[[#This Row],[Location 
(drop-down)]],Table14[[Location]:[Location ID]],2,FALSE)</f>
        <v>141</v>
      </c>
      <c r="C441" s="254" t="s">
        <v>994</v>
      </c>
      <c r="D441" s="379" t="str">
        <f>"C" &amp; C441 &amp;"-" &amp; B441 &amp; "-" &amp; "25"</f>
        <v>C425-141-25</v>
      </c>
      <c r="E441" s="89" t="s">
        <v>86</v>
      </c>
      <c r="F441" s="254" t="s">
        <v>158</v>
      </c>
      <c r="G441" s="227" t="s">
        <v>1036</v>
      </c>
      <c r="H441" s="165" t="s">
        <v>68</v>
      </c>
      <c r="I441" s="165" t="s">
        <v>69</v>
      </c>
      <c r="J441" s="289">
        <v>45950</v>
      </c>
      <c r="K441" s="226">
        <v>45961</v>
      </c>
      <c r="L441" s="532"/>
      <c r="M441" s="2" t="str">
        <f ca="1">IF(ISBLANK([1]!Table2[[#This Row],[Complete corrective actions (Approved Date)]]), TODAY()-[1]!Table2[[#This Row],[CAR initialized date]], "CLOSED")</f>
        <v>CLOSED</v>
      </c>
      <c r="N441" s="511">
        <f>Table2[[#This Row],[Effectiveness Review &amp; date deemed effective]]-Table2[[#This Row],[CAR initialized date]]</f>
        <v>11</v>
      </c>
    </row>
    <row r="442" spans="1:14" ht="18.75">
      <c r="A442" s="227" t="s">
        <v>1037</v>
      </c>
      <c r="B442" s="2" t="str">
        <f>VLOOKUP(Table2[[#This Row],[Location 
(drop-down)]],Table14[[Location]:[Location ID]],2,FALSE)</f>
        <v>120W</v>
      </c>
      <c r="C442" s="254" t="s">
        <v>1038</v>
      </c>
      <c r="D442" s="379" t="str">
        <f>"C" &amp; C442 &amp;"-" &amp; B442 &amp; "-" &amp; "25"</f>
        <v>C374-120W-25</v>
      </c>
      <c r="E442" s="254" t="s">
        <v>18</v>
      </c>
      <c r="F442" s="254"/>
      <c r="G442" s="227" t="s">
        <v>1039</v>
      </c>
      <c r="H442" s="165" t="s">
        <v>20</v>
      </c>
      <c r="I442" s="165" t="s">
        <v>239</v>
      </c>
      <c r="J442" s="289">
        <v>45888</v>
      </c>
      <c r="K442" s="226">
        <v>45961</v>
      </c>
      <c r="L442" s="532"/>
      <c r="M442" s="2" t="str">
        <f ca="1">IF(ISBLANK([1]!Table2[[#This Row],[Complete corrective actions (Approved Date)]]), TODAY()-[1]!Table2[[#This Row],[CAR initialized date]], "CLOSED")</f>
        <v>CLOSED</v>
      </c>
      <c r="N442" s="511">
        <f>Table2[[#This Row],[Effectiveness Review &amp; date deemed effective]]-Table2[[#This Row],[CAR initialized date]]</f>
        <v>73</v>
      </c>
    </row>
    <row r="443" spans="1:14" ht="18.75">
      <c r="A443" s="227" t="s">
        <v>125</v>
      </c>
      <c r="B443" s="2">
        <f>VLOOKUP(Table2[[#This Row],[Location 
(drop-down)]],Table14[[Location]:[Location ID]],2,FALSE)</f>
        <v>130</v>
      </c>
      <c r="C443" s="254" t="s">
        <v>1040</v>
      </c>
      <c r="D443" s="379" t="str">
        <f>"C" &amp; C443 &amp;"-" &amp; B443 &amp; "-" &amp; "25"</f>
        <v>C256-130-25</v>
      </c>
      <c r="E443" s="254" t="s">
        <v>86</v>
      </c>
      <c r="F443" s="254" t="s">
        <v>106</v>
      </c>
      <c r="G443" s="310" t="s">
        <v>1041</v>
      </c>
      <c r="H443" s="165" t="s">
        <v>68</v>
      </c>
      <c r="I443" s="165" t="s">
        <v>111</v>
      </c>
      <c r="J443" s="276">
        <v>45807</v>
      </c>
      <c r="K443" s="226">
        <v>45961</v>
      </c>
      <c r="L443" s="532"/>
      <c r="M443" s="2" t="str">
        <f ca="1">IF(ISBLANK([1]!Table2[[#This Row],[Complete corrective actions (Approved Date)]]), TODAY()-[1]!Table2[[#This Row],[CAR initialized date]], "CLOSED")</f>
        <v>CLOSED</v>
      </c>
      <c r="N443" s="511">
        <f>Table2[[#This Row],[Effectiveness Review &amp; date deemed effective]]-Table2[[#This Row],[CAR initialized date]]</f>
        <v>154</v>
      </c>
    </row>
    <row r="444" spans="1:14" ht="18.75">
      <c r="A444" s="227" t="s">
        <v>39</v>
      </c>
      <c r="B444" s="2">
        <f>VLOOKUP(Table2[[#This Row],[Location 
(drop-down)]],Table14[[Location]:[Location ID]],2,FALSE)</f>
        <v>120</v>
      </c>
      <c r="C444" s="254" t="s">
        <v>1042</v>
      </c>
      <c r="D444" s="379" t="str">
        <f>"C" &amp; C444 &amp;"-" &amp; B444 &amp; "-" &amp; "25"</f>
        <v>C285-120-25</v>
      </c>
      <c r="E444" s="254" t="s">
        <v>18</v>
      </c>
      <c r="F444" s="254"/>
      <c r="G444" s="227" t="s">
        <v>1043</v>
      </c>
      <c r="H444" s="165" t="s">
        <v>20</v>
      </c>
      <c r="I444" s="165" t="s">
        <v>239</v>
      </c>
      <c r="J444" s="289">
        <v>45833</v>
      </c>
      <c r="K444" s="226">
        <v>45964</v>
      </c>
      <c r="L444" s="532"/>
      <c r="M444" s="2" t="str">
        <f ca="1">IF(ISBLANK([1]!Table2[[#This Row],[Complete corrective actions (Approved Date)]]), TODAY()-[1]!Table2[[#This Row],[CAR initialized date]], "CLOSED")</f>
        <v>CLOSED</v>
      </c>
      <c r="N444" s="511">
        <f>Table2[[#This Row],[Effectiveness Review &amp; date deemed effective]]-Table2[[#This Row],[CAR initialized date]]</f>
        <v>131</v>
      </c>
    </row>
    <row r="445" spans="1:14" ht="18.75">
      <c r="A445" s="227" t="s">
        <v>23</v>
      </c>
      <c r="B445" s="2">
        <f>VLOOKUP(Table2[[#This Row],[Location 
(drop-down)]],Table14[[Location]:[Location ID]],2,FALSE)</f>
        <v>192</v>
      </c>
      <c r="C445" s="254" t="s">
        <v>1044</v>
      </c>
      <c r="D445" s="379" t="str">
        <f>"C" &amp; C445 &amp;"-" &amp; B445 &amp; "-" &amp; "25"</f>
        <v>C169-192-25</v>
      </c>
      <c r="E445" s="254" t="s">
        <v>18</v>
      </c>
      <c r="F445" s="254"/>
      <c r="G445" s="89" t="s">
        <v>255</v>
      </c>
      <c r="H445" s="254" t="s">
        <v>20</v>
      </c>
      <c r="I445" s="165" t="s">
        <v>47</v>
      </c>
      <c r="J445" s="289">
        <v>45754</v>
      </c>
      <c r="K445" s="258">
        <v>45964</v>
      </c>
      <c r="L445" s="532"/>
      <c r="M445" s="2" t="str">
        <f ca="1">IF(ISBLANK([1]!Table2[[#This Row],[Complete corrective actions (Approved Date)]]), TODAY()-[1]!Table2[[#This Row],[CAR initialized date]], "CLOSED")</f>
        <v>CLOSED</v>
      </c>
      <c r="N445" s="511">
        <f>Table2[[#This Row],[Effectiveness Review &amp; date deemed effective]]-Table2[[#This Row],[CAR initialized date]]</f>
        <v>210</v>
      </c>
    </row>
    <row r="446" spans="1:14" ht="18.75">
      <c r="A446" s="227" t="s">
        <v>711</v>
      </c>
      <c r="B446" s="2">
        <f>VLOOKUP(Table2[[#This Row],[Location 
(drop-down)]],Table14[[Location]:[Location ID]],2,FALSE)</f>
        <v>119</v>
      </c>
      <c r="C446" s="254" t="s">
        <v>1045</v>
      </c>
      <c r="D446" s="379" t="str">
        <f>"C" &amp; C446 &amp;"-" &amp; B446 &amp; "-" &amp; "25"</f>
        <v>C206-119-25</v>
      </c>
      <c r="E446" s="254" t="s">
        <v>18</v>
      </c>
      <c r="F446" s="254"/>
      <c r="G446" s="227" t="s">
        <v>378</v>
      </c>
      <c r="H446" s="165" t="s">
        <v>68</v>
      </c>
      <c r="I446" s="165" t="s">
        <v>69</v>
      </c>
      <c r="J446" s="276">
        <v>45783</v>
      </c>
      <c r="K446" s="226">
        <v>45965</v>
      </c>
      <c r="L446" s="532"/>
      <c r="M446" s="2" t="str">
        <f ca="1">IF(ISBLANK([1]!Table2[[#This Row],[Complete corrective actions (Approved Date)]]), TODAY()-[1]!Table2[[#This Row],[CAR initialized date]], "CLOSED")</f>
        <v>CLOSED</v>
      </c>
      <c r="N446" s="511">
        <f>Table2[[#This Row],[Effectiveness Review &amp; date deemed effective]]-Table2[[#This Row],[CAR initialized date]]</f>
        <v>182</v>
      </c>
    </row>
    <row r="447" spans="1:14" ht="18.75">
      <c r="A447" s="227" t="s">
        <v>39</v>
      </c>
      <c r="B447" s="2">
        <f>VLOOKUP(Table2[[#This Row],[Location 
(drop-down)]],Table14[[Location]:[Location ID]],2,FALSE)</f>
        <v>120</v>
      </c>
      <c r="C447" s="254" t="s">
        <v>1046</v>
      </c>
      <c r="D447" s="379" t="str">
        <f>"C" &amp; C447 &amp;"-" &amp; B447 &amp; "-" &amp; "25"</f>
        <v>C388-120-25</v>
      </c>
      <c r="E447" s="254" t="s">
        <v>86</v>
      </c>
      <c r="F447" s="254" t="s">
        <v>523</v>
      </c>
      <c r="G447" s="227" t="s">
        <v>1047</v>
      </c>
      <c r="H447" s="165" t="s">
        <v>20</v>
      </c>
      <c r="I447" s="165" t="s">
        <v>327</v>
      </c>
      <c r="J447" s="289">
        <v>45909</v>
      </c>
      <c r="K447" s="226">
        <v>45965</v>
      </c>
      <c r="L447" s="532"/>
      <c r="M447" s="2" t="str">
        <f ca="1">IF(ISBLANK([1]!Table2[[#This Row],[Complete corrective actions (Approved Date)]]), TODAY()-[1]!Table2[[#This Row],[CAR initialized date]], "CLOSED")</f>
        <v>CLOSED</v>
      </c>
      <c r="N447" s="511">
        <f>Table2[[#This Row],[Effectiveness Review &amp; date deemed effective]]-Table2[[#This Row],[CAR initialized date]]</f>
        <v>56</v>
      </c>
    </row>
    <row r="448" spans="1:14" ht="18.75">
      <c r="A448" s="227" t="s">
        <v>39</v>
      </c>
      <c r="B448" s="2">
        <f>VLOOKUP(Table2[[#This Row],[Location 
(drop-down)]],Table14[[Location]:[Location ID]],2,FALSE)</f>
        <v>120</v>
      </c>
      <c r="C448" s="254" t="s">
        <v>225</v>
      </c>
      <c r="D448" s="379" t="str">
        <f>"C" &amp; C448 &amp;"-" &amp; B448 &amp; "-" &amp; "25"</f>
        <v>C455-120-25</v>
      </c>
      <c r="E448" s="254" t="s">
        <v>86</v>
      </c>
      <c r="F448" s="254" t="s">
        <v>523</v>
      </c>
      <c r="G448" s="227" t="s">
        <v>1048</v>
      </c>
      <c r="H448" s="165" t="s">
        <v>20</v>
      </c>
      <c r="I448" s="165" t="s">
        <v>47</v>
      </c>
      <c r="J448" s="289">
        <v>45909</v>
      </c>
      <c r="K448" s="226">
        <v>45965</v>
      </c>
      <c r="L448" s="532"/>
      <c r="M448" s="2" t="str">
        <f ca="1">IF(ISBLANK([1]!Table2[[#This Row],[Complete corrective actions (Approved Date)]]), TODAY()-[1]!Table2[[#This Row],[CAR initialized date]], "CLOSED")</f>
        <v>CLOSED</v>
      </c>
      <c r="N448" s="511">
        <f>Table2[[#This Row],[Effectiveness Review &amp; date deemed effective]]-Table2[[#This Row],[CAR initialized date]]</f>
        <v>56</v>
      </c>
    </row>
    <row r="449" spans="1:14" ht="18.75">
      <c r="A449" s="227" t="s">
        <v>156</v>
      </c>
      <c r="B449" s="2">
        <f>VLOOKUP(Table2[[#This Row],[Location 
(drop-down)]],Table14[[Location]:[Location ID]],2,FALSE)</f>
        <v>110</v>
      </c>
      <c r="C449" s="254" t="s">
        <v>1049</v>
      </c>
      <c r="D449" s="379" t="str">
        <f>"C" &amp; C449 &amp;"-" &amp; B449 &amp; "-" &amp; "25"</f>
        <v>C456-110-25</v>
      </c>
      <c r="E449" s="254" t="s">
        <v>86</v>
      </c>
      <c r="F449" s="254" t="s">
        <v>158</v>
      </c>
      <c r="G449" s="227" t="s">
        <v>1050</v>
      </c>
      <c r="H449" s="165" t="s">
        <v>68</v>
      </c>
      <c r="I449" s="165" t="s">
        <v>239</v>
      </c>
      <c r="J449" s="289">
        <v>45945</v>
      </c>
      <c r="K449" s="226">
        <v>45967</v>
      </c>
      <c r="L449" s="532"/>
      <c r="M449" s="2" t="str">
        <f ca="1">IF(ISBLANK([1]!Table2[[#This Row],[Complete corrective actions (Approved Date)]]), TODAY()-[1]!Table2[[#This Row],[CAR initialized date]], "CLOSED")</f>
        <v>CLOSED</v>
      </c>
      <c r="N449" s="511">
        <f>Table2[[#This Row],[Effectiveness Review &amp; date deemed effective]]-Table2[[#This Row],[CAR initialized date]]</f>
        <v>22</v>
      </c>
    </row>
    <row r="450" spans="1:14" ht="18.75">
      <c r="A450" s="227" t="s">
        <v>156</v>
      </c>
      <c r="B450" s="2">
        <f>VLOOKUP(Table2[[#This Row],[Location 
(drop-down)]],Table14[[Location]:[Location ID]],2,FALSE)</f>
        <v>110</v>
      </c>
      <c r="C450" s="254" t="s">
        <v>1051</v>
      </c>
      <c r="D450" s="379" t="str">
        <f>"C" &amp; C450 &amp;"-" &amp; B450 &amp; "-" &amp; "25"</f>
        <v>C457-110-25</v>
      </c>
      <c r="E450" s="254" t="s">
        <v>86</v>
      </c>
      <c r="F450" s="254" t="s">
        <v>158</v>
      </c>
      <c r="G450" s="227" t="s">
        <v>1052</v>
      </c>
      <c r="H450" s="165" t="s">
        <v>68</v>
      </c>
      <c r="I450" s="165" t="s">
        <v>1053</v>
      </c>
      <c r="J450" s="289">
        <v>45945</v>
      </c>
      <c r="K450" s="226">
        <v>45967</v>
      </c>
      <c r="L450" s="532"/>
      <c r="M450" s="2" t="str">
        <f ca="1">IF(ISBLANK([1]!Table2[[#This Row],[Complete corrective actions (Approved Date)]]), TODAY()-[1]!Table2[[#This Row],[CAR initialized date]], "CLOSED")</f>
        <v>CLOSED</v>
      </c>
      <c r="N450" s="511">
        <f>Table2[[#This Row],[Effectiveness Review &amp; date deemed effective]]-Table2[[#This Row],[CAR initialized date]]</f>
        <v>22</v>
      </c>
    </row>
    <row r="451" spans="1:14" ht="18.75">
      <c r="A451" s="227" t="s">
        <v>43</v>
      </c>
      <c r="B451" s="2">
        <f>VLOOKUP(Table2[[#This Row],[Location 
(drop-down)]],Table14[[Location]:[Location ID]],2,FALSE)</f>
        <v>210</v>
      </c>
      <c r="C451" s="254" t="s">
        <v>372</v>
      </c>
      <c r="D451" s="379" t="str">
        <f>"C" &amp; C451 &amp;"-" &amp; B451 &amp; "-" &amp; "25"</f>
        <v>C407-210-25</v>
      </c>
      <c r="E451" s="254" t="s">
        <v>26</v>
      </c>
      <c r="F451" s="254" t="s">
        <v>27</v>
      </c>
      <c r="G451" s="227" t="s">
        <v>1054</v>
      </c>
      <c r="H451" s="165" t="s">
        <v>201</v>
      </c>
      <c r="I451" s="165" t="s">
        <v>108</v>
      </c>
      <c r="J451" s="289">
        <v>45940</v>
      </c>
      <c r="K451" s="226">
        <v>45967</v>
      </c>
      <c r="L451" s="532"/>
      <c r="M451" s="2" t="str">
        <f ca="1">IF(ISBLANK([1]!Table2[[#This Row],[Complete corrective actions (Approved Date)]]), TODAY()-[1]!Table2[[#This Row],[CAR initialized date]], "CLOSED")</f>
        <v>CLOSED</v>
      </c>
      <c r="N451" s="511">
        <f>Table2[[#This Row],[Effectiveness Review &amp; date deemed effective]]-Table2[[#This Row],[CAR initialized date]]</f>
        <v>27</v>
      </c>
    </row>
    <row r="452" spans="1:14" ht="18.75">
      <c r="A452" s="227" t="s">
        <v>43</v>
      </c>
      <c r="B452" s="2">
        <f>VLOOKUP(Table2[[#This Row],[Location 
(drop-down)]],Table14[[Location]:[Location ID]],2,FALSE)</f>
        <v>210</v>
      </c>
      <c r="C452" s="254" t="s">
        <v>1055</v>
      </c>
      <c r="D452" s="379" t="str">
        <f>"C" &amp; C452 &amp;"-" &amp; B452 &amp; "-" &amp; "25"</f>
        <v>C408-210-25</v>
      </c>
      <c r="E452" s="254" t="s">
        <v>26</v>
      </c>
      <c r="F452" s="254" t="s">
        <v>27</v>
      </c>
      <c r="G452" s="227" t="s">
        <v>1056</v>
      </c>
      <c r="H452" s="165" t="s">
        <v>68</v>
      </c>
      <c r="I452" s="165" t="s">
        <v>108</v>
      </c>
      <c r="J452" s="289">
        <v>45940</v>
      </c>
      <c r="K452" s="226">
        <v>45967</v>
      </c>
      <c r="L452" s="532"/>
      <c r="M452" s="2" t="str">
        <f ca="1">IF(ISBLANK([1]!Table2[[#This Row],[Complete corrective actions (Approved Date)]]), TODAY()-[1]!Table2[[#This Row],[CAR initialized date]], "CLOSED")</f>
        <v>CLOSED</v>
      </c>
      <c r="N452" s="511">
        <f>Table2[[#This Row],[Effectiveness Review &amp; date deemed effective]]-Table2[[#This Row],[CAR initialized date]]</f>
        <v>27</v>
      </c>
    </row>
    <row r="453" spans="1:14" ht="18.75">
      <c r="A453" s="227" t="s">
        <v>43</v>
      </c>
      <c r="B453" s="2">
        <f>VLOOKUP(Table2[[#This Row],[Location 
(drop-down)]],Table14[[Location]:[Location ID]],2,FALSE)</f>
        <v>210</v>
      </c>
      <c r="C453" s="254" t="s">
        <v>1057</v>
      </c>
      <c r="D453" s="379" t="str">
        <f>"C" &amp; C453 &amp;"-" &amp; B453 &amp; "-" &amp; "25"</f>
        <v>C409-210-25</v>
      </c>
      <c r="E453" s="254" t="s">
        <v>26</v>
      </c>
      <c r="F453" s="254" t="s">
        <v>27</v>
      </c>
      <c r="G453" s="227" t="s">
        <v>1058</v>
      </c>
      <c r="H453" s="165" t="s">
        <v>20</v>
      </c>
      <c r="I453" s="165" t="s">
        <v>108</v>
      </c>
      <c r="J453" s="289">
        <v>45940</v>
      </c>
      <c r="K453" s="226">
        <v>45967</v>
      </c>
      <c r="L453" s="532"/>
      <c r="M453" s="2" t="str">
        <f ca="1">IF(ISBLANK([1]!Table2[[#This Row],[Complete corrective actions (Approved Date)]]), TODAY()-[1]!Table2[[#This Row],[CAR initialized date]], "CLOSED")</f>
        <v>CLOSED</v>
      </c>
      <c r="N453" s="511">
        <f>Table2[[#This Row],[Effectiveness Review &amp; date deemed effective]]-Table2[[#This Row],[CAR initialized date]]</f>
        <v>27</v>
      </c>
    </row>
    <row r="454" spans="1:14" ht="18.75">
      <c r="A454" s="227" t="s">
        <v>43</v>
      </c>
      <c r="B454" s="2">
        <f>VLOOKUP(Table2[[#This Row],[Location 
(drop-down)]],Table14[[Location]:[Location ID]],2,FALSE)</f>
        <v>210</v>
      </c>
      <c r="C454" s="254" t="s">
        <v>1059</v>
      </c>
      <c r="D454" s="379" t="str">
        <f>"C" &amp; C454 &amp;"-" &amp; B454 &amp; "-" &amp; "25"</f>
        <v>C410-210-25</v>
      </c>
      <c r="E454" s="254" t="s">
        <v>26</v>
      </c>
      <c r="F454" s="254" t="s">
        <v>27</v>
      </c>
      <c r="G454" s="227" t="s">
        <v>1060</v>
      </c>
      <c r="H454" s="165" t="s">
        <v>20</v>
      </c>
      <c r="I454" s="165" t="s">
        <v>108</v>
      </c>
      <c r="J454" s="289">
        <v>45940</v>
      </c>
      <c r="K454" s="226">
        <v>45967</v>
      </c>
      <c r="L454" s="532"/>
      <c r="M454" s="2" t="str">
        <f ca="1">IF(ISBLANK([1]!Table2[[#This Row],[Complete corrective actions (Approved Date)]]), TODAY()-[1]!Table2[[#This Row],[CAR initialized date]], "CLOSED")</f>
        <v>CLOSED</v>
      </c>
      <c r="N454" s="511">
        <f>Table2[[#This Row],[Effectiveness Review &amp; date deemed effective]]-Table2[[#This Row],[CAR initialized date]]</f>
        <v>27</v>
      </c>
    </row>
    <row r="455" spans="1:14" ht="18.75">
      <c r="A455" s="227" t="s">
        <v>202</v>
      </c>
      <c r="B455" s="2">
        <f>VLOOKUP(Table2[[#This Row],[Location 
(drop-down)]],Table14[[Location]:[Location ID]],2,FALSE)</f>
        <v>180</v>
      </c>
      <c r="C455" s="254" t="s">
        <v>1061</v>
      </c>
      <c r="D455" s="379" t="str">
        <f>"C" &amp; C455 &amp;"-" &amp; B455 &amp; "-" &amp; "25"</f>
        <v>C414-180-25</v>
      </c>
      <c r="E455" s="254" t="s">
        <v>26</v>
      </c>
      <c r="F455" s="254" t="s">
        <v>1062</v>
      </c>
      <c r="G455" s="227" t="s">
        <v>1063</v>
      </c>
      <c r="H455" s="165" t="s">
        <v>20</v>
      </c>
      <c r="I455" s="165" t="s">
        <v>47</v>
      </c>
      <c r="J455" s="289">
        <v>45943</v>
      </c>
      <c r="K455" s="226">
        <v>45968</v>
      </c>
      <c r="L455" s="532"/>
      <c r="M455" s="2" t="str">
        <f ca="1">IF(ISBLANK([1]!Table2[[#This Row],[Complete corrective actions (Approved Date)]]), TODAY()-[1]!Table2[[#This Row],[CAR initialized date]], "CLOSED")</f>
        <v>CLOSED</v>
      </c>
      <c r="N455" s="511">
        <f>Table2[[#This Row],[Effectiveness Review &amp; date deemed effective]]-Table2[[#This Row],[CAR initialized date]]</f>
        <v>25</v>
      </c>
    </row>
    <row r="456" spans="1:14" ht="18.75">
      <c r="A456" s="227" t="s">
        <v>202</v>
      </c>
      <c r="B456" s="2">
        <f>VLOOKUP(Table2[[#This Row],[Location 
(drop-down)]],Table14[[Location]:[Location ID]],2,FALSE)</f>
        <v>180</v>
      </c>
      <c r="C456" s="254" t="s">
        <v>1064</v>
      </c>
      <c r="D456" s="379" t="str">
        <f>"C" &amp; C456 &amp;"-" &amp; B456 &amp; "-" &amp; "25"</f>
        <v>C400-180-25</v>
      </c>
      <c r="E456" s="254" t="s">
        <v>18</v>
      </c>
      <c r="F456" s="254"/>
      <c r="G456" s="240" t="s">
        <v>1065</v>
      </c>
      <c r="H456" s="165" t="s">
        <v>20</v>
      </c>
      <c r="I456" s="165" t="s">
        <v>21</v>
      </c>
      <c r="J456" s="289">
        <v>45925</v>
      </c>
      <c r="K456" s="226">
        <v>45971</v>
      </c>
      <c r="L456" s="532"/>
      <c r="M456" s="2" t="str">
        <f ca="1">IF(ISBLANK([1]!Table2[[#This Row],[Complete corrective actions (Approved Date)]]), TODAY()-[1]!Table2[[#This Row],[CAR initialized date]], "CLOSED")</f>
        <v>CLOSED</v>
      </c>
      <c r="N456" s="511">
        <f>Table2[[#This Row],[Effectiveness Review &amp; date deemed effective]]-Table2[[#This Row],[CAR initialized date]]</f>
        <v>46</v>
      </c>
    </row>
    <row r="457" spans="1:14" ht="18.75">
      <c r="A457" s="227" t="s">
        <v>119</v>
      </c>
      <c r="B457" s="2">
        <f>VLOOKUP(Table2[[#This Row],[Location 
(drop-down)]],Table14[[Location]:[Location ID]],2,FALSE)</f>
        <v>131</v>
      </c>
      <c r="C457" s="254" t="s">
        <v>1066</v>
      </c>
      <c r="D457" s="379" t="str">
        <f>"C" &amp; C457 &amp;"-" &amp; B457 &amp; "-" &amp; "25"</f>
        <v>C347-131-25</v>
      </c>
      <c r="E457" s="254" t="s">
        <v>18</v>
      </c>
      <c r="F457" s="254"/>
      <c r="G457" s="227" t="s">
        <v>1067</v>
      </c>
      <c r="H457" s="165" t="s">
        <v>20</v>
      </c>
      <c r="I457" s="165" t="s">
        <v>21</v>
      </c>
      <c r="J457" s="289">
        <v>45877</v>
      </c>
      <c r="K457" s="226">
        <v>45972</v>
      </c>
      <c r="L457" s="532"/>
      <c r="M457" s="2" t="str">
        <f ca="1">IF(ISBLANK([1]!Table2[[#This Row],[Complete corrective actions (Approved Date)]]), TODAY()-[1]!Table2[[#This Row],[CAR initialized date]], "CLOSED")</f>
        <v>CLOSED</v>
      </c>
      <c r="N457" s="511">
        <f>Table2[[#This Row],[Effectiveness Review &amp; date deemed effective]]-Table2[[#This Row],[CAR initialized date]]</f>
        <v>95</v>
      </c>
    </row>
    <row r="458" spans="1:14" ht="18.75">
      <c r="A458" s="227" t="s">
        <v>969</v>
      </c>
      <c r="B458" s="2">
        <f>VLOOKUP(Table2[[#This Row],[Location 
(drop-down)]],Table14[[Location]:[Location ID]],2,FALSE)</f>
        <v>129</v>
      </c>
      <c r="C458" s="254">
        <v>524</v>
      </c>
      <c r="D458" s="378" t="s">
        <v>1068</v>
      </c>
      <c r="E458" s="413" t="s">
        <v>18</v>
      </c>
      <c r="F458" s="413"/>
      <c r="G458" s="227" t="s">
        <v>965</v>
      </c>
      <c r="H458" s="165" t="s">
        <v>201</v>
      </c>
      <c r="I458" s="230" t="s">
        <v>1005</v>
      </c>
      <c r="J458" s="289">
        <v>45701</v>
      </c>
      <c r="K458" s="226">
        <v>45973</v>
      </c>
      <c r="L458" s="532"/>
      <c r="M458" s="2" t="str">
        <f ca="1">IF(ISBLANK([1]!Table2[[#This Row],[Complete corrective actions (Approved Date)]]), TODAY()-[1]!Table2[[#This Row],[CAR initialized date]], "CLOSED")</f>
        <v>CLOSED</v>
      </c>
      <c r="N458" s="511">
        <f>Table2[[#This Row],[Effectiveness Review &amp; date deemed effective]]-Table2[[#This Row],[CAR initialized date]]</f>
        <v>272</v>
      </c>
    </row>
    <row r="459" spans="1:14" ht="18.75">
      <c r="A459" s="227" t="s">
        <v>294</v>
      </c>
      <c r="B459" s="2">
        <f>VLOOKUP(Table2[[#This Row],[Location 
(drop-down)]],Table14[[Location]:[Location ID]],2,FALSE)</f>
        <v>155</v>
      </c>
      <c r="C459" s="254" t="s">
        <v>1069</v>
      </c>
      <c r="D459" s="379" t="str">
        <f>"C" &amp; C459 &amp;"-" &amp; B459 &amp; "-" &amp; "25"</f>
        <v>C433-155-25</v>
      </c>
      <c r="E459" s="254" t="s">
        <v>81</v>
      </c>
      <c r="F459" s="254" t="s">
        <v>1070</v>
      </c>
      <c r="G459" s="227" t="s">
        <v>1071</v>
      </c>
      <c r="H459" s="165" t="s">
        <v>68</v>
      </c>
      <c r="I459" s="165" t="s">
        <v>47</v>
      </c>
      <c r="J459" s="289">
        <v>45960</v>
      </c>
      <c r="K459" s="226">
        <v>45975</v>
      </c>
      <c r="L459" s="532"/>
      <c r="M459" s="2" t="str">
        <f ca="1">IF(ISBLANK([1]!Table2[[#This Row],[Complete corrective actions (Approved Date)]]), TODAY()-[1]!Table2[[#This Row],[CAR initialized date]], "CLOSED")</f>
        <v>CLOSED</v>
      </c>
      <c r="N459" s="511">
        <f>Table2[[#This Row],[Effectiveness Review &amp; date deemed effective]]-Table2[[#This Row],[CAR initialized date]]</f>
        <v>15</v>
      </c>
    </row>
    <row r="460" spans="1:14" ht="18.75">
      <c r="A460" s="227" t="s">
        <v>202</v>
      </c>
      <c r="B460" s="2">
        <f>VLOOKUP(Table2[[#This Row],[Location 
(drop-down)]],Table14[[Location]:[Location ID]],2,FALSE)</f>
        <v>180</v>
      </c>
      <c r="C460" s="254" t="s">
        <v>1072</v>
      </c>
      <c r="D460" s="379" t="str">
        <f>"C" &amp; C460 &amp;"-" &amp; B460 &amp; "-" &amp; "25"</f>
        <v>C468-180-25</v>
      </c>
      <c r="E460" s="254" t="s">
        <v>26</v>
      </c>
      <c r="F460" s="254" t="s">
        <v>151</v>
      </c>
      <c r="G460" s="227" t="s">
        <v>1073</v>
      </c>
      <c r="H460" s="165" t="s">
        <v>20</v>
      </c>
      <c r="I460" s="165" t="s">
        <v>239</v>
      </c>
      <c r="J460" s="289">
        <v>45958</v>
      </c>
      <c r="K460" s="226">
        <v>45975</v>
      </c>
      <c r="L460" s="532"/>
      <c r="M460" s="2" t="str">
        <f ca="1">IF(ISBLANK([1]!Table2[[#This Row],[Complete corrective actions (Approved Date)]]), TODAY()-[1]!Table2[[#This Row],[CAR initialized date]], "CLOSED")</f>
        <v>CLOSED</v>
      </c>
      <c r="N460" s="511">
        <f>Table2[[#This Row],[Effectiveness Review &amp; date deemed effective]]-Table2[[#This Row],[CAR initialized date]]</f>
        <v>17</v>
      </c>
    </row>
    <row r="461" spans="1:14" ht="18.75">
      <c r="A461" s="227" t="s">
        <v>30</v>
      </c>
      <c r="B461" s="2">
        <f>VLOOKUP(Table2[[#This Row],[Location 
(drop-down)]],Table14[[Location]:[Location ID]],2,FALSE)</f>
        <v>132</v>
      </c>
      <c r="C461" s="254" t="s">
        <v>1074</v>
      </c>
      <c r="D461" s="379" t="str">
        <f>"C" &amp; C461 &amp;"-" &amp; B461 &amp; "-" &amp; "25"</f>
        <v>C307-132-25</v>
      </c>
      <c r="E461" s="254" t="s">
        <v>18</v>
      </c>
      <c r="F461" s="254"/>
      <c r="G461" s="227" t="s">
        <v>1075</v>
      </c>
      <c r="H461" s="165" t="s">
        <v>20</v>
      </c>
      <c r="I461" s="165" t="s">
        <v>21</v>
      </c>
      <c r="J461" s="289">
        <v>45835</v>
      </c>
      <c r="K461" s="226">
        <v>45978</v>
      </c>
      <c r="L461" s="532"/>
      <c r="M461" s="2" t="str">
        <f ca="1">IF(ISBLANK([1]!Table2[[#This Row],[Complete corrective actions (Approved Date)]]), TODAY()-[1]!Table2[[#This Row],[CAR initialized date]], "CLOSED")</f>
        <v>CLOSED</v>
      </c>
      <c r="N461" s="511">
        <f>Table2[[#This Row],[Effectiveness Review &amp; date deemed effective]]-Table2[[#This Row],[CAR initialized date]]</f>
        <v>143</v>
      </c>
    </row>
    <row r="462" spans="1:14" ht="18.75">
      <c r="A462" s="227" t="s">
        <v>114</v>
      </c>
      <c r="B462" s="2">
        <f>VLOOKUP(Table2[[#This Row],[Location 
(drop-down)]],Table14[[Location]:[Location ID]],2,FALSE)</f>
        <v>189</v>
      </c>
      <c r="C462" s="254" t="s">
        <v>1076</v>
      </c>
      <c r="D462" s="379" t="str">
        <f>"C" &amp; C462 &amp;"-" &amp; B462 &amp; "-" &amp; "25"</f>
        <v>C265-189-25</v>
      </c>
      <c r="E462" s="254" t="s">
        <v>18</v>
      </c>
      <c r="F462" s="254"/>
      <c r="G462" s="228" t="s">
        <v>1077</v>
      </c>
      <c r="H462" s="165" t="s">
        <v>20</v>
      </c>
      <c r="I462" s="165" t="s">
        <v>768</v>
      </c>
      <c r="J462" s="289">
        <v>45820</v>
      </c>
      <c r="K462" s="226">
        <v>45980</v>
      </c>
      <c r="L462" s="532"/>
      <c r="M462" s="2" t="str">
        <f ca="1">IF(ISBLANK([1]!Table2[[#This Row],[Complete corrective actions (Approved Date)]]), TODAY()-[1]!Table2[[#This Row],[CAR initialized date]], "CLOSED")</f>
        <v>CLOSED</v>
      </c>
      <c r="N462" s="511">
        <f>Table2[[#This Row],[Effectiveness Review &amp; date deemed effective]]-Table2[[#This Row],[CAR initialized date]]</f>
        <v>160</v>
      </c>
    </row>
    <row r="463" spans="1:14" ht="18.75">
      <c r="A463" s="227" t="s">
        <v>114</v>
      </c>
      <c r="B463" s="2">
        <f>VLOOKUP(Table2[[#This Row],[Location 
(drop-down)]],Table14[[Location]:[Location ID]],2,FALSE)</f>
        <v>189</v>
      </c>
      <c r="C463" s="254" t="s">
        <v>479</v>
      </c>
      <c r="D463" s="379" t="str">
        <f>"C" &amp; C463 &amp;"-" &amp; B463 &amp; "-" &amp; "25"</f>
        <v>C268-189-25</v>
      </c>
      <c r="E463" s="254" t="s">
        <v>18</v>
      </c>
      <c r="F463" s="254"/>
      <c r="G463" s="228" t="s">
        <v>1078</v>
      </c>
      <c r="H463" s="165" t="s">
        <v>20</v>
      </c>
      <c r="I463" s="165" t="s">
        <v>768</v>
      </c>
      <c r="J463" s="289">
        <v>45820</v>
      </c>
      <c r="K463" s="226">
        <v>45980</v>
      </c>
      <c r="L463" s="532"/>
      <c r="M463" s="2" t="str">
        <f ca="1">IF(ISBLANK([1]!Table2[[#This Row],[Complete corrective actions (Approved Date)]]), TODAY()-[1]!Table2[[#This Row],[CAR initialized date]], "CLOSED")</f>
        <v>CLOSED</v>
      </c>
      <c r="N463" s="511">
        <f>Table2[[#This Row],[Effectiveness Review &amp; date deemed effective]]-Table2[[#This Row],[CAR initialized date]]</f>
        <v>160</v>
      </c>
    </row>
    <row r="464" spans="1:14" ht="18.75">
      <c r="A464" s="227" t="s">
        <v>969</v>
      </c>
      <c r="B464" s="2">
        <f>VLOOKUP(Table2[[#This Row],[Location 
(drop-down)]],Table14[[Location]:[Location ID]],2,FALSE)</f>
        <v>129</v>
      </c>
      <c r="C464" s="254">
        <v>525</v>
      </c>
      <c r="D464" s="378" t="s">
        <v>1079</v>
      </c>
      <c r="E464" s="413" t="s">
        <v>18</v>
      </c>
      <c r="F464" s="413"/>
      <c r="G464" s="227" t="s">
        <v>1080</v>
      </c>
      <c r="H464" s="165" t="s">
        <v>20</v>
      </c>
      <c r="I464" s="230" t="s">
        <v>1005</v>
      </c>
      <c r="J464" s="289">
        <v>45701</v>
      </c>
      <c r="K464" s="226">
        <v>45980</v>
      </c>
      <c r="L464" s="532"/>
      <c r="M464" s="2" t="str">
        <f ca="1">IF(ISBLANK([1]!Table2[[#This Row],[Complete corrective actions (Approved Date)]]), TODAY()-[1]!Table2[[#This Row],[CAR initialized date]], "CLOSED")</f>
        <v>CLOSED</v>
      </c>
      <c r="N464" s="511">
        <f>Table2[[#This Row],[Effectiveness Review &amp; date deemed effective]]-Table2[[#This Row],[CAR initialized date]]</f>
        <v>279</v>
      </c>
    </row>
    <row r="465" spans="1:14" ht="18.75">
      <c r="A465" s="227" t="s">
        <v>80</v>
      </c>
      <c r="B465" s="2">
        <f>VLOOKUP(Table2[[#This Row],[Location 
(drop-down)]],Table14[[Location]:[Location ID]],2,FALSE)</f>
        <v>141</v>
      </c>
      <c r="C465" s="254" t="s">
        <v>548</v>
      </c>
      <c r="D465" s="379" t="str">
        <f>"C" &amp; C465 &amp;"-" &amp; B465 &amp; "-" &amp; "25"</f>
        <v>C470-141-25</v>
      </c>
      <c r="E465" s="254" t="s">
        <v>26</v>
      </c>
      <c r="F465" s="254" t="s">
        <v>158</v>
      </c>
      <c r="G465" s="227" t="s">
        <v>1081</v>
      </c>
      <c r="H465" s="165" t="s">
        <v>20</v>
      </c>
      <c r="I465" s="165" t="s">
        <v>239</v>
      </c>
      <c r="J465" s="289">
        <v>45981</v>
      </c>
      <c r="K465" s="226">
        <v>45981</v>
      </c>
      <c r="L465" s="532"/>
      <c r="M465" s="2" t="str">
        <f ca="1">IF(ISBLANK([1]!Table2[[#This Row],[Complete corrective actions (Approved Date)]]), TODAY()-[1]!Table2[[#This Row],[CAR initialized date]], "CLOSED")</f>
        <v>CLOSED</v>
      </c>
      <c r="N465" s="511">
        <f>Table2[[#This Row],[Effectiveness Review &amp; date deemed effective]]-Table2[[#This Row],[CAR initialized date]]</f>
        <v>0</v>
      </c>
    </row>
    <row r="466" spans="1:14" ht="18.75">
      <c r="A466" s="227" t="s">
        <v>1082</v>
      </c>
      <c r="B466" s="2">
        <f>VLOOKUP(Table2[[#This Row],[Location 
(drop-down)]],Table14[[Location]:[Location ID]],2,FALSE)</f>
        <v>159</v>
      </c>
      <c r="C466" s="254" t="s">
        <v>1083</v>
      </c>
      <c r="D466" s="379" t="str">
        <f>"C" &amp; C466 &amp;"-" &amp; B466 &amp; "-" &amp; "25"</f>
        <v>C398-159-25</v>
      </c>
      <c r="E466" s="254" t="s">
        <v>18</v>
      </c>
      <c r="F466" s="254"/>
      <c r="G466" s="517" t="s">
        <v>1084</v>
      </c>
      <c r="H466" s="165" t="s">
        <v>201</v>
      </c>
      <c r="I466" s="165" t="s">
        <v>69</v>
      </c>
      <c r="J466" s="289">
        <v>45919</v>
      </c>
      <c r="K466" s="226">
        <v>45981</v>
      </c>
      <c r="L466" s="532"/>
      <c r="M466" s="2" t="str">
        <f ca="1">IF(ISBLANK([1]!Table2[[#This Row],[Complete corrective actions (Approved Date)]]), TODAY()-[1]!Table2[[#This Row],[CAR initialized date]], "CLOSED")</f>
        <v>CLOSED</v>
      </c>
      <c r="N466" s="511">
        <f>Table2[[#This Row],[Effectiveness Review &amp; date deemed effective]]-Table2[[#This Row],[CAR initialized date]]</f>
        <v>62</v>
      </c>
    </row>
    <row r="467" spans="1:14" ht="18.75">
      <c r="A467" s="227" t="s">
        <v>566</v>
      </c>
      <c r="B467" s="2">
        <f>VLOOKUP(Table2[[#This Row],[Location 
(drop-down)]],Table14[[Location]:[Location ID]],2,FALSE)</f>
        <v>133</v>
      </c>
      <c r="C467" s="254" t="s">
        <v>1085</v>
      </c>
      <c r="D467" s="379" t="str">
        <f>"C" &amp; C467 &amp;"-" &amp; B467 &amp; "-" &amp; "25"</f>
        <v>C369-133-25</v>
      </c>
      <c r="E467" s="254" t="s">
        <v>86</v>
      </c>
      <c r="F467" s="254" t="s">
        <v>106</v>
      </c>
      <c r="G467" s="227" t="s">
        <v>1086</v>
      </c>
      <c r="H467" s="165" t="s">
        <v>68</v>
      </c>
      <c r="I467" s="165" t="s">
        <v>111</v>
      </c>
      <c r="J467" s="289">
        <v>45888</v>
      </c>
      <c r="K467" s="226">
        <v>45981</v>
      </c>
      <c r="L467" s="532"/>
      <c r="M467" s="2" t="str">
        <f ca="1">IF(ISBLANK([1]!Table2[[#This Row],[Complete corrective actions (Approved Date)]]), TODAY()-[1]!Table2[[#This Row],[CAR initialized date]], "CLOSED")</f>
        <v>CLOSED</v>
      </c>
      <c r="N467" s="511">
        <f>Table2[[#This Row],[Effectiveness Review &amp; date deemed effective]]-Table2[[#This Row],[CAR initialized date]]</f>
        <v>93</v>
      </c>
    </row>
    <row r="468" spans="1:14" ht="18.75">
      <c r="A468" s="227" t="s">
        <v>39</v>
      </c>
      <c r="B468" s="2">
        <f>VLOOKUP(Table2[[#This Row],[Location 
(drop-down)]],Table14[[Location]:[Location ID]],2,FALSE)</f>
        <v>120</v>
      </c>
      <c r="C468" s="254" t="s">
        <v>732</v>
      </c>
      <c r="D468" s="379" t="str">
        <f>"C" &amp; C468 &amp;"-" &amp; B468 &amp; "-" &amp; "25"</f>
        <v>C477-120-25</v>
      </c>
      <c r="E468" s="254" t="s">
        <v>81</v>
      </c>
      <c r="F468" s="254" t="s">
        <v>106</v>
      </c>
      <c r="G468" s="227" t="s">
        <v>1087</v>
      </c>
      <c r="H468" s="165" t="s">
        <v>68</v>
      </c>
      <c r="I468" s="165" t="s">
        <v>327</v>
      </c>
      <c r="J468" s="289">
        <v>45985</v>
      </c>
      <c r="K468" s="226">
        <v>45985</v>
      </c>
      <c r="L468" s="532"/>
      <c r="M468" s="2" t="str">
        <f ca="1">IF(ISBLANK([1]!Table2[[#This Row],[Complete corrective actions (Approved Date)]]), TODAY()-[1]!Table2[[#This Row],[CAR initialized date]], "CLOSED")</f>
        <v>CLOSED</v>
      </c>
      <c r="N468" s="511">
        <f>Table2[[#This Row],[Effectiveness Review &amp; date deemed effective]]-Table2[[#This Row],[CAR initialized date]]</f>
        <v>0</v>
      </c>
    </row>
    <row r="469" spans="1:14" ht="18.75">
      <c r="A469" s="227" t="s">
        <v>39</v>
      </c>
      <c r="B469" s="2">
        <f>VLOOKUP(Table2[[#This Row],[Location 
(drop-down)]],Table14[[Location]:[Location ID]],2,FALSE)</f>
        <v>120</v>
      </c>
      <c r="C469" s="254" t="s">
        <v>1088</v>
      </c>
      <c r="D469" s="379" t="str">
        <f>"C" &amp; C469 &amp;"-" &amp; B469 &amp; "-" &amp; "25"</f>
        <v>C403-120-25</v>
      </c>
      <c r="E469" s="254" t="s">
        <v>120</v>
      </c>
      <c r="F469" s="254" t="s">
        <v>1089</v>
      </c>
      <c r="G469" s="227" t="s">
        <v>1090</v>
      </c>
      <c r="H469" s="165" t="s">
        <v>20</v>
      </c>
      <c r="I469" s="165" t="s">
        <v>327</v>
      </c>
      <c r="J469" s="289">
        <v>45925</v>
      </c>
      <c r="K469" s="226">
        <v>45992</v>
      </c>
      <c r="L469" s="532"/>
      <c r="M469" s="2" t="str">
        <f ca="1">IF(ISBLANK([1]!Table2[[#This Row],[Complete corrective actions (Approved Date)]]), TODAY()-[1]!Table2[[#This Row],[CAR initialized date]], "CLOSED")</f>
        <v>CLOSED</v>
      </c>
      <c r="N469" s="511">
        <f>Table2[[#This Row],[Effectiveness Review &amp; date deemed effective]]-Table2[[#This Row],[CAR initialized date]]</f>
        <v>67</v>
      </c>
    </row>
    <row r="470" spans="1:14" ht="18.75">
      <c r="A470" s="227" t="s">
        <v>39</v>
      </c>
      <c r="B470" s="2">
        <f>VLOOKUP(Table2[[#This Row],[Location 
(drop-down)]],Table14[[Location]:[Location ID]],2,FALSE)</f>
        <v>120</v>
      </c>
      <c r="C470" s="254" t="s">
        <v>228</v>
      </c>
      <c r="D470" s="379" t="str">
        <f>"C" &amp; C470 &amp;"-" &amp; B470 &amp; "-" &amp; "25"</f>
        <v>C476-120-25</v>
      </c>
      <c r="E470" s="254" t="s">
        <v>81</v>
      </c>
      <c r="F470" s="254" t="s">
        <v>207</v>
      </c>
      <c r="G470" s="227" t="s">
        <v>1091</v>
      </c>
      <c r="H470" s="165" t="s">
        <v>68</v>
      </c>
      <c r="I470" s="165" t="s">
        <v>327</v>
      </c>
      <c r="J470" s="289">
        <v>45982</v>
      </c>
      <c r="K470" s="226">
        <v>45992</v>
      </c>
      <c r="L470" s="532"/>
      <c r="M470" s="2" t="str">
        <f ca="1">IF(ISBLANK([1]!Table2[[#This Row],[Complete corrective actions (Approved Date)]]), TODAY()-[1]!Table2[[#This Row],[CAR initialized date]], "CLOSED")</f>
        <v>CLOSED</v>
      </c>
      <c r="N470" s="511">
        <f>Table2[[#This Row],[Effectiveness Review &amp; date deemed effective]]-Table2[[#This Row],[CAR initialized date]]</f>
        <v>10</v>
      </c>
    </row>
    <row r="471" spans="1:14" ht="18.75">
      <c r="A471" s="227" t="s">
        <v>73</v>
      </c>
      <c r="B471" s="2">
        <f>VLOOKUP(Table2[[#This Row],[Location 
(drop-down)]],Table14[[Location]:[Location ID]],2,FALSE)</f>
        <v>160</v>
      </c>
      <c r="C471" s="254" t="s">
        <v>741</v>
      </c>
      <c r="D471" s="379" t="str">
        <f>"C" &amp; C471 &amp;"-" &amp; B471 &amp; "-" &amp; "25"</f>
        <v>C377-160-25</v>
      </c>
      <c r="E471" s="254" t="s">
        <v>120</v>
      </c>
      <c r="F471" s="254"/>
      <c r="G471" s="240" t="s">
        <v>1092</v>
      </c>
      <c r="H471" s="165" t="s">
        <v>20</v>
      </c>
      <c r="I471" s="165" t="s">
        <v>47</v>
      </c>
      <c r="J471" s="289">
        <v>45896</v>
      </c>
      <c r="K471" s="226">
        <v>45992</v>
      </c>
      <c r="L471" s="532"/>
      <c r="M471" s="2" t="str">
        <f ca="1">IF(ISBLANK([1]!Table2[[#This Row],[Complete corrective actions (Approved Date)]]), TODAY()-[1]!Table2[[#This Row],[CAR initialized date]], "CLOSED")</f>
        <v>CLOSED</v>
      </c>
      <c r="N471" s="511">
        <f>Table2[[#This Row],[Effectiveness Review &amp; date deemed effective]]-Table2[[#This Row],[CAR initialized date]]</f>
        <v>96</v>
      </c>
    </row>
    <row r="472" spans="1:14" ht="18.75">
      <c r="A472" s="227" t="s">
        <v>264</v>
      </c>
      <c r="B472" s="2">
        <f>VLOOKUP(Table2[[#This Row],[Location 
(drop-down)]],Table14[[Location]:[Location ID]],2,FALSE)</f>
        <v>142</v>
      </c>
      <c r="C472" s="254" t="s">
        <v>1093</v>
      </c>
      <c r="D472" s="379" t="str">
        <f>"C" &amp; C472 &amp;"-" &amp; B472 &amp; "-" &amp; "25"</f>
        <v>C428-142-25</v>
      </c>
      <c r="E472" s="89" t="s">
        <v>26</v>
      </c>
      <c r="F472" s="254" t="s">
        <v>27</v>
      </c>
      <c r="G472" s="227" t="s">
        <v>1094</v>
      </c>
      <c r="H472" s="165" t="s">
        <v>68</v>
      </c>
      <c r="I472" s="165" t="s">
        <v>239</v>
      </c>
      <c r="J472" s="289">
        <v>45954</v>
      </c>
      <c r="K472" s="226">
        <v>45992</v>
      </c>
      <c r="L472" s="532"/>
      <c r="M472" s="2" t="str">
        <f ca="1">IF(ISBLANK([1]!Table2[[#This Row],[Complete corrective actions (Approved Date)]]), TODAY()-[1]!Table2[[#This Row],[CAR initialized date]], "CLOSED")</f>
        <v>CLOSED</v>
      </c>
      <c r="N472" s="511">
        <f>Table2[[#This Row],[Effectiveness Review &amp; date deemed effective]]-Table2[[#This Row],[CAR initialized date]]</f>
        <v>38</v>
      </c>
    </row>
    <row r="473" spans="1:14" ht="18.75">
      <c r="A473" s="227" t="s">
        <v>264</v>
      </c>
      <c r="B473" s="2">
        <f>VLOOKUP(Table2[[#This Row],[Location 
(drop-down)]],Table14[[Location]:[Location ID]],2,FALSE)</f>
        <v>142</v>
      </c>
      <c r="C473" s="254" t="s">
        <v>1095</v>
      </c>
      <c r="D473" s="379" t="str">
        <f>"C" &amp; C473 &amp;"-" &amp; B473 &amp; "-" &amp; "25"</f>
        <v>C429-142-25</v>
      </c>
      <c r="E473" s="254" t="s">
        <v>26</v>
      </c>
      <c r="F473" s="254" t="s">
        <v>27</v>
      </c>
      <c r="G473" s="227" t="s">
        <v>1096</v>
      </c>
      <c r="H473" s="165" t="s">
        <v>68</v>
      </c>
      <c r="I473" s="165" t="s">
        <v>239</v>
      </c>
      <c r="J473" s="289">
        <v>45954</v>
      </c>
      <c r="K473" s="226">
        <v>45992</v>
      </c>
      <c r="L473" s="532"/>
      <c r="M473" s="2" t="str">
        <f ca="1">IF(ISBLANK([1]!Table2[[#This Row],[Complete corrective actions (Approved Date)]]), TODAY()-[1]!Table2[[#This Row],[CAR initialized date]], "CLOSED")</f>
        <v>CLOSED</v>
      </c>
      <c r="N473" s="511">
        <f>Table2[[#This Row],[Effectiveness Review &amp; date deemed effective]]-Table2[[#This Row],[CAR initialized date]]</f>
        <v>38</v>
      </c>
    </row>
    <row r="474" spans="1:14" ht="18.75">
      <c r="A474" s="227" t="s">
        <v>73</v>
      </c>
      <c r="B474" s="2">
        <f>VLOOKUP(Table2[[#This Row],[Location 
(drop-down)]],Table14[[Location]:[Location ID]],2,FALSE)</f>
        <v>160</v>
      </c>
      <c r="C474" s="254" t="s">
        <v>970</v>
      </c>
      <c r="D474" s="379" t="str">
        <f>"C" &amp; C474 &amp;"-" &amp; B474 &amp; "-" &amp; "25"</f>
        <v>C423-160-25</v>
      </c>
      <c r="E474" s="89" t="s">
        <v>86</v>
      </c>
      <c r="F474" s="254" t="s">
        <v>106</v>
      </c>
      <c r="G474" s="227" t="s">
        <v>1097</v>
      </c>
      <c r="H474" s="165" t="s">
        <v>20</v>
      </c>
      <c r="I474" s="165" t="s">
        <v>327</v>
      </c>
      <c r="J474" s="289">
        <v>45950</v>
      </c>
      <c r="K474" s="226">
        <v>45993</v>
      </c>
      <c r="L474" s="532"/>
      <c r="M474" s="2" t="str">
        <f ca="1">IF(ISBLANK([1]!Table2[[#This Row],[Complete corrective actions (Approved Date)]]), TODAY()-[1]!Table2[[#This Row],[CAR initialized date]], "CLOSED")</f>
        <v>CLOSED</v>
      </c>
      <c r="N474" s="511">
        <f>Table2[[#This Row],[Effectiveness Review &amp; date deemed effective]]-Table2[[#This Row],[CAR initialized date]]</f>
        <v>43</v>
      </c>
    </row>
    <row r="475" spans="1:14" ht="18.75">
      <c r="A475" s="227" t="s">
        <v>114</v>
      </c>
      <c r="B475" s="2">
        <f>VLOOKUP(Table2[[#This Row],[Location 
(drop-down)]],Table14[[Location]:[Location ID]],2,FALSE)</f>
        <v>189</v>
      </c>
      <c r="C475" s="254" t="s">
        <v>58</v>
      </c>
      <c r="D475" s="379" t="str">
        <f>"C" &amp; C475 &amp;"-" &amp; B475 &amp; "-" &amp; "25"</f>
        <v>C266-189-25</v>
      </c>
      <c r="E475" s="254" t="s">
        <v>18</v>
      </c>
      <c r="F475" s="254"/>
      <c r="G475" s="228" t="s">
        <v>1098</v>
      </c>
      <c r="H475" s="165" t="s">
        <v>20</v>
      </c>
      <c r="I475" s="165" t="s">
        <v>768</v>
      </c>
      <c r="J475" s="289">
        <v>45820</v>
      </c>
      <c r="K475" s="226">
        <v>45994</v>
      </c>
      <c r="L475" s="532"/>
      <c r="M475" s="2" t="str">
        <f ca="1">IF(ISBLANK([1]!Table2[[#This Row],[Complete corrective actions (Approved Date)]]), TODAY()-[1]!Table2[[#This Row],[CAR initialized date]], "CLOSED")</f>
        <v>CLOSED</v>
      </c>
      <c r="N475" s="511">
        <f>Table2[[#This Row],[Effectiveness Review &amp; date deemed effective]]-Table2[[#This Row],[CAR initialized date]]</f>
        <v>174</v>
      </c>
    </row>
    <row r="476" spans="1:14" ht="18.75">
      <c r="A476" s="227" t="s">
        <v>114</v>
      </c>
      <c r="B476" s="2">
        <f>VLOOKUP(Table2[[#This Row],[Location 
(drop-down)]],Table14[[Location]:[Location ID]],2,FALSE)</f>
        <v>189</v>
      </c>
      <c r="C476" s="254" t="s">
        <v>40</v>
      </c>
      <c r="D476" s="379" t="str">
        <f>"C" &amp; C476 &amp;"-" &amp; B476 &amp; "-" &amp; "25"</f>
        <v>C267-189-25</v>
      </c>
      <c r="E476" s="254" t="s">
        <v>18</v>
      </c>
      <c r="F476" s="254"/>
      <c r="G476" s="228" t="s">
        <v>1099</v>
      </c>
      <c r="H476" s="165" t="s">
        <v>20</v>
      </c>
      <c r="I476" s="165" t="s">
        <v>768</v>
      </c>
      <c r="J476" s="289">
        <v>45820</v>
      </c>
      <c r="K476" s="226">
        <v>45994</v>
      </c>
      <c r="L476" s="532"/>
      <c r="M476" s="2" t="str">
        <f ca="1">IF(ISBLANK([1]!Table2[[#This Row],[Complete corrective actions (Approved Date)]]), TODAY()-[1]!Table2[[#This Row],[CAR initialized date]], "CLOSED")</f>
        <v>CLOSED</v>
      </c>
      <c r="N476" s="511">
        <f>Table2[[#This Row],[Effectiveness Review &amp; date deemed effective]]-Table2[[#This Row],[CAR initialized date]]</f>
        <v>174</v>
      </c>
    </row>
    <row r="477" spans="1:14" ht="18.75">
      <c r="A477" s="227" t="s">
        <v>125</v>
      </c>
      <c r="B477" s="2">
        <f>VLOOKUP(Table2[[#This Row],[Location 
(drop-down)]],Table14[[Location]:[Location ID]],2,FALSE)</f>
        <v>130</v>
      </c>
      <c r="C477" s="254" t="s">
        <v>1100</v>
      </c>
      <c r="D477" s="379" t="str">
        <f>"C" &amp; C477 &amp;"-" &amp; B477 &amp; "-" &amp; "25"</f>
        <v>C434-130-25</v>
      </c>
      <c r="E477" s="254" t="s">
        <v>81</v>
      </c>
      <c r="F477" s="254" t="s">
        <v>490</v>
      </c>
      <c r="G477" s="227" t="s">
        <v>1101</v>
      </c>
      <c r="H477" s="165" t="s">
        <v>68</v>
      </c>
      <c r="I477" s="165" t="s">
        <v>111</v>
      </c>
      <c r="J477" s="289">
        <v>45960</v>
      </c>
      <c r="K477" s="226">
        <v>46000</v>
      </c>
      <c r="L477" s="532"/>
      <c r="M477" s="2" t="str">
        <f ca="1">IF(ISBLANK([1]!Table2[[#This Row],[Complete corrective actions (Approved Date)]]), TODAY()-[1]!Table2[[#This Row],[CAR initialized date]], "CLOSED")</f>
        <v>CLOSED</v>
      </c>
      <c r="N477" s="511">
        <f>Table2[[#This Row],[Effectiveness Review &amp; date deemed effective]]-Table2[[#This Row],[CAR initialized date]]</f>
        <v>40</v>
      </c>
    </row>
    <row r="478" spans="1:14" ht="18.75">
      <c r="A478" s="227" t="s">
        <v>714</v>
      </c>
      <c r="B478" s="2">
        <f>VLOOKUP(Table2[[#This Row],[Location 
(drop-down)]],Table14[[Location]:[Location ID]],2,FALSE)</f>
        <v>215</v>
      </c>
      <c r="C478" s="254" t="s">
        <v>1102</v>
      </c>
      <c r="D478" s="379" t="str">
        <f>"C" &amp; C478 &amp;"-" &amp; B478 &amp; "-" &amp; "25"</f>
        <v>C147-215-25</v>
      </c>
      <c r="E478" s="254" t="s">
        <v>18</v>
      </c>
      <c r="F478" s="254"/>
      <c r="G478" s="240" t="s">
        <v>1103</v>
      </c>
      <c r="H478" s="165" t="s">
        <v>201</v>
      </c>
      <c r="I478" s="165" t="s">
        <v>21</v>
      </c>
      <c r="J478" s="289">
        <v>45744</v>
      </c>
      <c r="K478" s="226">
        <v>46002</v>
      </c>
      <c r="L478" s="532"/>
      <c r="M478" s="2" t="str">
        <f ca="1">IF(ISBLANK([1]!Table2[[#This Row],[Complete corrective actions (Approved Date)]]), TODAY()-[1]!Table2[[#This Row],[CAR initialized date]], "CLOSED")</f>
        <v>CLOSED</v>
      </c>
      <c r="N478" s="511">
        <f>Table2[[#This Row],[Effectiveness Review &amp; date deemed effective]]-Table2[[#This Row],[CAR initialized date]]</f>
        <v>258</v>
      </c>
    </row>
    <row r="479" spans="1:14" ht="18.75">
      <c r="A479" s="227" t="s">
        <v>566</v>
      </c>
      <c r="B479" s="2">
        <f>VLOOKUP(Table2[[#This Row],[Location 
(drop-down)]],Table14[[Location]:[Location ID]],2,FALSE)</f>
        <v>133</v>
      </c>
      <c r="C479" s="254" t="s">
        <v>1104</v>
      </c>
      <c r="D479" s="378" t="s">
        <v>1105</v>
      </c>
      <c r="E479" s="413" t="s">
        <v>18</v>
      </c>
      <c r="F479" s="413"/>
      <c r="G479" s="227" t="s">
        <v>1106</v>
      </c>
      <c r="H479" s="165" t="s">
        <v>20</v>
      </c>
      <c r="I479" s="230" t="s">
        <v>69</v>
      </c>
      <c r="J479" s="289">
        <v>45823</v>
      </c>
      <c r="K479" s="226">
        <v>46003</v>
      </c>
      <c r="L479" s="532"/>
      <c r="M479" s="2" t="str">
        <f ca="1">IF(ISBLANK([1]!Table2[[#This Row],[Complete corrective actions (Approved Date)]]), TODAY()-[1]!Table2[[#This Row],[CAR initialized date]], "CLOSED")</f>
        <v>CLOSED</v>
      </c>
      <c r="N479" s="511">
        <f>Table2[[#This Row],[Effectiveness Review &amp; date deemed effective]]-Table2[[#This Row],[CAR initialized date]]</f>
        <v>180</v>
      </c>
    </row>
    <row r="480" spans="1:14" ht="18.75">
      <c r="A480" s="227" t="s">
        <v>139</v>
      </c>
      <c r="B480" s="2">
        <f>VLOOKUP(Table2[[#This Row],[Location 
(drop-down)]],Table14[[Location]:[Location ID]],2,FALSE)</f>
        <v>191</v>
      </c>
      <c r="C480" s="254" t="s">
        <v>394</v>
      </c>
      <c r="D480" s="379" t="str">
        <f>"C" &amp; C480 &amp;"-" &amp; B480 &amp; "-" &amp; "25"</f>
        <v>C444-191-25</v>
      </c>
      <c r="E480" s="254" t="s">
        <v>18</v>
      </c>
      <c r="F480" s="254"/>
      <c r="G480" s="227" t="s">
        <v>1107</v>
      </c>
      <c r="H480" s="165" t="s">
        <v>20</v>
      </c>
      <c r="I480" s="165" t="s">
        <v>239</v>
      </c>
      <c r="J480" s="289">
        <v>45960</v>
      </c>
      <c r="K480" s="226">
        <v>46003</v>
      </c>
      <c r="L480" s="532"/>
      <c r="M480" s="2" t="str">
        <f ca="1">IF(ISBLANK([1]!Table2[[#This Row],[Complete corrective actions (Approved Date)]]), TODAY()-[1]!Table2[[#This Row],[CAR initialized date]], "CLOSED")</f>
        <v>CLOSED</v>
      </c>
      <c r="N480" s="511">
        <f>Table2[[#This Row],[Effectiveness Review &amp; date deemed effective]]-Table2[[#This Row],[CAR initialized date]]</f>
        <v>43</v>
      </c>
    </row>
    <row r="481" spans="1:14" ht="18.75">
      <c r="A481" s="227" t="s">
        <v>119</v>
      </c>
      <c r="B481" s="2">
        <f>VLOOKUP(Table2[[#This Row],[Location 
(drop-down)]],Table14[[Location]:[Location ID]],2,FALSE)</f>
        <v>131</v>
      </c>
      <c r="C481" s="254" t="s">
        <v>315</v>
      </c>
      <c r="D481" s="379" t="str">
        <f>"C" &amp; C481 &amp;"-" &amp; B481 &amp; "-" &amp; "25"</f>
        <v>C435-131-25</v>
      </c>
      <c r="E481" s="254" t="s">
        <v>81</v>
      </c>
      <c r="F481" s="254" t="s">
        <v>490</v>
      </c>
      <c r="G481" s="227" t="s">
        <v>1108</v>
      </c>
      <c r="H481" s="165" t="s">
        <v>68</v>
      </c>
      <c r="I481" s="165" t="s">
        <v>111</v>
      </c>
      <c r="J481" s="289">
        <v>45960</v>
      </c>
      <c r="K481" s="226">
        <v>46006</v>
      </c>
      <c r="L481" s="532"/>
      <c r="M481" s="2" t="str">
        <f ca="1">IF(ISBLANK([1]!Table2[[#This Row],[Complete corrective actions (Approved Date)]]), TODAY()-[1]!Table2[[#This Row],[CAR initialized date]], "CLOSED")</f>
        <v>CLOSED</v>
      </c>
      <c r="N481" s="511">
        <f>Table2[[#This Row],[Effectiveness Review &amp; date deemed effective]]-Table2[[#This Row],[CAR initialized date]]</f>
        <v>46</v>
      </c>
    </row>
    <row r="482" spans="1:14" ht="18.75">
      <c r="A482" s="227" t="s">
        <v>125</v>
      </c>
      <c r="B482" s="2">
        <f>VLOOKUP(Table2[[#This Row],[Location 
(drop-down)]],Table14[[Location]:[Location ID]],2,FALSE)</f>
        <v>130</v>
      </c>
      <c r="C482" s="254" t="s">
        <v>1109</v>
      </c>
      <c r="D482" s="379" t="str">
        <f>"C" &amp; C482 &amp;"-" &amp; B482 &amp; "-" &amp; "25"</f>
        <v>C463-130-25</v>
      </c>
      <c r="E482" s="254" t="s">
        <v>26</v>
      </c>
      <c r="F482" s="254" t="s">
        <v>151</v>
      </c>
      <c r="G482" s="227" t="s">
        <v>1110</v>
      </c>
      <c r="H482" s="165" t="s">
        <v>20</v>
      </c>
      <c r="I482" s="165" t="s">
        <v>111</v>
      </c>
      <c r="J482" s="289">
        <v>45973</v>
      </c>
      <c r="K482" s="226">
        <v>46007</v>
      </c>
      <c r="L482" s="532"/>
      <c r="M482" s="2" t="str">
        <f ca="1">IF(ISBLANK([1]!Table2[[#This Row],[Complete corrective actions (Approved Date)]]), TODAY()-[1]!Table2[[#This Row],[CAR initialized date]], "CLOSED")</f>
        <v>CLOSED</v>
      </c>
      <c r="N482" s="511">
        <f>Table2[[#This Row],[Effectiveness Review &amp; date deemed effective]]-Table2[[#This Row],[CAR initialized date]]</f>
        <v>34</v>
      </c>
    </row>
    <row r="483" spans="1:14" ht="18.75">
      <c r="A483" s="227" t="s">
        <v>30</v>
      </c>
      <c r="B483" s="2">
        <f>VLOOKUP(Table2[[#This Row],[Location 
(drop-down)]],Table14[[Location]:[Location ID]],2,FALSE)</f>
        <v>132</v>
      </c>
      <c r="C483" s="254" t="s">
        <v>153</v>
      </c>
      <c r="D483" s="379" t="str">
        <f>"C" &amp; C483 &amp;"-" &amp; B483 &amp; "-" &amp; "25"</f>
        <v>C302-132-25</v>
      </c>
      <c r="E483" s="254" t="s">
        <v>18</v>
      </c>
      <c r="F483" s="254"/>
      <c r="G483" s="227" t="s">
        <v>1111</v>
      </c>
      <c r="H483" s="165" t="s">
        <v>68</v>
      </c>
      <c r="I483" s="165" t="s">
        <v>21</v>
      </c>
      <c r="J483" s="289">
        <v>45835</v>
      </c>
      <c r="K483" s="226"/>
      <c r="L483" s="408">
        <f ca="1">TODAY()-Table2[[#This Row],[CAR initialized date]]</f>
        <v>243</v>
      </c>
      <c r="M483" s="226" t="s">
        <v>1112</v>
      </c>
      <c r="N483" s="217"/>
    </row>
    <row r="484" spans="1:14" ht="18.75">
      <c r="A484" s="227" t="s">
        <v>714</v>
      </c>
      <c r="B484" s="2">
        <f>VLOOKUP(Table2[[#This Row],[Location 
(drop-down)]],Table14[[Location]:[Location ID]],2,FALSE)</f>
        <v>215</v>
      </c>
      <c r="C484" s="254" t="s">
        <v>1113</v>
      </c>
      <c r="D484" s="379" t="str">
        <f>"C" &amp; C484 &amp;"-" &amp; B484 &amp; "-" &amp; "25"</f>
        <v>C430-215-25</v>
      </c>
      <c r="E484" s="254" t="s">
        <v>86</v>
      </c>
      <c r="F484" s="254" t="s">
        <v>523</v>
      </c>
      <c r="G484" s="406" t="s">
        <v>1114</v>
      </c>
      <c r="H484" s="165" t="s">
        <v>20</v>
      </c>
      <c r="I484" s="165" t="s">
        <v>108</v>
      </c>
      <c r="J484" s="289">
        <v>45957</v>
      </c>
      <c r="K484" s="226">
        <v>46010</v>
      </c>
      <c r="L484" s="532"/>
      <c r="M484" s="2" t="str">
        <f ca="1">IF(ISBLANK([1]!Table2[[#This Row],[Complete corrective actions (Approved Date)]]), TODAY()-[1]!Table2[[#This Row],[CAR initialized date]], "CLOSED")</f>
        <v>CLOSED</v>
      </c>
      <c r="N484" s="511">
        <f>Table2[[#This Row],[Effectiveness Review &amp; date deemed effective]]-Table2[[#This Row],[CAR initialized date]]</f>
        <v>53</v>
      </c>
    </row>
    <row r="485" spans="1:14" ht="18.75">
      <c r="A485" s="227" t="s">
        <v>714</v>
      </c>
      <c r="B485" s="2">
        <f>VLOOKUP(Table2[[#This Row],[Location 
(drop-down)]],Table14[[Location]:[Location ID]],2,FALSE)</f>
        <v>215</v>
      </c>
      <c r="C485" s="254" t="s">
        <v>1115</v>
      </c>
      <c r="D485" s="379" t="str">
        <f>"C" &amp; C485 &amp;"-" &amp; B485 &amp; "-" &amp; "25"</f>
        <v>C431-215-25</v>
      </c>
      <c r="E485" s="254" t="s">
        <v>86</v>
      </c>
      <c r="F485" s="254" t="s">
        <v>523</v>
      </c>
      <c r="G485" s="406" t="s">
        <v>1116</v>
      </c>
      <c r="H485" s="165" t="s">
        <v>20</v>
      </c>
      <c r="I485" s="165" t="s">
        <v>108</v>
      </c>
      <c r="J485" s="289">
        <v>45957</v>
      </c>
      <c r="K485" s="226">
        <v>46010</v>
      </c>
      <c r="L485" s="532"/>
      <c r="M485" s="2" t="str">
        <f ca="1">IF(ISBLANK([1]!Table2[[#This Row],[Complete corrective actions (Approved Date)]]), TODAY()-[1]!Table2[[#This Row],[CAR initialized date]], "CLOSED")</f>
        <v>CLOSED</v>
      </c>
      <c r="N485" s="511">
        <f>Table2[[#This Row],[Effectiveness Review &amp; date deemed effective]]-Table2[[#This Row],[CAR initialized date]]</f>
        <v>53</v>
      </c>
    </row>
    <row r="486" spans="1:14" ht="18.75">
      <c r="A486" s="227" t="s">
        <v>714</v>
      </c>
      <c r="B486" s="2">
        <f>VLOOKUP(Table2[[#This Row],[Location 
(drop-down)]],Table14[[Location]:[Location ID]],2,FALSE)</f>
        <v>215</v>
      </c>
      <c r="C486" s="254" t="s">
        <v>1117</v>
      </c>
      <c r="D486" s="379" t="str">
        <f>"C" &amp; C486 &amp;"-" &amp; B486 &amp; "-" &amp; "25"</f>
        <v>C432-215-25</v>
      </c>
      <c r="E486" s="254" t="s">
        <v>86</v>
      </c>
      <c r="F486" s="254" t="s">
        <v>523</v>
      </c>
      <c r="G486" s="406" t="s">
        <v>1118</v>
      </c>
      <c r="H486" s="165" t="s">
        <v>20</v>
      </c>
      <c r="I486" s="165" t="s">
        <v>108</v>
      </c>
      <c r="J486" s="289">
        <v>45957</v>
      </c>
      <c r="K486" s="226">
        <v>46010</v>
      </c>
      <c r="L486" s="532"/>
      <c r="M486" s="2" t="str">
        <f ca="1">IF(ISBLANK([1]!Table2[[#This Row],[Complete corrective actions (Approved Date)]]), TODAY()-[1]!Table2[[#This Row],[CAR initialized date]], "CLOSED")</f>
        <v>CLOSED</v>
      </c>
      <c r="N486" s="511">
        <f>Table2[[#This Row],[Effectiveness Review &amp; date deemed effective]]-Table2[[#This Row],[CAR initialized date]]</f>
        <v>53</v>
      </c>
    </row>
    <row r="487" spans="1:14" ht="18.75">
      <c r="A487" s="227" t="s">
        <v>30</v>
      </c>
      <c r="B487" s="2">
        <f>VLOOKUP(Table2[[#This Row],[Location 
(drop-down)]],Table14[[Location]:[Location ID]],2,FALSE)</f>
        <v>132</v>
      </c>
      <c r="C487" s="254" t="s">
        <v>234</v>
      </c>
      <c r="D487" s="379" t="str">
        <f>"C" &amp; C487 &amp;"-" &amp; B487 &amp; "-" &amp; "25"</f>
        <v>C303-132-25</v>
      </c>
      <c r="E487" s="254" t="s">
        <v>18</v>
      </c>
      <c r="F487" s="254"/>
      <c r="G487" s="227" t="s">
        <v>892</v>
      </c>
      <c r="H487" s="165" t="s">
        <v>68</v>
      </c>
      <c r="I487" s="165" t="s">
        <v>21</v>
      </c>
      <c r="J487" s="289">
        <v>45835</v>
      </c>
      <c r="K487" s="226"/>
      <c r="L487" s="408">
        <f ca="1">TODAY()-Table2[[#This Row],[CAR initialized date]]</f>
        <v>243</v>
      </c>
      <c r="M487" s="226" t="s">
        <v>1112</v>
      </c>
      <c r="N487" s="217"/>
    </row>
    <row r="488" spans="1:14" ht="18.75">
      <c r="A488" s="227" t="s">
        <v>30</v>
      </c>
      <c r="B488" s="2">
        <f>VLOOKUP(Table2[[#This Row],[Location 
(drop-down)]],Table14[[Location]:[Location ID]],2,FALSE)</f>
        <v>132</v>
      </c>
      <c r="C488" s="254" t="s">
        <v>1119</v>
      </c>
      <c r="D488" s="379" t="str">
        <f>"C" &amp; C488 &amp;"-" &amp; B488 &amp; "-" &amp; "25"</f>
        <v>C304-132-25</v>
      </c>
      <c r="E488" s="254" t="s">
        <v>18</v>
      </c>
      <c r="F488" s="254"/>
      <c r="G488" s="227" t="s">
        <v>870</v>
      </c>
      <c r="H488" s="165" t="s">
        <v>68</v>
      </c>
      <c r="I488" s="165" t="s">
        <v>21</v>
      </c>
      <c r="J488" s="289">
        <v>45835</v>
      </c>
      <c r="K488" s="226"/>
      <c r="L488" s="408">
        <f ca="1">TODAY()-Table2[[#This Row],[CAR initialized date]]</f>
        <v>243</v>
      </c>
      <c r="M488" s="226" t="s">
        <v>1112</v>
      </c>
      <c r="N488" s="217"/>
    </row>
    <row r="489" spans="1:14" ht="18.75">
      <c r="A489" s="227" t="s">
        <v>114</v>
      </c>
      <c r="B489" s="2">
        <f>VLOOKUP(Table2[[#This Row],[Location 
(drop-down)]],Table14[[Location]:[Location ID]],2,FALSE)</f>
        <v>189</v>
      </c>
      <c r="C489" s="254" t="s">
        <v>769</v>
      </c>
      <c r="D489" s="379" t="str">
        <f>"C" &amp; C489 &amp;"-" &amp; B489 &amp; "-" &amp; "25"</f>
        <v>C263-189-25</v>
      </c>
      <c r="E489" s="254" t="s">
        <v>18</v>
      </c>
      <c r="F489" s="254"/>
      <c r="G489" s="228" t="s">
        <v>1120</v>
      </c>
      <c r="H489" s="165" t="s">
        <v>68</v>
      </c>
      <c r="I489" s="165" t="s">
        <v>768</v>
      </c>
      <c r="J489" s="289">
        <v>45820</v>
      </c>
      <c r="K489" s="226">
        <v>46010</v>
      </c>
      <c r="L489" s="532"/>
      <c r="M489" s="2" t="str">
        <f ca="1">IF(ISBLANK([1]!Table2[[#This Row],[Complete corrective actions (Approved Date)]]), TODAY()-[1]!Table2[[#This Row],[CAR initialized date]], "CLOSED")</f>
        <v>CLOSED</v>
      </c>
      <c r="N489" s="511">
        <f>Table2[[#This Row],[Effectiveness Review &amp; date deemed effective]]-Table2[[#This Row],[CAR initialized date]]</f>
        <v>190</v>
      </c>
    </row>
    <row r="490" spans="1:14" ht="18.75">
      <c r="A490" s="227" t="s">
        <v>114</v>
      </c>
      <c r="B490" s="2">
        <f>VLOOKUP(Table2[[#This Row],[Location 
(drop-down)]],Table14[[Location]:[Location ID]],2,FALSE)</f>
        <v>189</v>
      </c>
      <c r="C490" s="254" t="s">
        <v>1121</v>
      </c>
      <c r="D490" s="379" t="str">
        <f>"C" &amp; C490 &amp;"-" &amp; B490 &amp; "-" &amp; "25"</f>
        <v>C264-189-25</v>
      </c>
      <c r="E490" s="254" t="s">
        <v>18</v>
      </c>
      <c r="F490" s="254"/>
      <c r="G490" s="228" t="s">
        <v>1122</v>
      </c>
      <c r="H490" s="165" t="s">
        <v>68</v>
      </c>
      <c r="I490" s="165" t="s">
        <v>768</v>
      </c>
      <c r="J490" s="289">
        <v>45820</v>
      </c>
      <c r="K490" s="226">
        <v>46010</v>
      </c>
      <c r="L490" s="532"/>
      <c r="M490" s="2" t="str">
        <f ca="1">IF(ISBLANK([1]!Table2[[#This Row],[Complete corrective actions (Approved Date)]]), TODAY()-[1]!Table2[[#This Row],[CAR initialized date]], "CLOSED")</f>
        <v>CLOSED</v>
      </c>
      <c r="N490" s="511">
        <f>Table2[[#This Row],[Effectiveness Review &amp; date deemed effective]]-Table2[[#This Row],[CAR initialized date]]</f>
        <v>190</v>
      </c>
    </row>
    <row r="491" spans="1:14" ht="18.75">
      <c r="A491" s="227" t="s">
        <v>73</v>
      </c>
      <c r="B491" s="2">
        <f>VLOOKUP(Table2[[#This Row],[Location 
(drop-down)]],Table14[[Location]:[Location ID]],2,FALSE)</f>
        <v>160</v>
      </c>
      <c r="C491" s="254" t="s">
        <v>567</v>
      </c>
      <c r="D491" s="379" t="str">
        <f>"C" &amp; C491 &amp;"-" &amp; B491 &amp; "-" &amp; "25"</f>
        <v>C422-160-25</v>
      </c>
      <c r="E491" s="89" t="s">
        <v>86</v>
      </c>
      <c r="F491" s="254" t="s">
        <v>106</v>
      </c>
      <c r="G491" s="190" t="s">
        <v>1123</v>
      </c>
      <c r="H491" s="165" t="s">
        <v>20</v>
      </c>
      <c r="I491" s="165" t="s">
        <v>327</v>
      </c>
      <c r="J491" s="289">
        <v>45950</v>
      </c>
      <c r="K491" s="226">
        <v>46010</v>
      </c>
      <c r="L491" s="532"/>
      <c r="M491" s="2" t="str">
        <f ca="1">IF(ISBLANK([1]!Table2[[#This Row],[Complete corrective actions (Approved Date)]]), TODAY()-[1]!Table2[[#This Row],[CAR initialized date]], "CLOSED")</f>
        <v>CLOSED</v>
      </c>
      <c r="N491" s="511">
        <f>Table2[[#This Row],[Effectiveness Review &amp; date deemed effective]]-Table2[[#This Row],[CAR initialized date]]</f>
        <v>60</v>
      </c>
    </row>
    <row r="492" spans="1:14" ht="18.75">
      <c r="A492" s="227" t="s">
        <v>701</v>
      </c>
      <c r="B492" s="2" t="str">
        <f>VLOOKUP(Table2[[#This Row],[Location 
(drop-down)]],Table14[[Location]:[Location ID]],2,FALSE)</f>
        <v>160A</v>
      </c>
      <c r="C492" s="254" t="s">
        <v>1124</v>
      </c>
      <c r="D492" s="379" t="str">
        <f>"C" &amp; C492 &amp;"-" &amp; B492 &amp; "-" &amp; "25"</f>
        <v>C194-160A-25</v>
      </c>
      <c r="E492" s="254" t="s">
        <v>18</v>
      </c>
      <c r="F492" s="254"/>
      <c r="G492" s="227" t="s">
        <v>1125</v>
      </c>
      <c r="H492" s="165" t="s">
        <v>201</v>
      </c>
      <c r="I492" s="165" t="s">
        <v>47</v>
      </c>
      <c r="J492" s="276">
        <v>45782</v>
      </c>
      <c r="K492" s="226">
        <v>46013</v>
      </c>
      <c r="L492" s="532"/>
      <c r="M492" s="2" t="str">
        <f ca="1">IF(ISBLANK([1]!Table2[[#This Row],[Complete corrective actions (Approved Date)]]), TODAY()-[1]!Table2[[#This Row],[CAR initialized date]], "CLOSED")</f>
        <v>CLOSED</v>
      </c>
      <c r="N492" s="511">
        <f>Table2[[#This Row],[Effectiveness Review &amp; date deemed effective]]-Table2[[#This Row],[CAR initialized date]]</f>
        <v>231</v>
      </c>
    </row>
    <row r="493" spans="1:14" ht="18.75">
      <c r="A493" s="227" t="s">
        <v>119</v>
      </c>
      <c r="B493" s="2">
        <f>VLOOKUP(Table2[[#This Row],[Location 
(drop-down)]],Table14[[Location]:[Location ID]],2,FALSE)</f>
        <v>131</v>
      </c>
      <c r="C493" s="254" t="s">
        <v>1126</v>
      </c>
      <c r="D493" s="379" t="str">
        <f>"C" &amp; C493 &amp;"-" &amp; B493 &amp; "-" &amp; "25"</f>
        <v>C348-131-25</v>
      </c>
      <c r="E493" s="254" t="s">
        <v>18</v>
      </c>
      <c r="F493" s="254"/>
      <c r="G493" s="227" t="s">
        <v>1127</v>
      </c>
      <c r="H493" s="165" t="s">
        <v>20</v>
      </c>
      <c r="I493" s="165" t="s">
        <v>21</v>
      </c>
      <c r="J493" s="289">
        <v>45877</v>
      </c>
      <c r="K493" s="226">
        <v>46013</v>
      </c>
      <c r="L493" s="532"/>
      <c r="M493" s="2" t="str">
        <f ca="1">IF(ISBLANK([1]!Table2[[#This Row],[Complete corrective actions (Approved Date)]]), TODAY()-[1]!Table2[[#This Row],[CAR initialized date]], "CLOSED")</f>
        <v>CLOSED</v>
      </c>
      <c r="N493" s="511">
        <f>Table2[[#This Row],[Effectiveness Review &amp; date deemed effective]]-Table2[[#This Row],[CAR initialized date]]</f>
        <v>136</v>
      </c>
    </row>
    <row r="494" spans="1:14" ht="18.75">
      <c r="A494" s="227" t="s">
        <v>119</v>
      </c>
      <c r="B494" s="2">
        <f>VLOOKUP(Table2[[#This Row],[Location 
(drop-down)]],Table14[[Location]:[Location ID]],2,FALSE)</f>
        <v>131</v>
      </c>
      <c r="C494" s="254" t="s">
        <v>1128</v>
      </c>
      <c r="D494" s="379" t="str">
        <f>"C" &amp; C494 &amp;"-" &amp; B494 &amp; "-" &amp; "25"</f>
        <v>C349-131-25</v>
      </c>
      <c r="E494" s="254" t="s">
        <v>18</v>
      </c>
      <c r="F494" s="254"/>
      <c r="G494" s="227" t="s">
        <v>1129</v>
      </c>
      <c r="H494" s="165" t="s">
        <v>20</v>
      </c>
      <c r="I494" s="165" t="s">
        <v>21</v>
      </c>
      <c r="J494" s="289">
        <v>45877</v>
      </c>
      <c r="K494" s="226">
        <v>46013</v>
      </c>
      <c r="L494" s="532"/>
      <c r="M494" s="2" t="str">
        <f ca="1">IF(ISBLANK([1]!Table2[[#This Row],[Complete corrective actions (Approved Date)]]), TODAY()-[1]!Table2[[#This Row],[CAR initialized date]], "CLOSED")</f>
        <v>CLOSED</v>
      </c>
      <c r="N494" s="511">
        <f>Table2[[#This Row],[Effectiveness Review &amp; date deemed effective]]-Table2[[#This Row],[CAR initialized date]]</f>
        <v>136</v>
      </c>
    </row>
    <row r="495" spans="1:14" ht="18.75">
      <c r="A495" s="227" t="s">
        <v>119</v>
      </c>
      <c r="B495" s="2">
        <f>VLOOKUP(Table2[[#This Row],[Location 
(drop-down)]],Table14[[Location]:[Location ID]],2,FALSE)</f>
        <v>131</v>
      </c>
      <c r="C495" s="254" t="s">
        <v>1130</v>
      </c>
      <c r="D495" s="379" t="str">
        <f>"C" &amp; C495 &amp;"-" &amp; B495 &amp; "-" &amp; "25"</f>
        <v>C350-131-25</v>
      </c>
      <c r="E495" s="254" t="s">
        <v>18</v>
      </c>
      <c r="F495" s="254"/>
      <c r="G495" s="115" t="s">
        <v>1131</v>
      </c>
      <c r="H495" s="165" t="s">
        <v>20</v>
      </c>
      <c r="I495" s="165" t="s">
        <v>21</v>
      </c>
      <c r="J495" s="289">
        <v>45877</v>
      </c>
      <c r="K495" s="226">
        <v>46013</v>
      </c>
      <c r="L495" s="532"/>
      <c r="M495" s="2" t="str">
        <f ca="1">IF(ISBLANK([1]!Table2[[#This Row],[Complete corrective actions (Approved Date)]]), TODAY()-[1]!Table2[[#This Row],[CAR initialized date]], "CLOSED")</f>
        <v>CLOSED</v>
      </c>
      <c r="N495" s="511">
        <f>Table2[[#This Row],[Effectiveness Review &amp; date deemed effective]]-Table2[[#This Row],[CAR initialized date]]</f>
        <v>136</v>
      </c>
    </row>
    <row r="496" spans="1:14" ht="18.75">
      <c r="A496" s="227" t="s">
        <v>119</v>
      </c>
      <c r="B496" s="2">
        <f>VLOOKUP(Table2[[#This Row],[Location 
(drop-down)]],Table14[[Location]:[Location ID]],2,FALSE)</f>
        <v>131</v>
      </c>
      <c r="C496" s="254" t="s">
        <v>1132</v>
      </c>
      <c r="D496" s="379" t="str">
        <f>"C" &amp; C496 &amp;"-" &amp; B496 &amp; "-" &amp; "25"</f>
        <v>C351-131-25</v>
      </c>
      <c r="E496" s="254" t="s">
        <v>18</v>
      </c>
      <c r="F496" s="254"/>
      <c r="G496" s="115" t="s">
        <v>1133</v>
      </c>
      <c r="H496" s="165" t="s">
        <v>20</v>
      </c>
      <c r="I496" s="165" t="s">
        <v>21</v>
      </c>
      <c r="J496" s="289">
        <v>45877</v>
      </c>
      <c r="K496" s="226">
        <v>46013</v>
      </c>
      <c r="L496" s="532"/>
      <c r="M496" s="2" t="str">
        <f ca="1">IF(ISBLANK([1]!Table2[[#This Row],[Complete corrective actions (Approved Date)]]), TODAY()-[1]!Table2[[#This Row],[CAR initialized date]], "CLOSED")</f>
        <v>CLOSED</v>
      </c>
      <c r="N496" s="511">
        <f>Table2[[#This Row],[Effectiveness Review &amp; date deemed effective]]-Table2[[#This Row],[CAR initialized date]]</f>
        <v>136</v>
      </c>
    </row>
    <row r="497" spans="1:14" ht="18.75">
      <c r="A497" s="227" t="s">
        <v>432</v>
      </c>
      <c r="B497" s="2">
        <f>VLOOKUP(Table2[[#This Row],[Location 
(drop-down)]],Table14[[Location]:[Location ID]],2,FALSE)</f>
        <v>125</v>
      </c>
      <c r="C497" s="254" t="s">
        <v>1134</v>
      </c>
      <c r="D497" s="379" t="str">
        <f>"C" &amp; C497 &amp;"-" &amp; B497 &amp; "-" &amp; "25"</f>
        <v>C133-125-25</v>
      </c>
      <c r="E497" s="254" t="s">
        <v>18</v>
      </c>
      <c r="F497" s="254"/>
      <c r="G497" s="190" t="s">
        <v>1135</v>
      </c>
      <c r="H497" s="165" t="s">
        <v>68</v>
      </c>
      <c r="I497" s="165" t="s">
        <v>47</v>
      </c>
      <c r="J497" s="289">
        <v>45740</v>
      </c>
      <c r="K497" s="226">
        <v>46014</v>
      </c>
      <c r="L497" s="532"/>
      <c r="M497" s="2" t="str">
        <f ca="1">IF(ISBLANK([1]!Table2[[#This Row],[Complete corrective actions (Approved Date)]]), TODAY()-[1]!Table2[[#This Row],[CAR initialized date]], "CLOSED")</f>
        <v>CLOSED</v>
      </c>
      <c r="N497" s="511">
        <f>Table2[[#This Row],[Effectiveness Review &amp; date deemed effective]]-Table2[[#This Row],[CAR initialized date]]</f>
        <v>274</v>
      </c>
    </row>
    <row r="498" spans="1:14" ht="18.75">
      <c r="A498" s="227" t="s">
        <v>432</v>
      </c>
      <c r="B498" s="2">
        <f>VLOOKUP(Table2[[#This Row],[Location 
(drop-down)]],Table14[[Location]:[Location ID]],2,FALSE)</f>
        <v>125</v>
      </c>
      <c r="C498" s="254" t="s">
        <v>1136</v>
      </c>
      <c r="D498" s="379" t="str">
        <f>"C" &amp; C498 &amp;"-" &amp; B498 &amp; "-" &amp; "25"</f>
        <v>C134-125-25</v>
      </c>
      <c r="E498" s="254" t="s">
        <v>18</v>
      </c>
      <c r="F498" s="254"/>
      <c r="G498" s="227" t="s">
        <v>331</v>
      </c>
      <c r="H498" s="165" t="s">
        <v>68</v>
      </c>
      <c r="I498" s="165" t="s">
        <v>47</v>
      </c>
      <c r="J498" s="289">
        <v>45740</v>
      </c>
      <c r="K498" s="226">
        <v>46014</v>
      </c>
      <c r="L498" s="532"/>
      <c r="M498" s="2" t="str">
        <f ca="1">IF(ISBLANK([1]!Table2[[#This Row],[Complete corrective actions (Approved Date)]]), TODAY()-[1]!Table2[[#This Row],[CAR initialized date]], "CLOSED")</f>
        <v>CLOSED</v>
      </c>
      <c r="N498" s="511">
        <f>Table2[[#This Row],[Effectiveness Review &amp; date deemed effective]]-Table2[[#This Row],[CAR initialized date]]</f>
        <v>274</v>
      </c>
    </row>
    <row r="499" spans="1:14" ht="18.75">
      <c r="A499" s="227" t="s">
        <v>432</v>
      </c>
      <c r="B499" s="2">
        <f>VLOOKUP(Table2[[#This Row],[Location 
(drop-down)]],Table14[[Location]:[Location ID]],2,FALSE)</f>
        <v>125</v>
      </c>
      <c r="C499" s="254" t="s">
        <v>1137</v>
      </c>
      <c r="D499" s="379" t="str">
        <f>"C" &amp; C499 &amp;"-" &amp; B499 &amp; "-" &amp; "25"</f>
        <v>C136-125-25</v>
      </c>
      <c r="E499" s="254" t="s">
        <v>18</v>
      </c>
      <c r="F499" s="254"/>
      <c r="G499" s="227" t="s">
        <v>1138</v>
      </c>
      <c r="H499" s="165" t="s">
        <v>20</v>
      </c>
      <c r="I499" s="165" t="s">
        <v>47</v>
      </c>
      <c r="J499" s="289">
        <v>45740</v>
      </c>
      <c r="K499" s="226">
        <v>46014</v>
      </c>
      <c r="L499" s="532"/>
      <c r="M499" s="2" t="str">
        <f ca="1">IF(ISBLANK([1]!Table2[[#This Row],[Complete corrective actions (Approved Date)]]), TODAY()-[1]!Table2[[#This Row],[CAR initialized date]], "CLOSED")</f>
        <v>CLOSED</v>
      </c>
      <c r="N499" s="511">
        <f>Table2[[#This Row],[Effectiveness Review &amp; date deemed effective]]-Table2[[#This Row],[CAR initialized date]]</f>
        <v>274</v>
      </c>
    </row>
    <row r="500" spans="1:14" ht="18.75">
      <c r="A500" s="227" t="s">
        <v>432</v>
      </c>
      <c r="B500" s="2">
        <f>VLOOKUP(Table2[[#This Row],[Location 
(drop-down)]],Table14[[Location]:[Location ID]],2,FALSE)</f>
        <v>125</v>
      </c>
      <c r="C500" s="254" t="s">
        <v>1139</v>
      </c>
      <c r="D500" s="379" t="str">
        <f>"C" &amp; C500 &amp;"-" &amp; B500 &amp; "-" &amp; "25"</f>
        <v>C139-125-25</v>
      </c>
      <c r="E500" s="254" t="s">
        <v>18</v>
      </c>
      <c r="F500" s="254"/>
      <c r="G500" s="240" t="s">
        <v>552</v>
      </c>
      <c r="H500" s="165" t="s">
        <v>20</v>
      </c>
      <c r="I500" s="165" t="s">
        <v>47</v>
      </c>
      <c r="J500" s="289">
        <v>45740</v>
      </c>
      <c r="K500" s="226">
        <v>46014</v>
      </c>
      <c r="L500" s="532"/>
      <c r="M500" s="2" t="str">
        <f ca="1">IF(ISBLANK([1]!Table2[[#This Row],[Complete corrective actions (Approved Date)]]), TODAY()-[1]!Table2[[#This Row],[CAR initialized date]], "CLOSED")</f>
        <v>CLOSED</v>
      </c>
      <c r="N500" s="511">
        <f>Table2[[#This Row],[Effectiveness Review &amp; date deemed effective]]-Table2[[#This Row],[CAR initialized date]]</f>
        <v>274</v>
      </c>
    </row>
    <row r="501" spans="1:14" ht="18.75">
      <c r="A501" s="227" t="s">
        <v>1140</v>
      </c>
      <c r="B501" s="2" t="str">
        <f>VLOOKUP(Table2[[#This Row],[Location 
(drop-down)]],Table14[[Location]:[Location ID]],2,FALSE)</f>
        <v>155A</v>
      </c>
      <c r="C501" s="254" t="s">
        <v>24</v>
      </c>
      <c r="D501" s="379" t="str">
        <f>"C" &amp; C501 &amp;"-" &amp; B501 &amp; "-" &amp; "25"</f>
        <v>C415-155A-25</v>
      </c>
      <c r="E501" s="254" t="s">
        <v>18</v>
      </c>
      <c r="F501" s="254"/>
      <c r="G501" s="227" t="s">
        <v>1141</v>
      </c>
      <c r="H501" s="165" t="s">
        <v>68</v>
      </c>
      <c r="I501" s="165" t="s">
        <v>239</v>
      </c>
      <c r="J501" s="289">
        <v>45944</v>
      </c>
      <c r="K501" s="226">
        <v>46014</v>
      </c>
      <c r="L501" s="532"/>
      <c r="M501" s="2" t="str">
        <f ca="1">IF(ISBLANK([1]!Table2[[#This Row],[Complete corrective actions (Approved Date)]]), TODAY()-[1]!Table2[[#This Row],[CAR initialized date]], "CLOSED")</f>
        <v>CLOSED</v>
      </c>
      <c r="N501" s="511">
        <f>Table2[[#This Row],[Effectiveness Review &amp; date deemed effective]]-Table2[[#This Row],[CAR initialized date]]</f>
        <v>70</v>
      </c>
    </row>
    <row r="502" spans="1:14" ht="18.75">
      <c r="A502" s="227" t="s">
        <v>1140</v>
      </c>
      <c r="B502" s="2" t="str">
        <f>VLOOKUP(Table2[[#This Row],[Location 
(drop-down)]],Table14[[Location]:[Location ID]],2,FALSE)</f>
        <v>155A</v>
      </c>
      <c r="C502" s="254" t="s">
        <v>1142</v>
      </c>
      <c r="D502" s="379" t="str">
        <f>"C" &amp; C502 &amp;"-" &amp; B502 &amp; "-" &amp; "25"</f>
        <v>C416-155A-25</v>
      </c>
      <c r="E502" s="254" t="s">
        <v>18</v>
      </c>
      <c r="F502" s="254"/>
      <c r="G502" s="227" t="s">
        <v>1143</v>
      </c>
      <c r="H502" s="165" t="s">
        <v>201</v>
      </c>
      <c r="I502" s="165" t="s">
        <v>239</v>
      </c>
      <c r="J502" s="289">
        <v>45944</v>
      </c>
      <c r="K502" s="226">
        <v>46014</v>
      </c>
      <c r="L502" s="532"/>
      <c r="M502" s="2" t="str">
        <f ca="1">IF(ISBLANK([1]!Table2[[#This Row],[Complete corrective actions (Approved Date)]]), TODAY()-[1]!Table2[[#This Row],[CAR initialized date]], "CLOSED")</f>
        <v>CLOSED</v>
      </c>
      <c r="N502" s="511">
        <f>Table2[[#This Row],[Effectiveness Review &amp; date deemed effective]]-Table2[[#This Row],[CAR initialized date]]</f>
        <v>70</v>
      </c>
    </row>
    <row r="503" spans="1:14" ht="18.75">
      <c r="A503" s="227" t="s">
        <v>1140</v>
      </c>
      <c r="B503" s="2" t="str">
        <f>VLOOKUP(Table2[[#This Row],[Location 
(drop-down)]],Table14[[Location]:[Location ID]],2,FALSE)</f>
        <v>155A</v>
      </c>
      <c r="C503" s="254" t="s">
        <v>1144</v>
      </c>
      <c r="D503" s="379" t="str">
        <f>"C" &amp; C503 &amp;"-" &amp; B503 &amp; "-" &amp; "25"</f>
        <v>C417-155A-25</v>
      </c>
      <c r="E503" s="254" t="s">
        <v>18</v>
      </c>
      <c r="F503" s="254"/>
      <c r="G503" s="190" t="s">
        <v>1145</v>
      </c>
      <c r="H503" s="165" t="s">
        <v>20</v>
      </c>
      <c r="I503" s="165" t="s">
        <v>239</v>
      </c>
      <c r="J503" s="289">
        <v>45944</v>
      </c>
      <c r="K503" s="226">
        <v>46014</v>
      </c>
      <c r="L503" s="532"/>
      <c r="M503" s="2" t="str">
        <f ca="1">IF(ISBLANK([1]!Table2[[#This Row],[Complete corrective actions (Approved Date)]]), TODAY()-[1]!Table2[[#This Row],[CAR initialized date]], "CLOSED")</f>
        <v>CLOSED</v>
      </c>
      <c r="N503" s="511">
        <f>Table2[[#This Row],[Effectiveness Review &amp; date deemed effective]]-Table2[[#This Row],[CAR initialized date]]</f>
        <v>70</v>
      </c>
    </row>
    <row r="504" spans="1:14" ht="18.75">
      <c r="A504" s="227" t="s">
        <v>1140</v>
      </c>
      <c r="B504" s="2" t="str">
        <f>VLOOKUP(Table2[[#This Row],[Location 
(drop-down)]],Table14[[Location]:[Location ID]],2,FALSE)</f>
        <v>155A</v>
      </c>
      <c r="C504" s="254" t="s">
        <v>1146</v>
      </c>
      <c r="D504" s="379" t="str">
        <f>"C" &amp; C504 &amp;"-" &amp; B504 &amp; "-" &amp; "25"</f>
        <v>C418-155A-25</v>
      </c>
      <c r="E504" s="254" t="s">
        <v>18</v>
      </c>
      <c r="F504" s="254"/>
      <c r="G504" s="227" t="s">
        <v>1147</v>
      </c>
      <c r="H504" s="165" t="s">
        <v>20</v>
      </c>
      <c r="I504" s="165" t="s">
        <v>239</v>
      </c>
      <c r="J504" s="289">
        <v>45944</v>
      </c>
      <c r="K504" s="226">
        <v>46014</v>
      </c>
      <c r="L504" s="532"/>
      <c r="M504" s="2" t="str">
        <f ca="1">IF(ISBLANK([1]!Table2[[#This Row],[Complete corrective actions (Approved Date)]]), TODAY()-[1]!Table2[[#This Row],[CAR initialized date]], "CLOSED")</f>
        <v>CLOSED</v>
      </c>
      <c r="N504" s="511">
        <f>Table2[[#This Row],[Effectiveness Review &amp; date deemed effective]]-Table2[[#This Row],[CAR initialized date]]</f>
        <v>70</v>
      </c>
    </row>
    <row r="505" spans="1:14" ht="18.75">
      <c r="A505" s="227" t="s">
        <v>139</v>
      </c>
      <c r="B505" s="2">
        <f>VLOOKUP(Table2[[#This Row],[Location 
(drop-down)]],Table14[[Location]:[Location ID]],2,FALSE)</f>
        <v>191</v>
      </c>
      <c r="C505" s="254" t="s">
        <v>1148</v>
      </c>
      <c r="D505" s="378" t="s">
        <v>1149</v>
      </c>
      <c r="E505" s="254" t="s">
        <v>18</v>
      </c>
      <c r="F505" s="254"/>
      <c r="G505" s="227" t="s">
        <v>1150</v>
      </c>
      <c r="H505" s="165" t="s">
        <v>68</v>
      </c>
      <c r="I505" s="165" t="s">
        <v>47</v>
      </c>
      <c r="J505" s="289">
        <v>45615</v>
      </c>
      <c r="K505" s="226">
        <v>46014</v>
      </c>
      <c r="L505" s="532"/>
      <c r="M505" s="2" t="str">
        <f ca="1">IF(ISBLANK([1]!Table2[[#This Row],[Complete corrective actions (Approved Date)]]), TODAY()-[1]!Table2[[#This Row],[CAR initialized date]], "CLOSED")</f>
        <v>CLOSED</v>
      </c>
      <c r="N505" s="511">
        <f>Table2[[#This Row],[Effectiveness Review &amp; date deemed effective]]-Table2[[#This Row],[CAR initialized date]]</f>
        <v>399</v>
      </c>
    </row>
    <row r="506" spans="1:14" ht="18.75">
      <c r="A506" s="227" t="s">
        <v>462</v>
      </c>
      <c r="B506" s="2">
        <f>VLOOKUP(Table2[[#This Row],[Location 
(drop-down)]],Table14[[Location]:[Location ID]],2,FALSE)</f>
        <v>126</v>
      </c>
      <c r="C506" s="254" t="s">
        <v>747</v>
      </c>
      <c r="D506" s="378" t="s">
        <v>1151</v>
      </c>
      <c r="E506" s="254" t="s">
        <v>18</v>
      </c>
      <c r="F506" s="254"/>
      <c r="G506" s="227" t="s">
        <v>1152</v>
      </c>
      <c r="H506" s="165" t="s">
        <v>20</v>
      </c>
      <c r="I506" s="230" t="s">
        <v>57</v>
      </c>
      <c r="J506" s="276">
        <v>45413</v>
      </c>
      <c r="K506" s="226">
        <v>46014</v>
      </c>
      <c r="L506" s="532"/>
      <c r="M506" s="2" t="str">
        <f ca="1">IF(ISBLANK([1]!Table2[[#This Row],[Complete corrective actions (Approved Date)]]), TODAY()-[1]!Table2[[#This Row],[CAR initialized date]], "CLOSED")</f>
        <v>CLOSED</v>
      </c>
      <c r="N506" s="511">
        <f>Table2[[#This Row],[Effectiveness Review &amp; date deemed effective]]-Table2[[#This Row],[CAR initialized date]]</f>
        <v>601</v>
      </c>
    </row>
    <row r="507" spans="1:14" ht="18.75">
      <c r="A507" s="227" t="s">
        <v>462</v>
      </c>
      <c r="B507" s="2">
        <f>VLOOKUP(Table2[[#This Row],[Location 
(drop-down)]],Table14[[Location]:[Location ID]],2,FALSE)</f>
        <v>126</v>
      </c>
      <c r="C507" s="254" t="s">
        <v>791</v>
      </c>
      <c r="D507" s="378" t="s">
        <v>1153</v>
      </c>
      <c r="E507" s="254" t="s">
        <v>18</v>
      </c>
      <c r="F507" s="254"/>
      <c r="G507" s="227" t="s">
        <v>1154</v>
      </c>
      <c r="H507" s="165" t="s">
        <v>20</v>
      </c>
      <c r="I507" s="230" t="s">
        <v>57</v>
      </c>
      <c r="J507" s="276">
        <v>45413</v>
      </c>
      <c r="K507" s="226">
        <v>46014</v>
      </c>
      <c r="L507" s="532"/>
      <c r="M507" s="2" t="str">
        <f ca="1">IF(ISBLANK([1]!Table2[[#This Row],[Complete corrective actions (Approved Date)]]), TODAY()-[1]!Table2[[#This Row],[CAR initialized date]], "CLOSED")</f>
        <v>CLOSED</v>
      </c>
      <c r="N507" s="511">
        <f>Table2[[#This Row],[Effectiveness Review &amp; date deemed effective]]-Table2[[#This Row],[CAR initialized date]]</f>
        <v>601</v>
      </c>
    </row>
    <row r="508" spans="1:14" ht="18.75">
      <c r="A508" s="227" t="s">
        <v>462</v>
      </c>
      <c r="B508" s="2">
        <f>VLOOKUP(Table2[[#This Row],[Location 
(drop-down)]],Table14[[Location]:[Location ID]],2,FALSE)</f>
        <v>126</v>
      </c>
      <c r="C508" s="254" t="s">
        <v>1155</v>
      </c>
      <c r="D508" s="378" t="s">
        <v>1156</v>
      </c>
      <c r="E508" s="254" t="s">
        <v>18</v>
      </c>
      <c r="F508" s="254"/>
      <c r="G508" s="227" t="s">
        <v>568</v>
      </c>
      <c r="H508" s="165" t="s">
        <v>20</v>
      </c>
      <c r="I508" s="230" t="s">
        <v>57</v>
      </c>
      <c r="J508" s="276">
        <v>45413</v>
      </c>
      <c r="K508" s="226">
        <v>46014</v>
      </c>
      <c r="L508" s="532"/>
      <c r="M508" s="2" t="str">
        <f ca="1">IF(ISBLANK([1]!Table2[[#This Row],[Complete corrective actions (Approved Date)]]), TODAY()-[1]!Table2[[#This Row],[CAR initialized date]], "CLOSED")</f>
        <v>CLOSED</v>
      </c>
      <c r="N508" s="511">
        <f>Table2[[#This Row],[Effectiveness Review &amp; date deemed effective]]-Table2[[#This Row],[CAR initialized date]]</f>
        <v>601</v>
      </c>
    </row>
    <row r="509" spans="1:14" ht="18.75">
      <c r="A509" s="227" t="s">
        <v>125</v>
      </c>
      <c r="B509" s="2">
        <f>VLOOKUP(Table2[[#This Row],[Location 
(drop-down)]],Table14[[Location]:[Location ID]],2,FALSE)</f>
        <v>130</v>
      </c>
      <c r="C509" s="254" t="s">
        <v>143</v>
      </c>
      <c r="D509" s="379" t="str">
        <f>"C" &amp; C509 &amp;"-" &amp; B509 &amp; "-" &amp; "25"</f>
        <v>C478-130-25</v>
      </c>
      <c r="E509" s="254" t="s">
        <v>26</v>
      </c>
      <c r="F509" s="254" t="s">
        <v>27</v>
      </c>
      <c r="G509" s="227" t="s">
        <v>1157</v>
      </c>
      <c r="H509" s="165" t="s">
        <v>20</v>
      </c>
      <c r="I509" s="165" t="s">
        <v>111</v>
      </c>
      <c r="J509" s="289">
        <v>45982</v>
      </c>
      <c r="K509" s="226">
        <v>46020</v>
      </c>
      <c r="L509" s="532"/>
      <c r="M509" s="2" t="str">
        <f ca="1">IF(ISBLANK([1]!Table2[[#This Row],[Complete corrective actions (Approved Date)]]), TODAY()-[1]!Table2[[#This Row],[CAR initialized date]], "CLOSED")</f>
        <v>CLOSED</v>
      </c>
      <c r="N509" s="511">
        <f>Table2[[#This Row],[Effectiveness Review &amp; date deemed effective]]-Table2[[#This Row],[CAR initialized date]]</f>
        <v>38</v>
      </c>
    </row>
    <row r="510" spans="1:14" ht="18.75">
      <c r="A510" s="227" t="s">
        <v>264</v>
      </c>
      <c r="B510" s="2">
        <f>VLOOKUP(Table2[[#This Row],[Location 
(drop-down)]],Table14[[Location]:[Location ID]],2,FALSE)</f>
        <v>142</v>
      </c>
      <c r="C510" s="254" t="s">
        <v>1158</v>
      </c>
      <c r="D510" s="379" t="str">
        <f>"C" &amp; C510 &amp;"-" &amp; B510 &amp; "-" &amp; "25"</f>
        <v>C113-142-25</v>
      </c>
      <c r="E510" s="254" t="s">
        <v>18</v>
      </c>
      <c r="F510" s="254"/>
      <c r="G510" s="227" t="s">
        <v>1159</v>
      </c>
      <c r="H510" s="165" t="s">
        <v>201</v>
      </c>
      <c r="I510" s="165" t="s">
        <v>239</v>
      </c>
      <c r="J510" s="289">
        <v>45720</v>
      </c>
      <c r="K510" s="226">
        <v>46024</v>
      </c>
      <c r="L510" s="532"/>
      <c r="M510" s="2" t="str">
        <f ca="1">IF(ISBLANK([1]!Table2[[#This Row],[Complete corrective actions (Approved Date)]]), TODAY()-[1]!Table2[[#This Row],[CAR initialized date]], "CLOSED")</f>
        <v>CLOSED</v>
      </c>
      <c r="N510" s="511">
        <f>Table2[[#This Row],[Effectiveness Review &amp; date deemed effective]]-Table2[[#This Row],[CAR initialized date]]</f>
        <v>304</v>
      </c>
    </row>
    <row r="511" spans="1:14" ht="18.75">
      <c r="A511" s="227" t="s">
        <v>621</v>
      </c>
      <c r="B511" s="2">
        <f>VLOOKUP(Table2[[#This Row],[Location 
(drop-down)]],Table14[[Location]:[Location ID]],2,FALSE)</f>
        <v>171</v>
      </c>
      <c r="C511" s="254" t="s">
        <v>1160</v>
      </c>
      <c r="D511" s="379" t="str">
        <f>"C" &amp; C511 &amp;"-" &amp; B511 &amp; "-" &amp; "25"</f>
        <v>C489-171-25</v>
      </c>
      <c r="E511" s="254" t="s">
        <v>18</v>
      </c>
      <c r="F511" s="254"/>
      <c r="G511" s="227" t="s">
        <v>1161</v>
      </c>
      <c r="H511" s="165" t="s">
        <v>20</v>
      </c>
      <c r="I511" s="165" t="s">
        <v>21</v>
      </c>
      <c r="J511" s="289">
        <v>46001</v>
      </c>
      <c r="K511" s="226">
        <v>46024</v>
      </c>
      <c r="L511" s="532"/>
      <c r="M511" s="2" t="str">
        <f ca="1">IF(ISBLANK([1]!Table2[[#This Row],[Complete corrective actions (Approved Date)]]), TODAY()-[1]!Table2[[#This Row],[CAR initialized date]], "CLOSED")</f>
        <v>CLOSED</v>
      </c>
      <c r="N511" s="511">
        <f>Table2[[#This Row],[Effectiveness Review &amp; date deemed effective]]-Table2[[#This Row],[CAR initialized date]]</f>
        <v>23</v>
      </c>
    </row>
    <row r="512" spans="1:14" ht="30">
      <c r="A512" s="64" t="s">
        <v>1162</v>
      </c>
      <c r="B512" s="11">
        <f>VLOOKUP(Table2[[#This Row],[Location 
(drop-down)]],Table14[[Location]:[Location ID]],2,FALSE)</f>
        <v>137</v>
      </c>
      <c r="C512" s="9" t="s">
        <v>1163</v>
      </c>
      <c r="D512" s="565" t="str">
        <f>"C" &amp; C512 &amp; "-" &amp; B512 &amp; "-" &amp; "23"</f>
        <v>C683-137-23</v>
      </c>
      <c r="E512" s="11" t="s">
        <v>18</v>
      </c>
      <c r="F512" s="532"/>
      <c r="G512" s="64" t="s">
        <v>1164</v>
      </c>
      <c r="H512" s="532"/>
      <c r="I512" s="67" t="s">
        <v>69</v>
      </c>
      <c r="J512" s="138">
        <v>45257</v>
      </c>
      <c r="K512" s="566">
        <v>46048</v>
      </c>
      <c r="L512" s="532"/>
      <c r="M512" s="2" t="s">
        <v>22</v>
      </c>
      <c r="N512" s="511">
        <f>Table2[[#This Row],[Effectiveness Review &amp; date deemed effective]]-Table2[[#This Row],[CAR initialized date]]</f>
        <v>791</v>
      </c>
    </row>
    <row r="513" spans="1:14" ht="45">
      <c r="A513" s="64" t="s">
        <v>1162</v>
      </c>
      <c r="B513" s="11">
        <f>VLOOKUP(Table2[[#This Row],[Location 
(drop-down)]],Table14[[Location]:[Location ID]],2,FALSE)</f>
        <v>137</v>
      </c>
      <c r="C513" s="9" t="s">
        <v>1165</v>
      </c>
      <c r="D513" s="565" t="str">
        <f>"C" &amp; C513 &amp; "-" &amp; B513 &amp; "-" &amp; "23"</f>
        <v>C684-137-23</v>
      </c>
      <c r="E513" s="11" t="s">
        <v>18</v>
      </c>
      <c r="F513" s="532"/>
      <c r="G513" s="64" t="s">
        <v>1166</v>
      </c>
      <c r="H513" s="532"/>
      <c r="I513" s="67" t="s">
        <v>69</v>
      </c>
      <c r="J513" s="138">
        <v>45257</v>
      </c>
      <c r="K513" s="566">
        <v>46048</v>
      </c>
      <c r="L513" s="532"/>
      <c r="M513" s="2" t="s">
        <v>22</v>
      </c>
      <c r="N513" s="511">
        <f>Table2[[#This Row],[Effectiveness Review &amp; date deemed effective]]-Table2[[#This Row],[CAR initialized date]]</f>
        <v>791</v>
      </c>
    </row>
    <row r="514" spans="1:14" ht="30">
      <c r="A514" s="64" t="s">
        <v>1162</v>
      </c>
      <c r="B514" s="11">
        <f>VLOOKUP(Table2[[#This Row],[Location 
(drop-down)]],Table14[[Location]:[Location ID]],2,FALSE)</f>
        <v>137</v>
      </c>
      <c r="C514" s="9" t="s">
        <v>1167</v>
      </c>
      <c r="D514" s="565" t="str">
        <f>"C" &amp; C514 &amp; "-" &amp; B514 &amp; "-" &amp; "23"</f>
        <v>C685-137-23</v>
      </c>
      <c r="E514" s="11" t="s">
        <v>18</v>
      </c>
      <c r="F514" s="532"/>
      <c r="G514" s="64" t="s">
        <v>1168</v>
      </c>
      <c r="H514" s="532"/>
      <c r="I514" s="67" t="s">
        <v>69</v>
      </c>
      <c r="J514" s="138">
        <v>45257</v>
      </c>
      <c r="K514" s="566">
        <v>46048</v>
      </c>
      <c r="L514" s="532"/>
      <c r="M514" s="2" t="s">
        <v>22</v>
      </c>
      <c r="N514" s="511">
        <f>Table2[[#This Row],[Effectiveness Review &amp; date deemed effective]]-Table2[[#This Row],[CAR initialized date]]</f>
        <v>791</v>
      </c>
    </row>
    <row r="515" spans="1:14" ht="18.75">
      <c r="A515" s="227" t="s">
        <v>969</v>
      </c>
      <c r="B515" s="2">
        <f>VLOOKUP(Table2[[#This Row],[Location 
(drop-down)]],Table14[[Location]:[Location ID]],2,FALSE)</f>
        <v>129</v>
      </c>
      <c r="C515" s="254">
        <v>527</v>
      </c>
      <c r="D515" s="378" t="s">
        <v>1169</v>
      </c>
      <c r="E515" s="413" t="s">
        <v>18</v>
      </c>
      <c r="F515" s="413"/>
      <c r="G515" s="227" t="s">
        <v>1170</v>
      </c>
      <c r="H515" s="165" t="s">
        <v>20</v>
      </c>
      <c r="I515" s="230" t="s">
        <v>1005</v>
      </c>
      <c r="J515" s="289">
        <v>45701</v>
      </c>
      <c r="K515" s="226">
        <v>46024</v>
      </c>
      <c r="L515" s="532"/>
      <c r="M515" s="2" t="str">
        <f ca="1">IF(ISBLANK([1]!Table2[[#This Row],[Complete corrective actions (Approved Date)]]), TODAY()-[1]!Table2[[#This Row],[CAR initialized date]], "CLOSED")</f>
        <v>CLOSED</v>
      </c>
      <c r="N515" s="511">
        <f>Table2[[#This Row],[Effectiveness Review &amp; date deemed effective]]-Table2[[#This Row],[CAR initialized date]]</f>
        <v>323</v>
      </c>
    </row>
    <row r="516" spans="1:14" ht="18.75">
      <c r="A516" s="227" t="s">
        <v>969</v>
      </c>
      <c r="B516" s="2">
        <f>VLOOKUP(Table2[[#This Row],[Location 
(drop-down)]],Table14[[Location]:[Location ID]],2,FALSE)</f>
        <v>129</v>
      </c>
      <c r="C516" s="254">
        <v>528</v>
      </c>
      <c r="D516" s="378" t="s">
        <v>1171</v>
      </c>
      <c r="E516" s="413" t="s">
        <v>18</v>
      </c>
      <c r="F516" s="413"/>
      <c r="G516" s="227" t="s">
        <v>1172</v>
      </c>
      <c r="H516" s="165" t="s">
        <v>20</v>
      </c>
      <c r="I516" s="230" t="s">
        <v>1005</v>
      </c>
      <c r="J516" s="289">
        <v>45701</v>
      </c>
      <c r="K516" s="226">
        <v>46024</v>
      </c>
      <c r="L516" s="532"/>
      <c r="M516" s="2" t="str">
        <f ca="1">IF(ISBLANK([1]!Table2[[#This Row],[Complete corrective actions (Approved Date)]]), TODAY()-[1]!Table2[[#This Row],[CAR initialized date]], "CLOSED")</f>
        <v>CLOSED</v>
      </c>
      <c r="N516" s="511">
        <f>Table2[[#This Row],[Effectiveness Review &amp; date deemed effective]]-Table2[[#This Row],[CAR initialized date]]</f>
        <v>323</v>
      </c>
    </row>
    <row r="517" spans="1:14" ht="18.75">
      <c r="A517" s="227" t="s">
        <v>253</v>
      </c>
      <c r="B517" s="2">
        <f>VLOOKUP(Table2[[#This Row],[Location 
(drop-down)]],Table14[[Location]:[Location ID]],2,FALSE)</f>
        <v>178</v>
      </c>
      <c r="C517" s="254" t="s">
        <v>280</v>
      </c>
      <c r="D517" s="379" t="str">
        <f>"C" &amp; C517 &amp;"-" &amp; B517 &amp; "-" &amp; "25"</f>
        <v>C512-178-25</v>
      </c>
      <c r="E517" s="413" t="s">
        <v>86</v>
      </c>
      <c r="F517" s="413" t="s">
        <v>1173</v>
      </c>
      <c r="G517" s="227" t="s">
        <v>1174</v>
      </c>
      <c r="H517" s="165" t="s">
        <v>20</v>
      </c>
      <c r="I517" s="165" t="s">
        <v>310</v>
      </c>
      <c r="J517" s="289">
        <v>45982</v>
      </c>
      <c r="K517" s="226">
        <v>46028</v>
      </c>
      <c r="L517" s="532"/>
      <c r="M517" s="2" t="str">
        <f ca="1">IF(ISBLANK([1]!Table2[[#This Row],[Complete corrective actions (Approved Date)]]), TODAY()-[1]!Table2[[#This Row],[CAR initialized date]], "CLOSED")</f>
        <v>CLOSED</v>
      </c>
      <c r="N517" s="511">
        <f>Table2[[#This Row],[Effectiveness Review &amp; date deemed effective]]-Table2[[#This Row],[CAR initialized date]]</f>
        <v>46</v>
      </c>
    </row>
    <row r="518" spans="1:14" ht="18.75">
      <c r="A518" s="227" t="s">
        <v>253</v>
      </c>
      <c r="B518" s="2">
        <f>VLOOKUP(Table2[[#This Row],[Location 
(drop-down)]],Table14[[Location]:[Location ID]],2,FALSE)</f>
        <v>178</v>
      </c>
      <c r="C518" s="254" t="s">
        <v>1175</v>
      </c>
      <c r="D518" s="379" t="str">
        <f>"C" &amp; C518 &amp;"-" &amp; B518 &amp; "-" &amp; "25"</f>
        <v>C513-178-25</v>
      </c>
      <c r="E518" s="413" t="s">
        <v>86</v>
      </c>
      <c r="F518" s="413" t="s">
        <v>1173</v>
      </c>
      <c r="G518" s="227" t="s">
        <v>1176</v>
      </c>
      <c r="H518" s="165" t="s">
        <v>20</v>
      </c>
      <c r="I518" s="165" t="s">
        <v>310</v>
      </c>
      <c r="J518" s="289">
        <v>45982</v>
      </c>
      <c r="K518" s="226">
        <v>46028</v>
      </c>
      <c r="L518" s="532"/>
      <c r="M518" s="2" t="str">
        <f ca="1">IF(ISBLANK([1]!Table2[[#This Row],[Complete corrective actions (Approved Date)]]), TODAY()-[1]!Table2[[#This Row],[CAR initialized date]], "CLOSED")</f>
        <v>CLOSED</v>
      </c>
      <c r="N518" s="511">
        <f>Table2[[#This Row],[Effectiveness Review &amp; date deemed effective]]-Table2[[#This Row],[CAR initialized date]]</f>
        <v>46</v>
      </c>
    </row>
    <row r="519" spans="1:14" ht="18.75">
      <c r="A519" s="227" t="s">
        <v>253</v>
      </c>
      <c r="B519" s="2">
        <f>VLOOKUP(Table2[[#This Row],[Location 
(drop-down)]],Table14[[Location]:[Location ID]],2,FALSE)</f>
        <v>178</v>
      </c>
      <c r="C519" s="254" t="s">
        <v>195</v>
      </c>
      <c r="D519" s="379" t="str">
        <f>"C" &amp; C519 &amp;"-" &amp; B519 &amp; "-" &amp; "25"</f>
        <v>C514-178-25</v>
      </c>
      <c r="E519" s="413" t="s">
        <v>86</v>
      </c>
      <c r="F519" s="413" t="s">
        <v>1173</v>
      </c>
      <c r="G519" s="227" t="s">
        <v>1177</v>
      </c>
      <c r="H519" s="165" t="s">
        <v>20</v>
      </c>
      <c r="I519" s="165" t="s">
        <v>310</v>
      </c>
      <c r="J519" s="289">
        <v>45982</v>
      </c>
      <c r="K519" s="226">
        <v>46028</v>
      </c>
      <c r="L519" s="532"/>
      <c r="M519" s="2" t="str">
        <f ca="1">IF(ISBLANK([1]!Table2[[#This Row],[Complete corrective actions (Approved Date)]]), TODAY()-[1]!Table2[[#This Row],[CAR initialized date]], "CLOSED")</f>
        <v>CLOSED</v>
      </c>
      <c r="N519" s="511">
        <f>Table2[[#This Row],[Effectiveness Review &amp; date deemed effective]]-Table2[[#This Row],[CAR initialized date]]</f>
        <v>46</v>
      </c>
    </row>
    <row r="520" spans="1:14" ht="18.75">
      <c r="A520" s="227" t="s">
        <v>253</v>
      </c>
      <c r="B520" s="2">
        <f>VLOOKUP(Table2[[#This Row],[Location 
(drop-down)]],Table14[[Location]:[Location ID]],2,FALSE)</f>
        <v>178</v>
      </c>
      <c r="C520" s="254" t="s">
        <v>136</v>
      </c>
      <c r="D520" s="379" t="str">
        <f>"C" &amp; C520 &amp;"-" &amp; B520 &amp; "-" &amp; "25"</f>
        <v>C515-178-25</v>
      </c>
      <c r="E520" s="413" t="s">
        <v>86</v>
      </c>
      <c r="F520" s="413" t="s">
        <v>1173</v>
      </c>
      <c r="G520" s="227" t="s">
        <v>1178</v>
      </c>
      <c r="H520" s="165" t="s">
        <v>20</v>
      </c>
      <c r="I520" s="165" t="s">
        <v>310</v>
      </c>
      <c r="J520" s="289">
        <v>45982</v>
      </c>
      <c r="K520" s="226">
        <v>46028</v>
      </c>
      <c r="L520" s="532"/>
      <c r="M520" s="2" t="str">
        <f ca="1">IF(ISBLANK([1]!Table2[[#This Row],[Complete corrective actions (Approved Date)]]), TODAY()-[1]!Table2[[#This Row],[CAR initialized date]], "CLOSED")</f>
        <v>CLOSED</v>
      </c>
      <c r="N520" s="511">
        <f>Table2[[#This Row],[Effectiveness Review &amp; date deemed effective]]-Table2[[#This Row],[CAR initialized date]]</f>
        <v>46</v>
      </c>
    </row>
    <row r="521" spans="1:14" ht="18.75">
      <c r="A521" s="227" t="s">
        <v>500</v>
      </c>
      <c r="B521" s="2">
        <f>VLOOKUP(Table2[[#This Row],[Location 
(drop-down)]],Table14[[Location]:[Location ID]],2,FALSE)</f>
        <v>170</v>
      </c>
      <c r="C521" s="254" t="s">
        <v>1155</v>
      </c>
      <c r="D521" s="379" t="str">
        <f>"C" &amp; C521 &amp;"-" &amp; B521 &amp; "-" &amp; "25"</f>
        <v>C185-170-25</v>
      </c>
      <c r="E521" s="254" t="s">
        <v>18</v>
      </c>
      <c r="F521" s="254"/>
      <c r="G521" s="227" t="s">
        <v>1179</v>
      </c>
      <c r="H521" s="165" t="s">
        <v>20</v>
      </c>
      <c r="I521" s="165" t="s">
        <v>69</v>
      </c>
      <c r="J521" s="276">
        <v>45782</v>
      </c>
      <c r="K521" s="226">
        <v>46029</v>
      </c>
      <c r="L521" s="532"/>
      <c r="M521" s="2" t="str">
        <f ca="1">IF(ISBLANK([1]!Table2[[#This Row],[Complete corrective actions (Approved Date)]]), TODAY()-[1]!Table2[[#This Row],[CAR initialized date]], "CLOSED")</f>
        <v>CLOSED</v>
      </c>
      <c r="N521" s="511">
        <f>Table2[[#This Row],[Effectiveness Review &amp; date deemed effective]]-Table2[[#This Row],[CAR initialized date]]</f>
        <v>247</v>
      </c>
    </row>
    <row r="522" spans="1:14" ht="18.75">
      <c r="A522" s="227" t="s">
        <v>264</v>
      </c>
      <c r="B522" s="2">
        <f>VLOOKUP(Table2[[#This Row],[Location 
(drop-down)]],Table14[[Location]:[Location ID]],2,FALSE)</f>
        <v>142</v>
      </c>
      <c r="C522" s="254" t="s">
        <v>1180</v>
      </c>
      <c r="D522" s="379" t="str">
        <f>"C" &amp; C522 &amp;"-" &amp; B522 &amp; "-" &amp; "25"</f>
        <v>C114-142-25</v>
      </c>
      <c r="E522" s="254" t="s">
        <v>18</v>
      </c>
      <c r="F522" s="254"/>
      <c r="G522" s="227" t="s">
        <v>1181</v>
      </c>
      <c r="H522" s="165" t="s">
        <v>20</v>
      </c>
      <c r="I522" s="165" t="s">
        <v>239</v>
      </c>
      <c r="J522" s="289">
        <v>45720</v>
      </c>
      <c r="K522" s="226">
        <v>46029</v>
      </c>
      <c r="L522" s="532"/>
      <c r="M522" s="2" t="str">
        <f ca="1">IF(ISBLANK([1]!Table2[[#This Row],[Complete corrective actions (Approved Date)]]), TODAY()-[1]!Table2[[#This Row],[CAR initialized date]], "CLOSED")</f>
        <v>CLOSED</v>
      </c>
      <c r="N522" s="511">
        <f>Table2[[#This Row],[Effectiveness Review &amp; date deemed effective]]-Table2[[#This Row],[CAR initialized date]]</f>
        <v>309</v>
      </c>
    </row>
    <row r="523" spans="1:14" ht="18.75">
      <c r="A523" s="227" t="s">
        <v>15</v>
      </c>
      <c r="B523" s="2">
        <f>VLOOKUP(Table2[[#This Row],[Location 
(drop-down)]],Table14[[Location]:[Location ID]],2,FALSE)</f>
        <v>197</v>
      </c>
      <c r="C523" s="254" t="s">
        <v>886</v>
      </c>
      <c r="D523" s="378" t="s">
        <v>1182</v>
      </c>
      <c r="E523" s="254" t="s">
        <v>18</v>
      </c>
      <c r="F523" s="254"/>
      <c r="G523" s="227" t="s">
        <v>1183</v>
      </c>
      <c r="H523" s="165" t="s">
        <v>20</v>
      </c>
      <c r="I523" s="230" t="s">
        <v>21</v>
      </c>
      <c r="J523" s="289">
        <v>45533</v>
      </c>
      <c r="K523" s="226">
        <v>46034</v>
      </c>
      <c r="L523" s="532"/>
      <c r="M523" s="2" t="str">
        <f ca="1">IF(ISBLANK([1]!Table2[[#This Row],[Complete corrective actions (Approved Date)]]), TODAY()-[1]!Table2[[#This Row],[CAR initialized date]], "CLOSED")</f>
        <v>CLOSED</v>
      </c>
      <c r="N523" s="511">
        <f>Table2[[#This Row],[Effectiveness Review &amp; date deemed effective]]-Table2[[#This Row],[CAR initialized date]]</f>
        <v>501</v>
      </c>
    </row>
    <row r="524" spans="1:14" ht="18.75">
      <c r="A524" s="227" t="s">
        <v>15</v>
      </c>
      <c r="B524" s="2">
        <f>VLOOKUP(Table2[[#This Row],[Location 
(drop-down)]],Table14[[Location]:[Location ID]],2,FALSE)</f>
        <v>197</v>
      </c>
      <c r="C524" s="254" t="s">
        <v>955</v>
      </c>
      <c r="D524" s="378" t="s">
        <v>1184</v>
      </c>
      <c r="E524" s="254" t="s">
        <v>18</v>
      </c>
      <c r="F524" s="254"/>
      <c r="G524" s="227" t="s">
        <v>1185</v>
      </c>
      <c r="H524" s="165" t="s">
        <v>20</v>
      </c>
      <c r="I524" s="230" t="s">
        <v>21</v>
      </c>
      <c r="J524" s="289">
        <v>45533</v>
      </c>
      <c r="K524" s="226">
        <v>46034</v>
      </c>
      <c r="L524" s="532"/>
      <c r="M524" s="2" t="str">
        <f ca="1">IF(ISBLANK([1]!Table2[[#This Row],[Complete corrective actions (Approved Date)]]), TODAY()-[1]!Table2[[#This Row],[CAR initialized date]], "CLOSED")</f>
        <v>CLOSED</v>
      </c>
      <c r="N524" s="511">
        <f>Table2[[#This Row],[Effectiveness Review &amp; date deemed effective]]-Table2[[#This Row],[CAR initialized date]]</f>
        <v>501</v>
      </c>
    </row>
    <row r="525" spans="1:14" ht="18.75">
      <c r="A525" s="227" t="s">
        <v>264</v>
      </c>
      <c r="B525" s="2">
        <f>VLOOKUP(Table2[[#This Row],[Location 
(drop-down)]],Table14[[Location]:[Location ID]],2,FALSE)</f>
        <v>142</v>
      </c>
      <c r="C525" s="254" t="s">
        <v>1186</v>
      </c>
      <c r="D525" s="379" t="str">
        <f>"C" &amp; C525 &amp;"-" &amp; B525 &amp; "-" &amp; "25"</f>
        <v>C115-142-25</v>
      </c>
      <c r="E525" s="254" t="s">
        <v>18</v>
      </c>
      <c r="F525" s="254"/>
      <c r="G525" s="227" t="s">
        <v>1187</v>
      </c>
      <c r="H525" s="165" t="s">
        <v>20</v>
      </c>
      <c r="I525" s="165" t="s">
        <v>239</v>
      </c>
      <c r="J525" s="289">
        <v>45720</v>
      </c>
      <c r="K525" s="226">
        <v>46035</v>
      </c>
      <c r="L525" s="532"/>
      <c r="M525" s="2" t="str">
        <f ca="1">IF(ISBLANK([1]!Table2[[#This Row],[Complete corrective actions (Approved Date)]]), TODAY()-[1]!Table2[[#This Row],[CAR initialized date]], "CLOSED")</f>
        <v>CLOSED</v>
      </c>
      <c r="N525" s="511">
        <f>Table2[[#This Row],[Effectiveness Review &amp; date deemed effective]]-Table2[[#This Row],[CAR initialized date]]</f>
        <v>315</v>
      </c>
    </row>
    <row r="526" spans="1:14" ht="18.75">
      <c r="A526" s="227" t="s">
        <v>432</v>
      </c>
      <c r="B526" s="2">
        <f>VLOOKUP(Table2[[#This Row],[Location 
(drop-down)]],Table14[[Location]:[Location ID]],2,FALSE)</f>
        <v>125</v>
      </c>
      <c r="C526" s="254" t="s">
        <v>974</v>
      </c>
      <c r="D526" s="378" t="s">
        <v>1188</v>
      </c>
      <c r="E526" s="254" t="s">
        <v>18</v>
      </c>
      <c r="F526" s="254"/>
      <c r="G526" s="240" t="s">
        <v>1189</v>
      </c>
      <c r="H526" s="165" t="s">
        <v>20</v>
      </c>
      <c r="I526" s="230" t="s">
        <v>69</v>
      </c>
      <c r="J526" s="289">
        <v>45398</v>
      </c>
      <c r="K526" s="258">
        <v>46036</v>
      </c>
      <c r="L526" s="532"/>
      <c r="M526" s="2" t="str">
        <f ca="1">IF(ISBLANK([1]!Table2[[#This Row],[Complete corrective actions (Approved Date)]]), TODAY()-[1]!Table2[[#This Row],[CAR initialized date]], "CLOSED")</f>
        <v>CLOSED</v>
      </c>
      <c r="N526" s="511">
        <f>Table2[[#This Row],[Effectiveness Review &amp; date deemed effective]]-Table2[[#This Row],[CAR initialized date]]</f>
        <v>638</v>
      </c>
    </row>
    <row r="527" spans="1:14" ht="18.75">
      <c r="A527" s="227" t="s">
        <v>432</v>
      </c>
      <c r="B527" s="2">
        <f>VLOOKUP(Table2[[#This Row],[Location 
(drop-down)]],Table14[[Location]:[Location ID]],2,FALSE)</f>
        <v>125</v>
      </c>
      <c r="C527" s="254" t="s">
        <v>1190</v>
      </c>
      <c r="D527" s="378" t="s">
        <v>1191</v>
      </c>
      <c r="E527" s="254" t="s">
        <v>120</v>
      </c>
      <c r="F527" s="254" t="s">
        <v>121</v>
      </c>
      <c r="G527" s="227" t="s">
        <v>1192</v>
      </c>
      <c r="H527" s="165" t="s">
        <v>20</v>
      </c>
      <c r="I527" s="230" t="s">
        <v>108</v>
      </c>
      <c r="J527" s="289">
        <v>45548</v>
      </c>
      <c r="K527" s="226">
        <v>46036</v>
      </c>
      <c r="L527" s="532"/>
      <c r="M527" s="2" t="str">
        <f ca="1">IF(ISBLANK([1]!Table2[[#This Row],[Complete corrective actions (Approved Date)]]), TODAY()-[1]!Table2[[#This Row],[CAR initialized date]], "CLOSED")</f>
        <v>CLOSED</v>
      </c>
      <c r="N527" s="511">
        <f>Table2[[#This Row],[Effectiveness Review &amp; date deemed effective]]-Table2[[#This Row],[CAR initialized date]]</f>
        <v>488</v>
      </c>
    </row>
    <row r="528" spans="1:14" ht="18.75">
      <c r="A528" s="227" t="s">
        <v>314</v>
      </c>
      <c r="B528" s="2">
        <f>VLOOKUP(Table2[[#This Row],[Location 
(drop-down)]],Table14[[Location]:[Location ID]],2,FALSE)</f>
        <v>150</v>
      </c>
      <c r="C528" s="254" t="s">
        <v>1193</v>
      </c>
      <c r="D528" s="378" t="s">
        <v>1194</v>
      </c>
      <c r="E528" s="254" t="s">
        <v>18</v>
      </c>
      <c r="F528" s="254"/>
      <c r="G528" s="227" t="s">
        <v>1195</v>
      </c>
      <c r="H528" s="165" t="s">
        <v>68</v>
      </c>
      <c r="I528" s="230" t="s">
        <v>69</v>
      </c>
      <c r="J528" s="289">
        <v>45369</v>
      </c>
      <c r="K528" s="226">
        <v>46036</v>
      </c>
      <c r="L528" s="532"/>
      <c r="M528" s="2" t="str">
        <f ca="1">IF(ISBLANK([1]!Table2[[#This Row],[Complete corrective actions (Approved Date)]]), TODAY()-[1]!Table2[[#This Row],[CAR initialized date]], "CLOSED")</f>
        <v>CLOSED</v>
      </c>
      <c r="N528" s="511">
        <f>Table2[[#This Row],[Effectiveness Review &amp; date deemed effective]]-Table2[[#This Row],[CAR initialized date]]</f>
        <v>667</v>
      </c>
    </row>
    <row r="529" spans="1:14" ht="18.75">
      <c r="A529" s="227" t="s">
        <v>314</v>
      </c>
      <c r="B529" s="2">
        <f>VLOOKUP(Table2[[#This Row],[Location 
(drop-down)]],Table14[[Location]:[Location ID]],2,FALSE)</f>
        <v>150</v>
      </c>
      <c r="C529" s="254" t="s">
        <v>1196</v>
      </c>
      <c r="D529" s="378" t="s">
        <v>1197</v>
      </c>
      <c r="E529" s="254" t="s">
        <v>18</v>
      </c>
      <c r="F529" s="254"/>
      <c r="G529" s="227" t="s">
        <v>1198</v>
      </c>
      <c r="H529" s="165" t="s">
        <v>68</v>
      </c>
      <c r="I529" s="230" t="s">
        <v>69</v>
      </c>
      <c r="J529" s="289">
        <v>45369</v>
      </c>
      <c r="K529" s="226">
        <v>46036</v>
      </c>
      <c r="L529" s="532"/>
      <c r="M529" s="2" t="str">
        <f ca="1">IF(ISBLANK([1]!Table2[[#This Row],[Complete corrective actions (Approved Date)]]), TODAY()-[1]!Table2[[#This Row],[CAR initialized date]], "CLOSED")</f>
        <v>CLOSED</v>
      </c>
      <c r="N529" s="511">
        <f>Table2[[#This Row],[Effectiveness Review &amp; date deemed effective]]-Table2[[#This Row],[CAR initialized date]]</f>
        <v>667</v>
      </c>
    </row>
    <row r="530" spans="1:14" ht="18.75">
      <c r="A530" s="227" t="s">
        <v>1162</v>
      </c>
      <c r="B530" s="2">
        <f>VLOOKUP(Table2[[#This Row],[Location 
(drop-down)]],Table14[[Location]:[Location ID]],2,FALSE)</f>
        <v>137</v>
      </c>
      <c r="C530" s="254" t="s">
        <v>1199</v>
      </c>
      <c r="D530" s="378" t="s">
        <v>1200</v>
      </c>
      <c r="E530" s="254" t="s">
        <v>18</v>
      </c>
      <c r="F530" s="254"/>
      <c r="G530" s="227" t="s">
        <v>1201</v>
      </c>
      <c r="H530" s="165" t="s">
        <v>20</v>
      </c>
      <c r="I530" s="230" t="s">
        <v>57</v>
      </c>
      <c r="J530" s="289">
        <v>45517</v>
      </c>
      <c r="K530" s="226">
        <v>46024</v>
      </c>
      <c r="L530" s="532"/>
      <c r="M530" s="2" t="str">
        <f ca="1">IF(ISBLANK([1]!Table2[[#This Row],[Complete corrective actions (Approved Date)]]), TODAY()-[1]!Table2[[#This Row],[CAR initialized date]], "CLOSED")</f>
        <v>CLOSED</v>
      </c>
      <c r="N530" s="511">
        <f>Table2[[#This Row],[Effectiveness Review &amp; date deemed effective]]-Table2[[#This Row],[CAR initialized date]]</f>
        <v>507</v>
      </c>
    </row>
    <row r="531" spans="1:14" ht="18.75">
      <c r="A531" s="227" t="s">
        <v>30</v>
      </c>
      <c r="B531" s="2">
        <f>VLOOKUP(Table2[[#This Row],[Location 
(drop-down)]],Table14[[Location]:[Location ID]],2,FALSE)</f>
        <v>132</v>
      </c>
      <c r="C531" s="254" t="s">
        <v>1202</v>
      </c>
      <c r="D531" s="379" t="str">
        <f>"C" &amp; C531 &amp;"-" &amp; B531 &amp; "-" &amp; "25"</f>
        <v>C306-132-25</v>
      </c>
      <c r="E531" s="254" t="s">
        <v>18</v>
      </c>
      <c r="F531" s="254"/>
      <c r="G531" s="227" t="s">
        <v>1203</v>
      </c>
      <c r="H531" s="165" t="s">
        <v>20</v>
      </c>
      <c r="I531" s="165" t="s">
        <v>21</v>
      </c>
      <c r="J531" s="289">
        <v>45835</v>
      </c>
      <c r="K531" s="226"/>
      <c r="L531" s="408">
        <f ca="1">TODAY()-Table2[[#This Row],[CAR initialized date]]</f>
        <v>243</v>
      </c>
      <c r="M531" s="226" t="s">
        <v>1112</v>
      </c>
      <c r="N531" s="217"/>
    </row>
    <row r="532" spans="1:14" ht="18.75">
      <c r="A532" s="227" t="s">
        <v>125</v>
      </c>
      <c r="B532" s="2">
        <f>VLOOKUP(Table2[[#This Row],[Location 
(drop-down)]],Table14[[Location]:[Location ID]],2,FALSE)</f>
        <v>130</v>
      </c>
      <c r="C532" s="254" t="s">
        <v>482</v>
      </c>
      <c r="D532" s="379" t="str">
        <f>"C" &amp; C532 &amp;"-" &amp; B532 &amp; "-" &amp; "25"</f>
        <v>C467-130-25</v>
      </c>
      <c r="E532" s="254" t="s">
        <v>26</v>
      </c>
      <c r="F532" s="254" t="s">
        <v>151</v>
      </c>
      <c r="G532" s="227" t="s">
        <v>1204</v>
      </c>
      <c r="H532" s="165" t="s">
        <v>20</v>
      </c>
      <c r="I532" s="165" t="s">
        <v>111</v>
      </c>
      <c r="J532" s="289">
        <v>45973</v>
      </c>
      <c r="K532" s="226">
        <v>46041</v>
      </c>
      <c r="L532" s="532"/>
      <c r="M532" s="2" t="str">
        <f ca="1">IF(ISBLANK([1]!Table2[[#This Row],[Complete corrective actions (Approved Date)]]), TODAY()-[1]!Table2[[#This Row],[CAR initialized date]], "CLOSED")</f>
        <v>CLOSED</v>
      </c>
      <c r="N532" s="511">
        <f>Table2[[#This Row],[Effectiveness Review &amp; date deemed effective]]-Table2[[#This Row],[CAR initialized date]]</f>
        <v>68</v>
      </c>
    </row>
    <row r="533" spans="1:14" ht="18.75">
      <c r="A533" s="227" t="s">
        <v>202</v>
      </c>
      <c r="B533" s="2">
        <f>VLOOKUP(Table2[[#This Row],[Location 
(drop-down)]],Table14[[Location]:[Location ID]],2,FALSE)</f>
        <v>180</v>
      </c>
      <c r="C533" s="254" t="s">
        <v>679</v>
      </c>
      <c r="D533" s="379" t="str">
        <f>"C" &amp; C533 &amp;"-" &amp; B533 &amp; "-" &amp; "25"</f>
        <v>C485-180-25</v>
      </c>
      <c r="E533" s="254" t="s">
        <v>26</v>
      </c>
      <c r="F533" s="254" t="s">
        <v>27</v>
      </c>
      <c r="G533" s="227" t="s">
        <v>1205</v>
      </c>
      <c r="H533" s="165" t="s">
        <v>20</v>
      </c>
      <c r="I533" s="165" t="s">
        <v>21</v>
      </c>
      <c r="J533" s="289">
        <v>45999</v>
      </c>
      <c r="K533" s="226">
        <v>46043</v>
      </c>
      <c r="L533" s="532"/>
      <c r="M533" s="2" t="str">
        <f ca="1">IF(ISBLANK([1]!Table2[[#This Row],[Complete corrective actions (Approved Date)]]), TODAY()-[1]!Table2[[#This Row],[CAR initialized date]], "CLOSED")</f>
        <v>CLOSED</v>
      </c>
      <c r="N533" s="511">
        <f>Table2[[#This Row],[Effectiveness Review &amp; date deemed effective]]-Table2[[#This Row],[CAR initialized date]]</f>
        <v>44</v>
      </c>
    </row>
    <row r="534" spans="1:14" ht="30">
      <c r="A534" s="64" t="s">
        <v>73</v>
      </c>
      <c r="B534" s="2">
        <f>VLOOKUP(Table2[[#This Row],[Location 
(drop-down)]],Table14[[Location]:[Location ID]],2,FALSE)</f>
        <v>160</v>
      </c>
      <c r="C534" s="9" t="s">
        <v>35</v>
      </c>
      <c r="D534" s="15" t="str">
        <f>"C" &amp; C534 &amp;"-" &amp; B534 &amp; "-" &amp; "26"</f>
        <v>C003-160-26</v>
      </c>
      <c r="E534" s="9" t="s">
        <v>81</v>
      </c>
      <c r="F534" s="9" t="s">
        <v>919</v>
      </c>
      <c r="G534" s="21" t="s">
        <v>1206</v>
      </c>
      <c r="H534" s="66" t="s">
        <v>68</v>
      </c>
      <c r="I534" s="165" t="s">
        <v>327</v>
      </c>
      <c r="J534" s="138">
        <v>46042</v>
      </c>
      <c r="K534" s="226">
        <v>46044</v>
      </c>
      <c r="L534" s="532"/>
      <c r="M534" s="2" t="str">
        <f ca="1">IF(ISBLANK([1]!Table2[[#This Row],[Complete corrective actions (Approved Date)]]), TODAY()-[1]!Table2[[#This Row],[CAR initialized date]], "CLOSED")</f>
        <v>CLOSED</v>
      </c>
      <c r="N534" s="511">
        <f>Table2[[#This Row],[Effectiveness Review &amp; date deemed effective]]-Table2[[#This Row],[CAR initialized date]]</f>
        <v>2</v>
      </c>
    </row>
    <row r="535" spans="1:14" ht="30">
      <c r="A535" s="64" t="s">
        <v>125</v>
      </c>
      <c r="B535" s="2">
        <f>VLOOKUP(Table2[[#This Row],[Location 
(drop-down)]],Table14[[Location]:[Location ID]],2,FALSE)</f>
        <v>130</v>
      </c>
      <c r="C535" s="9" t="s">
        <v>763</v>
      </c>
      <c r="D535" s="15" t="str">
        <f>"C" &amp; C535 &amp;"-" &amp; B535 &amp; "-" &amp; "26"</f>
        <v>C002-130-26</v>
      </c>
      <c r="E535" s="9" t="s">
        <v>81</v>
      </c>
      <c r="F535" s="9" t="s">
        <v>390</v>
      </c>
      <c r="G535" s="65" t="s">
        <v>1207</v>
      </c>
      <c r="H535" s="66" t="s">
        <v>20</v>
      </c>
      <c r="I535" s="165" t="s">
        <v>111</v>
      </c>
      <c r="J535" s="138">
        <v>46037</v>
      </c>
      <c r="K535" s="226">
        <v>46048</v>
      </c>
      <c r="L535" s="532"/>
      <c r="M535" s="2" t="str">
        <f ca="1">IF(ISBLANK([1]!Table2[[#This Row],[Complete corrective actions (Approved Date)]]), TODAY()-[1]!Table2[[#This Row],[CAR initialized date]], "CLOSED")</f>
        <v>CLOSED</v>
      </c>
      <c r="N535" s="511">
        <f>Table2[[#This Row],[Effectiveness Review &amp; date deemed effective]]-Table2[[#This Row],[CAR initialized date]]</f>
        <v>11</v>
      </c>
    </row>
    <row r="536" spans="1:14" ht="18.75">
      <c r="A536" s="227" t="s">
        <v>167</v>
      </c>
      <c r="B536" s="2">
        <f>VLOOKUP(Table2[[#This Row],[Location 
(drop-down)]],Table14[[Location]:[Location ID]],2,FALSE)</f>
        <v>146</v>
      </c>
      <c r="C536" s="254" t="s">
        <v>904</v>
      </c>
      <c r="D536" s="379" t="str">
        <f>"C" &amp; C536 &amp;"-" &amp; B536 &amp; "-" &amp; "25"</f>
        <v>C395-146-25</v>
      </c>
      <c r="E536" s="254" t="s">
        <v>18</v>
      </c>
      <c r="F536" s="254"/>
      <c r="G536" s="227" t="s">
        <v>708</v>
      </c>
      <c r="H536" s="165" t="s">
        <v>20</v>
      </c>
      <c r="I536" s="165" t="s">
        <v>21</v>
      </c>
      <c r="J536" s="289">
        <v>45923</v>
      </c>
      <c r="K536" s="226">
        <v>46048</v>
      </c>
      <c r="L536" s="532"/>
      <c r="M536" s="2" t="str">
        <f ca="1">IF(ISBLANK([1]!Table2[[#This Row],[Complete corrective actions (Approved Date)]]), TODAY()-[1]!Table2[[#This Row],[CAR initialized date]], "CLOSED")</f>
        <v>CLOSED</v>
      </c>
      <c r="N536" s="511">
        <f>Table2[[#This Row],[Effectiveness Review &amp; date deemed effective]]-Table2[[#This Row],[CAR initialized date]]</f>
        <v>125</v>
      </c>
    </row>
    <row r="537" spans="1:14" ht="75">
      <c r="A537" s="64" t="s">
        <v>119</v>
      </c>
      <c r="B537" s="2">
        <f>VLOOKUP(Table2[[#This Row],[Location 
(drop-down)]],Table14[[Location]:[Location ID]],2,FALSE)</f>
        <v>131</v>
      </c>
      <c r="C537" s="9" t="s">
        <v>957</v>
      </c>
      <c r="D537" s="15" t="str">
        <f>"C" &amp; C537 &amp;"-" &amp; B537 &amp; "-" &amp; "26"</f>
        <v>C001-131-26</v>
      </c>
      <c r="E537" s="9" t="s">
        <v>81</v>
      </c>
      <c r="F537" s="9" t="s">
        <v>390</v>
      </c>
      <c r="G537" s="65" t="s">
        <v>1208</v>
      </c>
      <c r="H537" s="66" t="s">
        <v>20</v>
      </c>
      <c r="I537" s="165" t="s">
        <v>111</v>
      </c>
      <c r="J537" s="138">
        <v>46036</v>
      </c>
      <c r="K537" s="226">
        <v>46048</v>
      </c>
      <c r="L537" s="532"/>
      <c r="M537" s="2" t="str">
        <f ca="1">IF(ISBLANK([1]!Table2[[#This Row],[Complete corrective actions (Approved Date)]]), TODAY()-[1]!Table2[[#This Row],[CAR initialized date]], "CLOSED")</f>
        <v>CLOSED</v>
      </c>
      <c r="N537" s="511">
        <f>Table2[[#This Row],[Effectiveness Review &amp; date deemed effective]]-Table2[[#This Row],[CAR initialized date]]</f>
        <v>12</v>
      </c>
    </row>
    <row r="538" spans="1:14" ht="18.75">
      <c r="A538" s="227" t="s">
        <v>621</v>
      </c>
      <c r="B538" s="2">
        <f>VLOOKUP(Table2[[#This Row],[Location 
(drop-down)]],Table14[[Location]:[Location ID]],2,FALSE)</f>
        <v>171</v>
      </c>
      <c r="C538" s="254" t="s">
        <v>601</v>
      </c>
      <c r="D538" s="379" t="str">
        <f>"C" &amp; C538 &amp;"-" &amp; B538 &amp; "-" &amp; "25"</f>
        <v>C486-171-25</v>
      </c>
      <c r="E538" s="254" t="s">
        <v>18</v>
      </c>
      <c r="F538" s="254"/>
      <c r="G538" s="227" t="s">
        <v>1209</v>
      </c>
      <c r="H538" s="165" t="s">
        <v>68</v>
      </c>
      <c r="I538" s="165" t="s">
        <v>21</v>
      </c>
      <c r="J538" s="289">
        <v>46001</v>
      </c>
      <c r="K538" s="226">
        <v>46048</v>
      </c>
      <c r="L538" s="532"/>
      <c r="M538" s="2" t="str">
        <f ca="1">IF(ISBLANK([1]!Table2[[#This Row],[Complete corrective actions (Approved Date)]]), TODAY()-[1]!Table2[[#This Row],[CAR initialized date]], "CLOSED")</f>
        <v>CLOSED</v>
      </c>
      <c r="N538" s="511">
        <f>Table2[[#This Row],[Effectiveness Review &amp; date deemed effective]]-Table2[[#This Row],[CAR initialized date]]</f>
        <v>47</v>
      </c>
    </row>
    <row r="539" spans="1:14" ht="18.75">
      <c r="A539" s="227" t="s">
        <v>621</v>
      </c>
      <c r="B539" s="2">
        <f>VLOOKUP(Table2[[#This Row],[Location 
(drop-down)]],Table14[[Location]:[Location ID]],2,FALSE)</f>
        <v>171</v>
      </c>
      <c r="C539" s="254" t="s">
        <v>930</v>
      </c>
      <c r="D539" s="379" t="str">
        <f>"C" &amp; C539 &amp;"-" &amp; B539 &amp; "-" &amp; "25"</f>
        <v>C487-171-25</v>
      </c>
      <c r="E539" s="254" t="s">
        <v>18</v>
      </c>
      <c r="F539" s="254"/>
      <c r="G539" s="227" t="s">
        <v>1210</v>
      </c>
      <c r="H539" s="165" t="s">
        <v>68</v>
      </c>
      <c r="I539" s="165" t="s">
        <v>21</v>
      </c>
      <c r="J539" s="289">
        <v>46001</v>
      </c>
      <c r="K539" s="226">
        <v>46048</v>
      </c>
      <c r="L539" s="532"/>
      <c r="M539" s="2" t="str">
        <f ca="1">IF(ISBLANK([1]!Table2[[#This Row],[Complete corrective actions (Approved Date)]]), TODAY()-[1]!Table2[[#This Row],[CAR initialized date]], "CLOSED")</f>
        <v>CLOSED</v>
      </c>
      <c r="N539" s="511">
        <f>Table2[[#This Row],[Effectiveness Review &amp; date deemed effective]]-Table2[[#This Row],[CAR initialized date]]</f>
        <v>47</v>
      </c>
    </row>
    <row r="540" spans="1:14" ht="18.75">
      <c r="A540" s="227" t="s">
        <v>621</v>
      </c>
      <c r="B540" s="2">
        <f>VLOOKUP(Table2[[#This Row],[Location 
(drop-down)]],Table14[[Location]:[Location ID]],2,FALSE)</f>
        <v>171</v>
      </c>
      <c r="C540" s="254" t="s">
        <v>1211</v>
      </c>
      <c r="D540" s="379" t="str">
        <f>"C" &amp; C540 &amp;"-" &amp; B540 &amp; "-" &amp; "25"</f>
        <v>C488-171-25</v>
      </c>
      <c r="E540" s="254" t="s">
        <v>18</v>
      </c>
      <c r="F540" s="254"/>
      <c r="G540" s="227" t="s">
        <v>1212</v>
      </c>
      <c r="H540" s="165" t="s">
        <v>68</v>
      </c>
      <c r="I540" s="165" t="s">
        <v>21</v>
      </c>
      <c r="J540" s="289">
        <v>46001</v>
      </c>
      <c r="K540" s="226">
        <v>46048</v>
      </c>
      <c r="L540" s="532"/>
      <c r="M540" s="2" t="str">
        <f ca="1">IF(ISBLANK([1]!Table2[[#This Row],[Complete corrective actions (Approved Date)]]), TODAY()-[1]!Table2[[#This Row],[CAR initialized date]], "CLOSED")</f>
        <v>CLOSED</v>
      </c>
      <c r="N540" s="511">
        <f>Table2[[#This Row],[Effectiveness Review &amp; date deemed effective]]-Table2[[#This Row],[CAR initialized date]]</f>
        <v>47</v>
      </c>
    </row>
    <row r="541" spans="1:14" ht="18.75">
      <c r="A541" s="227" t="s">
        <v>1162</v>
      </c>
      <c r="B541" s="2">
        <f>VLOOKUP(Table2[[#This Row],[Location 
(drop-down)]],Table14[[Location]:[Location ID]],2,FALSE)</f>
        <v>137</v>
      </c>
      <c r="C541" s="254" t="s">
        <v>854</v>
      </c>
      <c r="D541" s="378" t="s">
        <v>1213</v>
      </c>
      <c r="E541" s="254" t="s">
        <v>18</v>
      </c>
      <c r="F541" s="254"/>
      <c r="G541" s="227" t="s">
        <v>903</v>
      </c>
      <c r="H541" s="165" t="s">
        <v>20</v>
      </c>
      <c r="I541" s="230" t="s">
        <v>57</v>
      </c>
      <c r="J541" s="289">
        <v>45517</v>
      </c>
      <c r="K541" s="226">
        <v>46024</v>
      </c>
      <c r="L541" s="532"/>
      <c r="M541" s="2" t="str">
        <f ca="1">IF(ISBLANK([1]!Table2[[#This Row],[Complete corrective actions (Approved Date)]]), TODAY()-[1]!Table2[[#This Row],[CAR initialized date]], "CLOSED")</f>
        <v>CLOSED</v>
      </c>
      <c r="N541" s="511">
        <f>Table2[[#This Row],[Effectiveness Review &amp; date deemed effective]]-Table2[[#This Row],[CAR initialized date]]</f>
        <v>507</v>
      </c>
    </row>
    <row r="542" spans="1:14" ht="18.75">
      <c r="A542" s="227" t="s">
        <v>1162</v>
      </c>
      <c r="B542" s="2">
        <f>VLOOKUP(Table2[[#This Row],[Location 
(drop-down)]],Table14[[Location]:[Location ID]],2,FALSE)</f>
        <v>137</v>
      </c>
      <c r="C542" s="254" t="s">
        <v>1214</v>
      </c>
      <c r="D542" s="378" t="s">
        <v>1215</v>
      </c>
      <c r="E542" s="254" t="s">
        <v>18</v>
      </c>
      <c r="F542" s="254"/>
      <c r="G542" s="227" t="s">
        <v>1216</v>
      </c>
      <c r="H542" s="165" t="s">
        <v>68</v>
      </c>
      <c r="I542" s="230" t="s">
        <v>57</v>
      </c>
      <c r="J542" s="289">
        <v>45517</v>
      </c>
      <c r="K542" s="226">
        <v>46037</v>
      </c>
      <c r="L542" s="532"/>
      <c r="M542" s="2" t="str">
        <f ca="1">IF(ISBLANK([1]!Table2[[#This Row],[Complete corrective actions (Approved Date)]]), TODAY()-[1]!Table2[[#This Row],[CAR initialized date]], "CLOSED")</f>
        <v>CLOSED</v>
      </c>
      <c r="N542" s="511">
        <f>Table2[[#This Row],[Effectiveness Review &amp; date deemed effective]]-Table2[[#This Row],[CAR initialized date]]</f>
        <v>520</v>
      </c>
    </row>
    <row r="543" spans="1:14" ht="18.75">
      <c r="A543" s="227" t="s">
        <v>1162</v>
      </c>
      <c r="B543" s="2">
        <f>VLOOKUP(Table2[[#This Row],[Location 
(drop-down)]],Table14[[Location]:[Location ID]],2,FALSE)</f>
        <v>137</v>
      </c>
      <c r="C543" s="254" t="s">
        <v>1217</v>
      </c>
      <c r="D543" s="378" t="s">
        <v>1218</v>
      </c>
      <c r="E543" s="254" t="s">
        <v>18</v>
      </c>
      <c r="F543" s="254"/>
      <c r="G543" s="227" t="s">
        <v>1219</v>
      </c>
      <c r="H543" s="165" t="s">
        <v>201</v>
      </c>
      <c r="I543" s="230" t="s">
        <v>57</v>
      </c>
      <c r="J543" s="289">
        <v>45517</v>
      </c>
      <c r="K543" s="226">
        <v>46048</v>
      </c>
      <c r="L543" s="532"/>
      <c r="M543" s="2" t="str">
        <f ca="1">IF(ISBLANK([1]!Table2[[#This Row],[Complete corrective actions (Approved Date)]]), TODAY()-[1]!Table2[[#This Row],[CAR initialized date]], "CLOSED")</f>
        <v>CLOSED</v>
      </c>
      <c r="N543" s="511">
        <f>Table2[[#This Row],[Effectiveness Review &amp; date deemed effective]]-Table2[[#This Row],[CAR initialized date]]</f>
        <v>531</v>
      </c>
    </row>
    <row r="544" spans="1:14" ht="18.75">
      <c r="A544" s="227" t="s">
        <v>1162</v>
      </c>
      <c r="B544" s="2">
        <f>VLOOKUP(Table2[[#This Row],[Location 
(drop-down)]],Table14[[Location]:[Location ID]],2,FALSE)</f>
        <v>137</v>
      </c>
      <c r="C544" s="254" t="s">
        <v>1220</v>
      </c>
      <c r="D544" s="378" t="s">
        <v>1221</v>
      </c>
      <c r="E544" s="254" t="s">
        <v>18</v>
      </c>
      <c r="F544" s="254"/>
      <c r="G544" s="227" t="s">
        <v>1222</v>
      </c>
      <c r="H544" s="165" t="s">
        <v>20</v>
      </c>
      <c r="I544" s="230" t="s">
        <v>57</v>
      </c>
      <c r="J544" s="289">
        <v>45517</v>
      </c>
      <c r="K544" s="226">
        <v>46049</v>
      </c>
      <c r="L544" s="532"/>
      <c r="M544" s="2" t="str">
        <f ca="1">IF(ISBLANK([1]!Table2[[#This Row],[Complete corrective actions (Approved Date)]]), TODAY()-[1]!Table2[[#This Row],[CAR initialized date]], "CLOSED")</f>
        <v>CLOSED</v>
      </c>
      <c r="N544" s="511">
        <f>Table2[[#This Row],[Effectiveness Review &amp; date deemed effective]]-Table2[[#This Row],[CAR initialized date]]</f>
        <v>532</v>
      </c>
    </row>
    <row r="545" spans="1:14" ht="18.75">
      <c r="A545" s="227" t="s">
        <v>1162</v>
      </c>
      <c r="B545" s="2">
        <f>VLOOKUP(Table2[[#This Row],[Location 
(drop-down)]],Table14[[Location]:[Location ID]],2,FALSE)</f>
        <v>137</v>
      </c>
      <c r="C545" s="254" t="s">
        <v>884</v>
      </c>
      <c r="D545" s="378" t="s">
        <v>1223</v>
      </c>
      <c r="E545" s="254" t="s">
        <v>18</v>
      </c>
      <c r="F545" s="254"/>
      <c r="G545" s="227" t="s">
        <v>1224</v>
      </c>
      <c r="H545" s="165" t="s">
        <v>20</v>
      </c>
      <c r="I545" s="230" t="s">
        <v>57</v>
      </c>
      <c r="J545" s="289">
        <v>45517</v>
      </c>
      <c r="K545" s="226">
        <v>46064</v>
      </c>
      <c r="L545" s="532"/>
      <c r="M545" s="2" t="str">
        <f ca="1">IF(ISBLANK([1]!Table2[[#This Row],[Complete corrective actions (Approved Date)]]), TODAY()-[1]!Table2[[#This Row],[CAR initialized date]], "CLOSED")</f>
        <v>CLOSED</v>
      </c>
      <c r="N545" s="511">
        <f>Table2[[#This Row],[Effectiveness Review &amp; date deemed effective]]-Table2[[#This Row],[CAR initialized date]]</f>
        <v>547</v>
      </c>
    </row>
    <row r="546" spans="1:14" ht="30">
      <c r="A546" s="64" t="s">
        <v>765</v>
      </c>
      <c r="B546" s="2">
        <f>VLOOKUP(Table2[[#This Row],[Location 
(drop-down)]],Table14[[Location]:[Location ID]],2,FALSE)</f>
        <v>121</v>
      </c>
      <c r="C546" s="9" t="s">
        <v>1006</v>
      </c>
      <c r="D546" s="15" t="str">
        <f>"C" &amp; C546 &amp;"-" &amp; B546 &amp; "-" &amp; "26"</f>
        <v>C022-121-26</v>
      </c>
      <c r="E546" s="9" t="s">
        <v>81</v>
      </c>
      <c r="F546" s="9" t="s">
        <v>1225</v>
      </c>
      <c r="G546" s="64" t="s">
        <v>1226</v>
      </c>
      <c r="H546" s="66" t="s">
        <v>68</v>
      </c>
      <c r="I546" s="165" t="s">
        <v>327</v>
      </c>
      <c r="J546" s="138">
        <v>46028</v>
      </c>
      <c r="K546" s="226">
        <v>46050</v>
      </c>
      <c r="L546" s="532"/>
      <c r="M546" s="2" t="str">
        <f ca="1">IF(ISBLANK([1]!Table2[[#This Row],[Complete corrective actions (Approved Date)]]), TODAY()-[1]!Table2[[#This Row],[CAR initialized date]], "CLOSED")</f>
        <v>CLOSED</v>
      </c>
      <c r="N546" s="511">
        <f>Table2[[#This Row],[Effectiveness Review &amp; date deemed effective]]-Table2[[#This Row],[CAR initialized date]]</f>
        <v>22</v>
      </c>
    </row>
    <row r="547" spans="1:14" ht="18.75">
      <c r="A547" s="227" t="s">
        <v>714</v>
      </c>
      <c r="B547" s="2">
        <f>VLOOKUP(Table2[[#This Row],[Location 
(drop-down)]],Table14[[Location]:[Location ID]],2,FALSE)</f>
        <v>215</v>
      </c>
      <c r="C547" s="254" t="s">
        <v>109</v>
      </c>
      <c r="D547" s="379" t="str">
        <f>"C" &amp; C547 &amp;"-" &amp; B547 &amp; "-" &amp; "25"</f>
        <v>C505-215-25</v>
      </c>
      <c r="E547" s="254" t="s">
        <v>18</v>
      </c>
      <c r="F547" s="413"/>
      <c r="G547" s="227" t="s">
        <v>1227</v>
      </c>
      <c r="H547" s="165" t="s">
        <v>20</v>
      </c>
      <c r="I547" s="165" t="s">
        <v>239</v>
      </c>
      <c r="J547" s="289">
        <v>46009</v>
      </c>
      <c r="K547" s="226">
        <v>46051</v>
      </c>
      <c r="L547" s="532"/>
      <c r="M547" s="2" t="str">
        <f ca="1">IF(ISBLANK([1]!Table2[[#This Row],[Complete corrective actions (Approved Date)]]), TODAY()-[1]!Table2[[#This Row],[CAR initialized date]], "CLOSED")</f>
        <v>CLOSED</v>
      </c>
      <c r="N547" s="511">
        <f>Table2[[#This Row],[Effectiveness Review &amp; date deemed effective]]-Table2[[#This Row],[CAR initialized date]]</f>
        <v>42</v>
      </c>
    </row>
    <row r="548" spans="1:14" ht="18.75">
      <c r="A548" s="227" t="s">
        <v>39</v>
      </c>
      <c r="B548" s="2">
        <f>VLOOKUP(Table2[[#This Row],[Location 
(drop-down)]],Table14[[Location]:[Location ID]],2,FALSE)</f>
        <v>120</v>
      </c>
      <c r="C548" s="254" t="s">
        <v>1228</v>
      </c>
      <c r="D548" s="379" t="str">
        <f>"C" &amp; C548 &amp;"-" &amp; B548 &amp; "-" &amp; "25"</f>
        <v>C282-120-25</v>
      </c>
      <c r="E548" s="254" t="s">
        <v>18</v>
      </c>
      <c r="F548" s="254"/>
      <c r="G548" s="227" t="s">
        <v>892</v>
      </c>
      <c r="H548" s="165" t="s">
        <v>68</v>
      </c>
      <c r="I548" s="165" t="s">
        <v>21</v>
      </c>
      <c r="J548" s="289">
        <v>45833</v>
      </c>
      <c r="K548" s="226">
        <v>46051</v>
      </c>
      <c r="L548" s="532"/>
      <c r="M548" s="2" t="str">
        <f ca="1">IF(ISBLANK([1]!Table2[[#This Row],[Complete corrective actions (Approved Date)]]), TODAY()-[1]!Table2[[#This Row],[CAR initialized date]], "CLOSED")</f>
        <v>CLOSED</v>
      </c>
      <c r="N548" s="511">
        <f>Table2[[#This Row],[Effectiveness Review &amp; date deemed effective]]-Table2[[#This Row],[CAR initialized date]]</f>
        <v>218</v>
      </c>
    </row>
    <row r="549" spans="1:14" ht="18.75">
      <c r="A549" s="227" t="s">
        <v>495</v>
      </c>
      <c r="B549" s="2">
        <f>VLOOKUP(Table2[[#This Row],[Location 
(drop-down)]],Table14[[Location]:[Location ID]],2,FALSE)</f>
        <v>194</v>
      </c>
      <c r="C549" s="254" t="s">
        <v>1229</v>
      </c>
      <c r="D549" s="379" t="str">
        <f>"C" &amp; C549 &amp;"-" &amp; B549 &amp; "-" &amp; "25"</f>
        <v>C173-194-25</v>
      </c>
      <c r="E549" s="254" t="s">
        <v>18</v>
      </c>
      <c r="F549" s="254"/>
      <c r="G549" s="227" t="s">
        <v>351</v>
      </c>
      <c r="H549" s="165" t="s">
        <v>68</v>
      </c>
      <c r="I549" s="165" t="s">
        <v>239</v>
      </c>
      <c r="J549" s="276">
        <v>45764</v>
      </c>
      <c r="K549" s="226">
        <v>46051</v>
      </c>
      <c r="L549" s="532"/>
      <c r="M549" s="2" t="str">
        <f ca="1">IF(ISBLANK([1]!Table2[[#This Row],[Complete corrective actions (Approved Date)]]), TODAY()-[1]!Table2[[#This Row],[CAR initialized date]], "CLOSED")</f>
        <v>CLOSED</v>
      </c>
      <c r="N549" s="511">
        <f>Table2[[#This Row],[Effectiveness Review &amp; date deemed effective]]-Table2[[#This Row],[CAR initialized date]]</f>
        <v>287</v>
      </c>
    </row>
    <row r="550" spans="1:14" ht="18.75">
      <c r="A550" s="227" t="s">
        <v>495</v>
      </c>
      <c r="B550" s="2">
        <f>VLOOKUP(Table2[[#This Row],[Location 
(drop-down)]],Table14[[Location]:[Location ID]],2,FALSE)</f>
        <v>194</v>
      </c>
      <c r="C550" s="254" t="s">
        <v>1230</v>
      </c>
      <c r="D550" s="379" t="str">
        <f>"C" &amp; C550 &amp;"-" &amp; B550 &amp; "-" &amp; "25"</f>
        <v>C174-194-25</v>
      </c>
      <c r="E550" s="254" t="s">
        <v>18</v>
      </c>
      <c r="F550" s="254"/>
      <c r="G550" s="227" t="s">
        <v>892</v>
      </c>
      <c r="H550" s="165" t="s">
        <v>68</v>
      </c>
      <c r="I550" s="165" t="s">
        <v>239</v>
      </c>
      <c r="J550" s="276">
        <v>45764</v>
      </c>
      <c r="K550" s="226">
        <v>46051</v>
      </c>
      <c r="L550" s="532"/>
      <c r="M550" s="2" t="str">
        <f ca="1">IF(ISBLANK([1]!Table2[[#This Row],[Complete corrective actions (Approved Date)]]), TODAY()-[1]!Table2[[#This Row],[CAR initialized date]], "CLOSED")</f>
        <v>CLOSED</v>
      </c>
      <c r="N550" s="511">
        <f>Table2[[#This Row],[Effectiveness Review &amp; date deemed effective]]-Table2[[#This Row],[CAR initialized date]]</f>
        <v>287</v>
      </c>
    </row>
    <row r="551" spans="1:14" ht="18.75">
      <c r="A551" s="227" t="s">
        <v>139</v>
      </c>
      <c r="B551" s="2">
        <f>VLOOKUP(Table2[[#This Row],[Location 
(drop-down)]],Table14[[Location]:[Location ID]],2,FALSE)</f>
        <v>191</v>
      </c>
      <c r="C551" s="254" t="s">
        <v>97</v>
      </c>
      <c r="D551" s="379" t="str">
        <f>"C" &amp; C551 &amp;"-" &amp; B551 &amp; "-" &amp; "25"</f>
        <v>C438-191-25</v>
      </c>
      <c r="E551" s="254" t="s">
        <v>18</v>
      </c>
      <c r="F551" s="254"/>
      <c r="G551" s="227" t="s">
        <v>1231</v>
      </c>
      <c r="H551" s="165" t="s">
        <v>20</v>
      </c>
      <c r="I551" s="165" t="s">
        <v>239</v>
      </c>
      <c r="J551" s="289">
        <v>45960</v>
      </c>
      <c r="K551" s="226">
        <v>46051</v>
      </c>
      <c r="L551" s="532"/>
      <c r="M551" s="2" t="str">
        <f ca="1">IF(ISBLANK([1]!Table2[[#This Row],[Complete corrective actions (Approved Date)]]), TODAY()-[1]!Table2[[#This Row],[CAR initialized date]], "CLOSED")</f>
        <v>CLOSED</v>
      </c>
      <c r="N551" s="511">
        <f>Table2[[#This Row],[Effectiveness Review &amp; date deemed effective]]-Table2[[#This Row],[CAR initialized date]]</f>
        <v>91</v>
      </c>
    </row>
    <row r="552" spans="1:14" ht="18.75">
      <c r="A552" s="227" t="s">
        <v>139</v>
      </c>
      <c r="B552" s="2">
        <f>VLOOKUP(Table2[[#This Row],[Location 
(drop-down)]],Table14[[Location]:[Location ID]],2,FALSE)</f>
        <v>191</v>
      </c>
      <c r="C552" s="254" t="s">
        <v>100</v>
      </c>
      <c r="D552" s="379" t="str">
        <f>"C" &amp; C552 &amp;"-" &amp; B552 &amp; "-" &amp; "25"</f>
        <v>C441-191-25</v>
      </c>
      <c r="E552" s="254" t="s">
        <v>18</v>
      </c>
      <c r="F552" s="254"/>
      <c r="G552" s="227" t="s">
        <v>276</v>
      </c>
      <c r="H552" s="165" t="s">
        <v>20</v>
      </c>
      <c r="I552" s="165" t="s">
        <v>239</v>
      </c>
      <c r="J552" s="289">
        <v>45960</v>
      </c>
      <c r="K552" s="226">
        <v>46051</v>
      </c>
      <c r="L552" s="532"/>
      <c r="M552" s="2" t="str">
        <f ca="1">IF(ISBLANK([1]!Table2[[#This Row],[Complete corrective actions (Approved Date)]]), TODAY()-[1]!Table2[[#This Row],[CAR initialized date]], "CLOSED")</f>
        <v>CLOSED</v>
      </c>
      <c r="N552" s="511">
        <f>Table2[[#This Row],[Effectiveness Review &amp; date deemed effective]]-Table2[[#This Row],[CAR initialized date]]</f>
        <v>91</v>
      </c>
    </row>
    <row r="553" spans="1:14" ht="18.75">
      <c r="A553" s="227" t="s">
        <v>139</v>
      </c>
      <c r="B553" s="2">
        <f>VLOOKUP(Table2[[#This Row],[Location 
(drop-down)]],Table14[[Location]:[Location ID]],2,FALSE)</f>
        <v>191</v>
      </c>
      <c r="C553" s="254" t="s">
        <v>1232</v>
      </c>
      <c r="D553" s="379" t="str">
        <f>"C" &amp; C553 &amp;"-" &amp; B553 &amp; "-" &amp; "25"</f>
        <v>C442-191-25</v>
      </c>
      <c r="E553" s="254" t="s">
        <v>18</v>
      </c>
      <c r="F553" s="254"/>
      <c r="G553" s="227" t="s">
        <v>1233</v>
      </c>
      <c r="H553" s="165" t="s">
        <v>20</v>
      </c>
      <c r="I553" s="165" t="s">
        <v>239</v>
      </c>
      <c r="J553" s="289">
        <v>45960</v>
      </c>
      <c r="K553" s="226">
        <v>46051</v>
      </c>
      <c r="L553" s="532"/>
      <c r="M553" s="2" t="str">
        <f ca="1">IF(ISBLANK([1]!Table2[[#This Row],[Complete corrective actions (Approved Date)]]), TODAY()-[1]!Table2[[#This Row],[CAR initialized date]], "CLOSED")</f>
        <v>CLOSED</v>
      </c>
      <c r="N553" s="511">
        <f>Table2[[#This Row],[Effectiveness Review &amp; date deemed effective]]-Table2[[#This Row],[CAR initialized date]]</f>
        <v>91</v>
      </c>
    </row>
    <row r="554" spans="1:14" ht="18.75">
      <c r="A554" s="227" t="s">
        <v>15</v>
      </c>
      <c r="B554" s="2">
        <f>VLOOKUP(Table2[[#This Row],[Location 
(drop-down)]],Table14[[Location]:[Location ID]],2,FALSE)</f>
        <v>197</v>
      </c>
      <c r="C554" s="254" t="s">
        <v>1220</v>
      </c>
      <c r="D554" s="379" t="str">
        <f>"C" &amp; C554 &amp;"-" &amp; B554 &amp; "-" &amp; "25"</f>
        <v>C333-197-25</v>
      </c>
      <c r="E554" s="254" t="s">
        <v>18</v>
      </c>
      <c r="F554" s="254"/>
      <c r="G554" s="227" t="s">
        <v>1234</v>
      </c>
      <c r="H554" s="165" t="s">
        <v>20</v>
      </c>
      <c r="I554" s="165" t="s">
        <v>69</v>
      </c>
      <c r="J554" s="289">
        <v>45862</v>
      </c>
      <c r="K554" s="226">
        <v>46051</v>
      </c>
      <c r="L554" s="532"/>
      <c r="M554" s="2" t="str">
        <f ca="1">IF(ISBLANK([1]!Table2[[#This Row],[Complete corrective actions (Approved Date)]]), TODAY()-[1]!Table2[[#This Row],[CAR initialized date]], "CLOSED")</f>
        <v>CLOSED</v>
      </c>
      <c r="N554" s="511">
        <f>Table2[[#This Row],[Effectiveness Review &amp; date deemed effective]]-Table2[[#This Row],[CAR initialized date]]</f>
        <v>189</v>
      </c>
    </row>
    <row r="555" spans="1:14" ht="18.75">
      <c r="A555" s="227" t="s">
        <v>1082</v>
      </c>
      <c r="B555" s="2">
        <f>VLOOKUP(Table2[[#This Row],[Location 
(drop-down)]],Table14[[Location]:[Location ID]],2,FALSE)</f>
        <v>159</v>
      </c>
      <c r="C555" s="254" t="s">
        <v>1235</v>
      </c>
      <c r="D555" s="379" t="str">
        <f>"C" &amp; C555 &amp;"-" &amp; B555 &amp; "-" &amp; "25"</f>
        <v>C396-159-25</v>
      </c>
      <c r="E555" s="254" t="s">
        <v>18</v>
      </c>
      <c r="F555" s="254"/>
      <c r="G555" s="227" t="s">
        <v>1236</v>
      </c>
      <c r="H555" s="165" t="s">
        <v>201</v>
      </c>
      <c r="I555" s="165" t="s">
        <v>69</v>
      </c>
      <c r="J555" s="289">
        <v>45919</v>
      </c>
      <c r="K555" s="226">
        <v>46052</v>
      </c>
      <c r="L555" s="532"/>
      <c r="M555" s="2" t="str">
        <f ca="1">IF(ISBLANK([1]!Table2[[#This Row],[Complete corrective actions (Approved Date)]]), TODAY()-[1]!Table2[[#This Row],[CAR initialized date]], "CLOSED")</f>
        <v>CLOSED</v>
      </c>
      <c r="N555" s="511">
        <f>Table2[[#This Row],[Effectiveness Review &amp; date deemed effective]]-Table2[[#This Row],[CAR initialized date]]</f>
        <v>133</v>
      </c>
    </row>
    <row r="556" spans="1:14" ht="18.75">
      <c r="A556" s="227" t="s">
        <v>119</v>
      </c>
      <c r="B556" s="2">
        <f>VLOOKUP(Table2[[#This Row],[Location 
(drop-down)]],Table14[[Location]:[Location ID]],2,FALSE)</f>
        <v>131</v>
      </c>
      <c r="C556" s="254" t="s">
        <v>760</v>
      </c>
      <c r="D556" s="379" t="str">
        <f>"C" &amp; C556 &amp;"-" &amp; B556 &amp; "-" &amp; "25"</f>
        <v>C499-131-25</v>
      </c>
      <c r="E556" s="254" t="s">
        <v>81</v>
      </c>
      <c r="F556" s="254"/>
      <c r="G556" s="227" t="s">
        <v>1237</v>
      </c>
      <c r="H556" s="165" t="s">
        <v>201</v>
      </c>
      <c r="I556" s="165" t="s">
        <v>111</v>
      </c>
      <c r="J556" s="289">
        <v>46001</v>
      </c>
      <c r="K556" s="226">
        <v>46052</v>
      </c>
      <c r="L556" s="532"/>
      <c r="M556" s="2" t="str">
        <f ca="1">IF(ISBLANK([1]!Table2[[#This Row],[Complete corrective actions (Approved Date)]]), TODAY()-[1]!Table2[[#This Row],[CAR initialized date]], "CLOSED")</f>
        <v>CLOSED</v>
      </c>
      <c r="N556" s="511">
        <f>Table2[[#This Row],[Effectiveness Review &amp; date deemed effective]]-Table2[[#This Row],[CAR initialized date]]</f>
        <v>51</v>
      </c>
    </row>
    <row r="557" spans="1:14" ht="18.75">
      <c r="A557" s="227" t="s">
        <v>701</v>
      </c>
      <c r="B557" s="2" t="str">
        <f>VLOOKUP(Table2[[#This Row],[Location 
(drop-down)]],Table14[[Location]:[Location ID]],2,FALSE)</f>
        <v>160A</v>
      </c>
      <c r="C557" s="254" t="s">
        <v>1238</v>
      </c>
      <c r="D557" s="379" t="str">
        <f>"C" &amp; C557 &amp;"-" &amp; B557 &amp; "-" &amp; "25"</f>
        <v>C195-160A-25</v>
      </c>
      <c r="E557" s="254" t="s">
        <v>18</v>
      </c>
      <c r="F557" s="254"/>
      <c r="G557" s="227" t="s">
        <v>1239</v>
      </c>
      <c r="H557" s="165" t="s">
        <v>20</v>
      </c>
      <c r="I557" s="165" t="s">
        <v>47</v>
      </c>
      <c r="J557" s="276">
        <v>45782</v>
      </c>
      <c r="K557" s="226">
        <v>46053</v>
      </c>
      <c r="L557" s="532"/>
      <c r="M557" s="2" t="str">
        <f ca="1">IF(ISBLANK([1]!Table2[[#This Row],[Complete corrective actions (Approved Date)]]), TODAY()-[1]!Table2[[#This Row],[CAR initialized date]], "CLOSED")</f>
        <v>CLOSED</v>
      </c>
      <c r="N557" s="511">
        <f>Table2[[#This Row],[Effectiveness Review &amp; date deemed effective]]-Table2[[#This Row],[CAR initialized date]]</f>
        <v>271</v>
      </c>
    </row>
    <row r="558" spans="1:14" ht="18.75">
      <c r="A558" s="227" t="s">
        <v>701</v>
      </c>
      <c r="B558" s="2" t="str">
        <f>VLOOKUP(Table2[[#This Row],[Location 
(drop-down)]],Table14[[Location]:[Location ID]],2,FALSE)</f>
        <v>160A</v>
      </c>
      <c r="C558" s="254" t="s">
        <v>1240</v>
      </c>
      <c r="D558" s="379" t="str">
        <f>"C" &amp; C558 &amp;"-" &amp; B558 &amp; "-" &amp; "25"</f>
        <v>C196-160A-25</v>
      </c>
      <c r="E558" s="254" t="s">
        <v>18</v>
      </c>
      <c r="F558" s="254"/>
      <c r="G558" s="227" t="s">
        <v>1241</v>
      </c>
      <c r="H558" s="165" t="s">
        <v>20</v>
      </c>
      <c r="I558" s="165" t="s">
        <v>47</v>
      </c>
      <c r="J558" s="276">
        <v>45782</v>
      </c>
      <c r="K558" s="226">
        <v>46053</v>
      </c>
      <c r="L558" s="532"/>
      <c r="M558" s="2" t="str">
        <f ca="1">IF(ISBLANK([1]!Table2[[#This Row],[Complete corrective actions (Approved Date)]]), TODAY()-[1]!Table2[[#This Row],[CAR initialized date]], "CLOSED")</f>
        <v>CLOSED</v>
      </c>
      <c r="N558" s="511">
        <f>Table2[[#This Row],[Effectiveness Review &amp; date deemed effective]]-Table2[[#This Row],[CAR initialized date]]</f>
        <v>271</v>
      </c>
    </row>
    <row r="559" spans="1:14" ht="18.75">
      <c r="A559" s="227" t="s">
        <v>701</v>
      </c>
      <c r="B559" s="2" t="str">
        <f>VLOOKUP(Table2[[#This Row],[Location 
(drop-down)]],Table14[[Location]:[Location ID]],2,FALSE)</f>
        <v>160A</v>
      </c>
      <c r="C559" s="254" t="s">
        <v>1242</v>
      </c>
      <c r="D559" s="379" t="str">
        <f>"C" &amp; C559 &amp;"-" &amp; B559 &amp; "-" &amp; "25"</f>
        <v>C197-160A-25</v>
      </c>
      <c r="E559" s="254" t="s">
        <v>18</v>
      </c>
      <c r="F559" s="254"/>
      <c r="G559" s="227" t="s">
        <v>1243</v>
      </c>
      <c r="H559" s="165" t="s">
        <v>20</v>
      </c>
      <c r="I559" s="165" t="s">
        <v>47</v>
      </c>
      <c r="J559" s="276">
        <v>45782</v>
      </c>
      <c r="K559" s="226">
        <v>46053</v>
      </c>
      <c r="L559" s="532"/>
      <c r="M559" s="2" t="str">
        <f ca="1">IF(ISBLANK([1]!Table2[[#This Row],[Complete corrective actions (Approved Date)]]), TODAY()-[1]!Table2[[#This Row],[CAR initialized date]], "CLOSED")</f>
        <v>CLOSED</v>
      </c>
      <c r="N559" s="511">
        <f>Table2[[#This Row],[Effectiveness Review &amp; date deemed effective]]-Table2[[#This Row],[CAR initialized date]]</f>
        <v>271</v>
      </c>
    </row>
    <row r="560" spans="1:14" ht="18.75">
      <c r="A560" s="227" t="s">
        <v>701</v>
      </c>
      <c r="B560" s="2" t="str">
        <f>VLOOKUP(Table2[[#This Row],[Location 
(drop-down)]],Table14[[Location]:[Location ID]],2,FALSE)</f>
        <v>160A</v>
      </c>
      <c r="C560" s="254" t="s">
        <v>1244</v>
      </c>
      <c r="D560" s="379" t="str">
        <f>"C" &amp; C560 &amp;"-" &amp; B560 &amp; "-" &amp; "25"</f>
        <v>C198-160A-25</v>
      </c>
      <c r="E560" s="254" t="s">
        <v>18</v>
      </c>
      <c r="F560" s="254"/>
      <c r="G560" s="227" t="s">
        <v>1245</v>
      </c>
      <c r="H560" s="165" t="s">
        <v>20</v>
      </c>
      <c r="I560" s="165" t="s">
        <v>47</v>
      </c>
      <c r="J560" s="276">
        <v>45782</v>
      </c>
      <c r="K560" s="226">
        <v>46053</v>
      </c>
      <c r="L560" s="532"/>
      <c r="M560" s="2" t="str">
        <f ca="1">IF(ISBLANK([1]!Table2[[#This Row],[Complete corrective actions (Approved Date)]]), TODAY()-[1]!Table2[[#This Row],[CAR initialized date]], "CLOSED")</f>
        <v>CLOSED</v>
      </c>
      <c r="N560" s="511">
        <f>Table2[[#This Row],[Effectiveness Review &amp; date deemed effective]]-Table2[[#This Row],[CAR initialized date]]</f>
        <v>271</v>
      </c>
    </row>
    <row r="561" spans="1:14" ht="18.75">
      <c r="A561" s="227" t="s">
        <v>701</v>
      </c>
      <c r="B561" s="2" t="str">
        <f>VLOOKUP(Table2[[#This Row],[Location 
(drop-down)]],Table14[[Location]:[Location ID]],2,FALSE)</f>
        <v>160A</v>
      </c>
      <c r="C561" s="254" t="s">
        <v>1246</v>
      </c>
      <c r="D561" s="379" t="str">
        <f>"C" &amp; C561 &amp;"-" &amp; B561 &amp; "-" &amp; "25"</f>
        <v>C199-160A-25</v>
      </c>
      <c r="E561" s="254" t="s">
        <v>18</v>
      </c>
      <c r="F561" s="254"/>
      <c r="G561" s="227" t="s">
        <v>1247</v>
      </c>
      <c r="H561" s="165" t="s">
        <v>20</v>
      </c>
      <c r="I561" s="165" t="s">
        <v>47</v>
      </c>
      <c r="J561" s="276">
        <v>45782</v>
      </c>
      <c r="K561" s="226">
        <v>46053</v>
      </c>
      <c r="L561" s="532"/>
      <c r="M561" s="2" t="str">
        <f ca="1">IF(ISBLANK([1]!Table2[[#This Row],[Complete corrective actions (Approved Date)]]), TODAY()-[1]!Table2[[#This Row],[CAR initialized date]], "CLOSED")</f>
        <v>CLOSED</v>
      </c>
      <c r="N561" s="511">
        <f>Table2[[#This Row],[Effectiveness Review &amp; date deemed effective]]-Table2[[#This Row],[CAR initialized date]]</f>
        <v>271</v>
      </c>
    </row>
    <row r="562" spans="1:14" ht="18.75">
      <c r="A562" s="227" t="s">
        <v>701</v>
      </c>
      <c r="B562" s="2" t="str">
        <f>VLOOKUP(Table2[[#This Row],[Location 
(drop-down)]],Table14[[Location]:[Location ID]],2,FALSE)</f>
        <v>160A</v>
      </c>
      <c r="C562" s="254" t="s">
        <v>1248</v>
      </c>
      <c r="D562" s="379" t="str">
        <f>"C" &amp; C562 &amp;"-" &amp; B562 &amp; "-" &amp; "25"</f>
        <v>C200-160A-25</v>
      </c>
      <c r="E562" s="254" t="s">
        <v>18</v>
      </c>
      <c r="F562" s="254"/>
      <c r="G562" s="227" t="s">
        <v>1189</v>
      </c>
      <c r="H562" s="165" t="s">
        <v>20</v>
      </c>
      <c r="I562" s="165" t="s">
        <v>47</v>
      </c>
      <c r="J562" s="276">
        <v>45782</v>
      </c>
      <c r="K562" s="226">
        <v>46053</v>
      </c>
      <c r="L562" s="532"/>
      <c r="M562" s="2" t="str">
        <f ca="1">IF(ISBLANK([1]!Table2[[#This Row],[Complete corrective actions (Approved Date)]]), TODAY()-[1]!Table2[[#This Row],[CAR initialized date]], "CLOSED")</f>
        <v>CLOSED</v>
      </c>
      <c r="N562" s="511">
        <f>Table2[[#This Row],[Effectiveness Review &amp; date deemed effective]]-Table2[[#This Row],[CAR initialized date]]</f>
        <v>271</v>
      </c>
    </row>
    <row r="563" spans="1:14" ht="18.75">
      <c r="A563" s="227" t="s">
        <v>701</v>
      </c>
      <c r="B563" s="2" t="str">
        <f>VLOOKUP(Table2[[#This Row],[Location 
(drop-down)]],Table14[[Location]:[Location ID]],2,FALSE)</f>
        <v>160A</v>
      </c>
      <c r="C563" s="254" t="s">
        <v>1249</v>
      </c>
      <c r="D563" s="379" t="str">
        <f>"C" &amp; C563 &amp;"-" &amp; B563 &amp; "-" &amp; "25"</f>
        <v>C201-160A-25</v>
      </c>
      <c r="E563" s="254" t="s">
        <v>18</v>
      </c>
      <c r="F563" s="254"/>
      <c r="G563" s="227" t="s">
        <v>1250</v>
      </c>
      <c r="H563" s="165" t="s">
        <v>20</v>
      </c>
      <c r="I563" s="165" t="s">
        <v>47</v>
      </c>
      <c r="J563" s="276">
        <v>45782</v>
      </c>
      <c r="K563" s="226">
        <v>46053</v>
      </c>
      <c r="L563" s="532"/>
      <c r="M563" s="2" t="str">
        <f ca="1">IF(ISBLANK([1]!Table2[[#This Row],[Complete corrective actions (Approved Date)]]), TODAY()-[1]!Table2[[#This Row],[CAR initialized date]], "CLOSED")</f>
        <v>CLOSED</v>
      </c>
      <c r="N563" s="511">
        <f>Table2[[#This Row],[Effectiveness Review &amp; date deemed effective]]-Table2[[#This Row],[CAR initialized date]]</f>
        <v>271</v>
      </c>
    </row>
    <row r="564" spans="1:14" ht="18.75">
      <c r="A564" s="227" t="s">
        <v>125</v>
      </c>
      <c r="B564" s="2">
        <f>VLOOKUP(Table2[[#This Row],[Location 
(drop-down)]],Table14[[Location]:[Location ID]],2,FALSE)</f>
        <v>130</v>
      </c>
      <c r="C564" s="254" t="s">
        <v>534</v>
      </c>
      <c r="D564" s="379" t="str">
        <f>"C" &amp; C564 &amp;"-" &amp; B564 &amp; "-" &amp; "25"</f>
        <v>C497-130-25</v>
      </c>
      <c r="E564" s="254" t="s">
        <v>81</v>
      </c>
      <c r="F564" s="254"/>
      <c r="G564" s="404" t="s">
        <v>1251</v>
      </c>
      <c r="H564" s="165" t="s">
        <v>20</v>
      </c>
      <c r="I564" s="165" t="s">
        <v>111</v>
      </c>
      <c r="J564" s="289">
        <v>45995</v>
      </c>
      <c r="K564" s="226">
        <v>46056</v>
      </c>
      <c r="L564" s="532"/>
      <c r="M564" s="2" t="str">
        <f ca="1">IF(ISBLANK([1]!Table2[[#This Row],[Complete corrective actions (Approved Date)]]), TODAY()-[1]!Table2[[#This Row],[CAR initialized date]], "CLOSED")</f>
        <v>CLOSED</v>
      </c>
      <c r="N564" s="511">
        <f>Table2[[#This Row],[Effectiveness Review &amp; date deemed effective]]-Table2[[#This Row],[CAR initialized date]]</f>
        <v>61</v>
      </c>
    </row>
    <row r="565" spans="1:14" ht="18.75">
      <c r="A565" s="227" t="s">
        <v>453</v>
      </c>
      <c r="B565" s="2">
        <f>VLOOKUP(Table2[[#This Row],[Location 
(drop-down)]],Table14[[Location]:[Location ID]],2,FALSE)</f>
        <v>138</v>
      </c>
      <c r="C565" s="254" t="s">
        <v>1196</v>
      </c>
      <c r="D565" s="379" t="str">
        <f>"C" &amp; C565 &amp;"-" &amp; B565 &amp; "-" &amp; "25"</f>
        <v>C102-138-25</v>
      </c>
      <c r="E565" s="254" t="s">
        <v>18</v>
      </c>
      <c r="F565" s="254"/>
      <c r="G565" s="227" t="s">
        <v>1252</v>
      </c>
      <c r="H565" s="165" t="s">
        <v>68</v>
      </c>
      <c r="I565" s="165" t="s">
        <v>47</v>
      </c>
      <c r="J565" s="289">
        <v>45716</v>
      </c>
      <c r="K565" s="226">
        <v>46059</v>
      </c>
      <c r="L565" s="532"/>
      <c r="M565" s="2" t="str">
        <f ca="1">IF(ISBLANK([1]!Table2[[#This Row],[Complete corrective actions (Approved Date)]]), TODAY()-[1]!Table2[[#This Row],[CAR initialized date]], "CLOSED")</f>
        <v>CLOSED</v>
      </c>
      <c r="N565" s="511">
        <f>Table2[[#This Row],[Effectiveness Review &amp; date deemed effective]]-Table2[[#This Row],[CAR initialized date]]</f>
        <v>343</v>
      </c>
    </row>
    <row r="566" spans="1:14" ht="18.75">
      <c r="A566" s="227" t="s">
        <v>1253</v>
      </c>
      <c r="B566" s="2">
        <f>VLOOKUP(Table2[[#This Row],[Location 
(drop-down)]],Table14[[Location]:[Location ID]],2,FALSE)</f>
        <v>116</v>
      </c>
      <c r="C566" s="254" t="s">
        <v>1254</v>
      </c>
      <c r="D566" s="379" t="str">
        <f>"C" &amp; C566 &amp;"-" &amp; B566 &amp; "-" &amp; "25"</f>
        <v>C490-116-25</v>
      </c>
      <c r="E566" s="254" t="s">
        <v>18</v>
      </c>
      <c r="F566" s="254"/>
      <c r="G566" s="227" t="s">
        <v>1255</v>
      </c>
      <c r="H566" s="165" t="s">
        <v>20</v>
      </c>
      <c r="I566" s="165" t="s">
        <v>21</v>
      </c>
      <c r="J566" s="289">
        <v>46002</v>
      </c>
      <c r="K566" s="226">
        <v>46062</v>
      </c>
      <c r="L566" s="532"/>
      <c r="M566" s="2" t="str">
        <f ca="1">IF(ISBLANK([1]!Table2[[#This Row],[Complete corrective actions (Approved Date)]]), TODAY()-[1]!Table2[[#This Row],[CAR initialized date]], "CLOSED")</f>
        <v>CLOSED</v>
      </c>
      <c r="N566" s="511">
        <f>Table2[[#This Row],[Effectiveness Review &amp; date deemed effective]]-Table2[[#This Row],[CAR initialized date]]</f>
        <v>60</v>
      </c>
    </row>
    <row r="567" spans="1:14" ht="18.75">
      <c r="A567" s="227" t="s">
        <v>1253</v>
      </c>
      <c r="B567" s="2">
        <f>VLOOKUP(Table2[[#This Row],[Location 
(drop-down)]],Table14[[Location]:[Location ID]],2,FALSE)</f>
        <v>116</v>
      </c>
      <c r="C567" s="254" t="s">
        <v>149</v>
      </c>
      <c r="D567" s="379" t="str">
        <f>"C" &amp; C567 &amp;"-" &amp; B567 &amp; "-" &amp; "25"</f>
        <v>C493-116-25</v>
      </c>
      <c r="E567" s="254" t="s">
        <v>18</v>
      </c>
      <c r="F567" s="254"/>
      <c r="G567" s="227" t="s">
        <v>1256</v>
      </c>
      <c r="H567" s="165" t="s">
        <v>20</v>
      </c>
      <c r="I567" s="165" t="s">
        <v>21</v>
      </c>
      <c r="J567" s="289">
        <v>46002</v>
      </c>
      <c r="K567" s="226">
        <v>46062</v>
      </c>
      <c r="L567" s="532"/>
      <c r="M567" s="2" t="str">
        <f ca="1">IF(ISBLANK([1]!Table2[[#This Row],[Complete corrective actions (Approved Date)]]), TODAY()-[1]!Table2[[#This Row],[CAR initialized date]], "CLOSED")</f>
        <v>CLOSED</v>
      </c>
      <c r="N567" s="511">
        <f>Table2[[#This Row],[Effectiveness Review &amp; date deemed effective]]-Table2[[#This Row],[CAR initialized date]]</f>
        <v>60</v>
      </c>
    </row>
    <row r="568" spans="1:14" ht="18.75">
      <c r="A568" s="227" t="s">
        <v>15</v>
      </c>
      <c r="B568" s="2">
        <f>VLOOKUP(Table2[[#This Row],[Location 
(drop-down)]],Table14[[Location]:[Location ID]],2,FALSE)</f>
        <v>197</v>
      </c>
      <c r="C568" s="254" t="s">
        <v>1257</v>
      </c>
      <c r="D568" s="379" t="str">
        <f>"C" &amp; C568 &amp;"-" &amp; B568 &amp; "-" &amp; "25"</f>
        <v>C334-197-25</v>
      </c>
      <c r="E568" s="254" t="s">
        <v>18</v>
      </c>
      <c r="F568" s="254"/>
      <c r="G568" s="227" t="s">
        <v>981</v>
      </c>
      <c r="H568" s="165" t="s">
        <v>20</v>
      </c>
      <c r="I568" s="165" t="s">
        <v>69</v>
      </c>
      <c r="J568" s="289">
        <v>45862</v>
      </c>
      <c r="K568" s="226">
        <v>46062</v>
      </c>
      <c r="L568" s="532"/>
      <c r="M568" s="2" t="str">
        <f ca="1">IF(ISBLANK([1]!Table2[[#This Row],[Complete corrective actions (Approved Date)]]), TODAY()-[1]!Table2[[#This Row],[CAR initialized date]], "CLOSED")</f>
        <v>CLOSED</v>
      </c>
      <c r="N568" s="511">
        <f>Table2[[#This Row],[Effectiveness Review &amp; date deemed effective]]-Table2[[#This Row],[CAR initialized date]]</f>
        <v>200</v>
      </c>
    </row>
    <row r="569" spans="1:14" ht="18.75">
      <c r="A569" s="227" t="s">
        <v>314</v>
      </c>
      <c r="B569" s="2">
        <f>VLOOKUP(Table2[[#This Row],[Location 
(drop-down)]],Table14[[Location]:[Location ID]],2,FALSE)</f>
        <v>150</v>
      </c>
      <c r="C569" s="254" t="s">
        <v>1258</v>
      </c>
      <c r="D569" s="379" t="str">
        <f>"C" &amp; C569 &amp;"-" &amp; B569 &amp; "-" &amp; "25"</f>
        <v>C159-150-25</v>
      </c>
      <c r="E569" s="254" t="s">
        <v>18</v>
      </c>
      <c r="F569" s="254"/>
      <c r="G569" s="240" t="s">
        <v>1259</v>
      </c>
      <c r="H569" s="2" t="s">
        <v>20</v>
      </c>
      <c r="I569" s="165" t="s">
        <v>239</v>
      </c>
      <c r="J569" s="289">
        <v>45744</v>
      </c>
      <c r="K569" s="258">
        <v>46062</v>
      </c>
      <c r="L569" s="532"/>
      <c r="M569" s="2" t="str">
        <f ca="1">IF(ISBLANK([1]!Table2[[#This Row],[Complete corrective actions (Approved Date)]]), TODAY()-[1]!Table2[[#This Row],[CAR initialized date]], "CLOSED")</f>
        <v>CLOSED</v>
      </c>
      <c r="N569" s="511">
        <f>Table2[[#This Row],[Effectiveness Review &amp; date deemed effective]]-Table2[[#This Row],[CAR initialized date]]</f>
        <v>318</v>
      </c>
    </row>
    <row r="570" spans="1:14" ht="18.75">
      <c r="A570" s="227" t="s">
        <v>1162</v>
      </c>
      <c r="B570" s="2">
        <f>VLOOKUP(Table2[[#This Row],[Location 
(drop-down)]],Table14[[Location]:[Location ID]],2,FALSE)</f>
        <v>137</v>
      </c>
      <c r="C570" s="254" t="s">
        <v>872</v>
      </c>
      <c r="D570" s="378" t="s">
        <v>1260</v>
      </c>
      <c r="E570" s="254" t="s">
        <v>18</v>
      </c>
      <c r="F570" s="254"/>
      <c r="G570" s="227" t="s">
        <v>1261</v>
      </c>
      <c r="H570" s="165" t="s">
        <v>201</v>
      </c>
      <c r="I570" s="230" t="s">
        <v>57</v>
      </c>
      <c r="J570" s="289">
        <v>45517</v>
      </c>
      <c r="K570" s="226">
        <v>46064</v>
      </c>
      <c r="L570" s="532"/>
      <c r="M570" s="2" t="str">
        <f ca="1">IF(ISBLANK([1]!Table2[[#This Row],[Complete corrective actions (Approved Date)]]), TODAY()-[1]!Table2[[#This Row],[CAR initialized date]], "CLOSED")</f>
        <v>CLOSED</v>
      </c>
      <c r="N570" s="511">
        <f>Table2[[#This Row],[Effectiveness Review &amp; date deemed effective]]-Table2[[#This Row],[CAR initialized date]]</f>
        <v>547</v>
      </c>
    </row>
    <row r="571" spans="1:14" ht="18.75">
      <c r="A571" s="227" t="s">
        <v>1162</v>
      </c>
      <c r="B571" s="2">
        <f>VLOOKUP(Table2[[#This Row],[Location 
(drop-down)]],Table14[[Location]:[Location ID]],2,FALSE)</f>
        <v>137</v>
      </c>
      <c r="C571" s="254" t="s">
        <v>1257</v>
      </c>
      <c r="D571" s="378" t="s">
        <v>1262</v>
      </c>
      <c r="E571" s="254" t="s">
        <v>18</v>
      </c>
      <c r="F571" s="254"/>
      <c r="G571" s="227" t="s">
        <v>1263</v>
      </c>
      <c r="H571" s="165" t="s">
        <v>20</v>
      </c>
      <c r="I571" s="230" t="s">
        <v>57</v>
      </c>
      <c r="J571" s="289">
        <v>45517</v>
      </c>
      <c r="K571" s="226"/>
      <c r="L571" s="408">
        <f ca="1">TODAY()-Table2[[#This Row],[CAR initialized date]]</f>
        <v>561</v>
      </c>
      <c r="M571" s="226" t="s">
        <v>1112</v>
      </c>
      <c r="N571" s="511"/>
    </row>
    <row r="572" spans="1:14" ht="18.75">
      <c r="A572" s="227" t="s">
        <v>39</v>
      </c>
      <c r="B572" s="2">
        <f>VLOOKUP(Table2[[#This Row],[Location 
(drop-down)]],Table14[[Location]:[Location ID]],2,FALSE)</f>
        <v>120</v>
      </c>
      <c r="C572" s="254" t="s">
        <v>753</v>
      </c>
      <c r="D572" s="378" t="s">
        <v>1264</v>
      </c>
      <c r="E572" s="254" t="s">
        <v>18</v>
      </c>
      <c r="F572" s="254"/>
      <c r="G572" s="228" t="s">
        <v>842</v>
      </c>
      <c r="H572" s="165" t="s">
        <v>20</v>
      </c>
      <c r="I572" s="230" t="s">
        <v>21</v>
      </c>
      <c r="J572" s="289">
        <v>45468</v>
      </c>
      <c r="K572" s="226">
        <v>46065</v>
      </c>
      <c r="L572" s="532"/>
      <c r="M572" s="2" t="str">
        <f ca="1">IF(ISBLANK([1]!Table2[[#This Row],[Complete corrective actions (Approved Date)]]), TODAY()-[1]!Table2[[#This Row],[CAR initialized date]], "CLOSED")</f>
        <v>CLOSED</v>
      </c>
      <c r="N572" s="511">
        <f>Table2[[#This Row],[Effectiveness Review &amp; date deemed effective]]-Table2[[#This Row],[CAR initialized date]]</f>
        <v>597</v>
      </c>
    </row>
    <row r="573" spans="1:14" ht="45">
      <c r="A573" s="64" t="s">
        <v>119</v>
      </c>
      <c r="B573" s="2">
        <f>VLOOKUP(Table2[[#This Row],[Location 
(drop-down)]],Table14[[Location]:[Location ID]],2,FALSE)</f>
        <v>131</v>
      </c>
      <c r="C573" s="9" t="s">
        <v>157</v>
      </c>
      <c r="D573" s="15" t="str">
        <f>"C" &amp; C573 &amp;"-" &amp; B573 &amp; "-" &amp; "26"</f>
        <v>C023-131-26</v>
      </c>
      <c r="E573" s="9" t="s">
        <v>81</v>
      </c>
      <c r="F573" s="9" t="s">
        <v>490</v>
      </c>
      <c r="G573" s="64" t="s">
        <v>1265</v>
      </c>
      <c r="H573" s="66" t="s">
        <v>68</v>
      </c>
      <c r="I573" s="165" t="s">
        <v>111</v>
      </c>
      <c r="J573" s="138">
        <v>46052</v>
      </c>
      <c r="K573" s="226">
        <v>46066</v>
      </c>
      <c r="L573" s="532"/>
      <c r="M573" s="2" t="str">
        <f ca="1">IF(ISBLANK([1]!Table2[[#This Row],[Complete corrective actions (Approved Date)]]), TODAY()-[1]!Table2[[#This Row],[CAR initialized date]], "CLOSED")</f>
        <v>CLOSED</v>
      </c>
      <c r="N573" s="511">
        <f>Table2[[#This Row],[Effectiveness Review &amp; date deemed effective]]-Table2[[#This Row],[CAR initialized date]]</f>
        <v>14</v>
      </c>
    </row>
    <row r="574" spans="1:14" ht="18.75">
      <c r="A574" s="227" t="s">
        <v>39</v>
      </c>
      <c r="B574" s="2">
        <f>VLOOKUP(Table2[[#This Row],[Location 
(drop-down)]],Table14[[Location]:[Location ID]],2,FALSE)</f>
        <v>120</v>
      </c>
      <c r="C574" s="254" t="s">
        <v>1266</v>
      </c>
      <c r="D574" s="379" t="str">
        <f>"C" &amp; C574 &amp;"-" &amp; B574 &amp; "-" &amp; "25"</f>
        <v>C281-120-25</v>
      </c>
      <c r="E574" s="254" t="s">
        <v>18</v>
      </c>
      <c r="F574" s="254"/>
      <c r="G574" s="227" t="s">
        <v>1267</v>
      </c>
      <c r="H574" s="165" t="s">
        <v>68</v>
      </c>
      <c r="I574" s="165" t="s">
        <v>21</v>
      </c>
      <c r="J574" s="289">
        <v>45833</v>
      </c>
      <c r="K574" s="226">
        <v>46069</v>
      </c>
      <c r="L574" s="532"/>
      <c r="M574" s="2" t="str">
        <f ca="1">IF(ISBLANK([1]!Table2[[#This Row],[Complete corrective actions (Approved Date)]]), TODAY()-[1]!Table2[[#This Row],[CAR initialized date]], "CLOSED")</f>
        <v>CLOSED</v>
      </c>
      <c r="N574" s="511">
        <f>Table2[[#This Row],[Effectiveness Review &amp; date deemed effective]]-Table2[[#This Row],[CAR initialized date]]</f>
        <v>236</v>
      </c>
    </row>
    <row r="575" spans="1:14" ht="45">
      <c r="A575" s="64" t="s">
        <v>39</v>
      </c>
      <c r="B575" s="2">
        <f>VLOOKUP(Table2[[#This Row],[Location 
(drop-down)]],Table14[[Location]:[Location ID]],2,FALSE)</f>
        <v>120</v>
      </c>
      <c r="C575" s="9" t="s">
        <v>508</v>
      </c>
      <c r="D575" s="15" t="str">
        <f>"C" &amp; C575 &amp;"-" &amp; B575 &amp; "-" &amp; "26"</f>
        <v>C038-120-26</v>
      </c>
      <c r="E575" s="9" t="s">
        <v>81</v>
      </c>
      <c r="F575" s="9" t="s">
        <v>82</v>
      </c>
      <c r="G575" s="574" t="s">
        <v>1268</v>
      </c>
      <c r="H575" s="66" t="s">
        <v>68</v>
      </c>
      <c r="I575" s="165" t="s">
        <v>327</v>
      </c>
      <c r="J575" s="409">
        <v>46034</v>
      </c>
      <c r="K575" s="420">
        <v>46069</v>
      </c>
      <c r="L575" s="532"/>
      <c r="M575" s="2" t="str">
        <f ca="1">IF(ISBLANK([1]!Table2[[#This Row],[Complete corrective actions (Approved Date)]]), TODAY()-[1]!Table2[[#This Row],[CAR initialized date]], "CLOSED")</f>
        <v>CLOSED</v>
      </c>
      <c r="N575" s="511">
        <f>Table2[[#This Row],[Effectiveness Review &amp; date deemed effective]]-Table2[[#This Row],[CAR initialized date]]</f>
        <v>35</v>
      </c>
    </row>
    <row r="576" spans="1:14" ht="18.75">
      <c r="A576" s="227" t="s">
        <v>30</v>
      </c>
      <c r="B576" s="2">
        <f>VLOOKUP(Table2[[#This Row],[Location 
(drop-down)]],Table14[[Location]:[Location ID]],2,FALSE)</f>
        <v>132</v>
      </c>
      <c r="C576" s="254" t="s">
        <v>1269</v>
      </c>
      <c r="D576" s="379" t="str">
        <f>"C" &amp; C576 &amp;"-" &amp; B576 &amp; "-" &amp; "25"</f>
        <v>C310-132-25</v>
      </c>
      <c r="E576" s="254" t="s">
        <v>18</v>
      </c>
      <c r="F576" s="424"/>
      <c r="G576" s="227" t="s">
        <v>1270</v>
      </c>
      <c r="H576" s="253" t="s">
        <v>20</v>
      </c>
      <c r="I576" s="165" t="s">
        <v>21</v>
      </c>
      <c r="J576" s="289">
        <v>45835</v>
      </c>
      <c r="K576" s="226"/>
      <c r="L576" s="408">
        <f ca="1">TODAY()-Table2[[#This Row],[CAR initialized date]]</f>
        <v>243</v>
      </c>
      <c r="M576" s="226" t="s">
        <v>1112</v>
      </c>
      <c r="N576" s="217"/>
    </row>
    <row r="577" spans="1:14" ht="18.75">
      <c r="A577" s="227" t="s">
        <v>125</v>
      </c>
      <c r="B577" s="2">
        <f>VLOOKUP(Table2[[#This Row],[Location 
(drop-down)]],Table14[[Location]:[Location ID]],2,FALSE)</f>
        <v>130</v>
      </c>
      <c r="C577" s="254" t="s">
        <v>1271</v>
      </c>
      <c r="D577" s="379" t="str">
        <f>"C" &amp; C577 &amp;"-" &amp; B577 &amp; "-" &amp; "25"</f>
        <v>C464-130-25</v>
      </c>
      <c r="E577" s="254" t="s">
        <v>26</v>
      </c>
      <c r="F577" s="424" t="s">
        <v>151</v>
      </c>
      <c r="G577" s="227" t="s">
        <v>1272</v>
      </c>
      <c r="H577" s="253" t="s">
        <v>20</v>
      </c>
      <c r="I577" s="165" t="s">
        <v>111</v>
      </c>
      <c r="J577" s="289">
        <v>45973</v>
      </c>
      <c r="K577" s="226">
        <v>46070</v>
      </c>
      <c r="L577" s="532"/>
      <c r="M577" s="2" t="str">
        <f ca="1">IF(ISBLANK([1]!Table2[[#This Row],[Complete corrective actions (Approved Date)]]), TODAY()-[1]!Table2[[#This Row],[CAR initialized date]], "CLOSED")</f>
        <v>CLOSED</v>
      </c>
      <c r="N577" s="511">
        <f>Table2[[#This Row],[Effectiveness Review &amp; date deemed effective]]-Table2[[#This Row],[CAR initialized date]]</f>
        <v>97</v>
      </c>
    </row>
    <row r="578" spans="1:14" ht="18.75">
      <c r="A578" s="227" t="s">
        <v>125</v>
      </c>
      <c r="B578" s="2">
        <f>VLOOKUP(Table2[[#This Row],[Location 
(drop-down)]],Table14[[Location]:[Location ID]],2,FALSE)</f>
        <v>130</v>
      </c>
      <c r="C578" s="254" t="s">
        <v>492</v>
      </c>
      <c r="D578" s="379" t="str">
        <f>"C" &amp; C578 &amp;"-" &amp; B578 &amp; "-" &amp; "25"</f>
        <v>C465-130-25</v>
      </c>
      <c r="E578" s="254" t="s">
        <v>26</v>
      </c>
      <c r="F578" s="424" t="s">
        <v>151</v>
      </c>
      <c r="G578" s="227" t="s">
        <v>1273</v>
      </c>
      <c r="H578" s="253" t="s">
        <v>20</v>
      </c>
      <c r="I578" s="165" t="s">
        <v>111</v>
      </c>
      <c r="J578" s="289">
        <v>45973</v>
      </c>
      <c r="K578" s="226">
        <v>46070</v>
      </c>
      <c r="L578" s="532"/>
      <c r="M578" s="2" t="str">
        <f ca="1">IF(ISBLANK([1]!Table2[[#This Row],[Complete corrective actions (Approved Date)]]), TODAY()-[1]!Table2[[#This Row],[CAR initialized date]], "CLOSED")</f>
        <v>CLOSED</v>
      </c>
      <c r="N578" s="511">
        <f>Table2[[#This Row],[Effectiveness Review &amp; date deemed effective]]-Table2[[#This Row],[CAR initialized date]]</f>
        <v>97</v>
      </c>
    </row>
    <row r="579" spans="1:14" ht="18.75">
      <c r="A579" s="227" t="s">
        <v>125</v>
      </c>
      <c r="B579" s="2">
        <f>VLOOKUP(Table2[[#This Row],[Location 
(drop-down)]],Table14[[Location]:[Location ID]],2,FALSE)</f>
        <v>130</v>
      </c>
      <c r="C579" s="254" t="s">
        <v>466</v>
      </c>
      <c r="D579" s="379" t="str">
        <f>"C" &amp; C579 &amp;"-" &amp; B579 &amp; "-" &amp; "25"</f>
        <v>C466-130-25</v>
      </c>
      <c r="E579" s="254" t="s">
        <v>26</v>
      </c>
      <c r="F579" s="424" t="s">
        <v>151</v>
      </c>
      <c r="G579" s="227" t="s">
        <v>1274</v>
      </c>
      <c r="H579" s="253" t="s">
        <v>20</v>
      </c>
      <c r="I579" s="165" t="s">
        <v>111</v>
      </c>
      <c r="J579" s="289">
        <v>45973</v>
      </c>
      <c r="K579" s="226">
        <v>46070</v>
      </c>
      <c r="L579" s="532"/>
      <c r="M579" s="2" t="str">
        <f ca="1">IF(ISBLANK([1]!Table2[[#This Row],[Complete corrective actions (Approved Date)]]), TODAY()-[1]!Table2[[#This Row],[CAR initialized date]], "CLOSED")</f>
        <v>CLOSED</v>
      </c>
      <c r="N579" s="511">
        <f>Table2[[#This Row],[Effectiveness Review &amp; date deemed effective]]-Table2[[#This Row],[CAR initialized date]]</f>
        <v>97</v>
      </c>
    </row>
    <row r="580" spans="1:14" ht="18.75">
      <c r="A580" s="227" t="s">
        <v>156</v>
      </c>
      <c r="B580" s="2">
        <f>VLOOKUP(Table2[[#This Row],[Location 
(drop-down)]],Table14[[Location]:[Location ID]],2,FALSE)</f>
        <v>110</v>
      </c>
      <c r="C580" s="254" t="s">
        <v>1190</v>
      </c>
      <c r="D580" s="379" t="str">
        <f>"C" &amp; C580 &amp;"-" &amp; B580 &amp; "-" &amp; "25"</f>
        <v>C420-110-25</v>
      </c>
      <c r="E580" s="254" t="s">
        <v>18</v>
      </c>
      <c r="F580" s="254"/>
      <c r="G580" s="227" t="s">
        <v>1275</v>
      </c>
      <c r="H580" s="165" t="s">
        <v>201</v>
      </c>
      <c r="I580" s="165" t="s">
        <v>69</v>
      </c>
      <c r="J580" s="289">
        <v>45951</v>
      </c>
      <c r="K580" s="226">
        <v>46072</v>
      </c>
      <c r="L580" s="532"/>
      <c r="M580" s="2" t="str">
        <f ca="1">IF(ISBLANK([1]!Table2[[#This Row],[Complete corrective actions (Approved Date)]]), TODAY()-[1]!Table2[[#This Row],[CAR initialized date]], "CLOSED")</f>
        <v>CLOSED</v>
      </c>
      <c r="N580" s="511">
        <f>Table2[[#This Row],[Effectiveness Review &amp; date deemed effective]]-Table2[[#This Row],[CAR initialized date]]</f>
        <v>121</v>
      </c>
    </row>
    <row r="581" spans="1:14" ht="18.75">
      <c r="A581" s="227" t="s">
        <v>15</v>
      </c>
      <c r="B581" s="2">
        <f>VLOOKUP(Table2[[#This Row],[Location 
(drop-down)]],Table14[[Location]:[Location ID]],2,FALSE)</f>
        <v>197</v>
      </c>
      <c r="C581" s="254" t="s">
        <v>219</v>
      </c>
      <c r="D581" s="379" t="str">
        <f>"C" &amp; C581 &amp;"-" &amp; B581 &amp; "-" &amp; "25"</f>
        <v>C328-197-25</v>
      </c>
      <c r="E581" s="254" t="s">
        <v>18</v>
      </c>
      <c r="F581" s="254"/>
      <c r="G581" s="227" t="s">
        <v>1276</v>
      </c>
      <c r="H581" s="165" t="s">
        <v>20</v>
      </c>
      <c r="I581" s="165" t="s">
        <v>69</v>
      </c>
      <c r="J581" s="289">
        <v>45862</v>
      </c>
      <c r="K581" s="226">
        <v>46072</v>
      </c>
      <c r="L581" s="532"/>
      <c r="M581" s="2" t="str">
        <f ca="1">IF(ISBLANK([1]!Table2[[#This Row],[Complete corrective actions (Approved Date)]]), TODAY()-[1]!Table2[[#This Row],[CAR initialized date]], "CLOSED")</f>
        <v>CLOSED</v>
      </c>
      <c r="N581" s="511">
        <f>Table2[[#This Row],[Effectiveness Review &amp; date deemed effective]]-Table2[[#This Row],[CAR initialized date]]</f>
        <v>210</v>
      </c>
    </row>
    <row r="582" spans="1:14" ht="18.75">
      <c r="A582" s="227" t="s">
        <v>103</v>
      </c>
      <c r="B582" s="2">
        <f>VLOOKUP(Table2[[#This Row],[Location 
(drop-down)]],Table14[[Location]:[Location ID]],2,FALSE)</f>
        <v>136</v>
      </c>
      <c r="C582" s="254" t="s">
        <v>574</v>
      </c>
      <c r="D582" s="379" t="str">
        <f>"C" &amp; C582 &amp;"-" &amp; B582 &amp; "-" &amp; "25"</f>
        <v>C518-136-25</v>
      </c>
      <c r="E582" s="413" t="s">
        <v>18</v>
      </c>
      <c r="F582" s="413"/>
      <c r="G582" s="227" t="s">
        <v>1277</v>
      </c>
      <c r="H582" s="165" t="s">
        <v>20</v>
      </c>
      <c r="I582" s="165" t="s">
        <v>69</v>
      </c>
      <c r="J582" s="289">
        <v>46038</v>
      </c>
      <c r="K582" s="226">
        <v>46073</v>
      </c>
      <c r="L582" s="532"/>
      <c r="M582" s="2" t="str">
        <f ca="1">IF(ISBLANK([1]!Table2[[#This Row],[Complete corrective actions (Approved Date)]]), TODAY()-[1]!Table2[[#This Row],[CAR initialized date]], "CLOSED")</f>
        <v>CLOSED</v>
      </c>
      <c r="N582" s="511">
        <f>Table2[[#This Row],[Effectiveness Review &amp; date deemed effective]]-Table2[[#This Row],[CAR initialized date]]</f>
        <v>35</v>
      </c>
    </row>
    <row r="583" spans="1:14" ht="60">
      <c r="A583" s="64" t="s">
        <v>119</v>
      </c>
      <c r="B583" s="2">
        <f>VLOOKUP(Table2[[#This Row],[Location 
(drop-down)]],Table14[[Location]:[Location ID]],2,FALSE)</f>
        <v>131</v>
      </c>
      <c r="C583" s="9" t="s">
        <v>819</v>
      </c>
      <c r="D583" s="15" t="str">
        <f>"C" &amp; C583 &amp;"-" &amp; B583 &amp; "-" &amp; "26"</f>
        <v>C037-131-26</v>
      </c>
      <c r="E583" s="9" t="s">
        <v>81</v>
      </c>
      <c r="F583" s="9" t="s">
        <v>207</v>
      </c>
      <c r="G583" s="64" t="s">
        <v>1278</v>
      </c>
      <c r="H583" s="66" t="s">
        <v>68</v>
      </c>
      <c r="I583" s="165" t="s">
        <v>111</v>
      </c>
      <c r="J583" s="138">
        <v>46063</v>
      </c>
      <c r="K583" s="226">
        <v>46073</v>
      </c>
      <c r="L583" s="532"/>
      <c r="M583" s="226" t="s">
        <v>22</v>
      </c>
      <c r="N583" s="511">
        <f>Table2[[#This Row],[Effectiveness Review &amp; date deemed effective]]-Table2[[#This Row],[CAR initialized date]]</f>
        <v>10</v>
      </c>
    </row>
    <row r="584" spans="1:14" ht="18.75">
      <c r="A584" s="227" t="s">
        <v>714</v>
      </c>
      <c r="B584" s="2">
        <f>VLOOKUP(Table2[[#This Row],[Location 
(drop-down)]],Table14[[Location]:[Location ID]],2,FALSE)</f>
        <v>215</v>
      </c>
      <c r="C584" s="254" t="s">
        <v>525</v>
      </c>
      <c r="D584" s="379" t="str">
        <f>"C" &amp; C584 &amp;"-" &amp; B584 &amp; "-" &amp; "25"</f>
        <v>C500-215-25</v>
      </c>
      <c r="E584" s="254" t="s">
        <v>18</v>
      </c>
      <c r="F584" s="254"/>
      <c r="G584" s="227" t="s">
        <v>1279</v>
      </c>
      <c r="H584" s="165" t="s">
        <v>201</v>
      </c>
      <c r="I584" s="165" t="s">
        <v>239</v>
      </c>
      <c r="J584" s="289">
        <v>46009</v>
      </c>
      <c r="K584" s="226">
        <v>46077</v>
      </c>
      <c r="L584" s="532"/>
      <c r="M584" s="226" t="s">
        <v>22</v>
      </c>
      <c r="N584" s="511">
        <f>Table2[[#This Row],[Effectiveness Review &amp; date deemed effective]]-Table2[[#This Row],[CAR initialized date]]</f>
        <v>68</v>
      </c>
    </row>
    <row r="585" spans="1:14" ht="18.75">
      <c r="A585" s="227" t="s">
        <v>714</v>
      </c>
      <c r="B585" s="2">
        <f>VLOOKUP(Table2[[#This Row],[Location 
(drop-down)]],Table14[[Location]:[Location ID]],2,FALSE)</f>
        <v>215</v>
      </c>
      <c r="C585" s="254" t="s">
        <v>214</v>
      </c>
      <c r="D585" s="379" t="str">
        <f>"C" &amp; C585 &amp;"-" &amp; B585 &amp; "-" &amp; "25"</f>
        <v>C503-215-25</v>
      </c>
      <c r="E585" s="254" t="s">
        <v>18</v>
      </c>
      <c r="F585" s="413"/>
      <c r="G585" s="227" t="s">
        <v>1280</v>
      </c>
      <c r="H585" s="165" t="s">
        <v>20</v>
      </c>
      <c r="I585" s="165" t="s">
        <v>239</v>
      </c>
      <c r="J585" s="289">
        <v>46009</v>
      </c>
      <c r="K585" s="226">
        <v>46077</v>
      </c>
      <c r="L585" s="532"/>
      <c r="M585" s="226" t="s">
        <v>22</v>
      </c>
      <c r="N585" s="511">
        <f>Table2[[#This Row],[Effectiveness Review &amp; date deemed effective]]-Table2[[#This Row],[CAR initialized date]]</f>
        <v>68</v>
      </c>
    </row>
    <row r="586" spans="1:14" ht="18.75">
      <c r="A586" s="227" t="s">
        <v>103</v>
      </c>
      <c r="B586" s="2">
        <f>VLOOKUP(Table2[[#This Row],[Location 
(drop-down)]],Table14[[Location]:[Location ID]],2,FALSE)</f>
        <v>136</v>
      </c>
      <c r="C586" s="254" t="s">
        <v>571</v>
      </c>
      <c r="D586" s="379" t="str">
        <f>"C" &amp; C586 &amp;"-" &amp; B586 &amp; "-" &amp; "25"</f>
        <v>C517-136-25</v>
      </c>
      <c r="E586" s="413" t="s">
        <v>18</v>
      </c>
      <c r="F586" s="413"/>
      <c r="G586" s="227" t="s">
        <v>1281</v>
      </c>
      <c r="H586" s="165" t="s">
        <v>20</v>
      </c>
      <c r="I586" s="165" t="s">
        <v>69</v>
      </c>
      <c r="J586" s="289">
        <v>46038</v>
      </c>
      <c r="K586" s="226">
        <v>46077</v>
      </c>
      <c r="L586" s="532"/>
      <c r="M586" s="226" t="s">
        <v>22</v>
      </c>
      <c r="N586" s="511">
        <f>Table2[[#This Row],[Effectiveness Review &amp; date deemed effective]]-Table2[[#This Row],[CAR initialized date]]</f>
        <v>39</v>
      </c>
    </row>
    <row r="587" spans="1:14" ht="18.75">
      <c r="A587" s="227" t="s">
        <v>125</v>
      </c>
      <c r="B587" s="2">
        <f>VLOOKUP(Table2[[#This Row],[Location 
(drop-down)]],Table14[[Location]:[Location ID]],2,FALSE)</f>
        <v>130</v>
      </c>
      <c r="C587" s="254" t="s">
        <v>528</v>
      </c>
      <c r="D587" s="379" t="str">
        <f>"C" &amp; C587 &amp;"-" &amp; B587 &amp; "-" &amp; "25"</f>
        <v>C498-130-25</v>
      </c>
      <c r="E587" s="254" t="s">
        <v>120</v>
      </c>
      <c r="F587" s="254"/>
      <c r="G587" s="227" t="s">
        <v>1282</v>
      </c>
      <c r="H587" s="165" t="s">
        <v>20</v>
      </c>
      <c r="I587" s="165" t="s">
        <v>111</v>
      </c>
      <c r="J587" s="289">
        <v>46003</v>
      </c>
      <c r="K587" s="226">
        <v>46077</v>
      </c>
      <c r="L587" s="532"/>
      <c r="M587" s="226" t="s">
        <v>22</v>
      </c>
      <c r="N587" s="511">
        <f>Table2[[#This Row],[Effectiveness Review &amp; date deemed effective]]-Table2[[#This Row],[CAR initialized date]]</f>
        <v>74</v>
      </c>
    </row>
    <row r="588" spans="1:14" ht="18.75">
      <c r="A588" s="227" t="s">
        <v>139</v>
      </c>
      <c r="B588" s="2">
        <f>VLOOKUP(Table2[[#This Row],[Location 
(drop-down)]],Table14[[Location]:[Location ID]],2,FALSE)</f>
        <v>191</v>
      </c>
      <c r="C588" s="254" t="s">
        <v>88</v>
      </c>
      <c r="D588" s="379" t="str">
        <f>"C" &amp; C588 &amp;"-" &amp; B588 &amp; "-" &amp; "25"</f>
        <v>C439-191-25</v>
      </c>
      <c r="E588" s="254" t="s">
        <v>18</v>
      </c>
      <c r="F588" s="254"/>
      <c r="G588" s="227" t="s">
        <v>1283</v>
      </c>
      <c r="H588" s="165" t="s">
        <v>20</v>
      </c>
      <c r="I588" s="165" t="s">
        <v>239</v>
      </c>
      <c r="J588" s="289">
        <v>45960</v>
      </c>
      <c r="K588" s="226">
        <v>46077</v>
      </c>
      <c r="L588" s="532"/>
      <c r="M588" s="226" t="s">
        <v>22</v>
      </c>
      <c r="N588" s="511">
        <f>Table2[[#This Row],[Effectiveness Review &amp; date deemed effective]]-Table2[[#This Row],[CAR initialized date]]</f>
        <v>117</v>
      </c>
    </row>
    <row r="589" spans="1:14" ht="18.75">
      <c r="A589" s="227" t="s">
        <v>139</v>
      </c>
      <c r="B589" s="2">
        <f>VLOOKUP(Table2[[#This Row],[Location 
(drop-down)]],Table14[[Location]:[Location ID]],2,FALSE)</f>
        <v>191</v>
      </c>
      <c r="C589" s="254" t="s">
        <v>91</v>
      </c>
      <c r="D589" s="379" t="str">
        <f>"C" &amp; C589 &amp;"-" &amp; B589 &amp; "-" &amp; "25"</f>
        <v>C440-191-25</v>
      </c>
      <c r="E589" s="254" t="s">
        <v>18</v>
      </c>
      <c r="F589" s="254"/>
      <c r="G589" s="227" t="s">
        <v>1284</v>
      </c>
      <c r="H589" s="165" t="s">
        <v>20</v>
      </c>
      <c r="I589" s="165" t="s">
        <v>239</v>
      </c>
      <c r="J589" s="289">
        <v>45960</v>
      </c>
      <c r="K589" s="226">
        <v>46077</v>
      </c>
      <c r="L589" s="532"/>
      <c r="M589" s="226" t="s">
        <v>22</v>
      </c>
      <c r="N589" s="511">
        <f>Table2[[#This Row],[Effectiveness Review &amp; date deemed effective]]-Table2[[#This Row],[CAR initialized date]]</f>
        <v>117</v>
      </c>
    </row>
    <row r="590" spans="1:14" ht="18.75">
      <c r="A590" s="227" t="s">
        <v>139</v>
      </c>
      <c r="B590" s="2">
        <f>VLOOKUP(Table2[[#This Row],[Location 
(drop-down)]],Table14[[Location]:[Location ID]],2,FALSE)</f>
        <v>191</v>
      </c>
      <c r="C590" s="254" t="s">
        <v>1285</v>
      </c>
      <c r="D590" s="379" t="str">
        <f>"C" &amp; C590 &amp;"-" &amp; B590 &amp; "-" &amp; "25"</f>
        <v>C443-191-25</v>
      </c>
      <c r="E590" s="254" t="s">
        <v>18</v>
      </c>
      <c r="F590" s="254"/>
      <c r="G590" s="227" t="s">
        <v>842</v>
      </c>
      <c r="H590" s="165" t="s">
        <v>20</v>
      </c>
      <c r="I590" s="165" t="s">
        <v>239</v>
      </c>
      <c r="J590" s="289">
        <v>45960</v>
      </c>
      <c r="K590" s="226">
        <v>46077</v>
      </c>
      <c r="L590" s="532"/>
      <c r="M590" s="226" t="s">
        <v>22</v>
      </c>
      <c r="N590" s="511">
        <f>Table2[[#This Row],[Effectiveness Review &amp; date deemed effective]]-Table2[[#This Row],[CAR initialized date]]</f>
        <v>117</v>
      </c>
    </row>
    <row r="591" spans="1:14" ht="18.75">
      <c r="A591" s="227" t="s">
        <v>711</v>
      </c>
      <c r="B591" s="2">
        <f>VLOOKUP(Table2[[#This Row],[Location 
(drop-down)]],Table14[[Location]:[Location ID]],2,FALSE)</f>
        <v>119</v>
      </c>
      <c r="C591" s="254" t="s">
        <v>1286</v>
      </c>
      <c r="D591" s="379" t="str">
        <f>"C" &amp; C591 &amp;"-" &amp; B591 &amp; "-" &amp; "25"</f>
        <v>C207-119-25</v>
      </c>
      <c r="E591" s="254" t="s">
        <v>18</v>
      </c>
      <c r="F591" s="254"/>
      <c r="G591" s="227" t="s">
        <v>1287</v>
      </c>
      <c r="H591" s="165" t="s">
        <v>68</v>
      </c>
      <c r="I591" s="165" t="s">
        <v>69</v>
      </c>
      <c r="J591" s="276">
        <v>45783</v>
      </c>
      <c r="K591" s="226"/>
      <c r="L591" s="408">
        <f ca="1">TODAY()-Table2[[#This Row],[CAR initialized date]]</f>
        <v>295</v>
      </c>
      <c r="M591" s="226" t="s">
        <v>1112</v>
      </c>
      <c r="N591" s="217"/>
    </row>
    <row r="592" spans="1:14" ht="18.75">
      <c r="A592" s="227" t="s">
        <v>1288</v>
      </c>
      <c r="B592" s="2">
        <f>VLOOKUP(Table2[[#This Row],[Location 
(drop-down)]],Table14[[Location]:[Location ID]],2,FALSE)</f>
        <v>111</v>
      </c>
      <c r="C592" s="254" t="s">
        <v>1289</v>
      </c>
      <c r="D592" s="379" t="str">
        <f>"C" &amp; C592 &amp;"-" &amp; B592 &amp; "-" &amp; "25"</f>
        <v>C056-111-25</v>
      </c>
      <c r="E592" s="254" t="s">
        <v>18</v>
      </c>
      <c r="F592" s="254"/>
      <c r="G592" s="227" t="s">
        <v>1290</v>
      </c>
      <c r="H592" s="165" t="s">
        <v>20</v>
      </c>
      <c r="I592" s="165" t="s">
        <v>21</v>
      </c>
      <c r="J592" s="289">
        <v>45705</v>
      </c>
      <c r="K592" s="226"/>
      <c r="L592" s="408">
        <f ca="1">TODAY()-Table2[[#This Row],[CAR initialized date]]</f>
        <v>373</v>
      </c>
      <c r="M592" s="226" t="s">
        <v>1112</v>
      </c>
      <c r="N592" s="226"/>
    </row>
    <row r="593" spans="1:14" ht="18.75">
      <c r="A593" s="227" t="s">
        <v>1288</v>
      </c>
      <c r="B593" s="2">
        <f>VLOOKUP(Table2[[#This Row],[Location 
(drop-down)]],Table14[[Location]:[Location ID]],2,FALSE)</f>
        <v>111</v>
      </c>
      <c r="C593" s="254" t="s">
        <v>1291</v>
      </c>
      <c r="D593" s="379" t="str">
        <f>"C" &amp; C593 &amp;"-" &amp; B593 &amp; "-" &amp; "25"</f>
        <v>C057-111-25</v>
      </c>
      <c r="E593" s="254" t="s">
        <v>18</v>
      </c>
      <c r="F593" s="254"/>
      <c r="G593" s="227" t="s">
        <v>351</v>
      </c>
      <c r="H593" s="165" t="s">
        <v>20</v>
      </c>
      <c r="I593" s="165" t="s">
        <v>21</v>
      </c>
      <c r="J593" s="289">
        <v>45705</v>
      </c>
      <c r="K593" s="226"/>
      <c r="L593" s="408">
        <f ca="1">TODAY()-Table2[[#This Row],[CAR initialized date]]</f>
        <v>373</v>
      </c>
      <c r="M593" s="226" t="s">
        <v>1112</v>
      </c>
      <c r="N593" s="226"/>
    </row>
    <row r="594" spans="1:14" ht="18.75">
      <c r="A594" s="227" t="s">
        <v>156</v>
      </c>
      <c r="B594" s="2">
        <f>VLOOKUP(Table2[[#This Row],[Location 
(drop-down)]],Table14[[Location]:[Location ID]],2,FALSE)</f>
        <v>110</v>
      </c>
      <c r="C594" s="254" t="s">
        <v>1292</v>
      </c>
      <c r="D594" s="379" t="str">
        <f>"C" &amp; C594 &amp;"-" &amp; B594 &amp; "-" &amp; "25"</f>
        <v>C421-110-25</v>
      </c>
      <c r="E594" s="254" t="s">
        <v>18</v>
      </c>
      <c r="F594" s="254"/>
      <c r="G594" s="227" t="s">
        <v>1287</v>
      </c>
      <c r="H594" s="165" t="s">
        <v>201</v>
      </c>
      <c r="I594" s="165" t="s">
        <v>69</v>
      </c>
      <c r="J594" s="289">
        <v>45951</v>
      </c>
      <c r="K594" s="226"/>
      <c r="L594" s="408">
        <f ca="1">TODAY()-Table2[[#This Row],[CAR initialized date]]</f>
        <v>127</v>
      </c>
      <c r="M594" s="226" t="s">
        <v>1112</v>
      </c>
      <c r="N594" s="226"/>
    </row>
    <row r="595" spans="1:14" ht="18.75">
      <c r="A595" s="227" t="s">
        <v>714</v>
      </c>
      <c r="B595" s="2">
        <f>VLOOKUP(Table2[[#This Row],[Location 
(drop-down)]],Table14[[Location]:[Location ID]],2,FALSE)</f>
        <v>215</v>
      </c>
      <c r="C595" s="254" t="s">
        <v>640</v>
      </c>
      <c r="D595" s="379" t="str">
        <f>"C" &amp; C595 &amp;"-" &amp; B595 &amp; "-" &amp; "25"</f>
        <v>C501-215-25</v>
      </c>
      <c r="E595" s="254" t="s">
        <v>18</v>
      </c>
      <c r="F595" s="254"/>
      <c r="G595" s="227" t="s">
        <v>1293</v>
      </c>
      <c r="H595" s="165" t="s">
        <v>68</v>
      </c>
      <c r="I595" s="165" t="s">
        <v>239</v>
      </c>
      <c r="J595" s="289">
        <v>46009</v>
      </c>
      <c r="K595" s="226"/>
      <c r="L595" s="408">
        <f ca="1">TODAY()-Table2[[#This Row],[CAR initialized date]]</f>
        <v>69</v>
      </c>
      <c r="M595" s="226" t="s">
        <v>1112</v>
      </c>
      <c r="N595" s="226"/>
    </row>
    <row r="596" spans="1:14" ht="18.75">
      <c r="A596" s="227" t="s">
        <v>714</v>
      </c>
      <c r="B596" s="2">
        <f>VLOOKUP(Table2[[#This Row],[Location 
(drop-down)]],Table14[[Location]:[Location ID]],2,FALSE)</f>
        <v>215</v>
      </c>
      <c r="C596" s="254" t="s">
        <v>1294</v>
      </c>
      <c r="D596" s="379" t="str">
        <f>"C" &amp; C596 &amp;"-" &amp; B596 &amp; "-" &amp; "25"</f>
        <v>C502-215-25</v>
      </c>
      <c r="E596" s="254" t="s">
        <v>18</v>
      </c>
      <c r="F596" s="254"/>
      <c r="G596" s="227" t="s">
        <v>1295</v>
      </c>
      <c r="H596" s="165" t="s">
        <v>20</v>
      </c>
      <c r="I596" s="165" t="s">
        <v>239</v>
      </c>
      <c r="J596" s="289">
        <v>46009</v>
      </c>
      <c r="K596" s="226"/>
      <c r="L596" s="408">
        <f ca="1">TODAY()-Table2[[#This Row],[CAR initialized date]]</f>
        <v>69</v>
      </c>
      <c r="M596" s="226" t="s">
        <v>1112</v>
      </c>
      <c r="N596" s="226"/>
    </row>
    <row r="597" spans="1:14" ht="18.75">
      <c r="A597" s="227" t="s">
        <v>714</v>
      </c>
      <c r="B597" s="2">
        <f>VLOOKUP(Table2[[#This Row],[Location 
(drop-down)]],Table14[[Location]:[Location ID]],2,FALSE)</f>
        <v>215</v>
      </c>
      <c r="C597" s="254" t="s">
        <v>123</v>
      </c>
      <c r="D597" s="379" t="str">
        <f>"C" &amp; C597 &amp;"-" &amp; B597 &amp; "-" &amp; "25"</f>
        <v>C504-215-25</v>
      </c>
      <c r="E597" s="254" t="s">
        <v>18</v>
      </c>
      <c r="F597" s="413"/>
      <c r="G597" s="227" t="s">
        <v>1296</v>
      </c>
      <c r="H597" s="165" t="s">
        <v>20</v>
      </c>
      <c r="I597" s="165" t="s">
        <v>239</v>
      </c>
      <c r="J597" s="289">
        <v>46009</v>
      </c>
      <c r="K597" s="226"/>
      <c r="L597" s="408">
        <f ca="1">TODAY()-Table2[[#This Row],[CAR initialized date]]</f>
        <v>69</v>
      </c>
      <c r="M597" s="226" t="s">
        <v>1112</v>
      </c>
      <c r="N597" s="226"/>
    </row>
    <row r="598" spans="1:14" ht="18.75">
      <c r="A598" s="227" t="s">
        <v>714</v>
      </c>
      <c r="B598" s="2">
        <f>VLOOKUP(Table2[[#This Row],[Location 
(drop-down)]],Table14[[Location]:[Location ID]],2,FALSE)</f>
        <v>215</v>
      </c>
      <c r="C598" s="254" t="s">
        <v>44</v>
      </c>
      <c r="D598" s="379" t="str">
        <f>"C" &amp; C598 &amp;"-" &amp; B598 &amp; "-" &amp; "25"</f>
        <v>C506-215-25</v>
      </c>
      <c r="E598" s="254" t="s">
        <v>18</v>
      </c>
      <c r="F598" s="413"/>
      <c r="G598" s="227" t="s">
        <v>1297</v>
      </c>
      <c r="H598" s="165" t="s">
        <v>68</v>
      </c>
      <c r="I598" s="165" t="s">
        <v>239</v>
      </c>
      <c r="J598" s="289">
        <v>46009</v>
      </c>
      <c r="K598" s="226"/>
      <c r="L598" s="408">
        <f ca="1">TODAY()-Table2[[#This Row],[CAR initialized date]]</f>
        <v>69</v>
      </c>
      <c r="M598" s="226" t="s">
        <v>1112</v>
      </c>
      <c r="N598" s="226"/>
    </row>
    <row r="599" spans="1:14" ht="18.75">
      <c r="A599" s="227" t="s">
        <v>714</v>
      </c>
      <c r="B599" s="2">
        <f>VLOOKUP(Table2[[#This Row],[Location 
(drop-down)]],Table14[[Location]:[Location ID]],2,FALSE)</f>
        <v>215</v>
      </c>
      <c r="C599" s="254" t="s">
        <v>907</v>
      </c>
      <c r="D599" s="379" t="str">
        <f>"C" &amp; C599 &amp;"-" &amp; B599 &amp; "-" &amp; "25"</f>
        <v>C507-215-25</v>
      </c>
      <c r="E599" s="254" t="s">
        <v>18</v>
      </c>
      <c r="F599" s="413"/>
      <c r="G599" s="227" t="s">
        <v>1298</v>
      </c>
      <c r="H599" s="165" t="s">
        <v>20</v>
      </c>
      <c r="I599" s="165" t="s">
        <v>239</v>
      </c>
      <c r="J599" s="289">
        <v>46009</v>
      </c>
      <c r="K599" s="226"/>
      <c r="L599" s="408">
        <f ca="1">TODAY()-Table2[[#This Row],[CAR initialized date]]</f>
        <v>69</v>
      </c>
      <c r="M599" s="226" t="s">
        <v>1112</v>
      </c>
      <c r="N599" s="226"/>
    </row>
    <row r="600" spans="1:14" ht="18.75">
      <c r="A600" s="227" t="s">
        <v>714</v>
      </c>
      <c r="B600" s="2">
        <f>VLOOKUP(Table2[[#This Row],[Location 
(drop-down)]],Table14[[Location]:[Location ID]],2,FALSE)</f>
        <v>215</v>
      </c>
      <c r="C600" s="254" t="s">
        <v>910</v>
      </c>
      <c r="D600" s="379" t="str">
        <f>"C" &amp; C600 &amp;"-" &amp; B600 &amp; "-" &amp; "25"</f>
        <v>C508-215-25</v>
      </c>
      <c r="E600" s="254" t="s">
        <v>18</v>
      </c>
      <c r="F600" s="413"/>
      <c r="G600" s="227" t="s">
        <v>1299</v>
      </c>
      <c r="H600" s="165" t="s">
        <v>20</v>
      </c>
      <c r="I600" s="165" t="s">
        <v>239</v>
      </c>
      <c r="J600" s="289">
        <v>46009</v>
      </c>
      <c r="K600" s="226"/>
      <c r="L600" s="408">
        <f ca="1">TODAY()-Table2[[#This Row],[CAR initialized date]]</f>
        <v>69</v>
      </c>
      <c r="M600" s="226" t="s">
        <v>1112</v>
      </c>
      <c r="N600" s="226"/>
    </row>
    <row r="601" spans="1:14" ht="18.75">
      <c r="A601" s="227" t="s">
        <v>714</v>
      </c>
      <c r="B601" s="2">
        <f>VLOOKUP(Table2[[#This Row],[Location 
(drop-down)]],Table14[[Location]:[Location ID]],2,FALSE)</f>
        <v>215</v>
      </c>
      <c r="C601" s="254" t="s">
        <v>912</v>
      </c>
      <c r="D601" s="379" t="str">
        <f>"C" &amp; C601 &amp;"-" &amp; B601 &amp; "-" &amp; "25"</f>
        <v>C509-215-25</v>
      </c>
      <c r="E601" s="254" t="s">
        <v>18</v>
      </c>
      <c r="F601" s="413"/>
      <c r="G601" s="227" t="s">
        <v>1300</v>
      </c>
      <c r="H601" s="165" t="s">
        <v>20</v>
      </c>
      <c r="I601" s="165" t="s">
        <v>239</v>
      </c>
      <c r="J601" s="289">
        <v>46009</v>
      </c>
      <c r="K601" s="226"/>
      <c r="L601" s="408">
        <f ca="1">TODAY()-Table2[[#This Row],[CAR initialized date]]</f>
        <v>69</v>
      </c>
      <c r="M601" s="226" t="s">
        <v>1112</v>
      </c>
      <c r="N601" s="226"/>
    </row>
    <row r="602" spans="1:14" ht="18.75">
      <c r="A602" s="227" t="s">
        <v>358</v>
      </c>
      <c r="B602" s="2">
        <f>VLOOKUP(Table2[[#This Row],[Location 
(drop-down)]],Table14[[Location]:[Location ID]],2,FALSE)</f>
        <v>190</v>
      </c>
      <c r="C602" s="254" t="s">
        <v>1301</v>
      </c>
      <c r="D602" s="379" t="str">
        <f>"C" &amp; C602 &amp;"-" &amp; B602 &amp; "-" &amp; "25"</f>
        <v>C126-190-25</v>
      </c>
      <c r="E602" s="254" t="s">
        <v>18</v>
      </c>
      <c r="F602" s="254"/>
      <c r="G602" s="227" t="s">
        <v>1276</v>
      </c>
      <c r="H602" s="165" t="s">
        <v>20</v>
      </c>
      <c r="I602" s="165" t="s">
        <v>47</v>
      </c>
      <c r="J602" s="289">
        <v>45727</v>
      </c>
      <c r="K602" s="226"/>
      <c r="L602" s="408">
        <f ca="1">TODAY()-Table2[[#This Row],[CAR initialized date]]</f>
        <v>351</v>
      </c>
      <c r="M602" s="226" t="s">
        <v>1112</v>
      </c>
      <c r="N602" s="226"/>
    </row>
    <row r="603" spans="1:14" ht="18.75">
      <c r="A603" s="227" t="s">
        <v>917</v>
      </c>
      <c r="B603" s="2">
        <f>VLOOKUP(Table2[[#This Row],[Location 
(drop-down)]],Table14[[Location]:[Location ID]],2,FALSE)</f>
        <v>161</v>
      </c>
      <c r="C603" s="254" t="s">
        <v>164</v>
      </c>
      <c r="D603" s="379" t="str">
        <f>"C" &amp; C603 &amp;"-" &amp; B603 &amp; "-" &amp; "25"</f>
        <v>C494-161-25</v>
      </c>
      <c r="E603" s="254" t="s">
        <v>18</v>
      </c>
      <c r="F603" s="254"/>
      <c r="G603" s="404" t="s">
        <v>1302</v>
      </c>
      <c r="H603" s="165" t="s">
        <v>68</v>
      </c>
      <c r="I603" s="165" t="s">
        <v>239</v>
      </c>
      <c r="J603" s="289">
        <v>46002</v>
      </c>
      <c r="K603" s="226"/>
      <c r="L603" s="408">
        <f ca="1">TODAY()-Table2[[#This Row],[CAR initialized date]]</f>
        <v>76</v>
      </c>
      <c r="M603" s="226" t="s">
        <v>1112</v>
      </c>
      <c r="N603" s="226"/>
    </row>
    <row r="604" spans="1:14" ht="18.75">
      <c r="A604" s="227" t="s">
        <v>917</v>
      </c>
      <c r="B604" s="2">
        <f>VLOOKUP(Table2[[#This Row],[Location 
(drop-down)]],Table14[[Location]:[Location ID]],2,FALSE)</f>
        <v>161</v>
      </c>
      <c r="C604" s="254" t="s">
        <v>1303</v>
      </c>
      <c r="D604" s="379" t="str">
        <f>"C" &amp; C604 &amp;"-" &amp; B604 &amp; "-" &amp; "25"</f>
        <v>C495-161-25</v>
      </c>
      <c r="E604" s="254" t="s">
        <v>18</v>
      </c>
      <c r="F604" s="254"/>
      <c r="G604" s="404" t="s">
        <v>1304</v>
      </c>
      <c r="H604" s="165" t="s">
        <v>68</v>
      </c>
      <c r="I604" s="165" t="s">
        <v>239</v>
      </c>
      <c r="J604" s="289">
        <v>46002</v>
      </c>
      <c r="K604" s="226"/>
      <c r="L604" s="408">
        <f ca="1">TODAY()-Table2[[#This Row],[CAR initialized date]]</f>
        <v>76</v>
      </c>
      <c r="M604" s="226" t="s">
        <v>1112</v>
      </c>
      <c r="N604" s="226"/>
    </row>
    <row r="605" spans="1:14" ht="18.75">
      <c r="A605" s="227" t="s">
        <v>917</v>
      </c>
      <c r="B605" s="2">
        <f>VLOOKUP(Table2[[#This Row],[Location 
(drop-down)]],Table14[[Location]:[Location ID]],2,FALSE)</f>
        <v>161</v>
      </c>
      <c r="C605" s="254" t="s">
        <v>521</v>
      </c>
      <c r="D605" s="379" t="str">
        <f>"C" &amp; C605 &amp;"-" &amp; B605 &amp; "-" &amp; "25"</f>
        <v>C496-161-25</v>
      </c>
      <c r="E605" s="254" t="s">
        <v>18</v>
      </c>
      <c r="F605" s="254"/>
      <c r="G605" s="404" t="s">
        <v>1305</v>
      </c>
      <c r="H605" s="165" t="s">
        <v>68</v>
      </c>
      <c r="I605" s="165" t="s">
        <v>239</v>
      </c>
      <c r="J605" s="289">
        <v>46002</v>
      </c>
      <c r="K605" s="226"/>
      <c r="L605" s="408">
        <f ca="1">TODAY()-Table2[[#This Row],[CAR initialized date]]</f>
        <v>76</v>
      </c>
      <c r="M605" s="226" t="s">
        <v>1112</v>
      </c>
      <c r="N605" s="226"/>
    </row>
    <row r="606" spans="1:14" ht="18.75">
      <c r="A606" s="227" t="s">
        <v>1253</v>
      </c>
      <c r="B606" s="2">
        <f>VLOOKUP(Table2[[#This Row],[Location 
(drop-down)]],Table14[[Location]:[Location ID]],2,FALSE)</f>
        <v>116</v>
      </c>
      <c r="C606" s="254" t="s">
        <v>324</v>
      </c>
      <c r="D606" s="379" t="str">
        <f>"C" &amp; C606 &amp;"-" &amp; B606 &amp; "-" &amp; "25"</f>
        <v>C491-116-25</v>
      </c>
      <c r="E606" s="254" t="s">
        <v>18</v>
      </c>
      <c r="F606" s="254"/>
      <c r="G606" s="227" t="s">
        <v>351</v>
      </c>
      <c r="H606" s="165" t="s">
        <v>68</v>
      </c>
      <c r="I606" s="165" t="s">
        <v>21</v>
      </c>
      <c r="J606" s="289">
        <v>46002</v>
      </c>
      <c r="K606" s="226"/>
      <c r="L606" s="408">
        <f ca="1">TODAY()-Table2[[#This Row],[CAR initialized date]]</f>
        <v>76</v>
      </c>
      <c r="M606" s="226" t="s">
        <v>1112</v>
      </c>
      <c r="N606" s="226"/>
    </row>
    <row r="607" spans="1:14" ht="18.75">
      <c r="A607" s="227" t="s">
        <v>1253</v>
      </c>
      <c r="B607" s="2">
        <f>VLOOKUP(Table2[[#This Row],[Location 
(drop-down)]],Table14[[Location]:[Location ID]],2,FALSE)</f>
        <v>116</v>
      </c>
      <c r="C607" s="254" t="s">
        <v>407</v>
      </c>
      <c r="D607" s="379" t="str">
        <f>"C" &amp; C607 &amp;"-" &amp; B607 &amp; "-" &amp; "25"</f>
        <v>C492-116-25</v>
      </c>
      <c r="E607" s="254" t="s">
        <v>18</v>
      </c>
      <c r="F607" s="254"/>
      <c r="G607" s="190" t="s">
        <v>1306</v>
      </c>
      <c r="H607" s="165" t="s">
        <v>20</v>
      </c>
      <c r="I607" s="165" t="s">
        <v>21</v>
      </c>
      <c r="J607" s="289">
        <v>46002</v>
      </c>
      <c r="K607" s="226"/>
      <c r="L607" s="408">
        <f ca="1">TODAY()-Table2[[#This Row],[CAR initialized date]]</f>
        <v>76</v>
      </c>
      <c r="M607" s="226" t="s">
        <v>1112</v>
      </c>
      <c r="N607" s="226"/>
    </row>
    <row r="608" spans="1:14" ht="18.75">
      <c r="A608" s="227" t="s">
        <v>30</v>
      </c>
      <c r="B608" s="2">
        <f>VLOOKUP(Table2[[#This Row],[Location 
(drop-down)]],Table14[[Location]:[Location ID]],2,FALSE)</f>
        <v>132</v>
      </c>
      <c r="C608" s="254" t="s">
        <v>744</v>
      </c>
      <c r="D608" s="379" t="str">
        <f>"C" &amp; C608 &amp;"-" &amp; B608 &amp; "-" &amp; "25"</f>
        <v>C474-132-25</v>
      </c>
      <c r="E608" s="254" t="s">
        <v>26</v>
      </c>
      <c r="F608" s="254" t="s">
        <v>151</v>
      </c>
      <c r="G608" s="190" t="s">
        <v>1307</v>
      </c>
      <c r="H608" s="165" t="s">
        <v>20</v>
      </c>
      <c r="I608" s="165" t="s">
        <v>111</v>
      </c>
      <c r="J608" s="289">
        <v>45981</v>
      </c>
      <c r="K608" s="226">
        <v>46008</v>
      </c>
      <c r="L608" s="532"/>
      <c r="M608" s="2" t="str">
        <f ca="1">IF(ISBLANK([1]!Table2[[#This Row],[Complete corrective actions (Approved Date)]]), TODAY()-[1]!Table2[[#This Row],[CAR initialized date]], "CLOSED")</f>
        <v>CLOSED</v>
      </c>
      <c r="N608" s="510">
        <f>Table2[[#This Row],[Effectiveness Review &amp; date deemed effective]]-Table2[[#This Row],[CAR initialized date]]</f>
        <v>27</v>
      </c>
    </row>
    <row r="609" spans="1:14" ht="18.75">
      <c r="A609" s="227" t="s">
        <v>30</v>
      </c>
      <c r="B609" s="2">
        <f>VLOOKUP(Table2[[#This Row],[Location 
(drop-down)]],Table14[[Location]:[Location ID]],2,FALSE)</f>
        <v>132</v>
      </c>
      <c r="C609" s="254" t="s">
        <v>1148</v>
      </c>
      <c r="D609" s="379" t="str">
        <f>"C" &amp; C609 &amp;"-" &amp; B609 &amp; "-" &amp; "25"</f>
        <v>C471-132-25</v>
      </c>
      <c r="E609" s="254" t="s">
        <v>26</v>
      </c>
      <c r="F609" s="254" t="s">
        <v>151</v>
      </c>
      <c r="G609" s="190" t="s">
        <v>1308</v>
      </c>
      <c r="H609" s="165" t="s">
        <v>20</v>
      </c>
      <c r="I609" s="165" t="s">
        <v>111</v>
      </c>
      <c r="J609" s="289">
        <v>45981</v>
      </c>
      <c r="K609" s="226">
        <v>46010</v>
      </c>
      <c r="L609" s="532"/>
      <c r="M609" s="2" t="str">
        <f ca="1">IF(ISBLANK([1]!Table2[[#This Row],[Complete corrective actions (Approved Date)]]), TODAY()-[1]!Table2[[#This Row],[CAR initialized date]], "CLOSED")</f>
        <v>CLOSED</v>
      </c>
      <c r="N609" s="510">
        <f>Table2[[#This Row],[Effectiveness Review &amp; date deemed effective]]-Table2[[#This Row],[CAR initialized date]]</f>
        <v>29</v>
      </c>
    </row>
    <row r="610" spans="1:14" ht="18.75">
      <c r="A610" s="227" t="s">
        <v>30</v>
      </c>
      <c r="B610" s="2">
        <f>VLOOKUP(Table2[[#This Row],[Location 
(drop-down)]],Table14[[Location]:[Location ID]],2,FALSE)</f>
        <v>132</v>
      </c>
      <c r="C610" s="254" t="s">
        <v>140</v>
      </c>
      <c r="D610" s="379" t="str">
        <f>"C" &amp; C610 &amp;"-" &amp; B610 &amp; "-" &amp; "25"</f>
        <v>C473-132-25</v>
      </c>
      <c r="E610" s="254" t="s">
        <v>26</v>
      </c>
      <c r="F610" s="254" t="s">
        <v>151</v>
      </c>
      <c r="G610" s="227" t="s">
        <v>1309</v>
      </c>
      <c r="H610" s="165" t="s">
        <v>20</v>
      </c>
      <c r="I610" s="165" t="s">
        <v>111</v>
      </c>
      <c r="J610" s="289">
        <v>45981</v>
      </c>
      <c r="K610" s="226">
        <v>46010</v>
      </c>
      <c r="L610" s="532"/>
      <c r="M610" s="2" t="str">
        <f ca="1">IF(ISBLANK([1]!Table2[[#This Row],[Complete corrective actions (Approved Date)]]), TODAY()-[1]!Table2[[#This Row],[CAR initialized date]], "CLOSED")</f>
        <v>CLOSED</v>
      </c>
      <c r="N610" s="510">
        <f>Table2[[#This Row],[Effectiveness Review &amp; date deemed effective]]-Table2[[#This Row],[CAR initialized date]]</f>
        <v>29</v>
      </c>
    </row>
    <row r="611" spans="1:14" ht="18.75">
      <c r="A611" s="227" t="s">
        <v>30</v>
      </c>
      <c r="B611" s="2">
        <f>VLOOKUP(Table2[[#This Row],[Location 
(drop-down)]],Table14[[Location]:[Location ID]],2,FALSE)</f>
        <v>132</v>
      </c>
      <c r="C611" s="254" t="s">
        <v>558</v>
      </c>
      <c r="D611" s="379" t="str">
        <f>"C" &amp; C611 &amp;"-" &amp; B611 &amp; "-" &amp; "25"</f>
        <v>C472-132-25</v>
      </c>
      <c r="E611" s="254" t="s">
        <v>26</v>
      </c>
      <c r="F611" s="254" t="s">
        <v>151</v>
      </c>
      <c r="G611" s="227" t="s">
        <v>1310</v>
      </c>
      <c r="H611" s="165" t="s">
        <v>20</v>
      </c>
      <c r="I611" s="165" t="s">
        <v>111</v>
      </c>
      <c r="J611" s="289">
        <v>45981</v>
      </c>
      <c r="K611" s="226">
        <v>46041</v>
      </c>
      <c r="L611" s="532"/>
      <c r="M611" s="2" t="str">
        <f ca="1">IF(ISBLANK([1]!Table2[[#This Row],[Complete corrective actions (Approved Date)]]), TODAY()-[1]!Table2[[#This Row],[CAR initialized date]], "CLOSED")</f>
        <v>CLOSED</v>
      </c>
      <c r="N611" s="510">
        <f>Table2[[#This Row],[Effectiveness Review &amp; date deemed effective]]-Table2[[#This Row],[CAR initialized date]]</f>
        <v>60</v>
      </c>
    </row>
    <row r="612" spans="1:14" ht="18.75">
      <c r="A612" s="227" t="s">
        <v>30</v>
      </c>
      <c r="B612" s="2">
        <f>VLOOKUP(Table2[[#This Row],[Location 
(drop-down)]],Table14[[Location]:[Location ID]],2,FALSE)</f>
        <v>132</v>
      </c>
      <c r="C612" s="254" t="s">
        <v>966</v>
      </c>
      <c r="D612" s="379" t="str">
        <f>"C" &amp; C612 &amp;"-" &amp; B612 &amp; "-" &amp; "25"</f>
        <v>C475-132-25</v>
      </c>
      <c r="E612" s="254" t="s">
        <v>26</v>
      </c>
      <c r="F612" s="254" t="s">
        <v>151</v>
      </c>
      <c r="G612" s="227" t="s">
        <v>1311</v>
      </c>
      <c r="H612" s="165" t="s">
        <v>20</v>
      </c>
      <c r="I612" s="165" t="s">
        <v>111</v>
      </c>
      <c r="J612" s="289">
        <v>45981</v>
      </c>
      <c r="K612" s="226">
        <v>46070</v>
      </c>
      <c r="L612" s="532"/>
      <c r="M612" s="2" t="str">
        <f ca="1">IF(ISBLANK([1]!Table2[[#This Row],[Complete corrective actions (Approved Date)]]), TODAY()-[1]!Table2[[#This Row],[CAR initialized date]], "CLOSED")</f>
        <v>CLOSED</v>
      </c>
      <c r="N612" s="510">
        <f>Table2[[#This Row],[Effectiveness Review &amp; date deemed effective]]-Table2[[#This Row],[CAR initialized date]]</f>
        <v>89</v>
      </c>
    </row>
    <row r="613" spans="1:14" ht="30">
      <c r="A613" s="64" t="s">
        <v>53</v>
      </c>
      <c r="B613" s="2">
        <f>VLOOKUP(Table2[[#This Row],[Location 
(drop-down)]],Table14[[Location]:[Location ID]],2,FALSE)</f>
        <v>158</v>
      </c>
      <c r="C613" s="9" t="s">
        <v>31</v>
      </c>
      <c r="D613" s="15" t="str">
        <f>"C" &amp; C613 &amp;"-" &amp; B613 &amp; "-" &amp; "26"</f>
        <v>C004-158-26</v>
      </c>
      <c r="E613" s="72" t="s">
        <v>18</v>
      </c>
      <c r="F613" s="9"/>
      <c r="G613" s="64" t="s">
        <v>1312</v>
      </c>
      <c r="H613" s="66" t="s">
        <v>20</v>
      </c>
      <c r="I613" s="165" t="s">
        <v>130</v>
      </c>
      <c r="J613" s="138">
        <v>46045</v>
      </c>
      <c r="K613" s="226"/>
      <c r="L613" s="408">
        <f ca="1">TODAY()-Table2[[#This Row],[CAR initialized date]]</f>
        <v>33</v>
      </c>
      <c r="M613" s="226" t="s">
        <v>1112</v>
      </c>
      <c r="N613" s="226"/>
    </row>
    <row r="614" spans="1:14" ht="30">
      <c r="A614" s="64" t="s">
        <v>53</v>
      </c>
      <c r="B614" s="2">
        <f>VLOOKUP(Table2[[#This Row],[Location 
(drop-down)]],Table14[[Location]:[Location ID]],2,FALSE)</f>
        <v>158</v>
      </c>
      <c r="C614" s="9" t="s">
        <v>206</v>
      </c>
      <c r="D614" s="15" t="str">
        <f>"C" &amp; C614 &amp;"-" &amp; B614 &amp; "-" &amp; "26"</f>
        <v>C005-158-26</v>
      </c>
      <c r="E614" s="9" t="s">
        <v>18</v>
      </c>
      <c r="F614" s="9"/>
      <c r="G614" s="23" t="s">
        <v>1313</v>
      </c>
      <c r="H614" s="66" t="s">
        <v>20</v>
      </c>
      <c r="I614" s="165" t="s">
        <v>130</v>
      </c>
      <c r="J614" s="138">
        <v>46045</v>
      </c>
      <c r="K614" s="226"/>
      <c r="L614" s="408">
        <f ca="1">TODAY()-Table2[[#This Row],[CAR initialized date]]</f>
        <v>33</v>
      </c>
      <c r="M614" s="226" t="s">
        <v>1112</v>
      </c>
      <c r="N614" s="226"/>
    </row>
    <row r="615" spans="1:14" ht="30">
      <c r="A615" s="64" t="s">
        <v>53</v>
      </c>
      <c r="B615" s="2">
        <f>VLOOKUP(Table2[[#This Row],[Location 
(drop-down)]],Table14[[Location]:[Location ID]],2,FALSE)</f>
        <v>158</v>
      </c>
      <c r="C615" s="9" t="s">
        <v>240</v>
      </c>
      <c r="D615" s="15" t="str">
        <f>"C" &amp; C615 &amp;"-" &amp; B615 &amp; "-" &amp; "26"</f>
        <v>C006-158-26</v>
      </c>
      <c r="E615" s="9" t="s">
        <v>18</v>
      </c>
      <c r="F615" s="9"/>
      <c r="G615" s="23" t="s">
        <v>1314</v>
      </c>
      <c r="H615" s="66" t="s">
        <v>20</v>
      </c>
      <c r="I615" s="165" t="s">
        <v>130</v>
      </c>
      <c r="J615" s="138">
        <v>46045</v>
      </c>
      <c r="K615" s="226"/>
      <c r="L615" s="408">
        <f ca="1">TODAY()-Table2[[#This Row],[CAR initialized date]]</f>
        <v>33</v>
      </c>
      <c r="M615" s="226" t="s">
        <v>1112</v>
      </c>
      <c r="N615" s="226"/>
    </row>
    <row r="616" spans="1:14" ht="30">
      <c r="A616" s="64" t="s">
        <v>53</v>
      </c>
      <c r="B616" s="2">
        <f>VLOOKUP(Table2[[#This Row],[Location 
(drop-down)]],Table14[[Location]:[Location ID]],2,FALSE)</f>
        <v>158</v>
      </c>
      <c r="C616" s="9" t="s">
        <v>569</v>
      </c>
      <c r="D616" s="15" t="str">
        <f>"C" &amp; C616 &amp;"-" &amp; B616 &amp; "-" &amp; "26"</f>
        <v>C007-158-26</v>
      </c>
      <c r="E616" s="9" t="s">
        <v>18</v>
      </c>
      <c r="F616" s="9"/>
      <c r="G616" s="23" t="s">
        <v>1315</v>
      </c>
      <c r="H616" s="66" t="s">
        <v>20</v>
      </c>
      <c r="I616" s="165" t="s">
        <v>130</v>
      </c>
      <c r="J616" s="138">
        <v>46045</v>
      </c>
      <c r="K616" s="226"/>
      <c r="L616" s="408">
        <f ca="1">TODAY()-Table2[[#This Row],[CAR initialized date]]</f>
        <v>33</v>
      </c>
      <c r="M616" s="226" t="s">
        <v>1112</v>
      </c>
      <c r="N616" s="226"/>
    </row>
    <row r="617" spans="1:14" ht="30">
      <c r="A617" s="64" t="s">
        <v>53</v>
      </c>
      <c r="B617" s="2">
        <f>VLOOKUP(Table2[[#This Row],[Location 
(drop-down)]],Table14[[Location]:[Location ID]],2,FALSE)</f>
        <v>158</v>
      </c>
      <c r="C617" s="9" t="s">
        <v>292</v>
      </c>
      <c r="D617" s="15" t="str">
        <f>"C" &amp; C617 &amp;"-" &amp; B617 &amp; "-" &amp; "26"</f>
        <v>C008-158-26</v>
      </c>
      <c r="E617" s="9" t="s">
        <v>18</v>
      </c>
      <c r="F617" s="9"/>
      <c r="G617" s="23" t="s">
        <v>1316</v>
      </c>
      <c r="H617" s="66" t="s">
        <v>20</v>
      </c>
      <c r="I617" s="165" t="s">
        <v>130</v>
      </c>
      <c r="J617" s="138">
        <v>46045</v>
      </c>
      <c r="K617" s="226"/>
      <c r="L617" s="408">
        <f ca="1">TODAY()-Table2[[#This Row],[CAR initialized date]]</f>
        <v>33</v>
      </c>
      <c r="M617" s="226" t="s">
        <v>1112</v>
      </c>
      <c r="N617" s="226"/>
    </row>
    <row r="618" spans="1:14" ht="30">
      <c r="A618" s="64" t="s">
        <v>53</v>
      </c>
      <c r="B618" s="2">
        <f>VLOOKUP(Table2[[#This Row],[Location 
(drop-down)]],Table14[[Location]:[Location ID]],2,FALSE)</f>
        <v>158</v>
      </c>
      <c r="C618" s="9" t="s">
        <v>304</v>
      </c>
      <c r="D618" s="15" t="str">
        <f>"C" &amp; C618 &amp;"-" &amp; B618 &amp; "-" &amp; "26"</f>
        <v>C009-158-26</v>
      </c>
      <c r="E618" s="9" t="s">
        <v>18</v>
      </c>
      <c r="F618" s="9"/>
      <c r="G618" s="23" t="s">
        <v>1317</v>
      </c>
      <c r="H618" s="66" t="s">
        <v>20</v>
      </c>
      <c r="I618" s="165" t="s">
        <v>130</v>
      </c>
      <c r="J618" s="138">
        <v>46045</v>
      </c>
      <c r="K618" s="226"/>
      <c r="L618" s="408">
        <f ca="1">TODAY()-Table2[[#This Row],[CAR initialized date]]</f>
        <v>33</v>
      </c>
      <c r="M618" s="226" t="s">
        <v>1112</v>
      </c>
      <c r="N618" s="226"/>
    </row>
    <row r="619" spans="1:14" ht="30">
      <c r="A619" s="64" t="s">
        <v>53</v>
      </c>
      <c r="B619" s="2">
        <f>VLOOKUP(Table2[[#This Row],[Location 
(drop-down)]],Table14[[Location]:[Location ID]],2,FALSE)</f>
        <v>158</v>
      </c>
      <c r="C619" s="9" t="s">
        <v>320</v>
      </c>
      <c r="D619" s="15" t="str">
        <f>"C" &amp; C619 &amp;"-" &amp; B619 &amp; "-" &amp; "26"</f>
        <v>C010-158-26</v>
      </c>
      <c r="E619" s="9" t="s">
        <v>18</v>
      </c>
      <c r="F619" s="9"/>
      <c r="G619" s="23" t="s">
        <v>1318</v>
      </c>
      <c r="H619" s="66" t="s">
        <v>20</v>
      </c>
      <c r="I619" s="165" t="s">
        <v>130</v>
      </c>
      <c r="J619" s="138">
        <v>46045</v>
      </c>
      <c r="K619" s="226"/>
      <c r="L619" s="408">
        <f ca="1">TODAY()-Table2[[#This Row],[CAR initialized date]]</f>
        <v>33</v>
      </c>
      <c r="M619" s="226" t="s">
        <v>1112</v>
      </c>
      <c r="N619" s="226"/>
    </row>
    <row r="620" spans="1:14" ht="30">
      <c r="A620" s="64" t="s">
        <v>53</v>
      </c>
      <c r="B620" s="2">
        <f>VLOOKUP(Table2[[#This Row],[Location 
(drop-down)]],Table14[[Location]:[Location ID]],2,FALSE)</f>
        <v>158</v>
      </c>
      <c r="C620" s="9" t="s">
        <v>322</v>
      </c>
      <c r="D620" s="15" t="str">
        <f>"C" &amp; C620 &amp;"-" &amp; B620 &amp; "-" &amp; "26"</f>
        <v>C011-158-26</v>
      </c>
      <c r="E620" s="9" t="s">
        <v>18</v>
      </c>
      <c r="F620" s="9"/>
      <c r="G620" s="23" t="s">
        <v>1319</v>
      </c>
      <c r="H620" s="66" t="s">
        <v>20</v>
      </c>
      <c r="I620" s="165" t="s">
        <v>130</v>
      </c>
      <c r="J620" s="138">
        <v>46045</v>
      </c>
      <c r="K620" s="226"/>
      <c r="L620" s="408">
        <f ca="1">TODAY()-Table2[[#This Row],[CAR initialized date]]</f>
        <v>33</v>
      </c>
      <c r="M620" s="226" t="s">
        <v>1112</v>
      </c>
      <c r="N620" s="226"/>
    </row>
    <row r="621" spans="1:14" ht="30">
      <c r="A621" s="64" t="s">
        <v>53</v>
      </c>
      <c r="B621" s="2">
        <f>VLOOKUP(Table2[[#This Row],[Location 
(drop-down)]],Table14[[Location]:[Location ID]],2,FALSE)</f>
        <v>158</v>
      </c>
      <c r="C621" s="9" t="s">
        <v>210</v>
      </c>
      <c r="D621" s="15" t="str">
        <f>"C" &amp; C621 &amp;"-" &amp; B621 &amp; "-" &amp; "26"</f>
        <v>C012-158-26</v>
      </c>
      <c r="E621" s="9" t="s">
        <v>18</v>
      </c>
      <c r="F621" s="9"/>
      <c r="G621" s="81" t="s">
        <v>1320</v>
      </c>
      <c r="H621" s="66" t="s">
        <v>201</v>
      </c>
      <c r="I621" s="165" t="s">
        <v>130</v>
      </c>
      <c r="J621" s="138">
        <v>46045</v>
      </c>
      <c r="K621" s="226"/>
      <c r="L621" s="408">
        <f ca="1">TODAY()-Table2[[#This Row],[CAR initialized date]]</f>
        <v>33</v>
      </c>
      <c r="M621" s="226" t="s">
        <v>1112</v>
      </c>
      <c r="N621" s="226"/>
    </row>
    <row r="622" spans="1:14" ht="18.75">
      <c r="A622" s="227" t="s">
        <v>103</v>
      </c>
      <c r="B622" s="2">
        <f>VLOOKUP(Table2[[#This Row],[Location 
(drop-down)]],Table14[[Location]:[Location ID]],2,FALSE)</f>
        <v>136</v>
      </c>
      <c r="C622" s="254" t="s">
        <v>563</v>
      </c>
      <c r="D622" s="379" t="str">
        <f>"C" &amp; C622 &amp;"-" &amp; B622 &amp; "-" &amp; "25"</f>
        <v>C519-136-25</v>
      </c>
      <c r="E622" s="413" t="s">
        <v>18</v>
      </c>
      <c r="F622" s="413"/>
      <c r="G622" s="227" t="s">
        <v>1321</v>
      </c>
      <c r="H622" s="165" t="s">
        <v>68</v>
      </c>
      <c r="I622" s="165" t="s">
        <v>69</v>
      </c>
      <c r="J622" s="289">
        <v>46038</v>
      </c>
      <c r="K622" s="226"/>
      <c r="L622" s="408">
        <f ca="1">TODAY()-Table2[[#This Row],[CAR initialized date]]</f>
        <v>40</v>
      </c>
      <c r="M622" s="226" t="s">
        <v>1112</v>
      </c>
      <c r="N622" s="226"/>
    </row>
    <row r="623" spans="1:14" ht="18.75">
      <c r="A623" s="227" t="s">
        <v>103</v>
      </c>
      <c r="B623" s="2">
        <f>VLOOKUP(Table2[[#This Row],[Location 
(drop-down)]],Table14[[Location]:[Location ID]],2,FALSE)</f>
        <v>136</v>
      </c>
      <c r="C623" s="254" t="s">
        <v>963</v>
      </c>
      <c r="D623" s="379" t="str">
        <f>"C" &amp; C623 &amp;"-" &amp; B623 &amp; "-" &amp; "25"</f>
        <v>C520-136-25</v>
      </c>
      <c r="E623" s="413" t="s">
        <v>18</v>
      </c>
      <c r="F623" s="413"/>
      <c r="G623" s="227" t="s">
        <v>1322</v>
      </c>
      <c r="H623" s="165" t="s">
        <v>68</v>
      </c>
      <c r="I623" s="165" t="s">
        <v>69</v>
      </c>
      <c r="J623" s="289">
        <v>46038</v>
      </c>
      <c r="K623" s="226"/>
      <c r="L623" s="408">
        <f ca="1">TODAY()-Table2[[#This Row],[CAR initialized date]]</f>
        <v>40</v>
      </c>
      <c r="M623" s="226" t="s">
        <v>1112</v>
      </c>
      <c r="N623" s="226"/>
    </row>
    <row r="624" spans="1:14" ht="18.75">
      <c r="A624" s="227" t="s">
        <v>103</v>
      </c>
      <c r="B624" s="2">
        <f>VLOOKUP(Table2[[#This Row],[Location 
(drop-down)]],Table14[[Location]:[Location ID]],2,FALSE)</f>
        <v>136</v>
      </c>
      <c r="C624" s="254" t="s">
        <v>1104</v>
      </c>
      <c r="D624" s="379" t="str">
        <f>"C" &amp; C624 &amp;"-" &amp; B624 &amp; "-" &amp; "25"</f>
        <v>C521-136-25</v>
      </c>
      <c r="E624" s="413" t="s">
        <v>18</v>
      </c>
      <c r="F624" s="413"/>
      <c r="G624" s="227" t="s">
        <v>1323</v>
      </c>
      <c r="H624" s="165" t="s">
        <v>68</v>
      </c>
      <c r="I624" s="165" t="s">
        <v>69</v>
      </c>
      <c r="J624" s="289">
        <v>46038</v>
      </c>
      <c r="K624" s="226"/>
      <c r="L624" s="408">
        <f ca="1">TODAY()-Table2[[#This Row],[CAR initialized date]]</f>
        <v>40</v>
      </c>
      <c r="M624" s="226" t="s">
        <v>1112</v>
      </c>
      <c r="N624" s="226"/>
    </row>
    <row r="625" spans="1:14" ht="18.75">
      <c r="A625" s="227" t="s">
        <v>103</v>
      </c>
      <c r="B625" s="2">
        <f>VLOOKUP(Table2[[#This Row],[Location 
(drop-down)]],Table14[[Location]:[Location ID]],2,FALSE)</f>
        <v>136</v>
      </c>
      <c r="C625" s="254" t="s">
        <v>933</v>
      </c>
      <c r="D625" s="379" t="str">
        <f>"C" &amp; C625 &amp;"-" &amp; B625 &amp; "-" &amp; "25"</f>
        <v>C522-136-25</v>
      </c>
      <c r="E625" s="413" t="s">
        <v>18</v>
      </c>
      <c r="F625" s="413"/>
      <c r="G625" s="227" t="s">
        <v>1324</v>
      </c>
      <c r="H625" s="165" t="s">
        <v>20</v>
      </c>
      <c r="I625" s="165" t="s">
        <v>69</v>
      </c>
      <c r="J625" s="289">
        <v>46038</v>
      </c>
      <c r="K625" s="226"/>
      <c r="L625" s="408">
        <f ca="1">TODAY()-Table2[[#This Row],[CAR initialized date]]</f>
        <v>40</v>
      </c>
      <c r="M625" s="226" t="s">
        <v>1112</v>
      </c>
      <c r="N625" s="226"/>
    </row>
    <row r="626" spans="1:14" ht="18.75">
      <c r="A626" s="227" t="s">
        <v>103</v>
      </c>
      <c r="B626" s="2">
        <f>VLOOKUP(Table2[[#This Row],[Location 
(drop-down)]],Table14[[Location]:[Location ID]],2,FALSE)</f>
        <v>136</v>
      </c>
      <c r="C626" s="254" t="s">
        <v>1325</v>
      </c>
      <c r="D626" s="379" t="str">
        <f>"C" &amp; C626 &amp;"-" &amp; B626 &amp; "-" &amp; "25"</f>
        <v>C523-136-25</v>
      </c>
      <c r="E626" s="413" t="s">
        <v>18</v>
      </c>
      <c r="F626" s="413"/>
      <c r="G626" s="227" t="s">
        <v>1326</v>
      </c>
      <c r="H626" s="165" t="s">
        <v>20</v>
      </c>
      <c r="I626" s="165" t="s">
        <v>69</v>
      </c>
      <c r="J626" s="289">
        <v>46038</v>
      </c>
      <c r="K626" s="226"/>
      <c r="L626" s="408">
        <f ca="1">TODAY()-Table2[[#This Row],[CAR initialized date]]</f>
        <v>40</v>
      </c>
      <c r="M626" s="226" t="s">
        <v>1112</v>
      </c>
      <c r="N626" s="226"/>
    </row>
    <row r="627" spans="1:14" ht="18.75">
      <c r="A627" s="227" t="s">
        <v>103</v>
      </c>
      <c r="B627" s="2">
        <f>VLOOKUP(Table2[[#This Row],[Location 
(drop-down)]],Table14[[Location]:[Location ID]],2,FALSE)</f>
        <v>136</v>
      </c>
      <c r="C627" s="254" t="s">
        <v>1327</v>
      </c>
      <c r="D627" s="379" t="str">
        <f>"C" &amp; C627 &amp;"-" &amp; B627 &amp; "-" &amp; "25"</f>
        <v>C524-136-25</v>
      </c>
      <c r="E627" s="413" t="s">
        <v>18</v>
      </c>
      <c r="F627" s="413"/>
      <c r="G627" s="227" t="s">
        <v>1328</v>
      </c>
      <c r="H627" s="165" t="s">
        <v>201</v>
      </c>
      <c r="I627" s="165" t="s">
        <v>69</v>
      </c>
      <c r="J627" s="289">
        <v>46038</v>
      </c>
      <c r="K627" s="226"/>
      <c r="L627" s="408">
        <f ca="1">TODAY()-Table2[[#This Row],[CAR initialized date]]</f>
        <v>40</v>
      </c>
      <c r="M627" s="226" t="s">
        <v>1112</v>
      </c>
      <c r="N627" s="226"/>
    </row>
    <row r="628" spans="1:14" ht="18.75">
      <c r="A628" s="227" t="s">
        <v>453</v>
      </c>
      <c r="B628" s="2">
        <f>VLOOKUP(Table2[[#This Row],[Location 
(drop-down)]],Table14[[Location]:[Location ID]],2,FALSE)</f>
        <v>138</v>
      </c>
      <c r="C628" s="254" t="s">
        <v>1193</v>
      </c>
      <c r="D628" s="379" t="str">
        <f>"C" &amp; C628 &amp;"-" &amp; B628 &amp; "-" &amp; "25"</f>
        <v>C101-138-25</v>
      </c>
      <c r="E628" s="254" t="s">
        <v>18</v>
      </c>
      <c r="F628" s="254"/>
      <c r="G628" s="227" t="s">
        <v>258</v>
      </c>
      <c r="H628" s="165" t="s">
        <v>68</v>
      </c>
      <c r="I628" s="165" t="s">
        <v>47</v>
      </c>
      <c r="J628" s="289">
        <v>45716</v>
      </c>
      <c r="K628" s="226"/>
      <c r="L628" s="408">
        <f ca="1">TODAY()-Table2[[#This Row],[CAR initialized date]]</f>
        <v>362</v>
      </c>
      <c r="M628" s="226" t="s">
        <v>1112</v>
      </c>
      <c r="N628" s="226"/>
    </row>
    <row r="629" spans="1:14" ht="30">
      <c r="A629" s="64" t="s">
        <v>453</v>
      </c>
      <c r="B629" s="2">
        <f>VLOOKUP(Table2[[#This Row],[Location 
(drop-down)]],Table14[[Location]:[Location ID]],2,FALSE)</f>
        <v>138</v>
      </c>
      <c r="C629" s="9" t="s">
        <v>489</v>
      </c>
      <c r="D629" s="15" t="str">
        <f>"C" &amp; C629 &amp;"-" &amp; B629 &amp; "-" &amp; "26"</f>
        <v>C040-138-26</v>
      </c>
      <c r="E629" s="9" t="s">
        <v>18</v>
      </c>
      <c r="F629" s="9"/>
      <c r="G629" s="64" t="s">
        <v>1329</v>
      </c>
      <c r="H629" s="66" t="s">
        <v>201</v>
      </c>
      <c r="I629" s="165" t="s">
        <v>239</v>
      </c>
      <c r="J629" s="138">
        <v>46072</v>
      </c>
      <c r="K629" s="226"/>
      <c r="L629" s="408">
        <f ca="1">TODAY()-Table2[[#This Row],[CAR initialized date]]</f>
        <v>6</v>
      </c>
      <c r="M629" s="226" t="s">
        <v>1112</v>
      </c>
      <c r="N629" s="226"/>
    </row>
    <row r="630" spans="1:14" ht="30">
      <c r="A630" s="64" t="s">
        <v>453</v>
      </c>
      <c r="B630" s="2">
        <f>VLOOKUP(Table2[[#This Row],[Location 
(drop-down)]],Table14[[Location]:[Location ID]],2,FALSE)</f>
        <v>138</v>
      </c>
      <c r="C630" s="9" t="s">
        <v>330</v>
      </c>
      <c r="D630" s="15" t="str">
        <f>"C" &amp; C630 &amp;"-" &amp; B630 &amp; "-" &amp; "26"</f>
        <v>C041-138-26</v>
      </c>
      <c r="E630" s="9" t="s">
        <v>18</v>
      </c>
      <c r="F630" s="9"/>
      <c r="G630" s="70" t="s">
        <v>1330</v>
      </c>
      <c r="H630" s="66" t="s">
        <v>68</v>
      </c>
      <c r="I630" s="165" t="s">
        <v>239</v>
      </c>
      <c r="J630" s="138">
        <v>46072</v>
      </c>
      <c r="K630" s="226"/>
      <c r="L630" s="408">
        <f ca="1">TODAY()-Table2[[#This Row],[CAR initialized date]]</f>
        <v>6</v>
      </c>
      <c r="M630" s="226" t="s">
        <v>1112</v>
      </c>
      <c r="N630" s="226"/>
    </row>
    <row r="631" spans="1:14" ht="30">
      <c r="A631" s="64" t="s">
        <v>453</v>
      </c>
      <c r="B631" s="2">
        <f>VLOOKUP(Table2[[#This Row],[Location 
(drop-down)]],Table14[[Location]:[Location ID]],2,FALSE)</f>
        <v>138</v>
      </c>
      <c r="C631" s="9" t="s">
        <v>410</v>
      </c>
      <c r="D631" s="15" t="str">
        <f>"C" &amp; C631 &amp;"-" &amp; B631 &amp; "-" &amp; "26"</f>
        <v>C042-138-26</v>
      </c>
      <c r="E631" s="9" t="s">
        <v>18</v>
      </c>
      <c r="F631" s="9"/>
      <c r="G631" s="64" t="s">
        <v>1331</v>
      </c>
      <c r="H631" s="66" t="s">
        <v>20</v>
      </c>
      <c r="I631" s="165" t="s">
        <v>239</v>
      </c>
      <c r="J631" s="138">
        <v>46072</v>
      </c>
      <c r="K631" s="226"/>
      <c r="L631" s="408">
        <f ca="1">TODAY()-Table2[[#This Row],[CAR initialized date]]</f>
        <v>6</v>
      </c>
      <c r="M631" s="226" t="s">
        <v>1112</v>
      </c>
      <c r="N631" s="226"/>
    </row>
    <row r="632" spans="1:14" ht="30">
      <c r="A632" s="64" t="s">
        <v>453</v>
      </c>
      <c r="B632" s="2">
        <f>VLOOKUP(Table2[[#This Row],[Location 
(drop-down)]],Table14[[Location]:[Location ID]],2,FALSE)</f>
        <v>138</v>
      </c>
      <c r="C632" s="9" t="s">
        <v>412</v>
      </c>
      <c r="D632" s="15" t="str">
        <f>"C" &amp; C632 &amp;"-" &amp; B632 &amp; "-" &amp; "26"</f>
        <v>C043-138-26</v>
      </c>
      <c r="E632" s="9" t="s">
        <v>18</v>
      </c>
      <c r="F632" s="9"/>
      <c r="G632" s="64" t="s">
        <v>1332</v>
      </c>
      <c r="H632" s="66" t="s">
        <v>201</v>
      </c>
      <c r="I632" s="165" t="s">
        <v>239</v>
      </c>
      <c r="J632" s="138">
        <v>46072</v>
      </c>
      <c r="K632" s="226"/>
      <c r="L632" s="408">
        <f ca="1">TODAY()-Table2[[#This Row],[CAR initialized date]]</f>
        <v>6</v>
      </c>
      <c r="M632" s="226" t="s">
        <v>1112</v>
      </c>
      <c r="N632" s="226"/>
    </row>
    <row r="633" spans="1:14" ht="30">
      <c r="A633" s="64" t="s">
        <v>453</v>
      </c>
      <c r="B633" s="2">
        <f>VLOOKUP(Table2[[#This Row],[Location 
(drop-down)]],Table14[[Location]:[Location ID]],2,FALSE)</f>
        <v>138</v>
      </c>
      <c r="C633" s="9" t="s">
        <v>328</v>
      </c>
      <c r="D633" s="15" t="str">
        <f>"C" &amp; C633 &amp;"-" &amp; B633 &amp; "-" &amp; "26"</f>
        <v>C044-138-26</v>
      </c>
      <c r="E633" s="9" t="s">
        <v>18</v>
      </c>
      <c r="F633" s="9"/>
      <c r="G633" s="64" t="s">
        <v>1333</v>
      </c>
      <c r="H633" s="66" t="s">
        <v>68</v>
      </c>
      <c r="I633" s="165" t="s">
        <v>239</v>
      </c>
      <c r="J633" s="138">
        <v>46072</v>
      </c>
      <c r="K633" s="226"/>
      <c r="L633" s="408">
        <f ca="1">TODAY()-Table2[[#This Row],[CAR initialized date]]</f>
        <v>6</v>
      </c>
      <c r="M633" s="226" t="s">
        <v>1112</v>
      </c>
      <c r="N633" s="226"/>
    </row>
    <row r="634" spans="1:14" ht="18.75">
      <c r="A634" s="227" t="s">
        <v>1334</v>
      </c>
      <c r="B634" s="2">
        <f>VLOOKUP(Table2[[#This Row],[Location 
(drop-down)]],Table14[[Location]:[Location ID]],2,FALSE)</f>
        <v>115</v>
      </c>
      <c r="C634" s="254" t="s">
        <v>1335</v>
      </c>
      <c r="D634" s="379" t="str">
        <f>"C" &amp; C634 &amp;"-" &amp; B634 &amp; "-" &amp; "25"</f>
        <v>C458-115-25</v>
      </c>
      <c r="E634" s="254" t="s">
        <v>18</v>
      </c>
      <c r="F634" s="254"/>
      <c r="G634" s="227" t="s">
        <v>1145</v>
      </c>
      <c r="H634" s="165" t="s">
        <v>20</v>
      </c>
      <c r="I634" s="165" t="s">
        <v>239</v>
      </c>
      <c r="J634" s="289">
        <v>45972</v>
      </c>
      <c r="K634" s="226"/>
      <c r="L634" s="408">
        <f ca="1">TODAY()-Table2[[#This Row],[CAR initialized date]]</f>
        <v>106</v>
      </c>
      <c r="M634" s="226" t="s">
        <v>1112</v>
      </c>
      <c r="N634" s="226"/>
    </row>
    <row r="635" spans="1:14" ht="18.75">
      <c r="A635" s="227" t="s">
        <v>1334</v>
      </c>
      <c r="B635" s="2">
        <f>VLOOKUP(Table2[[#This Row],[Location 
(drop-down)]],Table14[[Location]:[Location ID]],2,FALSE)</f>
        <v>115</v>
      </c>
      <c r="C635" s="254" t="s">
        <v>1336</v>
      </c>
      <c r="D635" s="379" t="str">
        <f>"C" &amp; C635 &amp;"-" &amp; B635 &amp; "-" &amp; "25"</f>
        <v>C459-115-25</v>
      </c>
      <c r="E635" s="254" t="s">
        <v>18</v>
      </c>
      <c r="F635" s="254"/>
      <c r="G635" s="227" t="s">
        <v>1337</v>
      </c>
      <c r="H635" s="165" t="s">
        <v>20</v>
      </c>
      <c r="I635" s="165" t="s">
        <v>239</v>
      </c>
      <c r="J635" s="289">
        <v>45972</v>
      </c>
      <c r="K635" s="226"/>
      <c r="L635" s="408">
        <f ca="1">TODAY()-Table2[[#This Row],[CAR initialized date]]</f>
        <v>106</v>
      </c>
      <c r="M635" s="226" t="s">
        <v>1112</v>
      </c>
      <c r="N635" s="226"/>
    </row>
    <row r="636" spans="1:14" ht="18.75">
      <c r="A636" s="227" t="s">
        <v>1334</v>
      </c>
      <c r="B636" s="2">
        <f>VLOOKUP(Table2[[#This Row],[Location 
(drop-down)]],Table14[[Location]:[Location ID]],2,FALSE)</f>
        <v>115</v>
      </c>
      <c r="C636" s="254" t="s">
        <v>1338</v>
      </c>
      <c r="D636" s="379" t="str">
        <f>"C" &amp; C636 &amp;"-" &amp; B636 &amp; "-" &amp; "25"</f>
        <v>C460-115-25</v>
      </c>
      <c r="E636" s="254" t="s">
        <v>18</v>
      </c>
      <c r="F636" s="254"/>
      <c r="G636" s="227" t="s">
        <v>1339</v>
      </c>
      <c r="H636" s="165" t="s">
        <v>20</v>
      </c>
      <c r="I636" s="165" t="s">
        <v>239</v>
      </c>
      <c r="J636" s="289">
        <v>45972</v>
      </c>
      <c r="K636" s="226"/>
      <c r="L636" s="408">
        <f ca="1">TODAY()-Table2[[#This Row],[CAR initialized date]]</f>
        <v>106</v>
      </c>
      <c r="M636" s="226" t="s">
        <v>1112</v>
      </c>
      <c r="N636" s="226"/>
    </row>
    <row r="637" spans="1:14" ht="18.75">
      <c r="A637" s="227" t="s">
        <v>1334</v>
      </c>
      <c r="B637" s="2">
        <f>VLOOKUP(Table2[[#This Row],[Location 
(drop-down)]],Table14[[Location]:[Location ID]],2,FALSE)</f>
        <v>115</v>
      </c>
      <c r="C637" s="254" t="s">
        <v>1340</v>
      </c>
      <c r="D637" s="379" t="str">
        <f>"C" &amp; C637 &amp;"-" &amp; B637 &amp; "-" &amp; "25"</f>
        <v>C461-115-25</v>
      </c>
      <c r="E637" s="254" t="s">
        <v>18</v>
      </c>
      <c r="F637" s="254"/>
      <c r="G637" s="227" t="s">
        <v>1147</v>
      </c>
      <c r="H637" s="165" t="s">
        <v>20</v>
      </c>
      <c r="I637" s="165" t="s">
        <v>239</v>
      </c>
      <c r="J637" s="289">
        <v>45972</v>
      </c>
      <c r="K637" s="226"/>
      <c r="L637" s="408">
        <f ca="1">TODAY()-Table2[[#This Row],[CAR initialized date]]</f>
        <v>106</v>
      </c>
      <c r="M637" s="226" t="s">
        <v>1112</v>
      </c>
      <c r="N637" s="226"/>
    </row>
    <row r="638" spans="1:14" ht="18.75">
      <c r="A638" s="227" t="s">
        <v>294</v>
      </c>
      <c r="B638" s="2">
        <f>VLOOKUP(Table2[[#This Row],[Location 
(drop-down)]],Table14[[Location]:[Location ID]],2,FALSE)</f>
        <v>155</v>
      </c>
      <c r="C638" s="254" t="s">
        <v>1341</v>
      </c>
      <c r="D638" s="379" t="str">
        <f>"C" &amp; C638 &amp;"-" &amp; B638 &amp; "-" &amp; "25"</f>
        <v>C069-155-25</v>
      </c>
      <c r="E638" s="254" t="s">
        <v>18</v>
      </c>
      <c r="F638" s="165"/>
      <c r="G638" s="227" t="s">
        <v>1342</v>
      </c>
      <c r="H638" s="165" t="s">
        <v>20</v>
      </c>
      <c r="I638" s="165" t="s">
        <v>21</v>
      </c>
      <c r="J638" s="289">
        <v>45706</v>
      </c>
      <c r="K638" s="226"/>
      <c r="L638" s="408">
        <f ca="1">TODAY()-Table2[[#This Row],[CAR initialized date]]</f>
        <v>372</v>
      </c>
      <c r="M638" s="226" t="s">
        <v>1112</v>
      </c>
      <c r="N638" s="226"/>
    </row>
    <row r="639" spans="1:14" ht="18.75">
      <c r="A639" s="227" t="s">
        <v>294</v>
      </c>
      <c r="B639" s="2">
        <f>VLOOKUP(Table2[[#This Row],[Location 
(drop-down)]],Table14[[Location]:[Location ID]],2,FALSE)</f>
        <v>155</v>
      </c>
      <c r="C639" s="254" t="s">
        <v>1343</v>
      </c>
      <c r="D639" s="379" t="str">
        <f>"C" &amp; C639 &amp;"-" &amp; B639 &amp; "-" &amp; "25"</f>
        <v>C078-155-25</v>
      </c>
      <c r="E639" s="254" t="s">
        <v>18</v>
      </c>
      <c r="F639" s="254"/>
      <c r="G639" s="240" t="s">
        <v>1344</v>
      </c>
      <c r="H639" s="165" t="s">
        <v>20</v>
      </c>
      <c r="I639" s="165" t="s">
        <v>21</v>
      </c>
      <c r="J639" s="230">
        <v>45706</v>
      </c>
      <c r="K639" s="226"/>
      <c r="L639" s="408">
        <f ca="1">TODAY()-Table2[[#This Row],[CAR initialized date]]</f>
        <v>372</v>
      </c>
      <c r="M639" s="226" t="s">
        <v>1112</v>
      </c>
      <c r="N639" s="226"/>
    </row>
    <row r="640" spans="1:14" ht="18.75">
      <c r="A640" s="227" t="s">
        <v>1082</v>
      </c>
      <c r="B640" s="2">
        <f>VLOOKUP(Table2[[#This Row],[Location 
(drop-down)]],Table14[[Location]:[Location ID]],2,FALSE)</f>
        <v>159</v>
      </c>
      <c r="C640" s="254" t="s">
        <v>739</v>
      </c>
      <c r="D640" s="379" t="str">
        <f>"C" &amp; C640 &amp;"-" &amp; B640 &amp; "-" &amp; "25"</f>
        <v>C397-159-25</v>
      </c>
      <c r="E640" s="254" t="s">
        <v>18</v>
      </c>
      <c r="F640" s="254"/>
      <c r="G640" s="227" t="s">
        <v>1345</v>
      </c>
      <c r="H640" s="165" t="s">
        <v>201</v>
      </c>
      <c r="I640" s="165" t="s">
        <v>69</v>
      </c>
      <c r="J640" s="289">
        <v>45919</v>
      </c>
      <c r="K640" s="226"/>
      <c r="L640" s="408">
        <f ca="1">TODAY()-Table2[[#This Row],[CAR initialized date]]</f>
        <v>159</v>
      </c>
      <c r="M640" s="226" t="s">
        <v>1112</v>
      </c>
      <c r="N640" s="226"/>
    </row>
    <row r="641" spans="1:14" ht="18.75">
      <c r="A641" s="227" t="s">
        <v>306</v>
      </c>
      <c r="B641" s="2">
        <f>VLOOKUP(Table2[[#This Row],[Location 
(drop-down)]],Table14[[Location]:[Location ID]],2,FALSE)</f>
        <v>147</v>
      </c>
      <c r="C641" s="254" t="s">
        <v>898</v>
      </c>
      <c r="D641" s="379" t="str">
        <f>"C" &amp; C641 &amp;"-" &amp; B641 &amp; "-" &amp; "25"</f>
        <v>C391-147-25</v>
      </c>
      <c r="E641" s="254" t="s">
        <v>18</v>
      </c>
      <c r="F641" s="254"/>
      <c r="G641" s="227" t="s">
        <v>1346</v>
      </c>
      <c r="H641" s="165" t="s">
        <v>68</v>
      </c>
      <c r="I641" s="165" t="s">
        <v>1347</v>
      </c>
      <c r="J641" s="289">
        <v>45922</v>
      </c>
      <c r="K641" s="226"/>
      <c r="L641" s="408">
        <f ca="1">TODAY()-Table2[[#This Row],[CAR initialized date]]</f>
        <v>156</v>
      </c>
      <c r="M641" s="226" t="s">
        <v>1112</v>
      </c>
      <c r="N641" s="226"/>
    </row>
    <row r="642" spans="1:14" ht="18.75">
      <c r="A642" s="227" t="s">
        <v>306</v>
      </c>
      <c r="B642" s="2">
        <f>VLOOKUP(Table2[[#This Row],[Location 
(drop-down)]],Table14[[Location]:[Location ID]],2,FALSE)</f>
        <v>147</v>
      </c>
      <c r="C642" s="254" t="s">
        <v>1348</v>
      </c>
      <c r="D642" s="379" t="str">
        <f>"C" &amp; C642 &amp;"-" &amp; B642 &amp; "-" &amp; "25"</f>
        <v>C392-147-25</v>
      </c>
      <c r="E642" s="254" t="s">
        <v>18</v>
      </c>
      <c r="F642" s="254"/>
      <c r="G642" s="227" t="s">
        <v>1349</v>
      </c>
      <c r="H642" s="165" t="s">
        <v>68</v>
      </c>
      <c r="I642" s="165" t="s">
        <v>21</v>
      </c>
      <c r="J642" s="289">
        <v>45922</v>
      </c>
      <c r="K642" s="226"/>
      <c r="L642" s="408">
        <f ca="1">TODAY()-Table2[[#This Row],[CAR initialized date]]</f>
        <v>156</v>
      </c>
      <c r="M642" s="226" t="s">
        <v>1112</v>
      </c>
      <c r="N642" s="226"/>
    </row>
    <row r="643" spans="1:14" ht="18.75">
      <c r="A643" s="227" t="s">
        <v>306</v>
      </c>
      <c r="B643" s="2">
        <f>VLOOKUP(Table2[[#This Row],[Location 
(drop-down)]],Table14[[Location]:[Location ID]],2,FALSE)</f>
        <v>147</v>
      </c>
      <c r="C643" s="254" t="s">
        <v>1350</v>
      </c>
      <c r="D643" s="379" t="str">
        <f>"C" &amp; C643 &amp;"-" &amp; B643 &amp; "-" &amp; "25"</f>
        <v>C393-147-25</v>
      </c>
      <c r="E643" s="254" t="s">
        <v>18</v>
      </c>
      <c r="F643" s="254"/>
      <c r="G643" s="227" t="s">
        <v>1351</v>
      </c>
      <c r="H643" s="165" t="s">
        <v>68</v>
      </c>
      <c r="I643" s="165" t="s">
        <v>21</v>
      </c>
      <c r="J643" s="289">
        <v>45922</v>
      </c>
      <c r="K643" s="226"/>
      <c r="L643" s="408">
        <f ca="1">TODAY()-Table2[[#This Row],[CAR initialized date]]</f>
        <v>156</v>
      </c>
      <c r="M643" s="226" t="s">
        <v>1112</v>
      </c>
      <c r="N643" s="226"/>
    </row>
    <row r="644" spans="1:14" ht="18.75">
      <c r="A644" s="227" t="s">
        <v>432</v>
      </c>
      <c r="B644" s="2">
        <f>VLOOKUP(Table2[[#This Row],[Location 
(drop-down)]],Table14[[Location]:[Location ID]],2,FALSE)</f>
        <v>125</v>
      </c>
      <c r="C644" s="254" t="s">
        <v>1352</v>
      </c>
      <c r="D644" s="379" t="str">
        <f>"C" &amp; C644 &amp;"-" &amp; B644 &amp; "-" &amp; "25"</f>
        <v>C138-125-25</v>
      </c>
      <c r="E644" s="254" t="s">
        <v>18</v>
      </c>
      <c r="F644" s="254"/>
      <c r="G644" s="240" t="s">
        <v>1353</v>
      </c>
      <c r="H644" s="165" t="s">
        <v>20</v>
      </c>
      <c r="I644" s="165" t="s">
        <v>47</v>
      </c>
      <c r="J644" s="289">
        <v>45740</v>
      </c>
      <c r="K644" s="226"/>
      <c r="L644" s="408">
        <f ca="1">TODAY()-Table2[[#This Row],[CAR initialized date]]</f>
        <v>338</v>
      </c>
      <c r="M644" s="226" t="s">
        <v>1112</v>
      </c>
      <c r="N644" s="226"/>
    </row>
    <row r="645" spans="1:14" ht="18.75">
      <c r="A645" s="227" t="s">
        <v>399</v>
      </c>
      <c r="B645" s="2">
        <f>VLOOKUP(Table2[[#This Row],[Location 
(drop-down)]],Table14[[Location]:[Location ID]],2,FALSE)</f>
        <v>198</v>
      </c>
      <c r="C645" s="254" t="s">
        <v>1354</v>
      </c>
      <c r="D645" s="379" t="str">
        <f>"C" &amp; C645 &amp;"-" &amp; B645 &amp; "-" &amp; "25"</f>
        <v>C525-198-25</v>
      </c>
      <c r="E645" s="413" t="s">
        <v>18</v>
      </c>
      <c r="F645" s="413"/>
      <c r="G645" s="227" t="s">
        <v>1355</v>
      </c>
      <c r="H645" s="165" t="s">
        <v>20</v>
      </c>
      <c r="I645" s="165" t="s">
        <v>21</v>
      </c>
      <c r="J645" s="289">
        <v>46043</v>
      </c>
      <c r="K645" s="226"/>
      <c r="L645" s="408">
        <f ca="1">TODAY()-Table2[[#This Row],[CAR initialized date]]</f>
        <v>35</v>
      </c>
      <c r="M645" s="226" t="s">
        <v>1112</v>
      </c>
      <c r="N645" s="226"/>
    </row>
    <row r="646" spans="1:14" ht="18.75">
      <c r="A646" s="227" t="s">
        <v>399</v>
      </c>
      <c r="B646" s="2">
        <f>VLOOKUP(Table2[[#This Row],[Location 
(drop-down)]],Table14[[Location]:[Location ID]],2,FALSE)</f>
        <v>198</v>
      </c>
      <c r="C646" s="254" t="s">
        <v>1356</v>
      </c>
      <c r="D646" s="379" t="str">
        <f>"C" &amp; C646 &amp;"-" &amp; B646 &amp; "-" &amp; "25"</f>
        <v>C526-198-25</v>
      </c>
      <c r="E646" s="413" t="s">
        <v>18</v>
      </c>
      <c r="F646" s="413"/>
      <c r="G646" s="227" t="s">
        <v>1357</v>
      </c>
      <c r="H646" s="165" t="s">
        <v>20</v>
      </c>
      <c r="I646" s="165" t="s">
        <v>21</v>
      </c>
      <c r="J646" s="289">
        <v>46043</v>
      </c>
      <c r="K646" s="226"/>
      <c r="L646" s="408">
        <f ca="1">TODAY()-Table2[[#This Row],[CAR initialized date]]</f>
        <v>35</v>
      </c>
      <c r="M646" s="226" t="s">
        <v>1112</v>
      </c>
      <c r="N646" s="226"/>
    </row>
    <row r="647" spans="1:14" ht="18.75">
      <c r="A647" s="227" t="s">
        <v>399</v>
      </c>
      <c r="B647" s="2">
        <f>VLOOKUP(Table2[[#This Row],[Location 
(drop-down)]],Table14[[Location]:[Location ID]],2,FALSE)</f>
        <v>198</v>
      </c>
      <c r="C647" s="254" t="s">
        <v>1358</v>
      </c>
      <c r="D647" s="379" t="str">
        <f>"C" &amp; C647 &amp;"-" &amp; B647 &amp; "-" &amp; "25"</f>
        <v>C527-198-25</v>
      </c>
      <c r="E647" s="413" t="s">
        <v>18</v>
      </c>
      <c r="F647" s="413"/>
      <c r="G647" s="227" t="s">
        <v>1359</v>
      </c>
      <c r="H647" s="165" t="s">
        <v>20</v>
      </c>
      <c r="I647" s="165" t="s">
        <v>21</v>
      </c>
      <c r="J647" s="289">
        <v>46043</v>
      </c>
      <c r="K647" s="226"/>
      <c r="L647" s="408">
        <f ca="1">TODAY()-Table2[[#This Row],[CAR initialized date]]</f>
        <v>35</v>
      </c>
      <c r="M647" s="226" t="s">
        <v>1112</v>
      </c>
      <c r="N647" s="226"/>
    </row>
    <row r="648" spans="1:14" ht="18.75">
      <c r="A648" s="227" t="s">
        <v>39</v>
      </c>
      <c r="B648" s="2">
        <f>VLOOKUP(Table2[[#This Row],[Location 
(drop-down)]],Table14[[Location]:[Location ID]],2,FALSE)</f>
        <v>120</v>
      </c>
      <c r="C648" s="254" t="s">
        <v>622</v>
      </c>
      <c r="D648" s="379" t="str">
        <f>"C" &amp; C648 &amp;"-" &amp; B648 &amp; "-" &amp; "25"</f>
        <v>C283-120-25</v>
      </c>
      <c r="E648" s="254" t="s">
        <v>18</v>
      </c>
      <c r="F648" s="254"/>
      <c r="G648" s="227" t="s">
        <v>870</v>
      </c>
      <c r="H648" s="165" t="s">
        <v>68</v>
      </c>
      <c r="I648" s="165" t="s">
        <v>21</v>
      </c>
      <c r="J648" s="289">
        <v>45833</v>
      </c>
      <c r="K648" s="226"/>
      <c r="L648" s="408">
        <f ca="1">TODAY()-Table2[[#This Row],[CAR initialized date]]</f>
        <v>245</v>
      </c>
      <c r="M648" s="226" t="s">
        <v>1112</v>
      </c>
      <c r="N648" s="226"/>
    </row>
    <row r="649" spans="1:14" ht="18.75">
      <c r="A649" s="227" t="s">
        <v>39</v>
      </c>
      <c r="B649" s="2">
        <f>VLOOKUP(Table2[[#This Row],[Location 
(drop-down)]],Table14[[Location]:[Location ID]],2,FALSE)</f>
        <v>120</v>
      </c>
      <c r="C649" s="254" t="s">
        <v>1360</v>
      </c>
      <c r="D649" s="379" t="str">
        <f>"C" &amp; C649 &amp;"-" &amp; B649 &amp; "-" &amp; "25"</f>
        <v>C288-120-25</v>
      </c>
      <c r="E649" s="254" t="s">
        <v>18</v>
      </c>
      <c r="F649" s="254"/>
      <c r="G649" s="227" t="s">
        <v>1361</v>
      </c>
      <c r="H649" s="165" t="s">
        <v>20</v>
      </c>
      <c r="I649" s="165" t="s">
        <v>239</v>
      </c>
      <c r="J649" s="289">
        <v>45833</v>
      </c>
      <c r="K649" s="226"/>
      <c r="L649" s="408">
        <f ca="1">TODAY()-Table2[[#This Row],[CAR initialized date]]</f>
        <v>245</v>
      </c>
      <c r="M649" s="226" t="s">
        <v>1112</v>
      </c>
      <c r="N649" s="226"/>
    </row>
    <row r="650" spans="1:14" ht="18.75">
      <c r="A650" s="227" t="s">
        <v>39</v>
      </c>
      <c r="B650" s="2">
        <f>VLOOKUP(Table2[[#This Row],[Location 
(drop-down)]],Table14[[Location]:[Location ID]],2,FALSE)</f>
        <v>120</v>
      </c>
      <c r="C650" s="254" t="s">
        <v>1362</v>
      </c>
      <c r="D650" s="379" t="str">
        <f>"C" &amp; C650 &amp;"-" &amp; B650 &amp; "-" &amp; "25"</f>
        <v>C290-120-25</v>
      </c>
      <c r="E650" s="254" t="s">
        <v>18</v>
      </c>
      <c r="F650" s="254"/>
      <c r="G650" s="227" t="s">
        <v>842</v>
      </c>
      <c r="H650" s="165" t="s">
        <v>20</v>
      </c>
      <c r="I650" s="165" t="s">
        <v>239</v>
      </c>
      <c r="J650" s="289">
        <v>45833</v>
      </c>
      <c r="K650" s="226"/>
      <c r="L650" s="408">
        <f ca="1">TODAY()-Table2[[#This Row],[CAR initialized date]]</f>
        <v>245</v>
      </c>
      <c r="M650" s="226" t="s">
        <v>1112</v>
      </c>
      <c r="N650" s="226"/>
    </row>
    <row r="651" spans="1:14" ht="18.75">
      <c r="A651" s="227" t="s">
        <v>39</v>
      </c>
      <c r="B651" s="2">
        <f>VLOOKUP(Table2[[#This Row],[Location 
(drop-down)]],Table14[[Location]:[Location ID]],2,FALSE)</f>
        <v>120</v>
      </c>
      <c r="C651" s="254" t="s">
        <v>1363</v>
      </c>
      <c r="D651" s="379" t="str">
        <f>"C" &amp; C651 &amp;"-" &amp; B651 &amp; "-" &amp; "25"</f>
        <v>C291-120-25</v>
      </c>
      <c r="E651" s="254" t="s">
        <v>18</v>
      </c>
      <c r="F651" s="254"/>
      <c r="G651" s="227" t="s">
        <v>614</v>
      </c>
      <c r="H651" s="165" t="s">
        <v>20</v>
      </c>
      <c r="I651" s="165" t="s">
        <v>239</v>
      </c>
      <c r="J651" s="289">
        <v>45833</v>
      </c>
      <c r="K651" s="226"/>
      <c r="L651" s="408">
        <f ca="1">TODAY()-Table2[[#This Row],[CAR initialized date]]</f>
        <v>245</v>
      </c>
      <c r="M651" s="226" t="s">
        <v>1112</v>
      </c>
      <c r="N651" s="226"/>
    </row>
    <row r="652" spans="1:14" ht="18.75">
      <c r="A652" s="227" t="s">
        <v>1037</v>
      </c>
      <c r="B652" s="2" t="str">
        <f>VLOOKUP(Table2[[#This Row],[Location 
(drop-down)]],Table14[[Location]:[Location ID]],2,FALSE)</f>
        <v>120W</v>
      </c>
      <c r="C652" s="254" t="s">
        <v>51</v>
      </c>
      <c r="D652" s="379" t="str">
        <f>"C" &amp; C652 &amp;"-" &amp; B652 &amp; "-" &amp; "25"</f>
        <v>C370-120W-25</v>
      </c>
      <c r="E652" s="254" t="s">
        <v>18</v>
      </c>
      <c r="F652" s="254"/>
      <c r="G652" s="227" t="s">
        <v>1364</v>
      </c>
      <c r="H652" s="165" t="s">
        <v>20</v>
      </c>
      <c r="I652" s="165" t="s">
        <v>239</v>
      </c>
      <c r="J652" s="289">
        <v>45888</v>
      </c>
      <c r="K652" s="226"/>
      <c r="L652" s="408">
        <f ca="1">TODAY()-Table2[[#This Row],[CAR initialized date]]</f>
        <v>190</v>
      </c>
      <c r="M652" s="226" t="s">
        <v>1112</v>
      </c>
      <c r="N652" s="226"/>
    </row>
    <row r="653" spans="1:14" ht="18.75">
      <c r="A653" s="227" t="s">
        <v>1037</v>
      </c>
      <c r="B653" s="2" t="str">
        <f>VLOOKUP(Table2[[#This Row],[Location 
(drop-down)]],Table14[[Location]:[Location ID]],2,FALSE)</f>
        <v>120W</v>
      </c>
      <c r="C653" s="254" t="s">
        <v>948</v>
      </c>
      <c r="D653" s="379" t="str">
        <f>"C" &amp; C653 &amp;"-" &amp; B653 &amp; "-" &amp; "25"</f>
        <v>C371-120W-25</v>
      </c>
      <c r="E653" s="254" t="s">
        <v>18</v>
      </c>
      <c r="F653" s="254"/>
      <c r="G653" s="284" t="s">
        <v>1365</v>
      </c>
      <c r="H653" s="165" t="s">
        <v>20</v>
      </c>
      <c r="I653" s="165" t="s">
        <v>239</v>
      </c>
      <c r="J653" s="289">
        <v>45888</v>
      </c>
      <c r="K653" s="226"/>
      <c r="L653" s="408">
        <f ca="1">TODAY()-Table2[[#This Row],[CAR initialized date]]</f>
        <v>190</v>
      </c>
      <c r="M653" s="226" t="s">
        <v>1112</v>
      </c>
      <c r="N653" s="226"/>
    </row>
    <row r="654" spans="1:14" ht="18.75">
      <c r="A654" s="227" t="s">
        <v>1037</v>
      </c>
      <c r="B654" s="2" t="str">
        <f>VLOOKUP(Table2[[#This Row],[Location 
(drop-down)]],Table14[[Location]:[Location ID]],2,FALSE)</f>
        <v>120W</v>
      </c>
      <c r="C654" s="254" t="s">
        <v>1366</v>
      </c>
      <c r="D654" s="379" t="str">
        <f>"C" &amp; C654 &amp;"-" &amp; B654 &amp; "-" &amp; "25"</f>
        <v>C372-120W-25</v>
      </c>
      <c r="E654" s="254" t="s">
        <v>18</v>
      </c>
      <c r="F654" s="254"/>
      <c r="G654" s="227" t="s">
        <v>1367</v>
      </c>
      <c r="H654" s="165" t="s">
        <v>20</v>
      </c>
      <c r="I654" s="165" t="s">
        <v>239</v>
      </c>
      <c r="J654" s="289">
        <v>45888</v>
      </c>
      <c r="K654" s="226"/>
      <c r="L654" s="408">
        <f ca="1">TODAY()-Table2[[#This Row],[CAR initialized date]]</f>
        <v>190</v>
      </c>
      <c r="M654" s="226" t="s">
        <v>1112</v>
      </c>
      <c r="N654" s="226"/>
    </row>
    <row r="655" spans="1:14" ht="18.75">
      <c r="A655" s="227" t="s">
        <v>1037</v>
      </c>
      <c r="B655" s="2" t="str">
        <f>VLOOKUP(Table2[[#This Row],[Location 
(drop-down)]],Table14[[Location]:[Location ID]],2,FALSE)</f>
        <v>120W</v>
      </c>
      <c r="C655" s="254" t="s">
        <v>821</v>
      </c>
      <c r="D655" s="379" t="str">
        <f>"C" &amp; C655 &amp;"-" &amp; B655 &amp; "-" &amp; "25"</f>
        <v>C373-120W-25</v>
      </c>
      <c r="E655" s="254" t="s">
        <v>18</v>
      </c>
      <c r="F655" s="254"/>
      <c r="G655" s="227" t="s">
        <v>1368</v>
      </c>
      <c r="H655" s="165" t="s">
        <v>20</v>
      </c>
      <c r="I655" s="165" t="s">
        <v>239</v>
      </c>
      <c r="J655" s="289">
        <v>45888</v>
      </c>
      <c r="K655" s="226"/>
      <c r="L655" s="408">
        <f ca="1">TODAY()-Table2[[#This Row],[CAR initialized date]]</f>
        <v>190</v>
      </c>
      <c r="M655" s="226" t="s">
        <v>1112</v>
      </c>
      <c r="N655" s="226"/>
    </row>
    <row r="656" spans="1:14" ht="18.75">
      <c r="A656" s="227" t="s">
        <v>566</v>
      </c>
      <c r="B656" s="2">
        <f>VLOOKUP(Table2[[#This Row],[Location 
(drop-down)]],Table14[[Location]:[Location ID]],2,FALSE)</f>
        <v>133</v>
      </c>
      <c r="C656" s="254" t="s">
        <v>1369</v>
      </c>
      <c r="D656" s="379" t="str">
        <f>"C" &amp; C656 &amp;"-" &amp; B656 &amp; "-" &amp; "25"</f>
        <v>C340-133-25</v>
      </c>
      <c r="E656" s="254" t="s">
        <v>18</v>
      </c>
      <c r="F656" s="254"/>
      <c r="G656" s="227" t="s">
        <v>1370</v>
      </c>
      <c r="H656" s="165" t="s">
        <v>20</v>
      </c>
      <c r="I656" s="165" t="s">
        <v>690</v>
      </c>
      <c r="J656" s="289">
        <v>45876</v>
      </c>
      <c r="K656" s="226"/>
      <c r="L656" s="408">
        <f ca="1">TODAY()-Table2[[#This Row],[CAR initialized date]]</f>
        <v>202</v>
      </c>
      <c r="M656" s="226" t="s">
        <v>1112</v>
      </c>
      <c r="N656" s="226"/>
    </row>
    <row r="657" spans="1:14" ht="18.75">
      <c r="A657" s="227" t="s">
        <v>566</v>
      </c>
      <c r="B657" s="2">
        <f>VLOOKUP(Table2[[#This Row],[Location 
(drop-down)]],Table14[[Location]:[Location ID]],2,FALSE)</f>
        <v>133</v>
      </c>
      <c r="C657" s="254" t="s">
        <v>1371</v>
      </c>
      <c r="D657" s="379" t="str">
        <f>"C" &amp; C657 &amp;"-" &amp; B657 &amp; "-" &amp; "25"</f>
        <v>C341-133-25</v>
      </c>
      <c r="E657" s="254" t="s">
        <v>18</v>
      </c>
      <c r="F657" s="254"/>
      <c r="G657" s="227" t="s">
        <v>1372</v>
      </c>
      <c r="H657" s="165" t="s">
        <v>20</v>
      </c>
      <c r="I657" s="165" t="s">
        <v>690</v>
      </c>
      <c r="J657" s="289">
        <v>45876</v>
      </c>
      <c r="K657" s="226"/>
      <c r="L657" s="408">
        <f ca="1">TODAY()-Table2[[#This Row],[CAR initialized date]]</f>
        <v>202</v>
      </c>
      <c r="M657" s="226" t="s">
        <v>1112</v>
      </c>
      <c r="N657" s="226"/>
    </row>
    <row r="658" spans="1:14" ht="18.75">
      <c r="A658" s="227" t="s">
        <v>125</v>
      </c>
      <c r="B658" s="2">
        <f>VLOOKUP(Table2[[#This Row],[Location 
(drop-down)]],Table14[[Location]:[Location ID]],2,FALSE)</f>
        <v>130</v>
      </c>
      <c r="C658" s="254" t="s">
        <v>1373</v>
      </c>
      <c r="D658" s="379" t="str">
        <f>"C" &amp; C658 &amp;"-" &amp; B658 &amp; "-" &amp; "25"</f>
        <v>C208-130-25</v>
      </c>
      <c r="E658" s="254" t="s">
        <v>18</v>
      </c>
      <c r="F658" s="254"/>
      <c r="G658" s="227" t="s">
        <v>351</v>
      </c>
      <c r="H658" s="165" t="s">
        <v>68</v>
      </c>
      <c r="I658" s="165" t="s">
        <v>239</v>
      </c>
      <c r="J658" s="276">
        <v>45786</v>
      </c>
      <c r="K658" s="226"/>
      <c r="L658" s="408">
        <f ca="1">TODAY()-Table2[[#This Row],[CAR initialized date]]</f>
        <v>292</v>
      </c>
      <c r="M658" s="226" t="s">
        <v>1112</v>
      </c>
      <c r="N658" s="226"/>
    </row>
    <row r="659" spans="1:14" ht="18.75">
      <c r="A659" s="227" t="s">
        <v>125</v>
      </c>
      <c r="B659" s="2">
        <f>VLOOKUP(Table2[[#This Row],[Location 
(drop-down)]],Table14[[Location]:[Location ID]],2,FALSE)</f>
        <v>130</v>
      </c>
      <c r="C659" s="254" t="s">
        <v>1374</v>
      </c>
      <c r="D659" s="379" t="str">
        <f>"C" &amp; C659 &amp;"-" &amp; B659 &amp; "-" &amp; "25"</f>
        <v>C209-130-25</v>
      </c>
      <c r="E659" s="254" t="s">
        <v>18</v>
      </c>
      <c r="F659" s="254"/>
      <c r="G659" s="227" t="s">
        <v>892</v>
      </c>
      <c r="H659" s="165" t="s">
        <v>68</v>
      </c>
      <c r="I659" s="165" t="s">
        <v>239</v>
      </c>
      <c r="J659" s="276">
        <v>45786</v>
      </c>
      <c r="K659" s="226"/>
      <c r="L659" s="408">
        <f ca="1">TODAY()-Table2[[#This Row],[CAR initialized date]]</f>
        <v>292</v>
      </c>
      <c r="M659" s="226" t="s">
        <v>1112</v>
      </c>
      <c r="N659" s="226"/>
    </row>
    <row r="660" spans="1:14" ht="90">
      <c r="A660" s="64" t="s">
        <v>125</v>
      </c>
      <c r="B660" s="2">
        <f>VLOOKUP(Table2[[#This Row],[Location 
(drop-down)]],Table14[[Location]:[Location ID]],2,FALSE)</f>
        <v>130</v>
      </c>
      <c r="C660" s="9" t="s">
        <v>375</v>
      </c>
      <c r="D660" s="15" t="str">
        <f>"C" &amp; C660 &amp;"-" &amp; B660 &amp; "-" &amp; "26"</f>
        <v>C024-130-26</v>
      </c>
      <c r="E660" s="9" t="s">
        <v>86</v>
      </c>
      <c r="F660" s="9" t="s">
        <v>523</v>
      </c>
      <c r="G660" s="64" t="s">
        <v>1375</v>
      </c>
      <c r="H660" s="66" t="s">
        <v>20</v>
      </c>
      <c r="I660" s="165" t="s">
        <v>111</v>
      </c>
      <c r="J660" s="24">
        <v>46057</v>
      </c>
      <c r="K660" s="226"/>
      <c r="L660" s="408">
        <f ca="1">TODAY()-Table2[[#This Row],[CAR initialized date]]</f>
        <v>21</v>
      </c>
      <c r="M660" s="226" t="s">
        <v>1112</v>
      </c>
      <c r="N660" s="226"/>
    </row>
    <row r="661" spans="1:14" ht="90">
      <c r="A661" s="64" t="s">
        <v>125</v>
      </c>
      <c r="B661" s="2">
        <f>VLOOKUP(Table2[[#This Row],[Location 
(drop-down)]],Table14[[Location]:[Location ID]],2,FALSE)</f>
        <v>130</v>
      </c>
      <c r="C661" s="9" t="s">
        <v>377</v>
      </c>
      <c r="D661" s="15" t="str">
        <f>"C" &amp; C661 &amp;"-" &amp; B661 &amp; "-" &amp; "26"</f>
        <v>C025-130-26</v>
      </c>
      <c r="E661" s="9" t="s">
        <v>86</v>
      </c>
      <c r="F661" s="9" t="s">
        <v>523</v>
      </c>
      <c r="G661" s="64" t="s">
        <v>1376</v>
      </c>
      <c r="H661" s="11" t="s">
        <v>20</v>
      </c>
      <c r="I661" s="165" t="s">
        <v>111</v>
      </c>
      <c r="J661" s="24">
        <v>46057</v>
      </c>
      <c r="K661" s="226"/>
      <c r="L661" s="408">
        <f ca="1">TODAY()-Table2[[#This Row],[CAR initialized date]]</f>
        <v>21</v>
      </c>
      <c r="M661" s="226" t="s">
        <v>1112</v>
      </c>
      <c r="N661" s="226"/>
    </row>
    <row r="662" spans="1:14" ht="90">
      <c r="A662" s="64" t="s">
        <v>125</v>
      </c>
      <c r="B662" s="2">
        <f>VLOOKUP(Table2[[#This Row],[Location 
(drop-down)]],Table14[[Location]:[Location ID]],2,FALSE)</f>
        <v>130</v>
      </c>
      <c r="C662" s="9" t="s">
        <v>54</v>
      </c>
      <c r="D662" s="15" t="str">
        <f>"C" &amp; C662 &amp;"-" &amp; B662 &amp; "-" &amp; "26"</f>
        <v>C026-130-26</v>
      </c>
      <c r="E662" s="9" t="s">
        <v>86</v>
      </c>
      <c r="F662" s="9" t="s">
        <v>523</v>
      </c>
      <c r="G662" s="64" t="s">
        <v>1377</v>
      </c>
      <c r="H662" s="66" t="s">
        <v>20</v>
      </c>
      <c r="I662" s="165" t="s">
        <v>111</v>
      </c>
      <c r="J662" s="24">
        <v>46057</v>
      </c>
      <c r="K662" s="226"/>
      <c r="L662" s="408">
        <f ca="1">TODAY()-Table2[[#This Row],[CAR initialized date]]</f>
        <v>21</v>
      </c>
      <c r="M662" s="226" t="s">
        <v>1112</v>
      </c>
      <c r="N662" s="226"/>
    </row>
    <row r="663" spans="1:14" ht="45">
      <c r="A663" s="64" t="s">
        <v>125</v>
      </c>
      <c r="B663" s="2">
        <f>VLOOKUP(Table2[[#This Row],[Location 
(drop-down)]],Table14[[Location]:[Location ID]],2,FALSE)</f>
        <v>130</v>
      </c>
      <c r="C663" s="9" t="s">
        <v>237</v>
      </c>
      <c r="D663" s="15" t="str">
        <f>"C" &amp; C663 &amp;"-" &amp; B663 &amp; "-" &amp; "26"</f>
        <v>C027-130-26</v>
      </c>
      <c r="E663" s="9" t="s">
        <v>86</v>
      </c>
      <c r="F663" s="9" t="s">
        <v>523</v>
      </c>
      <c r="G663" s="64" t="s">
        <v>1378</v>
      </c>
      <c r="H663" s="66" t="s">
        <v>20</v>
      </c>
      <c r="I663" s="165" t="s">
        <v>111</v>
      </c>
      <c r="J663" s="24">
        <v>46057</v>
      </c>
      <c r="K663" s="226"/>
      <c r="L663" s="408">
        <f ca="1">TODAY()-Table2[[#This Row],[CAR initialized date]]</f>
        <v>21</v>
      </c>
      <c r="M663" s="226" t="s">
        <v>1112</v>
      </c>
      <c r="N663" s="226"/>
    </row>
    <row r="664" spans="1:14" ht="45">
      <c r="A664" s="64" t="s">
        <v>125</v>
      </c>
      <c r="B664" s="2">
        <f>VLOOKUP(Table2[[#This Row],[Location 
(drop-down)]],Table14[[Location]:[Location ID]],2,FALSE)</f>
        <v>130</v>
      </c>
      <c r="C664" s="9" t="s">
        <v>428</v>
      </c>
      <c r="D664" s="15" t="str">
        <f>"C" &amp; C664 &amp;"-" &amp; B664 &amp; "-" &amp; "26"</f>
        <v>C028-130-26</v>
      </c>
      <c r="E664" s="9" t="s">
        <v>86</v>
      </c>
      <c r="F664" s="9" t="s">
        <v>523</v>
      </c>
      <c r="G664" s="64" t="s">
        <v>1379</v>
      </c>
      <c r="H664" s="66" t="s">
        <v>20</v>
      </c>
      <c r="I664" s="165" t="s">
        <v>111</v>
      </c>
      <c r="J664" s="24">
        <v>46057</v>
      </c>
      <c r="K664" s="226"/>
      <c r="L664" s="408">
        <f ca="1">TODAY()-Table2[[#This Row],[CAR initialized date]]</f>
        <v>21</v>
      </c>
      <c r="M664" s="226" t="s">
        <v>1112</v>
      </c>
      <c r="N664" s="226"/>
    </row>
    <row r="665" spans="1:14" ht="45">
      <c r="A665" s="64" t="s">
        <v>125</v>
      </c>
      <c r="B665" s="2">
        <f>VLOOKUP(Table2[[#This Row],[Location 
(drop-down)]],Table14[[Location]:[Location ID]],2,FALSE)</f>
        <v>130</v>
      </c>
      <c r="C665" s="9" t="s">
        <v>638</v>
      </c>
      <c r="D665" s="15" t="str">
        <f>"C" &amp; C665 &amp;"-" &amp; B665 &amp; "-" &amp; "26"</f>
        <v>C029-130-26</v>
      </c>
      <c r="E665" s="9" t="s">
        <v>86</v>
      </c>
      <c r="F665" s="9" t="s">
        <v>523</v>
      </c>
      <c r="G665" s="64" t="s">
        <v>1380</v>
      </c>
      <c r="H665" s="66" t="s">
        <v>20</v>
      </c>
      <c r="I665" s="165" t="s">
        <v>111</v>
      </c>
      <c r="J665" s="24">
        <v>46057</v>
      </c>
      <c r="K665" s="226"/>
      <c r="L665" s="408">
        <f ca="1">TODAY()-Table2[[#This Row],[CAR initialized date]]</f>
        <v>21</v>
      </c>
      <c r="M665" s="226" t="s">
        <v>1112</v>
      </c>
      <c r="N665" s="226"/>
    </row>
    <row r="666" spans="1:14" ht="45">
      <c r="A666" s="64" t="s">
        <v>125</v>
      </c>
      <c r="B666" s="2">
        <f>VLOOKUP(Table2[[#This Row],[Location 
(drop-down)]],Table14[[Location]:[Location ID]],2,FALSE)</f>
        <v>130</v>
      </c>
      <c r="C666" s="9" t="s">
        <v>607</v>
      </c>
      <c r="D666" s="15" t="str">
        <f>"C" &amp; C666 &amp;"-" &amp; B666 &amp; "-" &amp; "26"</f>
        <v>C030-130-26</v>
      </c>
      <c r="E666" s="9" t="s">
        <v>86</v>
      </c>
      <c r="F666" s="9" t="s">
        <v>523</v>
      </c>
      <c r="G666" s="26" t="s">
        <v>1381</v>
      </c>
      <c r="H666" s="66" t="s">
        <v>20</v>
      </c>
      <c r="I666" s="165" t="s">
        <v>111</v>
      </c>
      <c r="J666" s="24">
        <v>46057</v>
      </c>
      <c r="K666" s="226"/>
      <c r="L666" s="408">
        <f ca="1">TODAY()-Table2[[#This Row],[CAR initialized date]]</f>
        <v>21</v>
      </c>
      <c r="M666" s="226" t="s">
        <v>1112</v>
      </c>
      <c r="N666" s="226"/>
    </row>
    <row r="667" spans="1:14" ht="45">
      <c r="A667" s="64" t="s">
        <v>125</v>
      </c>
      <c r="B667" s="2">
        <f>VLOOKUP(Table2[[#This Row],[Location 
(drop-down)]],Table14[[Location]:[Location ID]],2,FALSE)</f>
        <v>130</v>
      </c>
      <c r="C667" s="9" t="s">
        <v>506</v>
      </c>
      <c r="D667" s="15" t="str">
        <f>"C" &amp; C667 &amp;"-" &amp; B667 &amp; "-" &amp; "26"</f>
        <v>C036-130-26</v>
      </c>
      <c r="E667" s="9" t="s">
        <v>81</v>
      </c>
      <c r="F667" s="9" t="s">
        <v>490</v>
      </c>
      <c r="G667" s="64" t="s">
        <v>1382</v>
      </c>
      <c r="H667" s="66" t="s">
        <v>201</v>
      </c>
      <c r="I667" s="165" t="s">
        <v>111</v>
      </c>
      <c r="J667" s="138">
        <v>46062</v>
      </c>
      <c r="K667" s="226"/>
      <c r="L667" s="408">
        <f ca="1">TODAY()-Table2[[#This Row],[CAR initialized date]]</f>
        <v>16</v>
      </c>
      <c r="M667" s="226" t="s">
        <v>1112</v>
      </c>
      <c r="N667" s="420"/>
    </row>
    <row r="668" spans="1:14" ht="18.75">
      <c r="A668" s="227" t="s">
        <v>135</v>
      </c>
      <c r="B668" s="2">
        <f>VLOOKUP(Table2[[#This Row],[Location 
(drop-down)]],Table14[[Location]:[Location ID]],2,FALSE)</f>
        <v>179</v>
      </c>
      <c r="C668" s="254" t="s">
        <v>48</v>
      </c>
      <c r="D668" s="379" t="str">
        <f>"C" &amp; C668 &amp;"-" &amp; B668 &amp; "-" &amp; "25"</f>
        <v>C510-179-25</v>
      </c>
      <c r="E668" s="254" t="s">
        <v>18</v>
      </c>
      <c r="F668" s="413"/>
      <c r="G668" s="227" t="s">
        <v>1383</v>
      </c>
      <c r="H668" s="165" t="s">
        <v>20</v>
      </c>
      <c r="I668" s="165" t="s">
        <v>69</v>
      </c>
      <c r="J668" s="289">
        <v>46037</v>
      </c>
      <c r="K668" s="226"/>
      <c r="L668" s="408">
        <f ca="1">TODAY()-Table2[[#This Row],[CAR initialized date]]</f>
        <v>41</v>
      </c>
      <c r="M668" s="226" t="s">
        <v>1112</v>
      </c>
      <c r="N668" s="226"/>
    </row>
    <row r="669" spans="1:14" ht="18.75">
      <c r="A669" s="227" t="s">
        <v>135</v>
      </c>
      <c r="B669" s="2">
        <f>VLOOKUP(Table2[[#This Row],[Location 
(drop-down)]],Table14[[Location]:[Location ID]],2,FALSE)</f>
        <v>179</v>
      </c>
      <c r="C669" s="254" t="s">
        <v>77</v>
      </c>
      <c r="D669" s="379" t="str">
        <f>"C" &amp; C669 &amp;"-" &amp; B669 &amp; "-" &amp; "25"</f>
        <v>C511-179-25</v>
      </c>
      <c r="E669" s="254" t="s">
        <v>18</v>
      </c>
      <c r="F669" s="413"/>
      <c r="G669" s="227" t="s">
        <v>1328</v>
      </c>
      <c r="H669" s="165" t="s">
        <v>201</v>
      </c>
      <c r="I669" s="165" t="s">
        <v>69</v>
      </c>
      <c r="J669" s="289">
        <v>46037</v>
      </c>
      <c r="K669" s="226"/>
      <c r="L669" s="408">
        <f ca="1">TODAY()-Table2[[#This Row],[CAR initialized date]]</f>
        <v>41</v>
      </c>
      <c r="M669" s="226" t="s">
        <v>1112</v>
      </c>
      <c r="N669" s="226"/>
    </row>
    <row r="670" spans="1:14" ht="18.75">
      <c r="A670" s="227" t="s">
        <v>135</v>
      </c>
      <c r="B670" s="2">
        <f>VLOOKUP(Table2[[#This Row],[Location 
(drop-down)]],Table14[[Location]:[Location ID]],2,FALSE)</f>
        <v>179</v>
      </c>
      <c r="C670" s="254" t="s">
        <v>271</v>
      </c>
      <c r="D670" s="379" t="str">
        <f>"C" &amp; C670 &amp;"-" &amp; B670 &amp; "-" &amp; "25"</f>
        <v>C516-179-25</v>
      </c>
      <c r="E670" s="413" t="s">
        <v>18</v>
      </c>
      <c r="F670" s="413"/>
      <c r="G670" s="227" t="s">
        <v>1384</v>
      </c>
      <c r="H670" s="165" t="s">
        <v>20</v>
      </c>
      <c r="I670" s="165" t="s">
        <v>69</v>
      </c>
      <c r="J670" s="289">
        <v>46037</v>
      </c>
      <c r="K670" s="226"/>
      <c r="L670" s="408">
        <f ca="1">TODAY()-Table2[[#This Row],[CAR initialized date]]</f>
        <v>41</v>
      </c>
      <c r="M670" s="226" t="s">
        <v>1112</v>
      </c>
      <c r="N670" s="226"/>
    </row>
    <row r="671" spans="1:14" ht="18.75">
      <c r="A671" s="227" t="s">
        <v>139</v>
      </c>
      <c r="B671" s="2">
        <f>VLOOKUP(Table2[[#This Row],[Location 
(drop-down)]],Table14[[Location]:[Location ID]],2,FALSE)</f>
        <v>191</v>
      </c>
      <c r="C671" s="254" t="s">
        <v>1385</v>
      </c>
      <c r="D671" s="379" t="str">
        <f>"C" &amp; C671 &amp;"-" &amp; B671 &amp; "-" &amp; "25"</f>
        <v>C224-191-25</v>
      </c>
      <c r="E671" s="254" t="s">
        <v>81</v>
      </c>
      <c r="F671" s="254" t="s">
        <v>269</v>
      </c>
      <c r="G671" s="227" t="s">
        <v>1386</v>
      </c>
      <c r="H671" s="165" t="s">
        <v>68</v>
      </c>
      <c r="I671" s="165" t="s">
        <v>310</v>
      </c>
      <c r="J671" s="276">
        <v>45789</v>
      </c>
      <c r="K671" s="226"/>
      <c r="L671" s="408">
        <f ca="1">TODAY()-Table2[[#This Row],[CAR initialized date]]</f>
        <v>289</v>
      </c>
      <c r="M671" s="226" t="s">
        <v>1112</v>
      </c>
      <c r="N671" s="226"/>
    </row>
    <row r="672" spans="1:14" ht="18.75">
      <c r="A672" s="227" t="s">
        <v>139</v>
      </c>
      <c r="B672" s="2">
        <f>VLOOKUP(Table2[[#This Row],[Location 
(drop-down)]],Table14[[Location]:[Location ID]],2,FALSE)</f>
        <v>191</v>
      </c>
      <c r="C672" s="254" t="s">
        <v>94</v>
      </c>
      <c r="D672" s="379" t="str">
        <f>"C" &amp; C672 &amp;"-" &amp; B672 &amp; "-" &amp; "25"</f>
        <v>C436-191-25</v>
      </c>
      <c r="E672" s="2" t="s">
        <v>18</v>
      </c>
      <c r="F672" s="254"/>
      <c r="G672" s="227" t="s">
        <v>1387</v>
      </c>
      <c r="H672" s="165" t="s">
        <v>68</v>
      </c>
      <c r="I672" s="165" t="s">
        <v>239</v>
      </c>
      <c r="J672" s="289">
        <v>45960</v>
      </c>
      <c r="K672" s="226"/>
      <c r="L672" s="408">
        <f ca="1">TODAY()-Table2[[#This Row],[CAR initialized date]]</f>
        <v>118</v>
      </c>
      <c r="M672" s="226" t="s">
        <v>1112</v>
      </c>
      <c r="N672" s="226"/>
    </row>
    <row r="673" spans="1:14" ht="18.75">
      <c r="A673" s="227" t="s">
        <v>139</v>
      </c>
      <c r="B673" s="2">
        <f>VLOOKUP(Table2[[#This Row],[Location 
(drop-down)]],Table14[[Location]:[Location ID]],2,FALSE)</f>
        <v>191</v>
      </c>
      <c r="C673" s="254" t="s">
        <v>84</v>
      </c>
      <c r="D673" s="379" t="str">
        <f>"C" &amp; C673 &amp;"-" &amp; B673 &amp; "-" &amp; "25"</f>
        <v>C437-191-25</v>
      </c>
      <c r="E673" s="254" t="s">
        <v>18</v>
      </c>
      <c r="F673" s="254"/>
      <c r="G673" s="227" t="s">
        <v>1388</v>
      </c>
      <c r="H673" s="165" t="s">
        <v>68</v>
      </c>
      <c r="I673" s="165" t="s">
        <v>239</v>
      </c>
      <c r="J673" s="289">
        <v>45960</v>
      </c>
      <c r="K673" s="226"/>
      <c r="L673" s="408">
        <f ca="1">TODAY()-Table2[[#This Row],[CAR initialized date]]</f>
        <v>118</v>
      </c>
      <c r="M673" s="226" t="s">
        <v>1112</v>
      </c>
      <c r="N673" s="226"/>
    </row>
    <row r="674" spans="1:14" ht="18.75">
      <c r="A674" s="227" t="s">
        <v>202</v>
      </c>
      <c r="B674" s="2">
        <f>VLOOKUP(Table2[[#This Row],[Location 
(drop-down)]],Table14[[Location]:[Location ID]],2,FALSE)</f>
        <v>180</v>
      </c>
      <c r="C674" s="254" t="s">
        <v>1389</v>
      </c>
      <c r="D674" s="379" t="str">
        <f>"C" &amp; C674 &amp;"-" &amp; B674 &amp; "-" &amp; "25"</f>
        <v>C401-180-25</v>
      </c>
      <c r="E674" s="254" t="s">
        <v>18</v>
      </c>
      <c r="F674" s="254"/>
      <c r="G674" s="240" t="s">
        <v>1390</v>
      </c>
      <c r="H674" s="165" t="s">
        <v>20</v>
      </c>
      <c r="I674" s="165" t="s">
        <v>21</v>
      </c>
      <c r="J674" s="289">
        <v>45925</v>
      </c>
      <c r="K674" s="226"/>
      <c r="L674" s="408">
        <f ca="1">TODAY()-Table2[[#This Row],[CAR initialized date]]</f>
        <v>153</v>
      </c>
      <c r="M674" s="226" t="s">
        <v>1112</v>
      </c>
      <c r="N674" s="226"/>
    </row>
    <row r="675" spans="1:14" ht="18.75">
      <c r="A675" s="227" t="s">
        <v>202</v>
      </c>
      <c r="B675" s="2">
        <f>VLOOKUP(Table2[[#This Row],[Location 
(drop-down)]],Table14[[Location]:[Location ID]],2,FALSE)</f>
        <v>180</v>
      </c>
      <c r="C675" s="254" t="s">
        <v>1391</v>
      </c>
      <c r="D675" s="379" t="str">
        <f>"C" &amp; C675 &amp;"-" &amp; B675 &amp; "-" &amp; "25"</f>
        <v>C402-180-25</v>
      </c>
      <c r="E675" s="254" t="s">
        <v>18</v>
      </c>
      <c r="F675" s="254"/>
      <c r="G675" s="240" t="s">
        <v>1392</v>
      </c>
      <c r="H675" s="165" t="s">
        <v>68</v>
      </c>
      <c r="I675" s="165" t="s">
        <v>21</v>
      </c>
      <c r="J675" s="289">
        <v>45925</v>
      </c>
      <c r="K675" s="226"/>
      <c r="L675" s="408">
        <f ca="1">TODAY()-Table2[[#This Row],[CAR initialized date]]</f>
        <v>153</v>
      </c>
      <c r="M675" s="226" t="s">
        <v>1112</v>
      </c>
      <c r="N675" s="226"/>
    </row>
    <row r="676" spans="1:14" ht="18.75">
      <c r="A676" s="227" t="s">
        <v>202</v>
      </c>
      <c r="B676" s="2">
        <f>VLOOKUP(Table2[[#This Row],[Location 
(drop-down)]],Table14[[Location]:[Location ID]],2,FALSE)</f>
        <v>180</v>
      </c>
      <c r="C676" s="254" t="s">
        <v>126</v>
      </c>
      <c r="D676" s="379" t="str">
        <f>"C" &amp; C676 &amp;"-" &amp; B676 &amp; "-" &amp; "25"</f>
        <v>C469-180-25</v>
      </c>
      <c r="E676" s="254" t="s">
        <v>26</v>
      </c>
      <c r="F676" s="254" t="s">
        <v>151</v>
      </c>
      <c r="G676" s="227" t="s">
        <v>1393</v>
      </c>
      <c r="H676" s="165" t="s">
        <v>20</v>
      </c>
      <c r="I676" s="165" t="s">
        <v>239</v>
      </c>
      <c r="J676" s="289">
        <v>45958</v>
      </c>
      <c r="K676" s="226"/>
      <c r="L676" s="408">
        <f ca="1">TODAY()-Table2[[#This Row],[CAR initialized date]]</f>
        <v>120</v>
      </c>
      <c r="M676" s="226" t="s">
        <v>1112</v>
      </c>
      <c r="N676" s="226"/>
    </row>
    <row r="677" spans="1:14" ht="18.75">
      <c r="A677" s="227" t="s">
        <v>1394</v>
      </c>
      <c r="B677" s="2">
        <f>VLOOKUP(Table2[[#This Row],[Location 
(drop-down)]],Table14[[Location]:[Location ID]],2,FALSE)</f>
        <v>135</v>
      </c>
      <c r="C677" s="254" t="s">
        <v>168</v>
      </c>
      <c r="D677" s="379" t="str">
        <f>"C" &amp; C677 &amp;"-" &amp; B677 &amp; "-" &amp; "25"</f>
        <v>C445-135-25</v>
      </c>
      <c r="E677" s="254" t="s">
        <v>18</v>
      </c>
      <c r="F677" s="254"/>
      <c r="G677" s="227" t="s">
        <v>1395</v>
      </c>
      <c r="H677" s="165" t="s">
        <v>20</v>
      </c>
      <c r="I677" s="165" t="s">
        <v>47</v>
      </c>
      <c r="J677" s="289">
        <v>45964</v>
      </c>
      <c r="K677" s="226"/>
      <c r="L677" s="408">
        <f ca="1">TODAY()-Table2[[#This Row],[CAR initialized date]]</f>
        <v>114</v>
      </c>
      <c r="M677" s="226" t="s">
        <v>1112</v>
      </c>
      <c r="N677" s="226"/>
    </row>
    <row r="678" spans="1:14" ht="18.75">
      <c r="A678" s="227" t="s">
        <v>1394</v>
      </c>
      <c r="B678" s="2">
        <f>VLOOKUP(Table2[[#This Row],[Location 
(drop-down)]],Table14[[Location]:[Location ID]],2,FALSE)</f>
        <v>135</v>
      </c>
      <c r="C678" s="254" t="s">
        <v>682</v>
      </c>
      <c r="D678" s="379" t="str">
        <f>"C" &amp; C678 &amp;"-" &amp; B678 &amp; "-" &amp; "25"</f>
        <v>C446-135-25</v>
      </c>
      <c r="E678" s="254" t="s">
        <v>18</v>
      </c>
      <c r="F678" s="254"/>
      <c r="G678" s="227" t="s">
        <v>1396</v>
      </c>
      <c r="H678" s="165" t="s">
        <v>20</v>
      </c>
      <c r="I678" s="165" t="s">
        <v>47</v>
      </c>
      <c r="J678" s="289">
        <v>45964</v>
      </c>
      <c r="K678" s="226"/>
      <c r="L678" s="408">
        <f ca="1">TODAY()-Table2[[#This Row],[CAR initialized date]]</f>
        <v>114</v>
      </c>
      <c r="M678" s="226" t="s">
        <v>1112</v>
      </c>
      <c r="N678" s="226"/>
    </row>
    <row r="679" spans="1:14" ht="18.75">
      <c r="A679" s="227" t="s">
        <v>1394</v>
      </c>
      <c r="B679" s="2">
        <f>VLOOKUP(Table2[[#This Row],[Location 
(drop-down)]],Table14[[Location]:[Location ID]],2,FALSE)</f>
        <v>135</v>
      </c>
      <c r="C679" s="254" t="s">
        <v>1397</v>
      </c>
      <c r="D679" s="379" t="str">
        <f>"C" &amp; C679 &amp;"-" &amp; B679 &amp; "-" &amp; "25"</f>
        <v>C447-135-25</v>
      </c>
      <c r="E679" s="254" t="s">
        <v>18</v>
      </c>
      <c r="F679" s="254"/>
      <c r="G679" s="227" t="s">
        <v>1398</v>
      </c>
      <c r="H679" s="165" t="s">
        <v>20</v>
      </c>
      <c r="I679" s="165" t="s">
        <v>47</v>
      </c>
      <c r="J679" s="289">
        <v>45964</v>
      </c>
      <c r="K679" s="226"/>
      <c r="L679" s="408">
        <f ca="1">TODAY()-Table2[[#This Row],[CAR initialized date]]</f>
        <v>114</v>
      </c>
      <c r="M679" s="226" t="s">
        <v>1112</v>
      </c>
      <c r="N679" s="226"/>
    </row>
    <row r="680" spans="1:14" ht="18.75">
      <c r="A680" s="227" t="s">
        <v>1394</v>
      </c>
      <c r="B680" s="2">
        <f>VLOOKUP(Table2[[#This Row],[Location 
(drop-down)]],Table14[[Location]:[Location ID]],2,FALSE)</f>
        <v>135</v>
      </c>
      <c r="C680" s="254" t="s">
        <v>334</v>
      </c>
      <c r="D680" s="379" t="str">
        <f>"C" &amp; C680 &amp;"-" &amp; B680 &amp; "-" &amp; "25"</f>
        <v>C448-135-25</v>
      </c>
      <c r="E680" s="254" t="s">
        <v>18</v>
      </c>
      <c r="F680" s="254"/>
      <c r="G680" s="227" t="s">
        <v>1399</v>
      </c>
      <c r="H680" s="230" t="s">
        <v>20</v>
      </c>
      <c r="I680" s="165" t="s">
        <v>47</v>
      </c>
      <c r="J680" s="289">
        <v>45964</v>
      </c>
      <c r="K680" s="226"/>
      <c r="L680" s="408">
        <f ca="1">TODAY()-Table2[[#This Row],[CAR initialized date]]</f>
        <v>114</v>
      </c>
      <c r="M680" s="226" t="s">
        <v>1112</v>
      </c>
      <c r="N680" s="230"/>
    </row>
    <row r="681" spans="1:14" ht="18.75">
      <c r="A681" s="227" t="s">
        <v>1394</v>
      </c>
      <c r="B681" s="2">
        <f>VLOOKUP(Table2[[#This Row],[Location 
(drop-down)]],Table14[[Location]:[Location ID]],2,FALSE)</f>
        <v>135</v>
      </c>
      <c r="C681" s="254" t="s">
        <v>171</v>
      </c>
      <c r="D681" s="379" t="str">
        <f>"C" &amp; C681 &amp;"-" &amp; B681 &amp; "-" &amp; "25"</f>
        <v>C449-135-25</v>
      </c>
      <c r="E681" s="254" t="s">
        <v>18</v>
      </c>
      <c r="F681" s="254"/>
      <c r="G681" s="227" t="s">
        <v>1400</v>
      </c>
      <c r="H681" s="165" t="s">
        <v>20</v>
      </c>
      <c r="I681" s="165" t="s">
        <v>47</v>
      </c>
      <c r="J681" s="289">
        <v>45964</v>
      </c>
      <c r="K681" s="226"/>
      <c r="L681" s="408">
        <f ca="1">TODAY()-Table2[[#This Row],[CAR initialized date]]</f>
        <v>114</v>
      </c>
      <c r="M681" s="226" t="s">
        <v>1112</v>
      </c>
      <c r="N681" s="226"/>
    </row>
    <row r="682" spans="1:14" ht="18.75">
      <c r="A682" s="227" t="s">
        <v>1394</v>
      </c>
      <c r="B682" s="2">
        <f>VLOOKUP(Table2[[#This Row],[Location 
(drop-down)]],Table14[[Location]:[Location ID]],2,FALSE)</f>
        <v>135</v>
      </c>
      <c r="C682" s="254" t="s">
        <v>426</v>
      </c>
      <c r="D682" s="379" t="str">
        <f>"C" &amp; C682 &amp;"-" &amp; B682 &amp; "-" &amp; "25"</f>
        <v>C450-135-25</v>
      </c>
      <c r="E682" s="254" t="s">
        <v>18</v>
      </c>
      <c r="F682" s="254"/>
      <c r="G682" s="227" t="s">
        <v>1243</v>
      </c>
      <c r="H682" s="165" t="s">
        <v>20</v>
      </c>
      <c r="I682" s="165" t="s">
        <v>47</v>
      </c>
      <c r="J682" s="289">
        <v>45964</v>
      </c>
      <c r="K682" s="226"/>
      <c r="L682" s="408">
        <f ca="1">TODAY()-Table2[[#This Row],[CAR initialized date]]</f>
        <v>114</v>
      </c>
      <c r="M682" s="226" t="s">
        <v>1112</v>
      </c>
      <c r="N682" s="226"/>
    </row>
    <row r="683" spans="1:14" ht="18.75">
      <c r="A683" s="227" t="s">
        <v>1394</v>
      </c>
      <c r="B683" s="2">
        <f>VLOOKUP(Table2[[#This Row],[Location 
(drop-down)]],Table14[[Location]:[Location ID]],2,FALSE)</f>
        <v>135</v>
      </c>
      <c r="C683" s="254" t="s">
        <v>250</v>
      </c>
      <c r="D683" s="379" t="str">
        <f>"C" &amp; C683 &amp;"-" &amp; B683 &amp; "-" &amp; "25"</f>
        <v>C451-135-25</v>
      </c>
      <c r="E683" s="254" t="s">
        <v>18</v>
      </c>
      <c r="F683" s="254"/>
      <c r="G683" s="416" t="s">
        <v>1401</v>
      </c>
      <c r="H683" s="165" t="s">
        <v>1402</v>
      </c>
      <c r="I683" s="165" t="s">
        <v>47</v>
      </c>
      <c r="J683" s="289">
        <v>45964</v>
      </c>
      <c r="K683" s="226"/>
      <c r="L683" s="408">
        <f ca="1">TODAY()-Table2[[#This Row],[CAR initialized date]]</f>
        <v>114</v>
      </c>
      <c r="M683" s="226" t="s">
        <v>1112</v>
      </c>
      <c r="N683" s="226"/>
    </row>
    <row r="684" spans="1:14" ht="18.75">
      <c r="A684" s="227" t="s">
        <v>1394</v>
      </c>
      <c r="B684" s="2">
        <f>VLOOKUP(Table2[[#This Row],[Location 
(drop-down)]],Table14[[Location]:[Location ID]],2,FALSE)</f>
        <v>135</v>
      </c>
      <c r="C684" s="254" t="s">
        <v>1403</v>
      </c>
      <c r="D684" s="379" t="str">
        <f>"C" &amp; C684 &amp;"-" &amp; B684 &amp; "-" &amp; "25"</f>
        <v>C452-135-25</v>
      </c>
      <c r="E684" s="254" t="s">
        <v>18</v>
      </c>
      <c r="F684" s="254"/>
      <c r="G684" s="227" t="s">
        <v>255</v>
      </c>
      <c r="H684" s="165" t="s">
        <v>20</v>
      </c>
      <c r="I684" s="165" t="s">
        <v>47</v>
      </c>
      <c r="J684" s="289">
        <v>45964</v>
      </c>
      <c r="K684" s="226"/>
      <c r="L684" s="408">
        <f ca="1">TODAY()-Table2[[#This Row],[CAR initialized date]]</f>
        <v>114</v>
      </c>
      <c r="M684" s="226" t="s">
        <v>1112</v>
      </c>
      <c r="N684" s="226"/>
    </row>
    <row r="685" spans="1:14" ht="18.75">
      <c r="A685" s="227" t="s">
        <v>1394</v>
      </c>
      <c r="B685" s="2">
        <f>VLOOKUP(Table2[[#This Row],[Location 
(drop-down)]],Table14[[Location]:[Location ID]],2,FALSE)</f>
        <v>135</v>
      </c>
      <c r="C685" s="254" t="s">
        <v>1404</v>
      </c>
      <c r="D685" s="379" t="str">
        <f>"C" &amp; C685 &amp;"-" &amp; B685 &amp; "-" &amp; "25"</f>
        <v>C453-135-25</v>
      </c>
      <c r="E685" s="254" t="s">
        <v>18</v>
      </c>
      <c r="F685" s="254"/>
      <c r="G685" s="227" t="s">
        <v>1135</v>
      </c>
      <c r="H685" s="165" t="s">
        <v>68</v>
      </c>
      <c r="I685" s="165" t="s">
        <v>47</v>
      </c>
      <c r="J685" s="289">
        <v>45964</v>
      </c>
      <c r="K685" s="226"/>
      <c r="L685" s="408">
        <f ca="1">TODAY()-Table2[[#This Row],[CAR initialized date]]</f>
        <v>114</v>
      </c>
      <c r="M685" s="226" t="s">
        <v>1112</v>
      </c>
      <c r="N685" s="226"/>
    </row>
    <row r="686" spans="1:14" ht="18.75">
      <c r="A686" s="227" t="s">
        <v>1394</v>
      </c>
      <c r="B686" s="2">
        <f>VLOOKUP(Table2[[#This Row],[Location 
(drop-down)]],Table14[[Location]:[Location ID]],2,FALSE)</f>
        <v>135</v>
      </c>
      <c r="C686" s="254" t="s">
        <v>115</v>
      </c>
      <c r="D686" s="379" t="str">
        <f>"C" &amp; C686 &amp;"-" &amp; B686 &amp; "-" &amp; "25"</f>
        <v>C454-135-25</v>
      </c>
      <c r="E686" s="254" t="s">
        <v>18</v>
      </c>
      <c r="F686" s="254"/>
      <c r="G686" s="227" t="s">
        <v>1405</v>
      </c>
      <c r="H686" s="165" t="s">
        <v>20</v>
      </c>
      <c r="I686" s="165" t="s">
        <v>47</v>
      </c>
      <c r="J686" s="289">
        <v>45964</v>
      </c>
      <c r="K686" s="226"/>
      <c r="L686" s="408">
        <f ca="1">TODAY()-Table2[[#This Row],[CAR initialized date]]</f>
        <v>114</v>
      </c>
      <c r="M686" s="226" t="s">
        <v>1112</v>
      </c>
      <c r="N686" s="226"/>
    </row>
    <row r="687" spans="1:14" ht="18.75">
      <c r="A687" s="227" t="s">
        <v>167</v>
      </c>
      <c r="B687" s="2">
        <f>VLOOKUP(Table2[[#This Row],[Location 
(drop-down)]],Table14[[Location]:[Location ID]],2,FALSE)</f>
        <v>146</v>
      </c>
      <c r="C687" s="254" t="s">
        <v>901</v>
      </c>
      <c r="D687" s="379" t="str">
        <f>"C" &amp; C687 &amp;"-" &amp; B687 &amp; "-" &amp; "25"</f>
        <v>C394-146-25</v>
      </c>
      <c r="E687" s="254" t="s">
        <v>18</v>
      </c>
      <c r="F687" s="254"/>
      <c r="G687" s="227" t="s">
        <v>1406</v>
      </c>
      <c r="H687" s="165" t="s">
        <v>20</v>
      </c>
      <c r="I687" s="165" t="s">
        <v>21</v>
      </c>
      <c r="J687" s="289">
        <v>45923</v>
      </c>
      <c r="K687" s="226"/>
      <c r="L687" s="408">
        <f ca="1">TODAY()-Table2[[#This Row],[CAR initialized date]]</f>
        <v>155</v>
      </c>
      <c r="M687" s="226" t="s">
        <v>1112</v>
      </c>
      <c r="N687" s="226"/>
    </row>
    <row r="688" spans="1:14" ht="18.75">
      <c r="A688" s="227" t="s">
        <v>15</v>
      </c>
      <c r="B688" s="2">
        <f>VLOOKUP(Table2[[#This Row],[Location 
(drop-down)]],Table14[[Location]:[Location ID]],2,FALSE)</f>
        <v>197</v>
      </c>
      <c r="C688" s="254" t="s">
        <v>262</v>
      </c>
      <c r="D688" s="379" t="str">
        <f>"C" &amp; C688 &amp;"-" &amp; B688 &amp; "-" &amp; "25"</f>
        <v>C327-197-25</v>
      </c>
      <c r="E688" s="254" t="s">
        <v>18</v>
      </c>
      <c r="F688" s="254"/>
      <c r="G688" s="227" t="s">
        <v>1407</v>
      </c>
      <c r="H688" s="165" t="s">
        <v>20</v>
      </c>
      <c r="I688" s="165" t="s">
        <v>69</v>
      </c>
      <c r="J688" s="289">
        <v>45862</v>
      </c>
      <c r="K688" s="226"/>
      <c r="L688" s="408">
        <f ca="1">TODAY()-Table2[[#This Row],[CAR initialized date]]</f>
        <v>216</v>
      </c>
      <c r="M688" s="226" t="s">
        <v>1112</v>
      </c>
      <c r="N688" s="226"/>
    </row>
    <row r="689" spans="1:14" ht="18.75">
      <c r="A689" s="227" t="s">
        <v>15</v>
      </c>
      <c r="B689" s="2">
        <f>VLOOKUP(Table2[[#This Row],[Location 
(drop-down)]],Table14[[Location]:[Location ID]],2,FALSE)</f>
        <v>197</v>
      </c>
      <c r="C689" s="254" t="s">
        <v>1408</v>
      </c>
      <c r="D689" s="379" t="str">
        <f>"C" &amp; C689 &amp;"-" &amp; B689 &amp; "-" &amp; "25"</f>
        <v>C329-197-25</v>
      </c>
      <c r="E689" s="254" t="s">
        <v>18</v>
      </c>
      <c r="F689" s="254"/>
      <c r="G689" s="227" t="s">
        <v>736</v>
      </c>
      <c r="H689" s="165" t="s">
        <v>20</v>
      </c>
      <c r="I689" s="165" t="s">
        <v>69</v>
      </c>
      <c r="J689" s="289">
        <v>45862</v>
      </c>
      <c r="K689" s="226"/>
      <c r="L689" s="408">
        <f ca="1">TODAY()-Table2[[#This Row],[CAR initialized date]]</f>
        <v>216</v>
      </c>
      <c r="M689" s="226" t="s">
        <v>1112</v>
      </c>
      <c r="N689" s="226"/>
    </row>
    <row r="690" spans="1:14" ht="18.75">
      <c r="A690" s="227" t="s">
        <v>15</v>
      </c>
      <c r="B690" s="2">
        <f>VLOOKUP(Table2[[#This Row],[Location 
(drop-down)]],Table14[[Location]:[Location ID]],2,FALSE)</f>
        <v>197</v>
      </c>
      <c r="C690" s="254" t="s">
        <v>1199</v>
      </c>
      <c r="D690" s="379" t="str">
        <f>"C" &amp; C690 &amp;"-" &amp; B690 &amp; "-" &amp; "25"</f>
        <v>C330-197-25</v>
      </c>
      <c r="E690" s="254" t="s">
        <v>18</v>
      </c>
      <c r="F690" s="254"/>
      <c r="G690" s="227" t="s">
        <v>738</v>
      </c>
      <c r="H690" s="165" t="s">
        <v>20</v>
      </c>
      <c r="I690" s="165" t="s">
        <v>69</v>
      </c>
      <c r="J690" s="289">
        <v>45862</v>
      </c>
      <c r="K690" s="226"/>
      <c r="L690" s="408">
        <f ca="1">TODAY()-Table2[[#This Row],[CAR initialized date]]</f>
        <v>216</v>
      </c>
      <c r="M690" s="226" t="s">
        <v>1112</v>
      </c>
      <c r="N690" s="226"/>
    </row>
    <row r="691" spans="1:14" ht="18.75">
      <c r="A691" s="227" t="s">
        <v>15</v>
      </c>
      <c r="B691" s="2">
        <f>VLOOKUP(Table2[[#This Row],[Location 
(drop-down)]],Table14[[Location]:[Location ID]],2,FALSE)</f>
        <v>197</v>
      </c>
      <c r="C691" s="254" t="s">
        <v>1214</v>
      </c>
      <c r="D691" s="379" t="str">
        <f>"C" &amp; C691 &amp;"-" &amp; B691 &amp; "-" &amp; "25"</f>
        <v>C331-197-25</v>
      </c>
      <c r="E691" s="254" t="s">
        <v>18</v>
      </c>
      <c r="F691" s="254"/>
      <c r="G691" s="227" t="s">
        <v>1409</v>
      </c>
      <c r="H691" s="165" t="s">
        <v>20</v>
      </c>
      <c r="I691" s="165" t="s">
        <v>69</v>
      </c>
      <c r="J691" s="289">
        <v>45862</v>
      </c>
      <c r="K691" s="226"/>
      <c r="L691" s="408">
        <f ca="1">TODAY()-Table2[[#This Row],[CAR initialized date]]</f>
        <v>216</v>
      </c>
      <c r="M691" s="226" t="s">
        <v>1112</v>
      </c>
      <c r="N691" s="226"/>
    </row>
    <row r="692" spans="1:14" ht="18.75">
      <c r="A692" s="227" t="s">
        <v>15</v>
      </c>
      <c r="B692" s="2">
        <f>VLOOKUP(Table2[[#This Row],[Location 
(drop-down)]],Table14[[Location]:[Location ID]],2,FALSE)</f>
        <v>197</v>
      </c>
      <c r="C692" s="254" t="s">
        <v>1217</v>
      </c>
      <c r="D692" s="379" t="str">
        <f>"C" &amp; C692 &amp;"-" &amp; B692 &amp; "-" &amp; "25"</f>
        <v>C332-197-25</v>
      </c>
      <c r="E692" s="254" t="s">
        <v>18</v>
      </c>
      <c r="F692" s="254"/>
      <c r="G692" s="227" t="s">
        <v>1410</v>
      </c>
      <c r="H692" s="165" t="s">
        <v>20</v>
      </c>
      <c r="I692" s="165" t="s">
        <v>69</v>
      </c>
      <c r="J692" s="289">
        <v>45862</v>
      </c>
      <c r="K692" s="226"/>
      <c r="L692" s="408">
        <f ca="1">TODAY()-Table2[[#This Row],[CAR initialized date]]</f>
        <v>216</v>
      </c>
      <c r="M692" s="226" t="s">
        <v>1112</v>
      </c>
      <c r="N692" s="226"/>
    </row>
    <row r="693" spans="1:14" ht="18.75">
      <c r="A693" s="227" t="s">
        <v>15</v>
      </c>
      <c r="B693" s="2">
        <f>VLOOKUP(Table2[[#This Row],[Location 
(drop-down)]],Table14[[Location]:[Location ID]],2,FALSE)</f>
        <v>197</v>
      </c>
      <c r="C693" s="254" t="s">
        <v>1411</v>
      </c>
      <c r="D693" s="379" t="str">
        <f>"C" &amp; C693 &amp;"-" &amp; B693 &amp; "-" &amp; "25"</f>
        <v>C342-197-25</v>
      </c>
      <c r="E693" s="254" t="s">
        <v>18</v>
      </c>
      <c r="F693" s="254"/>
      <c r="G693" s="227" t="s">
        <v>781</v>
      </c>
      <c r="H693" s="165" t="s">
        <v>20</v>
      </c>
      <c r="I693" s="165" t="s">
        <v>69</v>
      </c>
      <c r="J693" s="289">
        <v>45862</v>
      </c>
      <c r="K693" s="226"/>
      <c r="L693" s="408">
        <f ca="1">TODAY()-Table2[[#This Row],[CAR initialized date]]</f>
        <v>216</v>
      </c>
      <c r="M693" s="226" t="s">
        <v>1112</v>
      </c>
      <c r="N693" s="226"/>
    </row>
    <row r="694" spans="1:14" ht="30">
      <c r="A694" s="64" t="s">
        <v>500</v>
      </c>
      <c r="B694" s="2">
        <f>VLOOKUP(Table2[[#This Row],[Location 
(drop-down)]],Table14[[Location]:[Location ID]],2,FALSE)</f>
        <v>170</v>
      </c>
      <c r="C694" s="9" t="s">
        <v>430</v>
      </c>
      <c r="D694" s="15" t="str">
        <f>"C" &amp; C694 &amp;"-" &amp; B694 &amp; "-" &amp; "26"</f>
        <v>C031-170-26</v>
      </c>
      <c r="E694" s="9" t="s">
        <v>81</v>
      </c>
      <c r="F694" s="9" t="s">
        <v>490</v>
      </c>
      <c r="G694" s="26" t="s">
        <v>1412</v>
      </c>
      <c r="H694" s="66" t="s">
        <v>20</v>
      </c>
      <c r="I694" s="165" t="s">
        <v>310</v>
      </c>
      <c r="J694" s="138">
        <v>46062</v>
      </c>
      <c r="K694" s="226"/>
      <c r="L694" s="408">
        <f ca="1">TODAY()-Table2[[#This Row],[CAR initialized date]]</f>
        <v>16</v>
      </c>
      <c r="M694" s="226" t="s">
        <v>1112</v>
      </c>
      <c r="N694" s="226"/>
    </row>
    <row r="695" spans="1:14" ht="18.75">
      <c r="A695" s="64" t="s">
        <v>500</v>
      </c>
      <c r="B695" s="2">
        <f>VLOOKUP(Table2[[#This Row],[Location 
(drop-down)]],Table14[[Location]:[Location ID]],2,FALSE)</f>
        <v>170</v>
      </c>
      <c r="C695" s="9" t="s">
        <v>938</v>
      </c>
      <c r="D695" s="15" t="str">
        <f>"C" &amp; C695 &amp;"-" &amp; B695 &amp; "-" &amp; "26"</f>
        <v>C032-170-26</v>
      </c>
      <c r="E695" s="9" t="s">
        <v>81</v>
      </c>
      <c r="F695" s="9" t="s">
        <v>490</v>
      </c>
      <c r="G695" s="64" t="s">
        <v>1413</v>
      </c>
      <c r="H695" s="66" t="s">
        <v>20</v>
      </c>
      <c r="I695" s="165" t="s">
        <v>310</v>
      </c>
      <c r="J695" s="138">
        <v>46062</v>
      </c>
      <c r="K695" s="226"/>
      <c r="L695" s="408">
        <f ca="1">TODAY()-Table2[[#This Row],[CAR initialized date]]</f>
        <v>16</v>
      </c>
      <c r="M695" s="226" t="s">
        <v>1112</v>
      </c>
      <c r="N695" s="226"/>
    </row>
    <row r="696" spans="1:14" ht="18.75">
      <c r="A696" s="64" t="s">
        <v>500</v>
      </c>
      <c r="B696" s="2">
        <f>VLOOKUP(Table2[[#This Row],[Location 
(drop-down)]],Table14[[Location]:[Location ID]],2,FALSE)</f>
        <v>170</v>
      </c>
      <c r="C696" s="9" t="s">
        <v>609</v>
      </c>
      <c r="D696" s="15" t="str">
        <f>"C" &amp; C696 &amp;"-" &amp; B696 &amp; "-" &amp; "26"</f>
        <v>C033-170-26</v>
      </c>
      <c r="E696" s="9" t="s">
        <v>81</v>
      </c>
      <c r="F696" s="9" t="s">
        <v>490</v>
      </c>
      <c r="G696" s="10" t="s">
        <v>1414</v>
      </c>
      <c r="H696" s="66" t="s">
        <v>20</v>
      </c>
      <c r="I696" s="165" t="s">
        <v>310</v>
      </c>
      <c r="J696" s="138">
        <v>46062</v>
      </c>
      <c r="K696" s="226"/>
      <c r="L696" s="408">
        <f ca="1">TODAY()-Table2[[#This Row],[CAR initialized date]]</f>
        <v>16</v>
      </c>
      <c r="M696" s="226" t="s">
        <v>1112</v>
      </c>
      <c r="N696" s="226"/>
    </row>
    <row r="697" spans="1:14" ht="18.75">
      <c r="A697" s="227" t="s">
        <v>73</v>
      </c>
      <c r="B697" s="2">
        <f>VLOOKUP(Table2[[#This Row],[Location 
(drop-down)]],Table14[[Location]:[Location ID]],2,FALSE)</f>
        <v>160</v>
      </c>
      <c r="C697" s="254" t="s">
        <v>1415</v>
      </c>
      <c r="D697" s="379" t="str">
        <f>"C" &amp; C697 &amp;"-" &amp; B697 &amp; "-" &amp; "25"</f>
        <v>C242-160-25</v>
      </c>
      <c r="E697" s="254" t="s">
        <v>18</v>
      </c>
      <c r="F697" s="254"/>
      <c r="G697" s="227" t="s">
        <v>720</v>
      </c>
      <c r="H697" s="18" t="s">
        <v>201</v>
      </c>
      <c r="I697" s="165" t="s">
        <v>69</v>
      </c>
      <c r="J697" s="276">
        <v>45800</v>
      </c>
      <c r="K697" s="226"/>
      <c r="L697" s="408">
        <f ca="1">TODAY()-Table2[[#This Row],[CAR initialized date]]</f>
        <v>278</v>
      </c>
      <c r="M697" s="226" t="s">
        <v>1112</v>
      </c>
      <c r="N697" s="258"/>
    </row>
    <row r="698" spans="1:14" ht="18.75">
      <c r="A698" s="227" t="s">
        <v>73</v>
      </c>
      <c r="B698" s="2">
        <f>VLOOKUP(Table2[[#This Row],[Location 
(drop-down)]],Table14[[Location]:[Location ID]],2,FALSE)</f>
        <v>160</v>
      </c>
      <c r="C698" s="254" t="s">
        <v>1416</v>
      </c>
      <c r="D698" s="379" t="str">
        <f>"C" &amp; C698 &amp;"-" &amp; B698 &amp; "-" &amp; "25"</f>
        <v>C247-160-25</v>
      </c>
      <c r="E698" s="254" t="s">
        <v>18</v>
      </c>
      <c r="F698" s="254"/>
      <c r="G698" s="227" t="s">
        <v>1409</v>
      </c>
      <c r="H698" s="165" t="s">
        <v>20</v>
      </c>
      <c r="I698" s="165" t="s">
        <v>69</v>
      </c>
      <c r="J698" s="276">
        <v>45800</v>
      </c>
      <c r="K698" s="226"/>
      <c r="L698" s="408">
        <f ca="1">TODAY()-Table2[[#This Row],[CAR initialized date]]</f>
        <v>278</v>
      </c>
      <c r="M698" s="226" t="s">
        <v>1112</v>
      </c>
      <c r="N698" s="226"/>
    </row>
    <row r="699" spans="1:14" ht="18.75">
      <c r="A699" s="227" t="s">
        <v>23</v>
      </c>
      <c r="B699" s="2">
        <f>VLOOKUP(Table2[[#This Row],[Location 
(drop-down)]],Table14[[Location]:[Location ID]],2,FALSE)</f>
        <v>192</v>
      </c>
      <c r="C699" s="254" t="s">
        <v>1417</v>
      </c>
      <c r="D699" s="379" t="str">
        <f>"C" &amp; C699 &amp;"-" &amp; B699 &amp; "-" &amp; "25"</f>
        <v>C164-192-25</v>
      </c>
      <c r="E699" s="254" t="s">
        <v>18</v>
      </c>
      <c r="F699" s="227"/>
      <c r="G699" s="426" t="s">
        <v>1418</v>
      </c>
      <c r="H699" s="165" t="s">
        <v>1419</v>
      </c>
      <c r="I699" s="165" t="s">
        <v>47</v>
      </c>
      <c r="J699" s="289">
        <v>45754</v>
      </c>
      <c r="K699" s="226"/>
      <c r="L699" s="408">
        <f ca="1">TODAY()-Table2[[#This Row],[CAR initialized date]]</f>
        <v>324</v>
      </c>
      <c r="M699" s="226" t="s">
        <v>1112</v>
      </c>
      <c r="N699" s="226"/>
    </row>
    <row r="700" spans="1:14" ht="30">
      <c r="A700" s="64" t="s">
        <v>119</v>
      </c>
      <c r="B700" s="2">
        <f>VLOOKUP(Table2[[#This Row],[Location 
(drop-down)]],Table14[[Location]:[Location ID]],2,FALSE)</f>
        <v>131</v>
      </c>
      <c r="C700" s="9" t="s">
        <v>470</v>
      </c>
      <c r="D700" s="15" t="str">
        <f>"C" &amp; C700 &amp;"-" &amp; B700 &amp; "-" &amp; "26"</f>
        <v>C013-131-26</v>
      </c>
      <c r="E700" s="9" t="s">
        <v>18</v>
      </c>
      <c r="F700" s="9"/>
      <c r="G700" s="64" t="s">
        <v>1420</v>
      </c>
      <c r="H700" s="66" t="s">
        <v>68</v>
      </c>
      <c r="I700" s="165" t="s">
        <v>69</v>
      </c>
      <c r="J700" s="138">
        <v>46048</v>
      </c>
      <c r="K700" s="226"/>
      <c r="L700" s="408">
        <f ca="1">TODAY()-Table2[[#This Row],[CAR initialized date]]</f>
        <v>30</v>
      </c>
      <c r="M700" s="226" t="s">
        <v>1112</v>
      </c>
      <c r="N700" s="226"/>
    </row>
    <row r="701" spans="1:14" ht="30">
      <c r="A701" s="64" t="s">
        <v>119</v>
      </c>
      <c r="B701" s="2">
        <f>VLOOKUP(Table2[[#This Row],[Location 
(drop-down)]],Table14[[Location]:[Location ID]],2,FALSE)</f>
        <v>131</v>
      </c>
      <c r="C701" s="9" t="s">
        <v>449</v>
      </c>
      <c r="D701" s="15" t="str">
        <f>"C" &amp; C701 &amp;"-" &amp; B701 &amp; "-" &amp; "26"</f>
        <v>C014-131-26</v>
      </c>
      <c r="E701" s="9" t="s">
        <v>18</v>
      </c>
      <c r="F701" s="9"/>
      <c r="G701" s="64" t="s">
        <v>1421</v>
      </c>
      <c r="H701" s="66" t="s">
        <v>68</v>
      </c>
      <c r="I701" s="165" t="s">
        <v>69</v>
      </c>
      <c r="J701" s="138">
        <v>46048</v>
      </c>
      <c r="K701" s="226"/>
      <c r="L701" s="408">
        <f ca="1">TODAY()-Table2[[#This Row],[CAR initialized date]]</f>
        <v>30</v>
      </c>
      <c r="M701" s="226" t="s">
        <v>1112</v>
      </c>
      <c r="N701" s="226"/>
    </row>
    <row r="702" spans="1:14" ht="30">
      <c r="A702" s="64" t="s">
        <v>119</v>
      </c>
      <c r="B702" s="2">
        <f>VLOOKUP(Table2[[#This Row],[Location 
(drop-down)]],Table14[[Location]:[Location ID]],2,FALSE)</f>
        <v>131</v>
      </c>
      <c r="C702" s="9" t="s">
        <v>672</v>
      </c>
      <c r="D702" s="15" t="str">
        <f>"C" &amp; C702 &amp;"-" &amp; B702 &amp; "-" &amp; "26"</f>
        <v>C015-131-26</v>
      </c>
      <c r="E702" s="9" t="s">
        <v>18</v>
      </c>
      <c r="F702" s="9"/>
      <c r="G702" s="64" t="s">
        <v>1422</v>
      </c>
      <c r="H702" s="66" t="s">
        <v>68</v>
      </c>
      <c r="I702" s="165" t="s">
        <v>69</v>
      </c>
      <c r="J702" s="138">
        <v>46048</v>
      </c>
      <c r="K702" s="226"/>
      <c r="L702" s="408">
        <f ca="1">TODAY()-Table2[[#This Row],[CAR initialized date]]</f>
        <v>30</v>
      </c>
      <c r="M702" s="226" t="s">
        <v>1112</v>
      </c>
      <c r="N702" s="226"/>
    </row>
    <row r="703" spans="1:14" ht="30">
      <c r="A703" s="64" t="s">
        <v>119</v>
      </c>
      <c r="B703" s="2">
        <f>VLOOKUP(Table2[[#This Row],[Location 
(drop-down)]],Table14[[Location]:[Location ID]],2,FALSE)</f>
        <v>131</v>
      </c>
      <c r="C703" s="9" t="s">
        <v>451</v>
      </c>
      <c r="D703" s="15" t="str">
        <f>"C" &amp; C703 &amp;"-" &amp; B703 &amp; "-" &amp; "26"</f>
        <v>C016-131-26</v>
      </c>
      <c r="E703" s="9" t="s">
        <v>18</v>
      </c>
      <c r="F703" s="87"/>
      <c r="G703" s="64" t="s">
        <v>1423</v>
      </c>
      <c r="H703" s="66" t="s">
        <v>20</v>
      </c>
      <c r="I703" s="165" t="s">
        <v>69</v>
      </c>
      <c r="J703" s="138">
        <v>46048</v>
      </c>
      <c r="K703" s="226"/>
      <c r="L703" s="408">
        <f ca="1">TODAY()-Table2[[#This Row],[CAR initialized date]]</f>
        <v>30</v>
      </c>
      <c r="M703" s="226" t="s">
        <v>1112</v>
      </c>
      <c r="N703" s="226"/>
    </row>
    <row r="704" spans="1:14" ht="30">
      <c r="A704" s="64" t="s">
        <v>119</v>
      </c>
      <c r="B704" s="2">
        <f>VLOOKUP(Table2[[#This Row],[Location 
(drop-down)]],Table14[[Location]:[Location ID]],2,FALSE)</f>
        <v>131</v>
      </c>
      <c r="C704" s="9" t="s">
        <v>381</v>
      </c>
      <c r="D704" s="15" t="str">
        <f>"C" &amp; C704 &amp;"-" &amp; B704 &amp; "-" &amp; "26"</f>
        <v>C017-131-26</v>
      </c>
      <c r="E704" s="9" t="s">
        <v>18</v>
      </c>
      <c r="F704" s="87"/>
      <c r="G704" s="64" t="s">
        <v>1424</v>
      </c>
      <c r="H704" s="66" t="s">
        <v>20</v>
      </c>
      <c r="I704" s="165" t="s">
        <v>69</v>
      </c>
      <c r="J704" s="138">
        <v>46048</v>
      </c>
      <c r="K704" s="226"/>
      <c r="L704" s="408">
        <f ca="1">TODAY()-Table2[[#This Row],[CAR initialized date]]</f>
        <v>30</v>
      </c>
      <c r="M704" s="226" t="s">
        <v>1112</v>
      </c>
      <c r="N704" s="226"/>
    </row>
    <row r="705" spans="1:14" ht="30">
      <c r="A705" s="64" t="s">
        <v>119</v>
      </c>
      <c r="B705" s="2">
        <f>VLOOKUP(Table2[[#This Row],[Location 
(drop-down)]],Table14[[Location]:[Location ID]],2,FALSE)</f>
        <v>131</v>
      </c>
      <c r="C705" s="9" t="s">
        <v>283</v>
      </c>
      <c r="D705" s="15" t="str">
        <f>"C" &amp; C705 &amp;"-" &amp; B705 &amp; "-" &amp; "26"</f>
        <v>C018-131-26</v>
      </c>
      <c r="E705" s="9" t="s">
        <v>18</v>
      </c>
      <c r="F705" s="9"/>
      <c r="G705" s="64" t="s">
        <v>1425</v>
      </c>
      <c r="H705" s="66" t="s">
        <v>20</v>
      </c>
      <c r="I705" s="165" t="s">
        <v>69</v>
      </c>
      <c r="J705" s="138">
        <v>46048</v>
      </c>
      <c r="K705" s="226"/>
      <c r="L705" s="408">
        <f ca="1">TODAY()-Table2[[#This Row],[CAR initialized date]]</f>
        <v>30</v>
      </c>
      <c r="M705" s="226" t="s">
        <v>1112</v>
      </c>
      <c r="N705" s="226"/>
    </row>
    <row r="706" spans="1:14" ht="30">
      <c r="A706" s="64" t="s">
        <v>119</v>
      </c>
      <c r="B706" s="2">
        <f>VLOOKUP(Table2[[#This Row],[Location 
(drop-down)]],Table14[[Location]:[Location ID]],2,FALSE)</f>
        <v>131</v>
      </c>
      <c r="C706" s="9" t="s">
        <v>643</v>
      </c>
      <c r="D706" s="15" t="str">
        <f>"C" &amp; C706 &amp;"-" &amp; B706 &amp; "-" &amp; "26"</f>
        <v>C019-131-26</v>
      </c>
      <c r="E706" s="9" t="s">
        <v>18</v>
      </c>
      <c r="F706" s="87"/>
      <c r="G706" s="64" t="s">
        <v>1426</v>
      </c>
      <c r="H706" s="66" t="s">
        <v>20</v>
      </c>
      <c r="I706" s="165" t="s">
        <v>69</v>
      </c>
      <c r="J706" s="138">
        <v>46048</v>
      </c>
      <c r="K706" s="226"/>
      <c r="L706" s="408">
        <f ca="1">TODAY()-Table2[[#This Row],[CAR initialized date]]</f>
        <v>30</v>
      </c>
      <c r="M706" s="226" t="s">
        <v>1112</v>
      </c>
      <c r="N706" s="226"/>
    </row>
    <row r="707" spans="1:14" ht="30">
      <c r="A707" s="64" t="s">
        <v>119</v>
      </c>
      <c r="B707" s="2">
        <f>VLOOKUP(Table2[[#This Row],[Location 
(drop-down)]],Table14[[Location]:[Location ID]],2,FALSE)</f>
        <v>131</v>
      </c>
      <c r="C707" s="9" t="s">
        <v>685</v>
      </c>
      <c r="D707" s="15" t="str">
        <f>"C" &amp; C707 &amp;"-" &amp; B707 &amp; "-" &amp; "26"</f>
        <v>C020-131-26</v>
      </c>
      <c r="E707" s="9" t="s">
        <v>18</v>
      </c>
      <c r="F707" s="9"/>
      <c r="G707" s="64" t="s">
        <v>1427</v>
      </c>
      <c r="H707" s="66" t="s">
        <v>20</v>
      </c>
      <c r="I707" s="165" t="s">
        <v>69</v>
      </c>
      <c r="J707" s="138">
        <v>46048</v>
      </c>
      <c r="K707" s="226"/>
      <c r="L707" s="408">
        <f ca="1">TODAY()-Table2[[#This Row],[CAR initialized date]]</f>
        <v>30</v>
      </c>
      <c r="M707" s="226" t="s">
        <v>1112</v>
      </c>
      <c r="N707" s="226"/>
    </row>
    <row r="708" spans="1:14" ht="30">
      <c r="A708" s="64" t="s">
        <v>119</v>
      </c>
      <c r="B708" s="2">
        <f>VLOOKUP(Table2[[#This Row],[Location 
(drop-down)]],Table14[[Location]:[Location ID]],2,FALSE)</f>
        <v>131</v>
      </c>
      <c r="C708" s="9" t="s">
        <v>1000</v>
      </c>
      <c r="D708" s="15" t="str">
        <f>"C" &amp; C708 &amp;"-" &amp; B708 &amp; "-" &amp; "26"</f>
        <v>C021-131-26</v>
      </c>
      <c r="E708" s="9" t="s">
        <v>18</v>
      </c>
      <c r="F708" s="9"/>
      <c r="G708" s="64" t="s">
        <v>1428</v>
      </c>
      <c r="H708" s="66" t="s">
        <v>20</v>
      </c>
      <c r="I708" s="165" t="s">
        <v>69</v>
      </c>
      <c r="J708" s="138">
        <v>46048</v>
      </c>
      <c r="K708" s="226"/>
      <c r="L708" s="408">
        <f ca="1">TODAY()-Table2[[#This Row],[CAR initialized date]]</f>
        <v>30</v>
      </c>
      <c r="M708" s="226" t="s">
        <v>1112</v>
      </c>
      <c r="N708" s="226"/>
    </row>
    <row r="709" spans="1:14" ht="18.75">
      <c r="A709" s="227" t="s">
        <v>185</v>
      </c>
      <c r="B709" s="2">
        <f>VLOOKUP(Table2[[#This Row],[Location 
(drop-down)]],Table14[[Location]:[Location ID]],2,FALSE)</f>
        <v>144</v>
      </c>
      <c r="C709" s="254" t="s">
        <v>1366</v>
      </c>
      <c r="D709" s="378" t="s">
        <v>1429</v>
      </c>
      <c r="E709" s="254" t="s">
        <v>18</v>
      </c>
      <c r="F709" s="254"/>
      <c r="G709" s="227" t="s">
        <v>197</v>
      </c>
      <c r="H709" s="165" t="s">
        <v>201</v>
      </c>
      <c r="I709" s="230" t="s">
        <v>21</v>
      </c>
      <c r="J709" s="289">
        <v>45531</v>
      </c>
      <c r="K709" s="226"/>
      <c r="L709" s="408">
        <f ca="1">TODAY()-Table2[[#This Row],[CAR initialized date]]</f>
        <v>547</v>
      </c>
      <c r="M709" s="226" t="s">
        <v>1112</v>
      </c>
      <c r="N709" s="510"/>
    </row>
    <row r="710" spans="1:14" ht="18.75">
      <c r="A710" s="227" t="s">
        <v>185</v>
      </c>
      <c r="B710" s="2">
        <f>VLOOKUP(Table2[[#This Row],[Location 
(drop-down)]],Table14[[Location]:[Location ID]],2,FALSE)</f>
        <v>144</v>
      </c>
      <c r="C710" s="254" t="s">
        <v>1430</v>
      </c>
      <c r="D710" s="379" t="str">
        <f>"C" &amp; C710 &amp;"-" &amp; B710 &amp; "-" &amp; "25"</f>
        <v>C259-144-25</v>
      </c>
      <c r="E710" s="254" t="s">
        <v>120</v>
      </c>
      <c r="F710" s="18"/>
      <c r="G710" s="310" t="s">
        <v>1431</v>
      </c>
      <c r="H710" s="165" t="s">
        <v>20</v>
      </c>
      <c r="I710" s="165" t="s">
        <v>108</v>
      </c>
      <c r="J710" s="276">
        <v>45810</v>
      </c>
      <c r="K710" s="226"/>
      <c r="L710" s="408">
        <f ca="1">TODAY()-Table2[[#This Row],[CAR initialized date]]</f>
        <v>268</v>
      </c>
      <c r="M710" s="226" t="s">
        <v>1112</v>
      </c>
      <c r="N710" s="226"/>
    </row>
    <row r="711" spans="1:14" ht="18.75">
      <c r="A711" s="227" t="s">
        <v>185</v>
      </c>
      <c r="B711" s="2">
        <f>VLOOKUP(Table2[[#This Row],[Location 
(drop-down)]],Table14[[Location]:[Location ID]],2,FALSE)</f>
        <v>144</v>
      </c>
      <c r="C711" s="254" t="s">
        <v>186</v>
      </c>
      <c r="D711" s="379" t="str">
        <f>"C" &amp; C711 &amp;"-" &amp; B711 &amp; "-" &amp; "25"</f>
        <v>C363-144-25</v>
      </c>
      <c r="E711" s="254" t="s">
        <v>18</v>
      </c>
      <c r="F711" s="254"/>
      <c r="G711" s="227" t="s">
        <v>1432</v>
      </c>
      <c r="H711" s="165" t="s">
        <v>20</v>
      </c>
      <c r="I711" s="165" t="s">
        <v>69</v>
      </c>
      <c r="J711" s="289">
        <v>45888</v>
      </c>
      <c r="K711" s="226"/>
      <c r="L711" s="408">
        <f ca="1">TODAY()-Table2[[#This Row],[CAR initialized date]]</f>
        <v>190</v>
      </c>
      <c r="M711" s="226" t="s">
        <v>1112</v>
      </c>
      <c r="N711" s="226"/>
    </row>
    <row r="712" spans="1:14" ht="18.75">
      <c r="A712" s="227" t="s">
        <v>185</v>
      </c>
      <c r="B712" s="2">
        <f>VLOOKUP(Table2[[#This Row],[Location 
(drop-down)]],Table14[[Location]:[Location ID]],2,FALSE)</f>
        <v>144</v>
      </c>
      <c r="C712" s="254" t="s">
        <v>1433</v>
      </c>
      <c r="D712" s="379" t="str">
        <f>"C" &amp; C712 &amp;"-" &amp; B712 &amp; "-" &amp; "25"</f>
        <v>C364-144-25</v>
      </c>
      <c r="E712" s="254" t="s">
        <v>18</v>
      </c>
      <c r="F712" s="254"/>
      <c r="G712" s="227" t="s">
        <v>349</v>
      </c>
      <c r="H712" s="165" t="s">
        <v>20</v>
      </c>
      <c r="I712" s="165" t="s">
        <v>69</v>
      </c>
      <c r="J712" s="289">
        <v>45888</v>
      </c>
      <c r="K712" s="226"/>
      <c r="L712" s="408">
        <f ca="1">TODAY()-Table2[[#This Row],[CAR initialized date]]</f>
        <v>190</v>
      </c>
      <c r="M712" s="226" t="s">
        <v>1112</v>
      </c>
      <c r="N712" s="226"/>
    </row>
    <row r="713" spans="1:14" ht="18.75">
      <c r="A713" s="227" t="s">
        <v>185</v>
      </c>
      <c r="B713" s="2">
        <f>VLOOKUP(Table2[[#This Row],[Location 
(drop-down)]],Table14[[Location]:[Location ID]],2,FALSE)</f>
        <v>144</v>
      </c>
      <c r="C713" s="254" t="s">
        <v>1434</v>
      </c>
      <c r="D713" s="379" t="str">
        <f>"C" &amp; C713 &amp;"-" &amp; B713 &amp; "-" &amp; "25"</f>
        <v>C365-144-25</v>
      </c>
      <c r="E713" s="254" t="s">
        <v>18</v>
      </c>
      <c r="F713" s="254"/>
      <c r="G713" s="227" t="s">
        <v>1435</v>
      </c>
      <c r="H713" s="165" t="s">
        <v>20</v>
      </c>
      <c r="I713" s="165" t="s">
        <v>69</v>
      </c>
      <c r="J713" s="289">
        <v>45888</v>
      </c>
      <c r="K713" s="226"/>
      <c r="L713" s="408">
        <f ca="1">TODAY()-Table2[[#This Row],[CAR initialized date]]</f>
        <v>190</v>
      </c>
      <c r="M713" s="226" t="s">
        <v>1112</v>
      </c>
      <c r="N713" s="226"/>
    </row>
    <row r="714" spans="1:14" ht="18.75">
      <c r="A714" s="227" t="s">
        <v>185</v>
      </c>
      <c r="B714" s="2">
        <f>VLOOKUP(Table2[[#This Row],[Location 
(drop-down)]],Table14[[Location]:[Location ID]],2,FALSE)</f>
        <v>144</v>
      </c>
      <c r="C714" s="254" t="s">
        <v>1436</v>
      </c>
      <c r="D714" s="379" t="str">
        <f>"C" &amp; C714 &amp;"-" &amp; B714 &amp; "-" &amp; "25"</f>
        <v>C366-144-25</v>
      </c>
      <c r="E714" s="254" t="s">
        <v>18</v>
      </c>
      <c r="F714" s="254"/>
      <c r="G714" s="227" t="s">
        <v>1437</v>
      </c>
      <c r="H714" s="165" t="s">
        <v>20</v>
      </c>
      <c r="I714" s="165" t="s">
        <v>69</v>
      </c>
      <c r="J714" s="289">
        <v>45888</v>
      </c>
      <c r="K714" s="226"/>
      <c r="L714" s="408">
        <f ca="1">TODAY()-Table2[[#This Row],[CAR initialized date]]</f>
        <v>190</v>
      </c>
      <c r="M714" s="226" t="s">
        <v>1112</v>
      </c>
      <c r="N714" s="226"/>
    </row>
    <row r="715" spans="1:14" ht="18.75">
      <c r="A715" s="227" t="s">
        <v>185</v>
      </c>
      <c r="B715" s="2">
        <f>VLOOKUP(Table2[[#This Row],[Location 
(drop-down)]],Table14[[Location]:[Location ID]],2,FALSE)</f>
        <v>144</v>
      </c>
      <c r="C715" s="254" t="s">
        <v>630</v>
      </c>
      <c r="D715" s="379" t="str">
        <f>"C" &amp; C715 &amp;"-" &amp; B715 &amp; "-" &amp; "25"</f>
        <v>C367-144-25</v>
      </c>
      <c r="E715" s="254" t="s">
        <v>18</v>
      </c>
      <c r="F715" s="254"/>
      <c r="G715" s="227" t="s">
        <v>347</v>
      </c>
      <c r="H715" s="165" t="s">
        <v>20</v>
      </c>
      <c r="I715" s="165" t="s">
        <v>69</v>
      </c>
      <c r="J715" s="289">
        <v>45888</v>
      </c>
      <c r="K715" s="226"/>
      <c r="L715" s="408">
        <f ca="1">TODAY()-Table2[[#This Row],[CAR initialized date]]</f>
        <v>190</v>
      </c>
      <c r="M715" s="226" t="s">
        <v>1112</v>
      </c>
      <c r="N715" s="226"/>
    </row>
    <row r="716" spans="1:14" ht="18.75">
      <c r="A716" s="227" t="s">
        <v>185</v>
      </c>
      <c r="B716" s="2">
        <f>VLOOKUP(Table2[[#This Row],[Location 
(drop-down)]],Table14[[Location]:[Location ID]],2,FALSE)</f>
        <v>144</v>
      </c>
      <c r="C716" s="254" t="s">
        <v>37</v>
      </c>
      <c r="D716" s="379" t="str">
        <f>"C" &amp; C716 &amp;"-" &amp; B716 &amp; "-" &amp; "25"</f>
        <v>C368-144-25</v>
      </c>
      <c r="E716" s="254" t="s">
        <v>18</v>
      </c>
      <c r="F716" s="254"/>
      <c r="G716" s="227" t="s">
        <v>1438</v>
      </c>
      <c r="H716" s="165" t="s">
        <v>20</v>
      </c>
      <c r="I716" s="165" t="s">
        <v>69</v>
      </c>
      <c r="J716" s="289">
        <v>45888</v>
      </c>
      <c r="K716" s="226"/>
      <c r="L716" s="408">
        <f ca="1">TODAY()-Table2[[#This Row],[CAR initialized date]]</f>
        <v>190</v>
      </c>
      <c r="M716" s="226" t="s">
        <v>1112</v>
      </c>
      <c r="N716" s="226"/>
    </row>
    <row r="717" spans="1:14" ht="30">
      <c r="A717" s="64" t="s">
        <v>777</v>
      </c>
      <c r="B717" s="2">
        <f>VLOOKUP(Table2[[#This Row],[Location 
(drop-down)]],Table14[[Location]:[Location ID]],2,FALSE)</f>
        <v>199</v>
      </c>
      <c r="C717" s="9" t="s">
        <v>504</v>
      </c>
      <c r="D717" s="15" t="str">
        <f>"C" &amp; C717 &amp;"-" &amp; B717 &amp; "-" &amp; "26"</f>
        <v>C034-199-26</v>
      </c>
      <c r="E717" s="9" t="s">
        <v>81</v>
      </c>
      <c r="F717" s="9" t="s">
        <v>82</v>
      </c>
      <c r="G717" s="64" t="s">
        <v>1439</v>
      </c>
      <c r="H717" s="66" t="s">
        <v>68</v>
      </c>
      <c r="I717" s="165" t="s">
        <v>118</v>
      </c>
      <c r="J717" s="138">
        <v>46064</v>
      </c>
      <c r="K717" s="226"/>
      <c r="L717" s="408">
        <f ca="1">TODAY()-Table2[[#This Row],[CAR initialized date]]</f>
        <v>14</v>
      </c>
      <c r="M717" s="226" t="s">
        <v>1112</v>
      </c>
      <c r="N717" s="226"/>
    </row>
    <row r="718" spans="1:14" ht="45">
      <c r="A718" s="64" t="s">
        <v>777</v>
      </c>
      <c r="B718" s="2">
        <f>VLOOKUP(Table2[[#This Row],[Location 
(drop-down)]],Table14[[Location]:[Location ID]],2,FALSE)</f>
        <v>199</v>
      </c>
      <c r="C718" s="9" t="s">
        <v>604</v>
      </c>
      <c r="D718" s="15" t="str">
        <f>"C" &amp; C718 &amp;"-" &amp; B718 &amp; "-" &amp; "26"</f>
        <v>C035-199-26</v>
      </c>
      <c r="E718" s="9" t="s">
        <v>81</v>
      </c>
      <c r="F718" s="72" t="s">
        <v>82</v>
      </c>
      <c r="G718" s="64" t="s">
        <v>1440</v>
      </c>
      <c r="H718" s="66" t="s">
        <v>68</v>
      </c>
      <c r="I718" s="165" t="s">
        <v>118</v>
      </c>
      <c r="J718" s="138">
        <v>46064</v>
      </c>
      <c r="K718" s="226"/>
      <c r="L718" s="408">
        <f ca="1">TODAY()-Table2[[#This Row],[CAR initialized date]]</f>
        <v>14</v>
      </c>
      <c r="M718" s="226" t="s">
        <v>1112</v>
      </c>
      <c r="N718" s="226"/>
    </row>
    <row r="719" spans="1:14" ht="60">
      <c r="A719" s="64" t="s">
        <v>777</v>
      </c>
      <c r="B719" s="2">
        <f>VLOOKUP(Table2[[#This Row],[Location 
(drop-down)]],Table14[[Location]:[Location ID]],2,FALSE)</f>
        <v>199</v>
      </c>
      <c r="C719" s="9" t="s">
        <v>379</v>
      </c>
      <c r="D719" s="15" t="str">
        <f>"C" &amp; C719 &amp;"-" &amp; B719 &amp; "-" &amp; "26"</f>
        <v>C039-199-26</v>
      </c>
      <c r="E719" s="9" t="s">
        <v>81</v>
      </c>
      <c r="F719" s="72" t="s">
        <v>82</v>
      </c>
      <c r="G719" s="64" t="s">
        <v>1441</v>
      </c>
      <c r="H719" s="66" t="s">
        <v>68</v>
      </c>
      <c r="I719" s="165" t="s">
        <v>118</v>
      </c>
      <c r="J719" s="138">
        <v>46063</v>
      </c>
      <c r="K719" s="226"/>
      <c r="L719" s="408">
        <f ca="1">TODAY()-Table2[[#This Row],[CAR initialized date]]</f>
        <v>15</v>
      </c>
      <c r="M719" s="226" t="s">
        <v>1112</v>
      </c>
      <c r="N719" s="226"/>
    </row>
    <row r="720" spans="1:14" ht="60">
      <c r="A720" s="64" t="s">
        <v>777</v>
      </c>
      <c r="B720" s="2">
        <f>VLOOKUP(Table2[[#This Row],[Location 
(drop-down)]],Table14[[Location]:[Location ID]],2,FALSE)</f>
        <v>199</v>
      </c>
      <c r="C720" s="9" t="s">
        <v>290</v>
      </c>
      <c r="D720" s="15" t="str">
        <f>"C" &amp; C720 &amp;"-" &amp; B720 &amp; "-" &amp; "26"</f>
        <v>C045-199-26</v>
      </c>
      <c r="E720" s="9" t="s">
        <v>81</v>
      </c>
      <c r="F720" s="9"/>
      <c r="G720" s="64" t="s">
        <v>1442</v>
      </c>
      <c r="H720" s="66" t="s">
        <v>68</v>
      </c>
      <c r="I720" s="165" t="s">
        <v>118</v>
      </c>
      <c r="J720" s="138">
        <v>46076</v>
      </c>
      <c r="K720" s="226"/>
      <c r="L720" s="408">
        <f ca="1">TODAY()-Table2[[#This Row],[CAR initialized date]]</f>
        <v>2</v>
      </c>
      <c r="M720" s="226" t="s">
        <v>1112</v>
      </c>
      <c r="N720" s="226"/>
    </row>
    <row r="721" spans="1:14" ht="18.75">
      <c r="A721" s="227" t="s">
        <v>311</v>
      </c>
      <c r="B721" s="2">
        <f>VLOOKUP(Table2[[#This Row],[Location 
(drop-down)]],Table14[[Location]:[Location ID]],2,FALSE)</f>
        <v>139</v>
      </c>
      <c r="C721" s="254" t="s">
        <v>189</v>
      </c>
      <c r="D721" s="379" t="str">
        <f>"C" &amp; C721 &amp;"-" &amp; B721 &amp; "-" &amp; "25"</f>
        <v>C479-139-25</v>
      </c>
      <c r="E721" s="254" t="s">
        <v>18</v>
      </c>
      <c r="F721" s="417"/>
      <c r="G721" s="227" t="s">
        <v>1443</v>
      </c>
      <c r="H721" s="165" t="s">
        <v>20</v>
      </c>
      <c r="I721" s="165" t="s">
        <v>21</v>
      </c>
      <c r="J721" s="289">
        <v>45996</v>
      </c>
      <c r="K721" s="226"/>
      <c r="L721" s="408">
        <f ca="1">TODAY()-Table2[[#This Row],[CAR initialized date]]</f>
        <v>82</v>
      </c>
      <c r="M721" s="226" t="s">
        <v>1112</v>
      </c>
      <c r="N721" s="226"/>
    </row>
    <row r="722" spans="1:14" ht="18.75">
      <c r="A722" s="227" t="s">
        <v>311</v>
      </c>
      <c r="B722" s="2">
        <f>VLOOKUP(Table2[[#This Row],[Location 
(drop-down)]],Table14[[Location]:[Location ID]],2,FALSE)</f>
        <v>139</v>
      </c>
      <c r="C722" s="254" t="s">
        <v>146</v>
      </c>
      <c r="D722" s="379" t="str">
        <f>"C" &amp; C722 &amp;"-" &amp; B722 &amp; "-" &amp; "25"</f>
        <v>C480-139-25</v>
      </c>
      <c r="E722" s="254" t="s">
        <v>18</v>
      </c>
      <c r="F722" s="254"/>
      <c r="G722" s="227" t="s">
        <v>1444</v>
      </c>
      <c r="H722" s="165" t="s">
        <v>20</v>
      </c>
      <c r="I722" s="165" t="s">
        <v>21</v>
      </c>
      <c r="J722" s="289">
        <v>45996</v>
      </c>
      <c r="K722" s="226"/>
      <c r="L722" s="408">
        <f ca="1">TODAY()-Table2[[#This Row],[CAR initialized date]]</f>
        <v>82</v>
      </c>
      <c r="M722" s="226" t="s">
        <v>1112</v>
      </c>
      <c r="N722" s="226"/>
    </row>
    <row r="723" spans="1:14" ht="18.75">
      <c r="A723" s="227" t="s">
        <v>311</v>
      </c>
      <c r="B723" s="2">
        <f>VLOOKUP(Table2[[#This Row],[Location 
(drop-down)]],Table14[[Location]:[Location ID]],2,FALSE)</f>
        <v>139</v>
      </c>
      <c r="C723" s="254" t="s">
        <v>179</v>
      </c>
      <c r="D723" s="379" t="str">
        <f>"C" &amp; C723 &amp;"-" &amp; B723 &amp; "-" &amp; "25"</f>
        <v>C481-139-25</v>
      </c>
      <c r="E723" s="254" t="s">
        <v>18</v>
      </c>
      <c r="F723" s="254"/>
      <c r="G723" s="227" t="s">
        <v>1445</v>
      </c>
      <c r="H723" s="165" t="s">
        <v>20</v>
      </c>
      <c r="I723" s="165" t="s">
        <v>21</v>
      </c>
      <c r="J723" s="289">
        <v>45996</v>
      </c>
      <c r="K723" s="226"/>
      <c r="L723" s="408">
        <f ca="1">TODAY()-Table2[[#This Row],[CAR initialized date]]</f>
        <v>82</v>
      </c>
      <c r="M723" s="226" t="s">
        <v>1112</v>
      </c>
      <c r="N723" s="226"/>
    </row>
    <row r="724" spans="1:14" ht="18.75">
      <c r="A724" s="227" t="s">
        <v>311</v>
      </c>
      <c r="B724" s="2">
        <f>VLOOKUP(Table2[[#This Row],[Location 
(drop-down)]],Table14[[Location]:[Location ID]],2,FALSE)</f>
        <v>139</v>
      </c>
      <c r="C724" s="254" t="s">
        <v>595</v>
      </c>
      <c r="D724" s="379" t="str">
        <f>"C" &amp; C724 &amp;"-" &amp; B724 &amp; "-" &amp; "25"</f>
        <v>C482-139-25</v>
      </c>
      <c r="E724" s="254" t="s">
        <v>18</v>
      </c>
      <c r="F724" s="254"/>
      <c r="G724" s="227" t="s">
        <v>1446</v>
      </c>
      <c r="H724" s="165" t="s">
        <v>20</v>
      </c>
      <c r="I724" s="165" t="s">
        <v>21</v>
      </c>
      <c r="J724" s="289">
        <v>45996</v>
      </c>
      <c r="K724" s="226"/>
      <c r="L724" s="408">
        <f ca="1">TODAY()-Table2[[#This Row],[CAR initialized date]]</f>
        <v>82</v>
      </c>
      <c r="M724" s="226" t="s">
        <v>1112</v>
      </c>
      <c r="N724" s="226"/>
    </row>
    <row r="725" spans="1:14" ht="18.75">
      <c r="A725" s="227" t="s">
        <v>311</v>
      </c>
      <c r="B725" s="2">
        <f>VLOOKUP(Table2[[#This Row],[Location 
(drop-down)]],Table14[[Location]:[Location ID]],2,FALSE)</f>
        <v>139</v>
      </c>
      <c r="C725" s="254" t="s">
        <v>598</v>
      </c>
      <c r="D725" s="379" t="str">
        <f>"C" &amp; C725 &amp;"-" &amp; B725 &amp; "-" &amp; "25"</f>
        <v>C483-139-25</v>
      </c>
      <c r="E725" s="254" t="s">
        <v>18</v>
      </c>
      <c r="F725" s="254"/>
      <c r="G725" s="227" t="s">
        <v>1447</v>
      </c>
      <c r="H725" s="165" t="s">
        <v>20</v>
      </c>
      <c r="I725" s="165" t="s">
        <v>21</v>
      </c>
      <c r="J725" s="289">
        <v>45996</v>
      </c>
      <c r="K725" s="226"/>
      <c r="L725" s="408">
        <f ca="1">TODAY()-Table2[[#This Row],[CAR initialized date]]</f>
        <v>82</v>
      </c>
      <c r="M725" s="226" t="s">
        <v>1112</v>
      </c>
      <c r="N725" s="226"/>
    </row>
    <row r="726" spans="1:14" ht="18.75">
      <c r="A726" s="227" t="s">
        <v>311</v>
      </c>
      <c r="B726" s="2">
        <f>VLOOKUP(Table2[[#This Row],[Location 
(drop-down)]],Table14[[Location]:[Location ID]],2,FALSE)</f>
        <v>139</v>
      </c>
      <c r="C726" s="254" t="s">
        <v>1017</v>
      </c>
      <c r="D726" s="379" t="str">
        <f>"C" &amp; C726 &amp;"-" &amp; B726 &amp; "-" &amp; "25"</f>
        <v>C484-139-25</v>
      </c>
      <c r="E726" s="254" t="s">
        <v>18</v>
      </c>
      <c r="F726" s="254"/>
      <c r="G726" s="227" t="s">
        <v>1448</v>
      </c>
      <c r="H726" s="165" t="s">
        <v>201</v>
      </c>
      <c r="I726" s="165" t="s">
        <v>21</v>
      </c>
      <c r="J726" s="289">
        <v>45996</v>
      </c>
      <c r="K726" s="226"/>
      <c r="L726" s="408">
        <f ca="1">TODAY()-Table2[[#This Row],[CAR initialized date]]</f>
        <v>82</v>
      </c>
      <c r="M726" s="226" t="s">
        <v>1112</v>
      </c>
      <c r="N726" s="226"/>
    </row>
    <row r="727" spans="1:14" ht="18.75">
      <c r="A727" s="227" t="s">
        <v>1162</v>
      </c>
      <c r="B727" s="2">
        <f>VLOOKUP(Table2[[#This Row],[Location 
(drop-down)]],Table14[[Location]:[Location ID]],2,FALSE)</f>
        <v>137</v>
      </c>
      <c r="C727" s="254" t="s">
        <v>1449</v>
      </c>
      <c r="D727" s="379" t="str">
        <f>"C" &amp; C727 &amp;"-" &amp; B727 &amp; "-" &amp; "25"</f>
        <v>C295-137-25</v>
      </c>
      <c r="E727" s="254" t="s">
        <v>18</v>
      </c>
      <c r="F727" s="254"/>
      <c r="G727" s="227" t="s">
        <v>1450</v>
      </c>
      <c r="H727" s="165" t="s">
        <v>20</v>
      </c>
      <c r="I727" s="165" t="s">
        <v>21</v>
      </c>
      <c r="J727" s="289">
        <v>45835</v>
      </c>
      <c r="K727" s="226">
        <v>46024</v>
      </c>
      <c r="L727" s="532"/>
      <c r="M727" s="2" t="str">
        <f ca="1">IF(ISBLANK([1]!Table2[[#This Row],[Complete corrective actions (Approved Date)]]), TODAY()-[1]!Table2[[#This Row],[CAR initialized date]], "CLOSED")</f>
        <v>CLOSED</v>
      </c>
      <c r="N727" s="510">
        <f>Table2[[#This Row],[Effectiveness Review &amp; date deemed effective]]-Table2[[#This Row],[CAR initialized date]]</f>
        <v>189</v>
      </c>
    </row>
    <row r="728" spans="1:14" ht="18.75">
      <c r="A728" s="227" t="s">
        <v>1162</v>
      </c>
      <c r="B728" s="2">
        <f>VLOOKUP(Table2[[#This Row],[Location 
(drop-down)]],Table14[[Location]:[Location ID]],2,FALSE)</f>
        <v>137</v>
      </c>
      <c r="C728" s="254" t="s">
        <v>1451</v>
      </c>
      <c r="D728" s="379" t="str">
        <f>"C" &amp; C728 &amp;"-" &amp; B728 &amp; "-" &amp; "25"</f>
        <v>C293-137-25</v>
      </c>
      <c r="E728" s="254" t="s">
        <v>18</v>
      </c>
      <c r="F728" s="254"/>
      <c r="G728" s="227" t="s">
        <v>1452</v>
      </c>
      <c r="H728" s="165" t="s">
        <v>201</v>
      </c>
      <c r="I728" s="165" t="s">
        <v>21</v>
      </c>
      <c r="J728" s="289">
        <v>45835</v>
      </c>
      <c r="K728" s="226"/>
      <c r="L728" s="408">
        <f ca="1">TODAY()-Table2[[#This Row],[CAR initialized date]]</f>
        <v>243</v>
      </c>
      <c r="M728" s="226" t="s">
        <v>1112</v>
      </c>
      <c r="N728" s="226"/>
    </row>
    <row r="729" spans="1:14" ht="18.75">
      <c r="A729" s="227" t="s">
        <v>1162</v>
      </c>
      <c r="B729" s="2">
        <f>VLOOKUP(Table2[[#This Row],[Location 
(drop-down)]],Table14[[Location]:[Location ID]],2,FALSE)</f>
        <v>137</v>
      </c>
      <c r="C729" s="254" t="s">
        <v>895</v>
      </c>
      <c r="D729" s="379" t="str">
        <f>"C" &amp; C729 &amp;"-" &amp; B729 &amp; "-" &amp; "25"</f>
        <v>C294-137-25</v>
      </c>
      <c r="E729" s="254" t="s">
        <v>18</v>
      </c>
      <c r="F729" s="254"/>
      <c r="G729" s="227" t="s">
        <v>1453</v>
      </c>
      <c r="H729" s="165" t="s">
        <v>20</v>
      </c>
      <c r="I729" s="165" t="s">
        <v>21</v>
      </c>
      <c r="J729" s="289">
        <v>45835</v>
      </c>
      <c r="K729" s="226"/>
      <c r="L729" s="408">
        <f ca="1">TODAY()-Table2[[#This Row],[CAR initialized date]]</f>
        <v>243</v>
      </c>
      <c r="M729" s="226" t="s">
        <v>1112</v>
      </c>
      <c r="N729" s="226"/>
    </row>
    <row r="730" spans="1:14" ht="18.75">
      <c r="A730" s="227" t="s">
        <v>1162</v>
      </c>
      <c r="B730" s="2">
        <f>VLOOKUP(Table2[[#This Row],[Location 
(drop-down)]],Table14[[Location]:[Location ID]],2,FALSE)</f>
        <v>137</v>
      </c>
      <c r="C730" s="254" t="s">
        <v>1454</v>
      </c>
      <c r="D730" s="379" t="str">
        <f>"C" &amp; C730 &amp;"-" &amp; B730 &amp; "-" &amp; "25"</f>
        <v>C296-137-25</v>
      </c>
      <c r="E730" s="254" t="s">
        <v>18</v>
      </c>
      <c r="F730" s="254"/>
      <c r="G730" s="227" t="s">
        <v>351</v>
      </c>
      <c r="H730" s="165" t="s">
        <v>201</v>
      </c>
      <c r="I730" s="165" t="s">
        <v>21</v>
      </c>
      <c r="J730" s="289">
        <v>45835</v>
      </c>
      <c r="K730" s="226"/>
      <c r="L730" s="408">
        <f ca="1">TODAY()-Table2[[#This Row],[CAR initialized date]]</f>
        <v>243</v>
      </c>
      <c r="M730" s="226" t="s">
        <v>1112</v>
      </c>
      <c r="N730" s="226"/>
    </row>
    <row r="731" spans="1:14" ht="18.75">
      <c r="A731" s="227" t="s">
        <v>1162</v>
      </c>
      <c r="B731" s="2">
        <f>VLOOKUP(Table2[[#This Row],[Location 
(drop-down)]],Table14[[Location]:[Location ID]],2,FALSE)</f>
        <v>137</v>
      </c>
      <c r="C731" s="254" t="s">
        <v>1455</v>
      </c>
      <c r="D731" s="379" t="str">
        <f>"C" &amp; C731 &amp;"-" &amp; B731 &amp; "-" &amp; "25"</f>
        <v>C297-137-25</v>
      </c>
      <c r="E731" s="254" t="s">
        <v>18</v>
      </c>
      <c r="F731" s="254"/>
      <c r="G731" s="227" t="s">
        <v>1456</v>
      </c>
      <c r="H731" s="165" t="s">
        <v>20</v>
      </c>
      <c r="I731" s="165" t="s">
        <v>21</v>
      </c>
      <c r="J731" s="289">
        <v>45835</v>
      </c>
      <c r="K731" s="226"/>
      <c r="L731" s="408">
        <f ca="1">TODAY()-Table2[[#This Row],[CAR initialized date]]</f>
        <v>243</v>
      </c>
      <c r="M731" s="226" t="s">
        <v>1112</v>
      </c>
      <c r="N731" s="226"/>
    </row>
    <row r="732" spans="1:14" ht="18.75">
      <c r="A732" s="227" t="s">
        <v>1162</v>
      </c>
      <c r="B732" s="2">
        <f>VLOOKUP(Table2[[#This Row],[Location 
(drop-down)]],Table14[[Location]:[Location ID]],2,FALSE)</f>
        <v>137</v>
      </c>
      <c r="C732" s="254" t="s">
        <v>1457</v>
      </c>
      <c r="D732" s="379" t="str">
        <f>"C" &amp; C732 &amp;"-" &amp; B732 &amp; "-" &amp; "25"</f>
        <v>C298-137-25</v>
      </c>
      <c r="E732" s="254" t="s">
        <v>18</v>
      </c>
      <c r="F732" s="254"/>
      <c r="G732" s="227" t="s">
        <v>1458</v>
      </c>
      <c r="H732" s="165" t="s">
        <v>20</v>
      </c>
      <c r="I732" s="165" t="s">
        <v>21</v>
      </c>
      <c r="J732" s="289">
        <v>45835</v>
      </c>
      <c r="K732" s="226"/>
      <c r="L732" s="408">
        <f ca="1">TODAY()-Table2[[#This Row],[CAR initialized date]]</f>
        <v>243</v>
      </c>
      <c r="M732" s="226" t="s">
        <v>1112</v>
      </c>
      <c r="N732" s="226"/>
    </row>
    <row r="733" spans="1:14" ht="18.75">
      <c r="A733" s="227" t="s">
        <v>1162</v>
      </c>
      <c r="B733" s="2">
        <f>VLOOKUP(Table2[[#This Row],[Location 
(drop-down)]],Table14[[Location]:[Location ID]],2,FALSE)</f>
        <v>137</v>
      </c>
      <c r="C733" s="254" t="s">
        <v>74</v>
      </c>
      <c r="D733" s="379" t="str">
        <f>"C" &amp; C733 &amp;"-" &amp; B733 &amp; "-" &amp; "25"</f>
        <v>C299-137-25</v>
      </c>
      <c r="E733" s="254" t="s">
        <v>18</v>
      </c>
      <c r="F733" s="254"/>
      <c r="G733" s="227" t="s">
        <v>1459</v>
      </c>
      <c r="H733" s="165" t="s">
        <v>20</v>
      </c>
      <c r="I733" s="165" t="s">
        <v>21</v>
      </c>
      <c r="J733" s="289">
        <v>45835</v>
      </c>
      <c r="K733" s="226"/>
      <c r="L733" s="408">
        <f ca="1">TODAY()-Table2[[#This Row],[CAR initialized date]]</f>
        <v>243</v>
      </c>
      <c r="M733" s="226" t="s">
        <v>1112</v>
      </c>
      <c r="N733" s="226"/>
    </row>
    <row r="734" spans="1:14" ht="18.75">
      <c r="A734" s="227" t="s">
        <v>1162</v>
      </c>
      <c r="B734" s="2">
        <f>VLOOKUP(Table2[[#This Row],[Location 
(drop-down)]],Table14[[Location]:[Location ID]],2,FALSE)</f>
        <v>137</v>
      </c>
      <c r="C734" s="254" t="s">
        <v>1460</v>
      </c>
      <c r="D734" s="379" t="str">
        <f>"C" &amp; C734 &amp;"-" &amp; B734 &amp; "-" &amp; "25"</f>
        <v>C300-137-25</v>
      </c>
      <c r="E734" s="254" t="s">
        <v>18</v>
      </c>
      <c r="F734" s="254"/>
      <c r="G734" s="227" t="s">
        <v>1461</v>
      </c>
      <c r="H734" s="165" t="s">
        <v>20</v>
      </c>
      <c r="I734" s="165" t="s">
        <v>21</v>
      </c>
      <c r="J734" s="289">
        <v>45835</v>
      </c>
      <c r="K734" s="226"/>
      <c r="L734" s="408">
        <f ca="1">TODAY()-Table2[[#This Row],[CAR initialized date]]</f>
        <v>243</v>
      </c>
      <c r="M734" s="226" t="s">
        <v>1112</v>
      </c>
      <c r="N734" s="226"/>
    </row>
    <row r="735" spans="1:14" ht="18.75">
      <c r="A735" s="227" t="s">
        <v>462</v>
      </c>
      <c r="B735" s="2">
        <f>VLOOKUP(Table2[[#This Row],[Location 
(drop-down)]],Table14[[Location]:[Location ID]],2,FALSE)</f>
        <v>126</v>
      </c>
      <c r="C735" s="254" t="s">
        <v>1462</v>
      </c>
      <c r="D735" s="379" t="str">
        <f t="shared" ref="D728:D738" si="0">"C" &amp; C735 &amp;"-" &amp; B735 &amp; "-" &amp; "25"</f>
        <v>C249-126-25</v>
      </c>
      <c r="E735" s="254" t="s">
        <v>18</v>
      </c>
      <c r="F735" s="254"/>
      <c r="G735" s="227" t="s">
        <v>1463</v>
      </c>
      <c r="H735" s="165" t="s">
        <v>20</v>
      </c>
      <c r="I735" s="165" t="s">
        <v>69</v>
      </c>
      <c r="J735" s="276">
        <v>45800</v>
      </c>
      <c r="K735" s="226"/>
      <c r="L735" s="408">
        <f ca="1">TODAY()-Table2[[#This Row],[CAR initialized date]]</f>
        <v>278</v>
      </c>
      <c r="M735" s="226" t="s">
        <v>1112</v>
      </c>
      <c r="N735" s="226"/>
    </row>
    <row r="736" spans="1:14" ht="18.75">
      <c r="A736" s="227" t="s">
        <v>462</v>
      </c>
      <c r="B736" s="2">
        <f>VLOOKUP(Table2[[#This Row],[Location 
(drop-down)]],Table14[[Location]:[Location ID]],2,FALSE)</f>
        <v>126</v>
      </c>
      <c r="C736" s="254" t="s">
        <v>1464</v>
      </c>
      <c r="D736" s="379" t="str">
        <f t="shared" si="0"/>
        <v>C250-126-25</v>
      </c>
      <c r="E736" s="254" t="s">
        <v>18</v>
      </c>
      <c r="F736" s="254"/>
      <c r="G736" s="227" t="s">
        <v>1465</v>
      </c>
      <c r="H736" s="165" t="s">
        <v>20</v>
      </c>
      <c r="I736" s="165" t="s">
        <v>69</v>
      </c>
      <c r="J736" s="276">
        <v>45800</v>
      </c>
      <c r="K736" s="226"/>
      <c r="L736" s="408">
        <f ca="1">TODAY()-Table2[[#This Row],[CAR initialized date]]</f>
        <v>278</v>
      </c>
      <c r="M736" s="226" t="s">
        <v>1112</v>
      </c>
      <c r="N736" s="226"/>
    </row>
    <row r="737" spans="1:14" ht="18.75">
      <c r="A737" s="227" t="s">
        <v>462</v>
      </c>
      <c r="B737" s="2">
        <f>VLOOKUP(Table2[[#This Row],[Location 
(drop-down)]],Table14[[Location]:[Location ID]],2,FALSE)</f>
        <v>126</v>
      </c>
      <c r="C737" s="254" t="s">
        <v>1466</v>
      </c>
      <c r="D737" s="379" t="str">
        <f t="shared" si="0"/>
        <v>C252-126-25</v>
      </c>
      <c r="E737" s="254" t="s">
        <v>18</v>
      </c>
      <c r="F737" s="254"/>
      <c r="G737" s="227" t="s">
        <v>1467</v>
      </c>
      <c r="H737" s="165" t="s">
        <v>68</v>
      </c>
      <c r="I737" s="165" t="s">
        <v>69</v>
      </c>
      <c r="J737" s="276">
        <v>45800</v>
      </c>
      <c r="K737" s="226"/>
      <c r="L737" s="408">
        <f ca="1">TODAY()-Table2[[#This Row],[CAR initialized date]]</f>
        <v>278</v>
      </c>
      <c r="M737" s="226" t="s">
        <v>1112</v>
      </c>
      <c r="N737" s="226"/>
    </row>
    <row r="738" spans="1:14" ht="18.75">
      <c r="A738" s="227" t="s">
        <v>314</v>
      </c>
      <c r="B738" s="2">
        <f>VLOOKUP(Table2[[#This Row],[Location 
(drop-down)]],Table14[[Location]:[Location ID]],2,FALSE)</f>
        <v>150</v>
      </c>
      <c r="C738" s="254" t="s">
        <v>1468</v>
      </c>
      <c r="D738" s="379" t="str">
        <f t="shared" si="0"/>
        <v>C149-150-25</v>
      </c>
      <c r="E738" s="254" t="s">
        <v>18</v>
      </c>
      <c r="F738" s="254"/>
      <c r="G738" s="240" t="s">
        <v>1106</v>
      </c>
      <c r="H738" s="2" t="s">
        <v>68</v>
      </c>
      <c r="I738" s="165" t="s">
        <v>239</v>
      </c>
      <c r="J738" s="289">
        <v>45744</v>
      </c>
      <c r="K738" s="226"/>
      <c r="L738" s="408">
        <f ca="1">TODAY()-Table2[[#This Row],[CAR initialized date]]</f>
        <v>334</v>
      </c>
      <c r="M738" s="226" t="s">
        <v>1112</v>
      </c>
      <c r="N738" s="258"/>
    </row>
    <row r="739" spans="1:14" ht="18.75">
      <c r="A739" s="227" t="s">
        <v>969</v>
      </c>
      <c r="B739" s="2">
        <f>VLOOKUP(Table2[[#This Row],[Location 
(drop-down)]],Table14[[Location]:[Location ID]],2,FALSE)</f>
        <v>129</v>
      </c>
      <c r="C739" s="254">
        <v>529</v>
      </c>
      <c r="D739" s="378" t="s">
        <v>1469</v>
      </c>
      <c r="E739" s="413" t="s">
        <v>18</v>
      </c>
      <c r="F739" s="413"/>
      <c r="G739" s="227" t="s">
        <v>347</v>
      </c>
      <c r="H739" s="165" t="s">
        <v>20</v>
      </c>
      <c r="I739" s="230" t="s">
        <v>1005</v>
      </c>
      <c r="J739" s="289">
        <v>45701</v>
      </c>
      <c r="K739" s="226"/>
      <c r="L739" s="408">
        <f ca="1">TODAY()-Table2[[#This Row],[CAR initialized date]]</f>
        <v>377</v>
      </c>
      <c r="M739" s="226" t="s">
        <v>1112</v>
      </c>
      <c r="N739" s="510"/>
    </row>
    <row r="740" spans="1:14" ht="18.75">
      <c r="A740" s="227" t="s">
        <v>969</v>
      </c>
      <c r="B740" s="2">
        <f>VLOOKUP(Table2[[#This Row],[Location 
(drop-down)]],Table14[[Location]:[Location ID]],2,FALSE)</f>
        <v>129</v>
      </c>
      <c r="C740" s="254">
        <v>530</v>
      </c>
      <c r="D740" s="378" t="s">
        <v>1470</v>
      </c>
      <c r="E740" s="413" t="s">
        <v>18</v>
      </c>
      <c r="F740" s="413"/>
      <c r="G740" s="227" t="s">
        <v>1471</v>
      </c>
      <c r="H740" s="165" t="s">
        <v>20</v>
      </c>
      <c r="I740" s="230" t="s">
        <v>1005</v>
      </c>
      <c r="J740" s="289">
        <v>45701</v>
      </c>
      <c r="K740" s="226"/>
      <c r="L740" s="408">
        <f ca="1">TODAY()-Table2[[#This Row],[CAR initialized date]]</f>
        <v>377</v>
      </c>
      <c r="M740" s="226" t="s">
        <v>1112</v>
      </c>
      <c r="N740" s="510"/>
    </row>
    <row r="741" spans="1:14" ht="18.75">
      <c r="A741" s="227" t="s">
        <v>969</v>
      </c>
      <c r="B741" s="2">
        <f>VLOOKUP(Table2[[#This Row],[Location 
(drop-down)]],Table14[[Location]:[Location ID]],2,FALSE)</f>
        <v>129</v>
      </c>
      <c r="C741" s="254" t="s">
        <v>440</v>
      </c>
      <c r="D741" s="379" t="str">
        <f>"C" &amp; C741 &amp;"-" &amp; B741 &amp; "-" &amp; "25"</f>
        <v>C357-129-25</v>
      </c>
      <c r="E741" s="254" t="s">
        <v>18</v>
      </c>
      <c r="F741" s="254"/>
      <c r="G741" s="227" t="s">
        <v>1472</v>
      </c>
      <c r="H741" s="165" t="s">
        <v>20</v>
      </c>
      <c r="I741" s="165" t="s">
        <v>21</v>
      </c>
      <c r="J741" s="289">
        <v>45903</v>
      </c>
      <c r="K741" s="226"/>
      <c r="L741" s="408">
        <f ca="1">TODAY()-Table2[[#This Row],[CAR initialized date]]</f>
        <v>175</v>
      </c>
      <c r="M741" s="226" t="s">
        <v>1112</v>
      </c>
      <c r="N741" s="226"/>
    </row>
    <row r="742" spans="1:14" ht="18.75">
      <c r="A742" s="227" t="s">
        <v>969</v>
      </c>
      <c r="B742" s="2">
        <f>VLOOKUP(Table2[[#This Row],[Location 
(drop-down)]],Table14[[Location]:[Location ID]],2,FALSE)</f>
        <v>129</v>
      </c>
      <c r="C742" s="254" t="s">
        <v>400</v>
      </c>
      <c r="D742" s="379" t="str">
        <f>"C" &amp; C742 &amp;"-" &amp; B742 &amp; "-" &amp; "25"</f>
        <v>C358-129-25</v>
      </c>
      <c r="E742" s="254" t="s">
        <v>18</v>
      </c>
      <c r="F742" s="254"/>
      <c r="G742" s="227" t="s">
        <v>1473</v>
      </c>
      <c r="H742" s="165" t="s">
        <v>20</v>
      </c>
      <c r="I742" s="165" t="s">
        <v>21</v>
      </c>
      <c r="J742" s="289">
        <v>45903</v>
      </c>
      <c r="K742" s="226"/>
      <c r="L742" s="408">
        <f ca="1">TODAY()-Table2[[#This Row],[CAR initialized date]]</f>
        <v>175</v>
      </c>
      <c r="M742" s="226" t="s">
        <v>1112</v>
      </c>
      <c r="N742" s="226"/>
    </row>
    <row r="743" spans="1:14" ht="18.75">
      <c r="A743" s="227" t="s">
        <v>518</v>
      </c>
      <c r="B743" s="2">
        <f>VLOOKUP(Table2[[#This Row],[Location 
(drop-down)]],Table14[[Location]:[Location ID]],2,FALSE)</f>
        <v>185</v>
      </c>
      <c r="C743" s="254" t="s">
        <v>1474</v>
      </c>
      <c r="D743" s="379" t="str">
        <f>"C" &amp; C743 &amp;"-" &amp; B743 &amp; "-" &amp; "25"</f>
        <v>C258-185-25</v>
      </c>
      <c r="E743" s="254" t="s">
        <v>120</v>
      </c>
      <c r="F743" s="254"/>
      <c r="G743" s="310" t="s">
        <v>1431</v>
      </c>
      <c r="H743" s="165" t="s">
        <v>20</v>
      </c>
      <c r="I743" s="165" t="s">
        <v>108</v>
      </c>
      <c r="J743" s="276">
        <v>45810</v>
      </c>
      <c r="K743" s="226"/>
      <c r="L743" s="408">
        <f ca="1">TODAY()-Table2[[#This Row],[CAR initialized date]]</f>
        <v>268</v>
      </c>
      <c r="M743" s="226" t="s">
        <v>1112</v>
      </c>
      <c r="N743" s="226"/>
    </row>
  </sheetData>
  <conditionalFormatting sqref="M2:M35 M37:M67 M69:M73 M75 M77:M180 M584:M591">
    <cfRule type="expression" dxfId="38" priority="19">
      <formula>ISNUMBER(M2) = TRUE</formula>
    </cfRule>
  </conditionalFormatting>
  <conditionalFormatting sqref="M36 M68 M74 M76 M181:M207 M210:M215 M218:M276 M278:M583">
    <cfRule type="expression" dxfId="37" priority="4">
      <formula>ISNUMBER(M36)=TRUE</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371F87FB-E9D9-4B58-88C7-4DC539C76018}">
          <x14:formula1>
            <xm:f>'List source'!$B$2:$B$71</xm:f>
          </x14:formula1>
          <xm:sqref>B23:B1048214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C10B-59DC-4B97-B5C3-B22D0F56F3EC}">
  <sheetPr codeName="Sheet2"/>
  <dimension ref="A1:H31"/>
  <sheetViews>
    <sheetView tabSelected="1" topLeftCell="B1" workbookViewId="0">
      <selection activeCell="E17" sqref="E17"/>
    </sheetView>
  </sheetViews>
  <sheetFormatPr defaultRowHeight="13.5"/>
  <cols>
    <col min="1" max="1" width="40.7109375" style="13" bestFit="1" customWidth="1"/>
    <col min="2" max="2" width="32.5703125" style="29" bestFit="1" customWidth="1"/>
    <col min="3" max="3" width="23.28515625" style="524" bestFit="1" customWidth="1"/>
    <col min="4" max="4" width="23.28515625" style="13" bestFit="1" customWidth="1"/>
    <col min="5" max="5" width="40.7109375" style="13" bestFit="1" customWidth="1"/>
    <col min="6" max="6" width="17.28515625" style="29" bestFit="1" customWidth="1"/>
    <col min="7" max="7" width="6.140625" style="29" bestFit="1" customWidth="1"/>
    <col min="8" max="8" width="11.28515625" style="29" bestFit="1" customWidth="1"/>
    <col min="9" max="19" width="9.42578125" style="13" bestFit="1" customWidth="1"/>
    <col min="20" max="21" width="8.42578125" style="13" bestFit="1" customWidth="1"/>
    <col min="22" max="26" width="9.42578125" style="13" bestFit="1" customWidth="1"/>
    <col min="27" max="30" width="8.42578125" style="13" bestFit="1" customWidth="1"/>
    <col min="31" max="32" width="9.42578125" style="13" bestFit="1" customWidth="1"/>
    <col min="33" max="33" width="8.42578125" style="13" bestFit="1" customWidth="1"/>
    <col min="34" max="35" width="9.42578125" style="13" bestFit="1" customWidth="1"/>
    <col min="36" max="37" width="8.42578125" style="13" bestFit="1" customWidth="1"/>
    <col min="38" max="46" width="9.42578125" style="13" bestFit="1" customWidth="1"/>
    <col min="47" max="57" width="10.42578125" style="13" bestFit="1" customWidth="1"/>
    <col min="58" max="58" width="9.42578125" style="13" bestFit="1" customWidth="1"/>
    <col min="59" max="63" width="10.42578125" style="13" bestFit="1" customWidth="1"/>
    <col min="64" max="64" width="8.42578125" style="13" bestFit="1" customWidth="1"/>
    <col min="65" max="68" width="9.42578125" style="13" bestFit="1" customWidth="1"/>
    <col min="69" max="69" width="8.42578125" style="13" bestFit="1" customWidth="1"/>
    <col min="70" max="72" width="9.42578125" style="13" bestFit="1" customWidth="1"/>
    <col min="73" max="73" width="7.28515625" style="13" bestFit="1" customWidth="1"/>
    <col min="74" max="74" width="11.28515625" style="13" bestFit="1" customWidth="1"/>
    <col min="75" max="16384" width="9.140625" style="13"/>
  </cols>
  <sheetData>
    <row r="1" spans="1:8">
      <c r="E1" s="13" t="s">
        <v>1475</v>
      </c>
    </row>
    <row r="2" spans="1:8" ht="15">
      <c r="A2" s="521" t="s">
        <v>9</v>
      </c>
      <c r="B2" t="s">
        <v>1476</v>
      </c>
      <c r="C2" s="522"/>
      <c r="E2" s="521" t="s">
        <v>9</v>
      </c>
      <c r="F2" t="s">
        <v>1476</v>
      </c>
      <c r="G2"/>
      <c r="H2"/>
    </row>
    <row r="3" spans="1:8" ht="15">
      <c r="A3" s="521" t="s">
        <v>10</v>
      </c>
      <c r="B3" t="s">
        <v>1477</v>
      </c>
      <c r="C3"/>
      <c r="D3"/>
      <c r="E3" s="521" t="s">
        <v>10</v>
      </c>
      <c r="F3" t="s">
        <v>1476</v>
      </c>
      <c r="G3"/>
      <c r="H3"/>
    </row>
    <row r="4" spans="1:8" ht="15">
      <c r="A4"/>
      <c r="B4"/>
      <c r="C4"/>
      <c r="D4"/>
      <c r="E4"/>
      <c r="F4"/>
      <c r="G4"/>
      <c r="H4"/>
    </row>
    <row r="5" spans="1:8" ht="15">
      <c r="A5" s="521" t="s">
        <v>1478</v>
      </c>
      <c r="B5" t="s">
        <v>1479</v>
      </c>
      <c r="C5" s="523" t="s">
        <v>1480</v>
      </c>
      <c r="D5"/>
      <c r="E5" s="521" t="s">
        <v>1478</v>
      </c>
      <c r="F5" s="1" t="s">
        <v>1481</v>
      </c>
      <c r="G5"/>
      <c r="H5"/>
    </row>
    <row r="6" spans="1:8" ht="15">
      <c r="A6" s="91" t="s">
        <v>30</v>
      </c>
      <c r="B6" s="192"/>
      <c r="C6" s="192">
        <v>253.15384615384616</v>
      </c>
      <c r="D6"/>
      <c r="E6" s="91" t="s">
        <v>30</v>
      </c>
      <c r="F6" s="1">
        <v>20</v>
      </c>
      <c r="G6"/>
      <c r="H6"/>
    </row>
    <row r="7" spans="1:8" ht="15">
      <c r="A7" s="91" t="s">
        <v>119</v>
      </c>
      <c r="B7" s="192"/>
      <c r="C7" s="192">
        <v>381.5</v>
      </c>
      <c r="D7"/>
      <c r="E7" s="91" t="s">
        <v>566</v>
      </c>
      <c r="F7" s="1">
        <v>2</v>
      </c>
      <c r="G7"/>
      <c r="H7"/>
    </row>
    <row r="8" spans="1:8" ht="15">
      <c r="A8" s="91" t="s">
        <v>1162</v>
      </c>
      <c r="B8" s="192">
        <v>561</v>
      </c>
      <c r="C8" s="192">
        <v>527.28571428571433</v>
      </c>
      <c r="D8"/>
      <c r="E8" s="91" t="s">
        <v>119</v>
      </c>
      <c r="F8" s="1">
        <v>2</v>
      </c>
      <c r="G8"/>
      <c r="H8"/>
    </row>
    <row r="9" spans="1:8" ht="15">
      <c r="A9" s="91" t="s">
        <v>1482</v>
      </c>
      <c r="B9" s="192">
        <v>561</v>
      </c>
      <c r="C9" s="192">
        <v>352.04545454545456</v>
      </c>
      <c r="D9"/>
      <c r="E9" s="91" t="s">
        <v>1162</v>
      </c>
      <c r="F9" s="1">
        <v>11</v>
      </c>
      <c r="G9"/>
      <c r="H9"/>
    </row>
    <row r="10" spans="1:8" ht="15">
      <c r="A10"/>
      <c r="B10"/>
      <c r="C10"/>
      <c r="D10"/>
      <c r="E10" s="91" t="s">
        <v>969</v>
      </c>
      <c r="F10" s="1">
        <v>4</v>
      </c>
      <c r="G10"/>
      <c r="H10"/>
    </row>
    <row r="11" spans="1:8" ht="15">
      <c r="A11"/>
      <c r="B11"/>
      <c r="C11"/>
      <c r="D11"/>
      <c r="E11" s="91" t="s">
        <v>1482</v>
      </c>
      <c r="F11" s="1">
        <v>39</v>
      </c>
      <c r="G11"/>
      <c r="H11"/>
    </row>
    <row r="12" spans="1:8" ht="15">
      <c r="A12"/>
      <c r="B12"/>
      <c r="C12"/>
      <c r="D12"/>
      <c r="E12"/>
      <c r="F12"/>
      <c r="G12"/>
      <c r="H12"/>
    </row>
    <row r="13" spans="1:8" ht="15">
      <c r="A13"/>
      <c r="B13"/>
      <c r="C13"/>
      <c r="D13"/>
      <c r="E13"/>
      <c r="F13"/>
      <c r="G13"/>
      <c r="H13"/>
    </row>
    <row r="14" spans="1:8" ht="15">
      <c r="A14"/>
      <c r="B14"/>
      <c r="C14"/>
      <c r="D14"/>
      <c r="E14" s="91"/>
      <c r="F14" s="1"/>
      <c r="G14" s="1"/>
      <c r="H14" s="1"/>
    </row>
    <row r="15" spans="1:8" ht="15">
      <c r="A15"/>
      <c r="B15"/>
      <c r="C15"/>
      <c r="D15"/>
      <c r="E15" s="91"/>
      <c r="F15" s="1"/>
      <c r="G15" s="1"/>
      <c r="H15" s="1"/>
    </row>
    <row r="16" spans="1:8" ht="15">
      <c r="A16"/>
      <c r="B16"/>
      <c r="C16"/>
      <c r="D16"/>
      <c r="E16" s="91"/>
      <c r="F16" s="1"/>
      <c r="G16" s="1"/>
      <c r="H16" s="1"/>
    </row>
    <row r="17" spans="1:8" ht="15">
      <c r="A17"/>
      <c r="B17"/>
      <c r="C17"/>
      <c r="D17"/>
      <c r="E17" s="91"/>
      <c r="F17" s="1"/>
      <c r="G17" s="1"/>
      <c r="H17" s="1"/>
    </row>
    <row r="18" spans="1:8" ht="15">
      <c r="A18"/>
      <c r="B18"/>
      <c r="C18"/>
      <c r="D18"/>
      <c r="E18"/>
      <c r="F18"/>
      <c r="G18" s="1"/>
      <c r="H18" s="1"/>
    </row>
    <row r="19" spans="1:8" ht="15">
      <c r="A19"/>
      <c r="B19"/>
      <c r="C19"/>
      <c r="D19"/>
      <c r="E19"/>
      <c r="F19"/>
      <c r="G19"/>
      <c r="H19"/>
    </row>
    <row r="20" spans="1:8" ht="15">
      <c r="A20"/>
      <c r="B20"/>
      <c r="C20"/>
      <c r="D20"/>
      <c r="E20"/>
      <c r="F20"/>
      <c r="G20"/>
      <c r="H20"/>
    </row>
    <row r="21" spans="1:8" ht="15">
      <c r="E21"/>
      <c r="F21"/>
    </row>
    <row r="22" spans="1:8" ht="15">
      <c r="E22"/>
      <c r="F22"/>
    </row>
    <row r="23" spans="1:8" ht="15">
      <c r="E23"/>
      <c r="F23"/>
    </row>
    <row r="24" spans="1:8" ht="15">
      <c r="E24"/>
      <c r="F24"/>
    </row>
    <row r="25" spans="1:8" ht="15">
      <c r="E25"/>
      <c r="F25"/>
    </row>
    <row r="26" spans="1:8" ht="15">
      <c r="E26"/>
      <c r="F26"/>
    </row>
    <row r="27" spans="1:8" ht="15">
      <c r="E27"/>
      <c r="F27"/>
    </row>
    <row r="28" spans="1:8" ht="15">
      <c r="E28"/>
      <c r="F28"/>
    </row>
    <row r="29" spans="1:8" ht="15">
      <c r="E29"/>
      <c r="F29"/>
    </row>
    <row r="30" spans="1:8" ht="15">
      <c r="E30"/>
      <c r="F30"/>
    </row>
    <row r="31" spans="1:8" ht="15">
      <c r="E31"/>
      <c r="F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DE0E7-68BD-4CCD-8846-ED414C396FC6}">
  <sheetPr codeName="Sheet3"/>
  <dimension ref="A1:BC19"/>
  <sheetViews>
    <sheetView workbookViewId="0">
      <pane ySplit="4" topLeftCell="A5" activePane="bottomLeft" state="frozen"/>
      <selection pane="bottomLeft" activeCell="Y5" sqref="Y5"/>
    </sheetView>
  </sheetViews>
  <sheetFormatPr defaultRowHeight="15"/>
  <cols>
    <col min="2" max="4" width="0" hidden="1" customWidth="1"/>
    <col min="8" max="13" width="0" hidden="1" customWidth="1"/>
    <col min="17" max="24" width="0" hidden="1" customWidth="1"/>
    <col min="26" max="31" width="0" hidden="1" customWidth="1"/>
    <col min="35" max="40" width="9.140625" hidden="1" customWidth="1"/>
    <col min="44" max="49" width="9.140625" hidden="1" customWidth="1"/>
    <col min="53" max="55" width="0" hidden="1" customWidth="1"/>
  </cols>
  <sheetData>
    <row r="1" spans="1:55" ht="15.75" thickBot="1">
      <c r="E1" s="595" t="s">
        <v>1483</v>
      </c>
      <c r="F1" s="595"/>
      <c r="G1" s="595"/>
      <c r="H1" s="525"/>
      <c r="I1" s="525"/>
      <c r="J1" s="525"/>
    </row>
    <row r="2" spans="1:55" s="37" customFormat="1" ht="19.5" thickTop="1">
      <c r="A2" s="527"/>
      <c r="B2" s="584" t="s">
        <v>1484</v>
      </c>
      <c r="C2" s="585"/>
      <c r="D2" s="585"/>
      <c r="E2" s="585"/>
      <c r="F2" s="585"/>
      <c r="G2" s="585"/>
      <c r="H2" s="585"/>
      <c r="I2" s="585"/>
      <c r="J2" s="586"/>
      <c r="K2" s="592" t="s">
        <v>1485</v>
      </c>
      <c r="L2" s="593"/>
      <c r="M2" s="593"/>
      <c r="N2" s="593"/>
      <c r="O2" s="593"/>
      <c r="P2" s="593"/>
      <c r="Q2" s="593"/>
      <c r="R2" s="593"/>
      <c r="S2" s="594"/>
      <c r="T2" s="590" t="s">
        <v>1486</v>
      </c>
      <c r="U2" s="585"/>
      <c r="V2" s="585"/>
      <c r="W2" s="585"/>
      <c r="X2" s="585"/>
      <c r="Y2" s="585"/>
      <c r="Z2" s="585"/>
      <c r="AA2" s="585"/>
      <c r="AB2" s="586"/>
      <c r="AC2" s="592" t="s">
        <v>1162</v>
      </c>
      <c r="AD2" s="593"/>
      <c r="AE2" s="593"/>
      <c r="AF2" s="593"/>
      <c r="AG2" s="593"/>
      <c r="AH2" s="593"/>
      <c r="AI2" s="593"/>
      <c r="AJ2" s="593"/>
      <c r="AK2" s="594"/>
      <c r="AL2" s="590" t="s">
        <v>566</v>
      </c>
      <c r="AM2" s="585"/>
      <c r="AN2" s="585"/>
      <c r="AO2" s="585"/>
      <c r="AP2" s="585"/>
      <c r="AQ2" s="585"/>
      <c r="AR2" s="585"/>
      <c r="AS2" s="585"/>
      <c r="AT2" s="591"/>
      <c r="AU2" s="598" t="s">
        <v>969</v>
      </c>
      <c r="AV2" s="593"/>
      <c r="AW2" s="593"/>
      <c r="AX2" s="593"/>
      <c r="AY2" s="593"/>
      <c r="AZ2" s="593"/>
      <c r="BA2" s="593"/>
      <c r="BB2" s="593"/>
      <c r="BC2" s="599"/>
    </row>
    <row r="3" spans="1:55" s="37" customFormat="1" ht="18.75">
      <c r="A3" s="527"/>
      <c r="B3" s="580" t="s">
        <v>1487</v>
      </c>
      <c r="C3" s="581"/>
      <c r="D3" s="582"/>
      <c r="E3" s="583" t="s">
        <v>1488</v>
      </c>
      <c r="F3" s="581"/>
      <c r="G3" s="582"/>
      <c r="H3" s="583" t="s">
        <v>1489</v>
      </c>
      <c r="I3" s="581"/>
      <c r="J3" s="582"/>
      <c r="K3" s="587" t="s">
        <v>1487</v>
      </c>
      <c r="L3" s="588"/>
      <c r="M3" s="589"/>
      <c r="N3" s="587" t="s">
        <v>1488</v>
      </c>
      <c r="O3" s="588"/>
      <c r="P3" s="589"/>
      <c r="Q3" s="587" t="s">
        <v>1489</v>
      </c>
      <c r="R3" s="588"/>
      <c r="S3" s="589"/>
      <c r="T3" s="583" t="s">
        <v>1487</v>
      </c>
      <c r="U3" s="581"/>
      <c r="V3" s="582"/>
      <c r="W3" s="583" t="s">
        <v>1488</v>
      </c>
      <c r="X3" s="581"/>
      <c r="Y3" s="582"/>
      <c r="Z3" s="583" t="s">
        <v>1489</v>
      </c>
      <c r="AA3" s="581"/>
      <c r="AB3" s="582"/>
      <c r="AC3" s="587" t="s">
        <v>1487</v>
      </c>
      <c r="AD3" s="588"/>
      <c r="AE3" s="589"/>
      <c r="AF3" s="587" t="s">
        <v>1488</v>
      </c>
      <c r="AG3" s="588"/>
      <c r="AH3" s="589"/>
      <c r="AI3" s="587" t="s">
        <v>1489</v>
      </c>
      <c r="AJ3" s="588"/>
      <c r="AK3" s="589"/>
      <c r="AL3" s="583" t="s">
        <v>1487</v>
      </c>
      <c r="AM3" s="581"/>
      <c r="AN3" s="582"/>
      <c r="AO3" s="583" t="s">
        <v>1488</v>
      </c>
      <c r="AP3" s="581"/>
      <c r="AQ3" s="582"/>
      <c r="AR3" s="583" t="s">
        <v>1489</v>
      </c>
      <c r="AS3" s="581"/>
      <c r="AT3" s="600"/>
      <c r="AU3" s="597" t="s">
        <v>1487</v>
      </c>
      <c r="AV3" s="588"/>
      <c r="AW3" s="589"/>
      <c r="AX3" s="587" t="s">
        <v>1488</v>
      </c>
      <c r="AY3" s="588"/>
      <c r="AZ3" s="589"/>
      <c r="BA3" s="587" t="s">
        <v>1489</v>
      </c>
      <c r="BB3" s="588"/>
      <c r="BC3" s="596"/>
    </row>
    <row r="4" spans="1:55" s="37" customFormat="1" ht="45.75" thickBot="1">
      <c r="A4" s="527"/>
      <c r="B4" s="528" t="s">
        <v>1490</v>
      </c>
      <c r="C4" s="529" t="s">
        <v>1491</v>
      </c>
      <c r="D4" s="529" t="s">
        <v>1492</v>
      </c>
      <c r="E4" s="529" t="s">
        <v>1490</v>
      </c>
      <c r="F4" s="529" t="s">
        <v>1491</v>
      </c>
      <c r="G4" s="529" t="s">
        <v>1492</v>
      </c>
      <c r="H4" s="529" t="s">
        <v>1490</v>
      </c>
      <c r="I4" s="529" t="s">
        <v>1491</v>
      </c>
      <c r="J4" s="529" t="s">
        <v>1492</v>
      </c>
      <c r="K4" s="530" t="s">
        <v>1490</v>
      </c>
      <c r="L4" s="530" t="s">
        <v>1491</v>
      </c>
      <c r="M4" s="530" t="s">
        <v>1492</v>
      </c>
      <c r="N4" s="530" t="s">
        <v>1490</v>
      </c>
      <c r="O4" s="530" t="s">
        <v>1491</v>
      </c>
      <c r="P4" s="530" t="s">
        <v>1492</v>
      </c>
      <c r="Q4" s="530" t="s">
        <v>1490</v>
      </c>
      <c r="R4" s="530" t="s">
        <v>1491</v>
      </c>
      <c r="S4" s="530" t="s">
        <v>1492</v>
      </c>
      <c r="T4" s="529" t="s">
        <v>1490</v>
      </c>
      <c r="U4" s="529" t="s">
        <v>1491</v>
      </c>
      <c r="V4" s="529" t="s">
        <v>1492</v>
      </c>
      <c r="W4" s="529" t="s">
        <v>1490</v>
      </c>
      <c r="X4" s="529" t="s">
        <v>1491</v>
      </c>
      <c r="Y4" s="529" t="s">
        <v>1492</v>
      </c>
      <c r="Z4" s="529" t="s">
        <v>1490</v>
      </c>
      <c r="AA4" s="529" t="s">
        <v>1491</v>
      </c>
      <c r="AB4" s="529" t="s">
        <v>1492</v>
      </c>
      <c r="AC4" s="530" t="s">
        <v>1490</v>
      </c>
      <c r="AD4" s="530" t="s">
        <v>1491</v>
      </c>
      <c r="AE4" s="530" t="s">
        <v>1492</v>
      </c>
      <c r="AF4" s="530" t="s">
        <v>1490</v>
      </c>
      <c r="AG4" s="530" t="s">
        <v>1491</v>
      </c>
      <c r="AH4" s="530" t="s">
        <v>1492</v>
      </c>
      <c r="AI4" s="530" t="s">
        <v>1490</v>
      </c>
      <c r="AJ4" s="530" t="s">
        <v>1491</v>
      </c>
      <c r="AK4" s="530" t="s">
        <v>1492</v>
      </c>
      <c r="AL4" s="529" t="s">
        <v>1490</v>
      </c>
      <c r="AM4" s="529" t="s">
        <v>1491</v>
      </c>
      <c r="AN4" s="529" t="s">
        <v>1492</v>
      </c>
      <c r="AO4" s="529" t="s">
        <v>1490</v>
      </c>
      <c r="AP4" s="529" t="s">
        <v>1491</v>
      </c>
      <c r="AQ4" s="529" t="s">
        <v>1492</v>
      </c>
      <c r="AR4" s="529" t="s">
        <v>1490</v>
      </c>
      <c r="AS4" s="529" t="s">
        <v>1491</v>
      </c>
      <c r="AT4" s="531" t="s">
        <v>1492</v>
      </c>
      <c r="AU4" s="530" t="s">
        <v>1490</v>
      </c>
      <c r="AV4" s="530" t="s">
        <v>1491</v>
      </c>
      <c r="AW4" s="530" t="s">
        <v>1492</v>
      </c>
      <c r="AX4" s="530" t="s">
        <v>1490</v>
      </c>
      <c r="AY4" s="530" t="s">
        <v>1491</v>
      </c>
      <c r="AZ4" s="530" t="s">
        <v>1492</v>
      </c>
      <c r="BA4" s="530" t="s">
        <v>1490</v>
      </c>
      <c r="BB4" s="530" t="s">
        <v>1491</v>
      </c>
      <c r="BC4" s="577" t="s">
        <v>1492</v>
      </c>
    </row>
    <row r="5" spans="1:55" ht="15.75" thickTop="1">
      <c r="A5" s="4">
        <v>45658</v>
      </c>
      <c r="B5" s="526"/>
      <c r="C5" s="526"/>
      <c r="D5" s="526"/>
      <c r="E5" s="38">
        <v>1</v>
      </c>
      <c r="F5" s="38">
        <v>71</v>
      </c>
      <c r="G5" s="38">
        <v>0</v>
      </c>
      <c r="H5" s="38"/>
      <c r="I5" s="38"/>
      <c r="J5" s="38"/>
      <c r="K5" s="578"/>
      <c r="L5" s="578"/>
      <c r="M5" s="578"/>
      <c r="N5" s="578">
        <v>1</v>
      </c>
      <c r="O5" s="578">
        <v>13</v>
      </c>
      <c r="P5" s="578">
        <v>0</v>
      </c>
      <c r="Q5" s="578"/>
      <c r="R5" s="578"/>
      <c r="S5" s="578"/>
      <c r="T5" s="38"/>
      <c r="U5" s="38"/>
      <c r="V5" s="38"/>
      <c r="W5" s="38">
        <v>10</v>
      </c>
      <c r="X5" s="38">
        <v>131</v>
      </c>
      <c r="Y5" s="38">
        <v>2</v>
      </c>
      <c r="Z5" s="38"/>
      <c r="AA5" s="38"/>
      <c r="AB5" s="38"/>
      <c r="AC5" s="578"/>
      <c r="AD5" s="578"/>
      <c r="AE5" s="578"/>
      <c r="AF5" s="578">
        <v>0</v>
      </c>
      <c r="AG5" s="578" t="s">
        <v>1493</v>
      </c>
      <c r="AH5" s="578">
        <v>11</v>
      </c>
      <c r="AI5" s="578"/>
      <c r="AJ5" s="578"/>
      <c r="AK5" s="578"/>
      <c r="AL5" s="38"/>
      <c r="AM5" s="38"/>
      <c r="AN5" s="38"/>
      <c r="AO5" s="38"/>
      <c r="AP5" s="38">
        <v>329</v>
      </c>
      <c r="AQ5" s="38">
        <v>0</v>
      </c>
      <c r="AR5" s="38"/>
      <c r="AS5" s="38"/>
      <c r="AT5" s="38"/>
      <c r="AU5" s="578"/>
      <c r="AV5" s="578"/>
      <c r="AW5" s="578"/>
      <c r="AX5" s="578">
        <v>0</v>
      </c>
      <c r="AY5" s="578" t="s">
        <v>1493</v>
      </c>
      <c r="AZ5" s="578">
        <v>0</v>
      </c>
      <c r="BA5" s="39"/>
      <c r="BB5" s="39"/>
      <c r="BC5" s="39"/>
    </row>
    <row r="6" spans="1:55">
      <c r="A6" s="4">
        <v>45689</v>
      </c>
      <c r="B6" s="526"/>
      <c r="C6" s="526"/>
      <c r="D6" s="526"/>
      <c r="E6" s="38">
        <v>0</v>
      </c>
      <c r="F6" s="38" t="s">
        <v>1493</v>
      </c>
      <c r="G6" s="38">
        <v>0</v>
      </c>
      <c r="H6" s="38"/>
      <c r="I6" s="38"/>
      <c r="J6" s="38"/>
      <c r="K6" s="578"/>
      <c r="L6" s="578"/>
      <c r="M6" s="578"/>
      <c r="N6" s="578">
        <v>4</v>
      </c>
      <c r="O6" s="578">
        <v>22</v>
      </c>
      <c r="P6" s="578">
        <v>0</v>
      </c>
      <c r="Q6" s="578"/>
      <c r="R6" s="578"/>
      <c r="S6" s="578"/>
      <c r="T6" s="38"/>
      <c r="U6" s="38"/>
      <c r="V6" s="38"/>
      <c r="W6" s="38">
        <v>9</v>
      </c>
      <c r="X6" s="38">
        <v>301</v>
      </c>
      <c r="Y6" s="38">
        <v>8</v>
      </c>
      <c r="Z6" s="38"/>
      <c r="AA6" s="38"/>
      <c r="AB6" s="38"/>
      <c r="AC6" s="578"/>
      <c r="AD6" s="578"/>
      <c r="AE6" s="578"/>
      <c r="AF6" s="578">
        <v>0</v>
      </c>
      <c r="AG6" s="578" t="s">
        <v>1493</v>
      </c>
      <c r="AH6" s="578">
        <v>11</v>
      </c>
      <c r="AI6" s="578"/>
      <c r="AJ6" s="578"/>
      <c r="AK6" s="578"/>
      <c r="AL6" s="38"/>
      <c r="AM6" s="38"/>
      <c r="AN6" s="38"/>
      <c r="AO6" s="38">
        <v>0</v>
      </c>
      <c r="AP6" s="38" t="s">
        <v>1493</v>
      </c>
      <c r="AQ6" s="38">
        <v>0</v>
      </c>
      <c r="AR6" s="38"/>
      <c r="AS6" s="38"/>
      <c r="AT6" s="38"/>
      <c r="AU6" s="578"/>
      <c r="AV6" s="578"/>
      <c r="AW6" s="578"/>
      <c r="AX6" s="578">
        <v>0</v>
      </c>
      <c r="AY6" s="578" t="s">
        <v>1493</v>
      </c>
      <c r="AZ6" s="578">
        <v>0</v>
      </c>
      <c r="BA6" s="39"/>
      <c r="BB6" s="39"/>
      <c r="BC6" s="39"/>
    </row>
    <row r="7" spans="1:55">
      <c r="A7" s="4">
        <v>45717</v>
      </c>
      <c r="B7" s="526"/>
      <c r="C7" s="526"/>
      <c r="D7" s="526"/>
      <c r="E7" s="38">
        <v>0</v>
      </c>
      <c r="F7" s="38" t="s">
        <v>1493</v>
      </c>
      <c r="G7" s="38">
        <v>0</v>
      </c>
      <c r="H7" s="38"/>
      <c r="I7" s="38"/>
      <c r="J7" s="38"/>
      <c r="K7" s="578"/>
      <c r="L7" s="578"/>
      <c r="M7" s="578"/>
      <c r="N7" s="578">
        <v>4</v>
      </c>
      <c r="O7" s="578">
        <v>54</v>
      </c>
      <c r="P7" s="578">
        <v>0</v>
      </c>
      <c r="Q7" s="578"/>
      <c r="R7" s="578"/>
      <c r="S7" s="578"/>
      <c r="T7" s="38"/>
      <c r="U7" s="38"/>
      <c r="V7" s="38"/>
      <c r="W7" s="38">
        <v>0</v>
      </c>
      <c r="X7" s="38" t="s">
        <v>1493</v>
      </c>
      <c r="Y7" s="38">
        <v>0</v>
      </c>
      <c r="Z7" s="38"/>
      <c r="AA7" s="38"/>
      <c r="AB7" s="38"/>
      <c r="AC7" s="578"/>
      <c r="AD7" s="578"/>
      <c r="AE7" s="578"/>
      <c r="AF7" s="578">
        <v>0</v>
      </c>
      <c r="AG7" s="578" t="s">
        <v>1493</v>
      </c>
      <c r="AH7" s="578">
        <v>11</v>
      </c>
      <c r="AI7" s="578"/>
      <c r="AJ7" s="578"/>
      <c r="AK7" s="578"/>
      <c r="AL7" s="38"/>
      <c r="AM7" s="38"/>
      <c r="AN7" s="38"/>
      <c r="AO7" s="38">
        <v>0</v>
      </c>
      <c r="AP7" s="38" t="s">
        <v>1493</v>
      </c>
      <c r="AQ7" s="38">
        <v>0</v>
      </c>
      <c r="AR7" s="38"/>
      <c r="AS7" s="38"/>
      <c r="AT7" s="38"/>
      <c r="AU7" s="578"/>
      <c r="AV7" s="578"/>
      <c r="AW7" s="578"/>
      <c r="AX7" s="578">
        <v>0</v>
      </c>
      <c r="AY7" s="578" t="s">
        <v>1493</v>
      </c>
      <c r="AZ7" s="578">
        <v>0</v>
      </c>
      <c r="BA7" s="39"/>
      <c r="BB7" s="39"/>
      <c r="BC7" s="39"/>
    </row>
    <row r="8" spans="1:55">
      <c r="A8" s="4">
        <v>45748</v>
      </c>
      <c r="B8" s="526"/>
      <c r="C8" s="526"/>
      <c r="D8" s="526"/>
      <c r="E8" s="38">
        <v>1</v>
      </c>
      <c r="F8" s="38">
        <v>85</v>
      </c>
      <c r="G8" s="38">
        <v>0</v>
      </c>
      <c r="H8" s="38"/>
      <c r="I8" s="38"/>
      <c r="J8" s="38"/>
      <c r="K8" s="578"/>
      <c r="L8" s="578"/>
      <c r="M8" s="578"/>
      <c r="N8" s="578">
        <v>6</v>
      </c>
      <c r="O8" s="578">
        <v>83</v>
      </c>
      <c r="P8" s="578"/>
      <c r="Q8" s="578"/>
      <c r="R8" s="578"/>
      <c r="S8" s="578"/>
      <c r="T8" s="38"/>
      <c r="U8" s="38"/>
      <c r="V8" s="38"/>
      <c r="W8" s="38">
        <v>6</v>
      </c>
      <c r="X8" s="38">
        <v>309</v>
      </c>
      <c r="Y8" s="38"/>
      <c r="Z8" s="38"/>
      <c r="AA8" s="38"/>
      <c r="AB8" s="38"/>
      <c r="AC8" s="578"/>
      <c r="AD8" s="578"/>
      <c r="AE8" s="578"/>
      <c r="AF8" s="578">
        <v>0</v>
      </c>
      <c r="AG8" s="578" t="s">
        <v>1493</v>
      </c>
      <c r="AH8" s="578">
        <v>11</v>
      </c>
      <c r="AI8" s="578"/>
      <c r="AJ8" s="578"/>
      <c r="AK8" s="578"/>
      <c r="AL8" s="38"/>
      <c r="AM8" s="38"/>
      <c r="AN8" s="38"/>
      <c r="AO8" s="38">
        <v>0</v>
      </c>
      <c r="AP8" s="38" t="s">
        <v>1493</v>
      </c>
      <c r="AQ8" s="38"/>
      <c r="AR8" s="38"/>
      <c r="AS8" s="38"/>
      <c r="AT8" s="38"/>
      <c r="AU8" s="578"/>
      <c r="AV8" s="578"/>
      <c r="AW8" s="578"/>
      <c r="AX8" s="578">
        <v>0</v>
      </c>
      <c r="AY8" s="578"/>
      <c r="AZ8" s="578"/>
      <c r="BA8" s="39"/>
      <c r="BB8" s="39"/>
      <c r="BC8" s="39"/>
    </row>
    <row r="9" spans="1:55">
      <c r="A9" s="4">
        <v>45778</v>
      </c>
      <c r="B9" s="526"/>
      <c r="C9" s="526"/>
      <c r="D9" s="526"/>
      <c r="E9" s="38">
        <v>1</v>
      </c>
      <c r="F9" s="38">
        <v>4</v>
      </c>
      <c r="G9" s="38">
        <v>8</v>
      </c>
      <c r="H9" s="38"/>
      <c r="I9" s="38"/>
      <c r="J9" s="38"/>
      <c r="K9" s="578"/>
      <c r="L9" s="578"/>
      <c r="M9" s="578"/>
      <c r="N9" s="578">
        <v>8</v>
      </c>
      <c r="O9" s="578">
        <v>87</v>
      </c>
      <c r="P9" s="578"/>
      <c r="Q9" s="578"/>
      <c r="R9" s="578"/>
      <c r="S9" s="578"/>
      <c r="T9" s="38"/>
      <c r="U9" s="38"/>
      <c r="V9" s="38"/>
      <c r="W9" s="38">
        <v>5</v>
      </c>
      <c r="X9" s="38">
        <v>501</v>
      </c>
      <c r="Y9" s="38"/>
      <c r="Z9" s="38"/>
      <c r="AA9" s="38"/>
      <c r="AB9" s="38"/>
      <c r="AC9" s="578"/>
      <c r="AD9" s="578"/>
      <c r="AE9" s="578"/>
      <c r="AF9" s="578">
        <v>0</v>
      </c>
      <c r="AG9" s="578" t="s">
        <v>1493</v>
      </c>
      <c r="AH9" s="578">
        <v>11</v>
      </c>
      <c r="AI9" s="578"/>
      <c r="AJ9" s="578"/>
      <c r="AK9" s="578"/>
      <c r="AL9" s="38"/>
      <c r="AM9" s="38"/>
      <c r="AN9" s="38"/>
      <c r="AO9" s="38">
        <v>1</v>
      </c>
      <c r="AP9" s="38">
        <v>685</v>
      </c>
      <c r="AQ9" s="38"/>
      <c r="AR9" s="38"/>
      <c r="AS9" s="38"/>
      <c r="AT9" s="38"/>
      <c r="AU9" s="578"/>
      <c r="AV9" s="578"/>
      <c r="AW9" s="578"/>
      <c r="AX9" s="578">
        <v>0</v>
      </c>
      <c r="AY9" s="578" t="s">
        <v>1493</v>
      </c>
      <c r="AZ9" s="578"/>
      <c r="BA9" s="39"/>
      <c r="BB9" s="39"/>
      <c r="BC9" s="39"/>
    </row>
    <row r="10" spans="1:55">
      <c r="A10" s="4">
        <v>45809</v>
      </c>
      <c r="B10" s="526"/>
      <c r="C10" s="526"/>
      <c r="D10" s="526"/>
      <c r="E10" s="38">
        <v>9</v>
      </c>
      <c r="F10" s="38">
        <v>40</v>
      </c>
      <c r="G10" s="38">
        <v>8</v>
      </c>
      <c r="H10" s="38"/>
      <c r="I10" s="38"/>
      <c r="J10" s="38"/>
      <c r="K10" s="578"/>
      <c r="L10" s="578"/>
      <c r="M10" s="578"/>
      <c r="N10" s="578">
        <v>0</v>
      </c>
      <c r="O10" s="578" t="s">
        <v>1493</v>
      </c>
      <c r="P10" s="578"/>
      <c r="Q10" s="578"/>
      <c r="R10" s="578"/>
      <c r="S10" s="578"/>
      <c r="T10" s="38"/>
      <c r="U10" s="38"/>
      <c r="V10" s="38"/>
      <c r="W10" s="38">
        <v>0</v>
      </c>
      <c r="X10" s="38" t="s">
        <v>1493</v>
      </c>
      <c r="Y10" s="38"/>
      <c r="Z10" s="38"/>
      <c r="AA10" s="38"/>
      <c r="AB10" s="38"/>
      <c r="AC10" s="578"/>
      <c r="AD10" s="578"/>
      <c r="AE10" s="578"/>
      <c r="AF10" s="578">
        <v>0</v>
      </c>
      <c r="AG10" s="578" t="s">
        <v>1493</v>
      </c>
      <c r="AH10" s="578">
        <v>11</v>
      </c>
      <c r="AI10" s="578"/>
      <c r="AJ10" s="578"/>
      <c r="AK10" s="578"/>
      <c r="AL10" s="38"/>
      <c r="AM10" s="38"/>
      <c r="AN10" s="38"/>
      <c r="AO10" s="38">
        <v>0</v>
      </c>
      <c r="AP10" s="38" t="s">
        <v>1493</v>
      </c>
      <c r="AQ10" s="38"/>
      <c r="AR10" s="38"/>
      <c r="AS10" s="38"/>
      <c r="AT10" s="38"/>
      <c r="AU10" s="578"/>
      <c r="AV10" s="578"/>
      <c r="AW10" s="578"/>
      <c r="AX10" s="578">
        <v>0</v>
      </c>
      <c r="AY10" s="578" t="s">
        <v>1493</v>
      </c>
      <c r="AZ10" s="578"/>
      <c r="BA10" s="39"/>
      <c r="BB10" s="39"/>
      <c r="BC10" s="39"/>
    </row>
    <row r="11" spans="1:55">
      <c r="A11" s="4">
        <v>45839</v>
      </c>
      <c r="B11" s="526"/>
      <c r="C11" s="526"/>
      <c r="D11" s="526"/>
      <c r="E11" s="38">
        <v>2</v>
      </c>
      <c r="F11" s="38">
        <v>59</v>
      </c>
      <c r="G11" s="38"/>
      <c r="H11" s="38"/>
      <c r="I11" s="38"/>
      <c r="J11" s="38"/>
      <c r="K11" s="578"/>
      <c r="L11" s="578"/>
      <c r="M11" s="578"/>
      <c r="N11" s="578">
        <v>2</v>
      </c>
      <c r="O11" s="578">
        <v>283</v>
      </c>
      <c r="P11" s="578"/>
      <c r="Q11" s="578"/>
      <c r="R11" s="578"/>
      <c r="S11" s="578"/>
      <c r="T11" s="38"/>
      <c r="U11" s="38"/>
      <c r="V11" s="38"/>
      <c r="W11" s="38">
        <v>2</v>
      </c>
      <c r="X11" s="38">
        <v>263</v>
      </c>
      <c r="Y11" s="38"/>
      <c r="Z11" s="38"/>
      <c r="AA11" s="38"/>
      <c r="AB11" s="38"/>
      <c r="AC11" s="578"/>
      <c r="AD11" s="578"/>
      <c r="AE11" s="578"/>
      <c r="AF11" s="578">
        <v>0</v>
      </c>
      <c r="AG11" s="578" t="s">
        <v>1493</v>
      </c>
      <c r="AH11" s="578"/>
      <c r="AI11" s="578"/>
      <c r="AJ11" s="578"/>
      <c r="AK11" s="578"/>
      <c r="AL11" s="38"/>
      <c r="AM11" s="38"/>
      <c r="AN11" s="38"/>
      <c r="AO11" s="38">
        <v>1</v>
      </c>
      <c r="AP11" s="38">
        <v>758</v>
      </c>
      <c r="AQ11" s="38"/>
      <c r="AR11" s="38"/>
      <c r="AS11" s="38"/>
      <c r="AT11" s="38"/>
      <c r="AU11" s="578"/>
      <c r="AV11" s="578"/>
      <c r="AW11" s="578"/>
      <c r="AX11" s="578">
        <v>0</v>
      </c>
      <c r="AY11" s="578" t="s">
        <v>1493</v>
      </c>
      <c r="AZ11" s="578"/>
      <c r="BA11" s="39"/>
      <c r="BB11" s="39"/>
      <c r="BC11" s="39"/>
    </row>
    <row r="12" spans="1:55">
      <c r="A12" s="4">
        <v>45870</v>
      </c>
      <c r="B12" s="526"/>
      <c r="C12" s="526"/>
      <c r="D12" s="526"/>
      <c r="E12" s="38">
        <v>2</v>
      </c>
      <c r="F12" s="38">
        <v>78</v>
      </c>
      <c r="G12" s="38"/>
      <c r="H12" s="38"/>
      <c r="I12" s="38"/>
      <c r="J12" s="38"/>
      <c r="K12" s="578"/>
      <c r="L12" s="578"/>
      <c r="M12" s="578"/>
      <c r="N12" s="578">
        <v>1</v>
      </c>
      <c r="O12" s="578">
        <v>28</v>
      </c>
      <c r="P12" s="578"/>
      <c r="Q12" s="578"/>
      <c r="R12" s="578"/>
      <c r="S12" s="578"/>
      <c r="T12" s="38"/>
      <c r="U12" s="38"/>
      <c r="V12" s="38"/>
      <c r="W12" s="38">
        <v>0</v>
      </c>
      <c r="X12" s="38" t="s">
        <v>1493</v>
      </c>
      <c r="Y12" s="38"/>
      <c r="Z12" s="38"/>
      <c r="AA12" s="38"/>
      <c r="AB12" s="38"/>
      <c r="AC12" s="578"/>
      <c r="AD12" s="578"/>
      <c r="AE12" s="578"/>
      <c r="AF12" s="578">
        <v>0</v>
      </c>
      <c r="AG12" s="578" t="s">
        <v>1493</v>
      </c>
      <c r="AH12" s="578"/>
      <c r="AI12" s="578"/>
      <c r="AJ12" s="578"/>
      <c r="AK12" s="578"/>
      <c r="AL12" s="38"/>
      <c r="AM12" s="38"/>
      <c r="AN12" s="38"/>
      <c r="AO12" s="38">
        <v>0</v>
      </c>
      <c r="AP12" s="38" t="s">
        <v>1493</v>
      </c>
      <c r="AQ12" s="38"/>
      <c r="AR12" s="38"/>
      <c r="AS12" s="38"/>
      <c r="AT12" s="38"/>
      <c r="AU12" s="578"/>
      <c r="AV12" s="578"/>
      <c r="AW12" s="578"/>
      <c r="AX12" s="578">
        <v>0</v>
      </c>
      <c r="AY12" s="578" t="s">
        <v>1493</v>
      </c>
      <c r="AZ12" s="578"/>
      <c r="BA12" s="39"/>
      <c r="BB12" s="39"/>
      <c r="BC12" s="39"/>
    </row>
    <row r="13" spans="1:55">
      <c r="A13" s="4">
        <v>45901</v>
      </c>
      <c r="B13" s="526"/>
      <c r="C13" s="526"/>
      <c r="D13" s="526"/>
      <c r="E13" s="38">
        <v>2</v>
      </c>
      <c r="F13" s="38">
        <v>136</v>
      </c>
      <c r="G13" s="38"/>
      <c r="H13" s="38"/>
      <c r="I13" s="38"/>
      <c r="J13" s="38"/>
      <c r="K13" s="578"/>
      <c r="L13" s="578"/>
      <c r="M13" s="578"/>
      <c r="N13" s="578">
        <v>2</v>
      </c>
      <c r="O13" s="578">
        <v>304</v>
      </c>
      <c r="P13" s="578"/>
      <c r="Q13" s="578"/>
      <c r="R13" s="578"/>
      <c r="S13" s="578"/>
      <c r="T13" s="38"/>
      <c r="U13" s="38"/>
      <c r="V13" s="38"/>
      <c r="W13" s="38">
        <v>1</v>
      </c>
      <c r="X13" s="38">
        <v>410</v>
      </c>
      <c r="Y13" s="38"/>
      <c r="Z13" s="38"/>
      <c r="AA13" s="38"/>
      <c r="AB13" s="38"/>
      <c r="AC13" s="578"/>
      <c r="AD13" s="578"/>
      <c r="AE13" s="578"/>
      <c r="AF13" s="578">
        <v>0</v>
      </c>
      <c r="AG13" s="578" t="s">
        <v>1493</v>
      </c>
      <c r="AH13" s="578"/>
      <c r="AI13" s="578"/>
      <c r="AJ13" s="578"/>
      <c r="AK13" s="578"/>
      <c r="AL13" s="38"/>
      <c r="AM13" s="38"/>
      <c r="AN13" s="38"/>
      <c r="AO13" s="38">
        <v>2</v>
      </c>
      <c r="AP13" s="38">
        <v>100</v>
      </c>
      <c r="AQ13" s="38"/>
      <c r="AR13" s="38"/>
      <c r="AS13" s="38"/>
      <c r="AT13" s="38"/>
      <c r="AU13" s="578"/>
      <c r="AV13" s="578"/>
      <c r="AW13" s="578"/>
      <c r="AX13" s="578">
        <v>3</v>
      </c>
      <c r="AY13" s="578">
        <v>825</v>
      </c>
      <c r="AZ13" s="578"/>
      <c r="BA13" s="39"/>
      <c r="BB13" s="39"/>
      <c r="BC13" s="39"/>
    </row>
    <row r="14" spans="1:55">
      <c r="A14" s="4">
        <v>45931</v>
      </c>
      <c r="B14" s="526"/>
      <c r="C14" s="526"/>
      <c r="D14" s="526"/>
      <c r="E14" s="38">
        <v>4</v>
      </c>
      <c r="F14" s="38">
        <v>122</v>
      </c>
      <c r="G14" s="38"/>
      <c r="H14" s="38"/>
      <c r="I14" s="38"/>
      <c r="J14" s="38"/>
      <c r="K14" s="578"/>
      <c r="L14" s="578"/>
      <c r="M14" s="578"/>
      <c r="N14" s="578">
        <v>1</v>
      </c>
      <c r="O14" s="578">
        <v>48</v>
      </c>
      <c r="P14" s="578"/>
      <c r="Q14" s="578"/>
      <c r="R14" s="578"/>
      <c r="S14" s="578"/>
      <c r="T14" s="38"/>
      <c r="U14" s="38"/>
      <c r="V14" s="38"/>
      <c r="W14" s="38">
        <v>6</v>
      </c>
      <c r="X14" s="38">
        <v>258</v>
      </c>
      <c r="Y14" s="38"/>
      <c r="Z14" s="38"/>
      <c r="AA14" s="38"/>
      <c r="AB14" s="38"/>
      <c r="AC14" s="578"/>
      <c r="AD14" s="578"/>
      <c r="AE14" s="578"/>
      <c r="AF14" s="578">
        <v>0</v>
      </c>
      <c r="AG14" s="578" t="s">
        <v>1493</v>
      </c>
      <c r="AH14" s="578"/>
      <c r="AI14" s="578"/>
      <c r="AJ14" s="578"/>
      <c r="AK14" s="578"/>
      <c r="AL14" s="38"/>
      <c r="AM14" s="38"/>
      <c r="AN14" s="38"/>
      <c r="AO14" s="38">
        <v>0</v>
      </c>
      <c r="AP14" s="38" t="s">
        <v>1493</v>
      </c>
      <c r="AQ14" s="38"/>
      <c r="AR14" s="38"/>
      <c r="AS14" s="38"/>
      <c r="AT14" s="38"/>
      <c r="AU14" s="578"/>
      <c r="AV14" s="578"/>
      <c r="AW14" s="578"/>
      <c r="AX14" s="578">
        <v>3</v>
      </c>
      <c r="AY14" s="578">
        <v>442</v>
      </c>
      <c r="AZ14" s="578"/>
      <c r="BA14" s="39"/>
      <c r="BB14" s="39"/>
      <c r="BC14" s="39"/>
    </row>
    <row r="15" spans="1:55">
      <c r="A15" s="4">
        <v>45962</v>
      </c>
      <c r="B15" s="526"/>
      <c r="C15" s="526"/>
      <c r="D15" s="526"/>
      <c r="E15" s="38">
        <v>0</v>
      </c>
      <c r="F15" s="38" t="s">
        <v>1493</v>
      </c>
      <c r="G15" s="38"/>
      <c r="H15" s="38"/>
      <c r="I15" s="38"/>
      <c r="J15" s="38"/>
      <c r="K15" s="578"/>
      <c r="L15" s="578"/>
      <c r="M15" s="578"/>
      <c r="N15" s="578">
        <v>1</v>
      </c>
      <c r="O15" s="578">
        <v>95</v>
      </c>
      <c r="P15" s="578"/>
      <c r="Q15" s="578"/>
      <c r="R15" s="578"/>
      <c r="S15" s="578"/>
      <c r="T15" s="38"/>
      <c r="U15" s="38"/>
      <c r="V15" s="38"/>
      <c r="W15" s="38">
        <v>1</v>
      </c>
      <c r="X15" s="38">
        <v>143</v>
      </c>
      <c r="Y15" s="38"/>
      <c r="Z15" s="38"/>
      <c r="AA15" s="38"/>
      <c r="AB15" s="38"/>
      <c r="AC15" s="578"/>
      <c r="AD15" s="578"/>
      <c r="AE15" s="578"/>
      <c r="AF15" s="578">
        <v>0</v>
      </c>
      <c r="AG15" s="578" t="s">
        <v>1493</v>
      </c>
      <c r="AH15" s="578"/>
      <c r="AI15" s="578"/>
      <c r="AJ15" s="578"/>
      <c r="AK15" s="578"/>
      <c r="AL15" s="38"/>
      <c r="AM15" s="38"/>
      <c r="AN15" s="38"/>
      <c r="AO15" s="38">
        <v>1</v>
      </c>
      <c r="AP15" s="38">
        <v>93</v>
      </c>
      <c r="AQ15" s="38"/>
      <c r="AR15" s="38"/>
      <c r="AS15" s="38"/>
      <c r="AT15" s="38"/>
      <c r="AU15" s="578"/>
      <c r="AV15" s="578"/>
      <c r="AW15" s="578"/>
      <c r="AX15" s="578">
        <v>2</v>
      </c>
      <c r="AY15" s="578">
        <v>276</v>
      </c>
      <c r="AZ15" s="578"/>
      <c r="BA15" s="39"/>
      <c r="BB15" s="39"/>
      <c r="BC15" s="39"/>
    </row>
    <row r="16" spans="1:55">
      <c r="A16" s="4">
        <v>45992</v>
      </c>
      <c r="B16" s="526"/>
      <c r="C16" s="526"/>
      <c r="D16" s="526"/>
      <c r="E16" s="38">
        <v>3</v>
      </c>
      <c r="F16" s="38">
        <v>37</v>
      </c>
      <c r="G16" s="38"/>
      <c r="H16" s="38"/>
      <c r="I16" s="38"/>
      <c r="J16" s="38"/>
      <c r="K16" s="578"/>
      <c r="L16" s="578"/>
      <c r="M16" s="578"/>
      <c r="N16" s="578">
        <v>5</v>
      </c>
      <c r="O16" s="578">
        <v>118</v>
      </c>
      <c r="P16" s="578"/>
      <c r="Q16" s="578"/>
      <c r="R16" s="578"/>
      <c r="S16" s="578"/>
      <c r="T16" s="38"/>
      <c r="U16" s="38"/>
      <c r="V16" s="38"/>
      <c r="W16" s="38">
        <v>3</v>
      </c>
      <c r="X16" s="38">
        <v>28</v>
      </c>
      <c r="Y16" s="38"/>
      <c r="Z16" s="38"/>
      <c r="AA16" s="38"/>
      <c r="AB16" s="38"/>
      <c r="AC16" s="578"/>
      <c r="AD16" s="578"/>
      <c r="AE16" s="578"/>
      <c r="AF16" s="578">
        <v>0</v>
      </c>
      <c r="AG16" s="578" t="s">
        <v>1493</v>
      </c>
      <c r="AH16" s="578"/>
      <c r="AI16" s="578"/>
      <c r="AJ16" s="578"/>
      <c r="AK16" s="578"/>
      <c r="AL16" s="38"/>
      <c r="AM16" s="38"/>
      <c r="AN16" s="38"/>
      <c r="AO16" s="38">
        <v>1</v>
      </c>
      <c r="AP16" s="38">
        <v>180</v>
      </c>
      <c r="AQ16" s="38"/>
      <c r="AR16" s="38"/>
      <c r="AS16" s="38"/>
      <c r="AT16" s="38"/>
      <c r="AU16" s="578"/>
      <c r="AV16" s="578"/>
      <c r="AW16" s="578"/>
      <c r="AX16" s="578">
        <v>0</v>
      </c>
      <c r="AY16" s="578" t="s">
        <v>1493</v>
      </c>
      <c r="AZ16" s="578"/>
      <c r="BA16" s="39"/>
      <c r="BB16" s="39"/>
      <c r="BC16" s="39"/>
    </row>
    <row r="17" spans="1:55">
      <c r="A17" s="4">
        <v>46023</v>
      </c>
      <c r="B17" s="526"/>
      <c r="C17" s="526"/>
      <c r="D17" s="526"/>
      <c r="E17" s="38">
        <v>2</v>
      </c>
      <c r="F17" s="38">
        <v>40</v>
      </c>
      <c r="G17" s="38"/>
      <c r="H17" s="38"/>
      <c r="I17" s="38"/>
      <c r="J17" s="38"/>
      <c r="K17" s="578"/>
      <c r="L17" s="578"/>
      <c r="M17" s="578"/>
      <c r="N17" s="578">
        <v>2</v>
      </c>
      <c r="O17" s="578">
        <v>32</v>
      </c>
      <c r="P17" s="578"/>
      <c r="Q17" s="578"/>
      <c r="R17" s="578"/>
      <c r="S17" s="578"/>
      <c r="T17" s="38"/>
      <c r="U17" s="38"/>
      <c r="V17" s="38"/>
      <c r="W17" s="38">
        <v>1</v>
      </c>
      <c r="X17" s="38">
        <v>60</v>
      </c>
      <c r="Y17" s="38"/>
      <c r="Z17" s="38"/>
      <c r="AA17" s="38"/>
      <c r="AB17" s="38"/>
      <c r="AC17" s="578"/>
      <c r="AD17" s="578"/>
      <c r="AE17" s="578"/>
      <c r="AF17" s="578">
        <v>9</v>
      </c>
      <c r="AG17" s="578">
        <v>573</v>
      </c>
      <c r="AH17" s="578"/>
      <c r="AI17" s="578"/>
      <c r="AJ17" s="578"/>
      <c r="AK17" s="578"/>
      <c r="AL17" s="38"/>
      <c r="AM17" s="38"/>
      <c r="AN17" s="38"/>
      <c r="AO17" s="38">
        <v>0</v>
      </c>
      <c r="AP17" s="38" t="s">
        <v>1493</v>
      </c>
      <c r="AQ17" s="38"/>
      <c r="AR17" s="38"/>
      <c r="AS17" s="38"/>
      <c r="AT17" s="38"/>
      <c r="AU17" s="578"/>
      <c r="AV17" s="578"/>
      <c r="AW17" s="578"/>
      <c r="AX17" s="578">
        <v>2</v>
      </c>
      <c r="AY17" s="578">
        <v>323</v>
      </c>
      <c r="AZ17" s="578"/>
      <c r="BA17" s="39"/>
      <c r="BB17" s="39"/>
      <c r="BC17" s="39"/>
    </row>
    <row r="18" spans="1:55">
      <c r="A18" s="4">
        <v>46054</v>
      </c>
      <c r="B18" s="526"/>
      <c r="C18" s="526"/>
      <c r="D18" s="526"/>
      <c r="E18" s="38">
        <v>5</v>
      </c>
      <c r="F18" s="38">
        <v>85</v>
      </c>
      <c r="G18" s="38">
        <v>2</v>
      </c>
      <c r="H18" s="38"/>
      <c r="I18" s="38"/>
      <c r="J18" s="38"/>
      <c r="K18" s="578"/>
      <c r="L18" s="578"/>
      <c r="M18" s="578"/>
      <c r="N18" s="578">
        <v>2</v>
      </c>
      <c r="O18" s="578">
        <v>12</v>
      </c>
      <c r="P18" s="578"/>
      <c r="Q18" s="578"/>
      <c r="R18" s="578"/>
      <c r="S18" s="578"/>
      <c r="T18" s="38"/>
      <c r="U18" s="38"/>
      <c r="V18" s="38"/>
      <c r="W18" s="38">
        <v>1</v>
      </c>
      <c r="X18" s="38">
        <v>89</v>
      </c>
      <c r="Y18" s="38"/>
      <c r="Z18" s="38"/>
      <c r="AA18" s="38"/>
      <c r="AB18" s="38"/>
      <c r="AC18" s="578"/>
      <c r="AD18" s="578"/>
      <c r="AE18" s="578"/>
      <c r="AF18" s="578">
        <v>2</v>
      </c>
      <c r="AG18" s="578">
        <v>547</v>
      </c>
      <c r="AH18" s="578"/>
      <c r="AI18" s="578"/>
      <c r="AJ18" s="578"/>
      <c r="AK18" s="578"/>
      <c r="AL18" s="38"/>
      <c r="AM18" s="38"/>
      <c r="AN18" s="38"/>
      <c r="AO18" s="38">
        <v>0</v>
      </c>
      <c r="AP18" s="38" t="s">
        <v>1493</v>
      </c>
      <c r="AQ18" s="38"/>
      <c r="AR18" s="38"/>
      <c r="AS18" s="38"/>
      <c r="AT18" s="38"/>
      <c r="AU18" s="578"/>
      <c r="AV18" s="578"/>
      <c r="AW18" s="578"/>
      <c r="AX18" s="578">
        <v>0</v>
      </c>
      <c r="AY18" s="578" t="s">
        <v>1493</v>
      </c>
      <c r="AZ18" s="578"/>
      <c r="BA18" s="39"/>
      <c r="BB18" s="39"/>
      <c r="BC18" s="39"/>
    </row>
    <row r="19" spans="1:55" s="43" customFormat="1" ht="18.75">
      <c r="A19" s="40" t="s">
        <v>1494</v>
      </c>
      <c r="B19" s="41">
        <f>SUM(B5:B18)</f>
        <v>0</v>
      </c>
      <c r="C19" s="41" t="str">
        <f>IFERROR(AVERAGE(C5:C18), "-")</f>
        <v>-</v>
      </c>
      <c r="D19" s="41">
        <f>SUM(D5:D18)</f>
        <v>0</v>
      </c>
      <c r="E19" s="41">
        <f>SUM(E5:E18)</f>
        <v>32</v>
      </c>
      <c r="F19" s="41">
        <f>IFERROR(AVERAGE(F5:F18), "-")</f>
        <v>68.818181818181813</v>
      </c>
      <c r="G19" s="41">
        <f>SUM(G5:G18)</f>
        <v>18</v>
      </c>
      <c r="H19" s="41">
        <f>SUM(H5:H18)</f>
        <v>0</v>
      </c>
      <c r="I19" s="41" t="str">
        <f>IFERROR(AVERAGE(I5:I18), "-")</f>
        <v>-</v>
      </c>
      <c r="J19" s="41">
        <f>SUM(J5:J18)</f>
        <v>0</v>
      </c>
      <c r="K19" s="42">
        <f>SUM(K5:K18)</f>
        <v>0</v>
      </c>
      <c r="L19" s="42" t="str">
        <f>IFERROR(AVERAGE(L5:L18), "-")</f>
        <v>-</v>
      </c>
      <c r="M19" s="42">
        <f>SUM(M5:M18)</f>
        <v>0</v>
      </c>
      <c r="N19" s="42">
        <f>SUM(N5:N18)</f>
        <v>39</v>
      </c>
      <c r="O19" s="42">
        <f>IFERROR(AVERAGE(O5:O18), "-")</f>
        <v>90.692307692307693</v>
      </c>
      <c r="P19" s="42">
        <f>SUM(P5:P18)</f>
        <v>0</v>
      </c>
      <c r="Q19" s="42">
        <f>SUM(Q5:Q18)</f>
        <v>0</v>
      </c>
      <c r="R19" s="42" t="str">
        <f>IFERROR(AVERAGE(R5:R18), "-")</f>
        <v>-</v>
      </c>
      <c r="S19" s="42">
        <f>SUM(S5:S18)</f>
        <v>0</v>
      </c>
      <c r="T19" s="41">
        <f>SUM(T5:T18)</f>
        <v>0</v>
      </c>
      <c r="U19" s="41" t="str">
        <f>IFERROR(AVERAGE(U5:U18), "-")</f>
        <v>-</v>
      </c>
      <c r="V19" s="41">
        <f>SUM(V5:V18)</f>
        <v>0</v>
      </c>
      <c r="W19" s="41">
        <f>SUM(W5:W18)</f>
        <v>45</v>
      </c>
      <c r="X19" s="41">
        <f>IFERROR(AVERAGE(X5:X18), "-")</f>
        <v>226.63636363636363</v>
      </c>
      <c r="Y19" s="41">
        <f>SUM(Y5:Y18)</f>
        <v>10</v>
      </c>
      <c r="Z19" s="41">
        <f>SUM(Z5:Z18)</f>
        <v>0</v>
      </c>
      <c r="AA19" s="41" t="str">
        <f>IFERROR(AVERAGE(AA5:AA18), "-")</f>
        <v>-</v>
      </c>
      <c r="AB19" s="41">
        <f>SUM(AB5:AB18)</f>
        <v>0</v>
      </c>
      <c r="AC19" s="42">
        <f>SUM(AC5:AC18)</f>
        <v>0</v>
      </c>
      <c r="AD19" s="42" t="str">
        <f>IFERROR(AVERAGE(AD5:AD18), "-")</f>
        <v>-</v>
      </c>
      <c r="AE19" s="42">
        <f>SUM(AE5:AE18)</f>
        <v>0</v>
      </c>
      <c r="AF19" s="42">
        <f>SUM(AF5:AF18)</f>
        <v>11</v>
      </c>
      <c r="AG19" s="42">
        <f>IFERROR(AVERAGE(AG5:AG18), "-")</f>
        <v>560</v>
      </c>
      <c r="AH19" s="42">
        <f>SUM(AH5:AH18)</f>
        <v>66</v>
      </c>
      <c r="AI19" s="42">
        <f>SUM(AI5:AI18)</f>
        <v>0</v>
      </c>
      <c r="AJ19" s="42" t="str">
        <f>IFERROR(AVERAGE(AJ5:AJ18), "-")</f>
        <v>-</v>
      </c>
      <c r="AK19" s="42">
        <f>SUM(AK5:AK18)</f>
        <v>0</v>
      </c>
      <c r="AL19" s="41">
        <f>SUM(AL5:AL18)</f>
        <v>0</v>
      </c>
      <c r="AM19" s="41" t="str">
        <f>IFERROR(AVERAGE(AM5:AM18), "-")</f>
        <v>-</v>
      </c>
      <c r="AN19" s="41">
        <f>SUM(AN5:AN18)</f>
        <v>0</v>
      </c>
      <c r="AO19" s="41">
        <f>SUM(AO5:AO18)</f>
        <v>6</v>
      </c>
      <c r="AP19" s="41">
        <f>IFERROR(AVERAGE(AP5:AP18), "-")</f>
        <v>357.5</v>
      </c>
      <c r="AQ19" s="41">
        <f>SUM(AQ5:AQ18)</f>
        <v>0</v>
      </c>
      <c r="AR19" s="41">
        <f>SUM(AR5:AR18)</f>
        <v>0</v>
      </c>
      <c r="AS19" s="41" t="str">
        <f>IFERROR(AVERAGE(AS5:AS18), "-")</f>
        <v>-</v>
      </c>
      <c r="AT19" s="41">
        <f>SUM(AT5:AT18)</f>
        <v>0</v>
      </c>
      <c r="AU19" s="42">
        <f>SUM(AU5:AU18)</f>
        <v>0</v>
      </c>
      <c r="AV19" s="42" t="str">
        <f>IFERROR(AVERAGE(AV5:AV18), "-")</f>
        <v>-</v>
      </c>
      <c r="AW19" s="42">
        <f>SUM(AW5:AW18)</f>
        <v>0</v>
      </c>
      <c r="AX19" s="42">
        <f>SUM(AX5:AX18)</f>
        <v>10</v>
      </c>
      <c r="AY19" s="42">
        <f>IFERROR(AVERAGE(AY5:AY18), "-")</f>
        <v>466.5</v>
      </c>
      <c r="AZ19" s="42">
        <f>SUM(AZ5:AZ18)</f>
        <v>0</v>
      </c>
      <c r="BA19" s="42">
        <f>SUM(BA5:BA18)</f>
        <v>0</v>
      </c>
      <c r="BB19" s="42" t="str">
        <f>IFERROR(AVERAGE(BB5:BB18), "-")</f>
        <v>-</v>
      </c>
      <c r="BC19" s="42">
        <f>SUM(BC5:BC18)</f>
        <v>0</v>
      </c>
    </row>
  </sheetData>
  <mergeCells count="25">
    <mergeCell ref="E1:G1"/>
    <mergeCell ref="AX3:AZ3"/>
    <mergeCell ref="BA3:BC3"/>
    <mergeCell ref="AU3:AW3"/>
    <mergeCell ref="AU2:BC2"/>
    <mergeCell ref="AO3:AQ3"/>
    <mergeCell ref="AR3:AT3"/>
    <mergeCell ref="K2:S2"/>
    <mergeCell ref="T2:AB2"/>
    <mergeCell ref="B3:D3"/>
    <mergeCell ref="E3:G3"/>
    <mergeCell ref="T3:V3"/>
    <mergeCell ref="AL3:AN3"/>
    <mergeCell ref="B2:J2"/>
    <mergeCell ref="H3:J3"/>
    <mergeCell ref="K3:M3"/>
    <mergeCell ref="N3:P3"/>
    <mergeCell ref="AL2:AT2"/>
    <mergeCell ref="AC2:AK2"/>
    <mergeCell ref="W3:Y3"/>
    <mergeCell ref="Z3:AB3"/>
    <mergeCell ref="AC3:AE3"/>
    <mergeCell ref="AF3:AH3"/>
    <mergeCell ref="AI3:AK3"/>
    <mergeCell ref="Q3:S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A6891-0122-4375-8770-AC54A13EF2F0}">
  <sheetPr codeName="Sheet4"/>
  <dimension ref="A1:N2705"/>
  <sheetViews>
    <sheetView workbookViewId="0"/>
  </sheetViews>
  <sheetFormatPr defaultRowHeight="13.5"/>
  <cols>
    <col min="1" max="1" width="15.85546875" style="13" customWidth="1"/>
    <col min="2" max="3" width="9.140625" style="13" customWidth="1"/>
    <col min="4" max="4" width="14.7109375" style="13" customWidth="1"/>
    <col min="5" max="5" width="37.28515625" style="13" customWidth="1"/>
    <col min="6" max="6" width="9.140625" style="13" customWidth="1"/>
    <col min="7" max="7" width="22.85546875" style="13" customWidth="1"/>
    <col min="8" max="8" width="9.140625" style="13" customWidth="1"/>
    <col min="9" max="9" width="18.140625" style="13" customWidth="1"/>
    <col min="10" max="11" width="9.140625" style="13"/>
    <col min="12" max="12" width="13.42578125" style="13" bestFit="1" customWidth="1"/>
    <col min="13" max="13" width="27.140625" style="29" bestFit="1" customWidth="1"/>
    <col min="14" max="16384" width="9.140625" style="13"/>
  </cols>
  <sheetData>
    <row r="1" spans="1:14" ht="90">
      <c r="A1" s="208" t="s">
        <v>0</v>
      </c>
      <c r="B1" s="209" t="s">
        <v>1</v>
      </c>
      <c r="C1" s="209" t="s">
        <v>2</v>
      </c>
      <c r="D1" s="209" t="s">
        <v>1495</v>
      </c>
      <c r="E1" s="210" t="s">
        <v>1496</v>
      </c>
      <c r="F1" s="210" t="s">
        <v>1497</v>
      </c>
      <c r="G1" s="210" t="s">
        <v>1498</v>
      </c>
      <c r="H1" s="210" t="s">
        <v>1499</v>
      </c>
      <c r="I1" s="210" t="s">
        <v>1500</v>
      </c>
      <c r="J1" s="93" t="s">
        <v>8</v>
      </c>
      <c r="K1" s="93" t="s">
        <v>10</v>
      </c>
      <c r="L1" s="94" t="s">
        <v>1501</v>
      </c>
      <c r="M1" s="95" t="s">
        <v>1502</v>
      </c>
      <c r="N1" s="96" t="s">
        <v>11</v>
      </c>
    </row>
    <row r="2" spans="1:14" ht="30">
      <c r="A2" s="97" t="s">
        <v>39</v>
      </c>
      <c r="B2" s="98">
        <f>VLOOKUP([2]!Table27[[#This Row],[Location 
(drop-down)]],'[2]List source'!D$2:E$59,2,FALSE)</f>
        <v>215</v>
      </c>
      <c r="C2" s="99" t="s">
        <v>1503</v>
      </c>
      <c r="D2" s="212" t="str">
        <f t="shared" ref="D2:D65" si="0">"PTO" &amp; C2 &amp; "-" &amp; B2 &amp; "-" &amp; "23"</f>
        <v>PTO1191-215-23</v>
      </c>
      <c r="E2" s="213" t="s">
        <v>1504</v>
      </c>
      <c r="F2" s="214" t="e" cm="1">
        <f t="array" aca="1" ref="F2" ca="1">MID(LEFT(#REF!, INDEX(_xlfn._xlws.FILTER(ROW(INDIRECT("1:" &amp; LEN(#REF!))), (48 &lt;= CODE(MID(#REF!, ROW(INDIRECT("1:" &amp; LEN(#REF!))), 1))) * (CODE(MID(#REF!, ROW(INDIRECT("1:" &amp; LEN(#REF!))), 1)) &lt;= 57)), 1) - 1), FIND(":",#REF!) + 2, LEN(#REF!))</f>
        <v>#REF!</v>
      </c>
      <c r="G2" s="215" t="e">
        <f>MID(LEFT(#REF!, FIND(",",#REF!) - 1), FIND("{token}", SUBSTITUTE(#REF!, " ", "{token}", 2)) + 1, LEN(#REF!))</f>
        <v>#REF!</v>
      </c>
      <c r="H2" s="214">
        <v>2783.33</v>
      </c>
      <c r="I2" s="216">
        <v>45646</v>
      </c>
      <c r="J2" s="216" t="s">
        <v>34</v>
      </c>
      <c r="K2" s="217">
        <v>45293</v>
      </c>
      <c r="L2" s="165" t="s">
        <v>1505</v>
      </c>
      <c r="M2" s="218">
        <v>1191</v>
      </c>
      <c r="N2" s="2" t="str">
        <f t="shared" ref="N2:N87" ca="1" si="1">IF(ISBLANK(K2), TODAY()-(I2), "CLOSED")</f>
        <v>CLOSED</v>
      </c>
    </row>
    <row r="3" spans="1:14" ht="37.5">
      <c r="A3" s="82" t="s">
        <v>566</v>
      </c>
      <c r="B3" s="199">
        <f>VLOOKUP([2]!Table27[[#This Row],[Location 
(drop-down)]],'[2]List source'!D$2:E$59,2,FALSE)</f>
        <v>215</v>
      </c>
      <c r="C3" s="540" t="s">
        <v>428</v>
      </c>
      <c r="D3" s="541" t="str">
        <f t="shared" si="0"/>
        <v>PTO028-215-23</v>
      </c>
      <c r="E3" s="82" t="s">
        <v>1506</v>
      </c>
      <c r="F3" s="542" t="s">
        <v>1507</v>
      </c>
      <c r="G3" s="543" t="s">
        <v>1508</v>
      </c>
      <c r="H3" s="542">
        <v>-5.41</v>
      </c>
      <c r="I3" s="544">
        <v>45201</v>
      </c>
      <c r="J3" s="544" t="s">
        <v>111</v>
      </c>
      <c r="K3" s="545">
        <v>46014</v>
      </c>
      <c r="L3" s="165"/>
      <c r="M3" s="218"/>
      <c r="N3" s="2"/>
    </row>
    <row r="4" spans="1:14" ht="37.5">
      <c r="A4" s="82" t="s">
        <v>462</v>
      </c>
      <c r="B4" s="199">
        <f>VLOOKUP([2]!Table27[[#This Row],[Location 
(drop-down)]],'[2]List source'!D$2:E$59,2,FALSE)</f>
        <v>133</v>
      </c>
      <c r="C4" s="540" t="s">
        <v>341</v>
      </c>
      <c r="D4" s="546" t="str">
        <f t="shared" si="0"/>
        <v>PTO050-133-23</v>
      </c>
      <c r="E4" s="82" t="s">
        <v>1509</v>
      </c>
      <c r="F4" s="542" t="s">
        <v>1510</v>
      </c>
      <c r="G4" s="543" t="s">
        <v>1511</v>
      </c>
      <c r="H4" s="542">
        <v>6.89</v>
      </c>
      <c r="I4" s="544">
        <v>45204</v>
      </c>
      <c r="J4" s="547" t="s">
        <v>1512</v>
      </c>
      <c r="K4" s="548">
        <v>46006</v>
      </c>
      <c r="L4" s="165"/>
      <c r="M4" s="218"/>
      <c r="N4" s="2"/>
    </row>
    <row r="5" spans="1:14" ht="37.5">
      <c r="A5" s="82" t="s">
        <v>432</v>
      </c>
      <c r="B5" s="199">
        <f>VLOOKUP([2]!Table27[[#This Row],[Location 
(drop-down)]],'[2]List source'!D$2:E$59,2,FALSE)</f>
        <v>126</v>
      </c>
      <c r="C5" s="540" t="s">
        <v>340</v>
      </c>
      <c r="D5" s="546" t="str">
        <f t="shared" si="0"/>
        <v>PTO049-126-23</v>
      </c>
      <c r="E5" s="82" t="s">
        <v>1513</v>
      </c>
      <c r="F5" s="549" t="s">
        <v>1510</v>
      </c>
      <c r="G5" s="82" t="s">
        <v>1514</v>
      </c>
      <c r="H5" s="549" t="s">
        <v>1515</v>
      </c>
      <c r="I5" s="550">
        <v>45204</v>
      </c>
      <c r="J5" s="551" t="s">
        <v>108</v>
      </c>
      <c r="K5" s="548">
        <v>45838</v>
      </c>
      <c r="L5" s="165"/>
      <c r="M5" s="218"/>
      <c r="N5" s="2"/>
    </row>
    <row r="6" spans="1:14" ht="37.5">
      <c r="A6" s="82" t="s">
        <v>30</v>
      </c>
      <c r="B6" s="199">
        <f>VLOOKUP([2]!Table27[[#This Row],[Location 
(drop-down)]],'[2]List source'!D$2:E$59,2,FALSE)</f>
        <v>125</v>
      </c>
      <c r="C6" s="540" t="s">
        <v>615</v>
      </c>
      <c r="D6" s="541" t="str">
        <f t="shared" si="0"/>
        <v>PTO092-125-23</v>
      </c>
      <c r="E6" s="82" t="s">
        <v>1516</v>
      </c>
      <c r="F6" s="549" t="s">
        <v>1517</v>
      </c>
      <c r="G6" s="82" t="s">
        <v>1518</v>
      </c>
      <c r="H6" s="549">
        <v>4.9000000000000004</v>
      </c>
      <c r="I6" s="550">
        <v>45215</v>
      </c>
      <c r="J6" s="550" t="s">
        <v>111</v>
      </c>
      <c r="K6" s="545">
        <v>45838</v>
      </c>
      <c r="L6" s="165"/>
      <c r="M6" s="218"/>
      <c r="N6" s="2"/>
    </row>
    <row r="7" spans="1:14" ht="45">
      <c r="A7" s="82" t="s">
        <v>30</v>
      </c>
      <c r="B7" s="199">
        <f>VLOOKUP([2]!Table27[[#This Row],[Location 
(drop-down)]],'[2]List source'!D$2:E$59,2,FALSE)</f>
        <v>132</v>
      </c>
      <c r="C7" s="540" t="s">
        <v>978</v>
      </c>
      <c r="D7" s="541" t="str">
        <f t="shared" si="0"/>
        <v>PTO239-132-23</v>
      </c>
      <c r="E7" s="82" t="s">
        <v>1519</v>
      </c>
      <c r="F7" s="549" t="s">
        <v>1520</v>
      </c>
      <c r="G7" s="82" t="s">
        <v>1521</v>
      </c>
      <c r="H7" s="552" t="s">
        <v>1522</v>
      </c>
      <c r="I7" s="553">
        <v>45271</v>
      </c>
      <c r="J7" s="550" t="s">
        <v>111</v>
      </c>
      <c r="K7" s="545">
        <v>45819</v>
      </c>
      <c r="L7" s="165"/>
      <c r="M7" s="218"/>
      <c r="N7" s="2"/>
    </row>
    <row r="8" spans="1:14" ht="37.5">
      <c r="A8" s="82" t="s">
        <v>53</v>
      </c>
      <c r="B8" s="199">
        <f>VLOOKUP([2]!Table27[[#This Row],[Location 
(drop-down)]],'[2]List source'!D$2:E$59,2,FALSE)</f>
        <v>132</v>
      </c>
      <c r="C8" s="540" t="s">
        <v>849</v>
      </c>
      <c r="D8" s="541" t="str">
        <f t="shared" si="0"/>
        <v>PTO318-132-23</v>
      </c>
      <c r="E8" s="82" t="s">
        <v>1523</v>
      </c>
      <c r="F8" s="549" t="s">
        <v>1524</v>
      </c>
      <c r="G8" s="82" t="s">
        <v>1525</v>
      </c>
      <c r="H8" s="549">
        <v>-3.72</v>
      </c>
      <c r="I8" s="550">
        <v>45288</v>
      </c>
      <c r="J8" s="550" t="s">
        <v>239</v>
      </c>
      <c r="K8" s="545">
        <v>45818</v>
      </c>
      <c r="L8" s="165"/>
      <c r="M8" s="218"/>
      <c r="N8" s="2"/>
    </row>
    <row r="9" spans="1:14" ht="37.5">
      <c r="A9" s="82" t="s">
        <v>30</v>
      </c>
      <c r="B9" s="199">
        <f>VLOOKUP([2]!Table27[[#This Row],[Location 
(drop-down)]],'[2]List source'!D$2:E$59,2,FALSE)</f>
        <v>158</v>
      </c>
      <c r="C9" s="540" t="s">
        <v>942</v>
      </c>
      <c r="D9" s="541" t="str">
        <f t="shared" si="0"/>
        <v>PTO170-158-23</v>
      </c>
      <c r="E9" s="554" t="s">
        <v>1526</v>
      </c>
      <c r="F9" s="555" t="s">
        <v>1527</v>
      </c>
      <c r="G9" s="554" t="s">
        <v>1528</v>
      </c>
      <c r="H9" s="556">
        <v>3.44</v>
      </c>
      <c r="I9" s="553">
        <v>45232</v>
      </c>
      <c r="J9" s="550">
        <v>45807</v>
      </c>
      <c r="K9" s="557">
        <v>45807</v>
      </c>
      <c r="L9" s="165"/>
      <c r="M9" s="218"/>
      <c r="N9" s="2"/>
    </row>
    <row r="10" spans="1:14" ht="37.5">
      <c r="A10" s="82" t="s">
        <v>30</v>
      </c>
      <c r="B10" s="199">
        <f>VLOOKUP([2]!Table27[[#This Row],[Location 
(drop-down)]],'[2]List source'!D$2:E$59,2,FALSE)</f>
        <v>132</v>
      </c>
      <c r="C10" s="540" t="s">
        <v>237</v>
      </c>
      <c r="D10" s="541" t="str">
        <f t="shared" si="0"/>
        <v>PTO027-132-23</v>
      </c>
      <c r="E10" s="82" t="s">
        <v>1529</v>
      </c>
      <c r="F10" s="549" t="s">
        <v>1507</v>
      </c>
      <c r="G10" s="82" t="s">
        <v>1530</v>
      </c>
      <c r="H10" s="549">
        <v>-30.93</v>
      </c>
      <c r="I10" s="550">
        <v>45201</v>
      </c>
      <c r="J10" s="550" t="s">
        <v>111</v>
      </c>
      <c r="K10" s="545">
        <v>45799</v>
      </c>
      <c r="L10" s="165"/>
      <c r="M10" s="218"/>
      <c r="N10" s="2"/>
    </row>
    <row r="11" spans="1:14" ht="45">
      <c r="A11" s="82" t="s">
        <v>30</v>
      </c>
      <c r="B11" s="199">
        <f>VLOOKUP([2]!Table27[[#This Row],[Location 
(drop-down)]],'[2]List source'!D$2:E$59,2,FALSE)</f>
        <v>132</v>
      </c>
      <c r="C11" s="540" t="s">
        <v>288</v>
      </c>
      <c r="D11" s="541" t="str">
        <f t="shared" si="0"/>
        <v>PTO054-132-23</v>
      </c>
      <c r="E11" s="82" t="s">
        <v>1531</v>
      </c>
      <c r="F11" s="549" t="s">
        <v>1510</v>
      </c>
      <c r="G11" s="82" t="s">
        <v>1532</v>
      </c>
      <c r="H11" s="552" t="s">
        <v>1533</v>
      </c>
      <c r="I11" s="550">
        <v>45204</v>
      </c>
      <c r="J11" s="550" t="s">
        <v>111</v>
      </c>
      <c r="K11" s="545">
        <v>45792</v>
      </c>
      <c r="L11" s="165"/>
      <c r="M11" s="218"/>
      <c r="N11" s="2"/>
    </row>
    <row r="12" spans="1:14" ht="37.5">
      <c r="A12" s="82" t="s">
        <v>30</v>
      </c>
      <c r="B12" s="199">
        <f>VLOOKUP([2]!Table27[[#This Row],[Location 
(drop-down)]],'[2]List source'!D$2:E$59,2,FALSE)</f>
        <v>132</v>
      </c>
      <c r="C12" s="540" t="s">
        <v>628</v>
      </c>
      <c r="D12" s="541" t="str">
        <f t="shared" si="0"/>
        <v>PTO168-132-23</v>
      </c>
      <c r="E12" s="82" t="s">
        <v>1534</v>
      </c>
      <c r="F12" s="549" t="s">
        <v>1527</v>
      </c>
      <c r="G12" s="82" t="s">
        <v>1535</v>
      </c>
      <c r="H12" s="549" t="s">
        <v>1536</v>
      </c>
      <c r="I12" s="553">
        <v>45232</v>
      </c>
      <c r="J12" s="550" t="s">
        <v>111</v>
      </c>
      <c r="K12" s="545">
        <v>45792</v>
      </c>
      <c r="L12" s="165"/>
      <c r="M12" s="218"/>
      <c r="N12" s="2"/>
    </row>
    <row r="13" spans="1:14" ht="37.5">
      <c r="A13" s="82" t="s">
        <v>30</v>
      </c>
      <c r="B13" s="199">
        <f>VLOOKUP([2]!Table27[[#This Row],[Location 
(drop-down)]],'[2]List source'!D$2:E$59,2,FALSE)</f>
        <v>132</v>
      </c>
      <c r="C13" s="540" t="s">
        <v>977</v>
      </c>
      <c r="D13" s="541" t="str">
        <f t="shared" si="0"/>
        <v>PTO237-132-23</v>
      </c>
      <c r="E13" s="82" t="s">
        <v>1537</v>
      </c>
      <c r="F13" s="549" t="s">
        <v>1520</v>
      </c>
      <c r="G13" s="82" t="s">
        <v>1538</v>
      </c>
      <c r="H13" s="549">
        <v>6.24</v>
      </c>
      <c r="I13" s="553">
        <v>45271</v>
      </c>
      <c r="J13" s="550" t="s">
        <v>1539</v>
      </c>
      <c r="K13" s="545">
        <v>45783</v>
      </c>
      <c r="L13" s="165"/>
      <c r="M13" s="218"/>
      <c r="N13" s="2"/>
    </row>
    <row r="14" spans="1:14" ht="37.5">
      <c r="A14" s="82" t="s">
        <v>314</v>
      </c>
      <c r="B14" s="199">
        <f>VLOOKUP([2]!Table27[[#This Row],[Location 
(drop-down)]],'[2]List source'!D$2:E$59,2,FALSE)</f>
        <v>132</v>
      </c>
      <c r="C14" s="540" t="s">
        <v>206</v>
      </c>
      <c r="D14" s="541" t="str">
        <f t="shared" si="0"/>
        <v>PTO005-132-23</v>
      </c>
      <c r="E14" s="21" t="s">
        <v>1540</v>
      </c>
      <c r="F14" s="199" t="s">
        <v>1524</v>
      </c>
      <c r="G14" s="21" t="s">
        <v>1541</v>
      </c>
      <c r="H14" s="558" t="s">
        <v>1542</v>
      </c>
      <c r="I14" s="550">
        <v>45142</v>
      </c>
      <c r="J14" s="550" t="s">
        <v>327</v>
      </c>
      <c r="K14" s="545">
        <v>45768</v>
      </c>
      <c r="L14" s="165"/>
      <c r="M14" s="218"/>
      <c r="N14" s="2"/>
    </row>
    <row r="15" spans="1:14" ht="37.5">
      <c r="A15" s="82" t="s">
        <v>314</v>
      </c>
      <c r="B15" s="199">
        <f>VLOOKUP([2]!Table27[[#This Row],[Location 
(drop-down)]],'[2]List source'!D$2:E$59,2,FALSE)</f>
        <v>150</v>
      </c>
      <c r="C15" s="540" t="s">
        <v>604</v>
      </c>
      <c r="D15" s="541" t="str">
        <f t="shared" si="0"/>
        <v>PTO035-150-23</v>
      </c>
      <c r="E15" s="82" t="s">
        <v>1543</v>
      </c>
      <c r="F15" s="549" t="s">
        <v>1507</v>
      </c>
      <c r="G15" s="82" t="s">
        <v>1544</v>
      </c>
      <c r="H15" s="549">
        <v>21.85</v>
      </c>
      <c r="I15" s="550">
        <v>45202</v>
      </c>
      <c r="J15" s="550" t="s">
        <v>327</v>
      </c>
      <c r="K15" s="545">
        <v>45768</v>
      </c>
      <c r="L15" s="165"/>
      <c r="M15" s="218"/>
      <c r="N15" s="2"/>
    </row>
    <row r="16" spans="1:14" ht="37.5">
      <c r="A16" s="82" t="s">
        <v>314</v>
      </c>
      <c r="B16" s="199">
        <f>VLOOKUP([2]!Table27[[#This Row],[Location 
(drop-down)]],'[2]List source'!D$2:E$59,2,FALSE)</f>
        <v>150</v>
      </c>
      <c r="C16" s="540" t="s">
        <v>454</v>
      </c>
      <c r="D16" s="541" t="str">
        <f t="shared" si="0"/>
        <v>PTO100-150-23</v>
      </c>
      <c r="E16" s="82" t="s">
        <v>1545</v>
      </c>
      <c r="F16" s="549" t="s">
        <v>1517</v>
      </c>
      <c r="G16" s="82" t="s">
        <v>1546</v>
      </c>
      <c r="H16" s="549">
        <v>-10.01</v>
      </c>
      <c r="I16" s="550">
        <v>45215</v>
      </c>
      <c r="J16" s="550" t="s">
        <v>327</v>
      </c>
      <c r="K16" s="557">
        <v>45754</v>
      </c>
      <c r="L16" s="165"/>
      <c r="M16" s="218"/>
      <c r="N16" s="2"/>
    </row>
    <row r="17" spans="1:14" ht="37.5">
      <c r="A17" s="82" t="s">
        <v>30</v>
      </c>
      <c r="B17" s="199">
        <f>VLOOKUP([2]!Table27[[#This Row],[Location 
(drop-down)]],'[2]List source'!D$2:E$59,2,FALSE)</f>
        <v>150</v>
      </c>
      <c r="C17" s="540" t="s">
        <v>458</v>
      </c>
      <c r="D17" s="541" t="str">
        <f t="shared" si="0"/>
        <v>PTO091-150-23</v>
      </c>
      <c r="E17" s="82" t="s">
        <v>1547</v>
      </c>
      <c r="F17" s="549" t="s">
        <v>1517</v>
      </c>
      <c r="G17" s="82" t="s">
        <v>1548</v>
      </c>
      <c r="H17" s="549">
        <v>3.43</v>
      </c>
      <c r="I17" s="550">
        <v>45215</v>
      </c>
      <c r="J17" s="550" t="s">
        <v>111</v>
      </c>
      <c r="K17" s="557">
        <v>45735</v>
      </c>
      <c r="L17" s="165"/>
      <c r="M17" s="218"/>
      <c r="N17" s="2"/>
    </row>
    <row r="18" spans="1:14" ht="75">
      <c r="A18" s="82" t="s">
        <v>314</v>
      </c>
      <c r="B18" s="199">
        <f>VLOOKUP([2]!Table27[[#This Row],[Location 
(drop-down)]],'[2]List source'!D$2:E$59,2,FALSE)</f>
        <v>132</v>
      </c>
      <c r="C18" s="540" t="s">
        <v>1266</v>
      </c>
      <c r="D18" s="559" t="str">
        <f t="shared" si="0"/>
        <v>PTO281-132-23</v>
      </c>
      <c r="E18" s="560" t="s">
        <v>1549</v>
      </c>
      <c r="F18" s="561" t="s">
        <v>1510</v>
      </c>
      <c r="G18" s="560" t="s">
        <v>1550</v>
      </c>
      <c r="H18" s="562" t="s">
        <v>1551</v>
      </c>
      <c r="I18" s="563">
        <v>45280</v>
      </c>
      <c r="J18" s="563" t="s">
        <v>239</v>
      </c>
      <c r="K18" s="564">
        <v>45721</v>
      </c>
      <c r="L18" s="165"/>
      <c r="M18" s="218"/>
      <c r="N18" s="2"/>
    </row>
    <row r="19" spans="1:14" ht="37.5">
      <c r="A19" s="82" t="s">
        <v>30</v>
      </c>
      <c r="B19" s="199">
        <f>VLOOKUP([2]!Table27[[#This Row],[Location 
(drop-down)]],'[2]List source'!D$2:E$59,2,FALSE)</f>
        <v>150</v>
      </c>
      <c r="C19" s="540" t="s">
        <v>1032</v>
      </c>
      <c r="D19" s="541" t="str">
        <f t="shared" si="0"/>
        <v>PTO305-150-23</v>
      </c>
      <c r="E19" s="82" t="s">
        <v>1552</v>
      </c>
      <c r="F19" s="549" t="s">
        <v>1553</v>
      </c>
      <c r="G19" s="82" t="s">
        <v>1554</v>
      </c>
      <c r="H19" s="549">
        <v>4.29</v>
      </c>
      <c r="I19" s="550">
        <v>45287</v>
      </c>
      <c r="J19" s="550" t="s">
        <v>111</v>
      </c>
      <c r="K19" s="557">
        <v>45715</v>
      </c>
      <c r="L19" s="165"/>
      <c r="M19" s="218"/>
      <c r="N19" s="2"/>
    </row>
    <row r="20" spans="1:14" ht="37.5">
      <c r="A20" s="82" t="s">
        <v>30</v>
      </c>
      <c r="B20" s="199">
        <f>VLOOKUP([2]!Table27[[#This Row],[Location 
(drop-down)]],'[2]List source'!D$2:E$59,2,FALSE)</f>
        <v>132</v>
      </c>
      <c r="C20" s="540" t="s">
        <v>297</v>
      </c>
      <c r="D20" s="541" t="str">
        <f t="shared" si="0"/>
        <v>PTO090-132-23</v>
      </c>
      <c r="E20" s="21" t="s">
        <v>1555</v>
      </c>
      <c r="F20" s="199" t="s">
        <v>1517</v>
      </c>
      <c r="G20" s="21" t="s">
        <v>1556</v>
      </c>
      <c r="H20" s="199">
        <v>-2.19</v>
      </c>
      <c r="I20" s="550">
        <v>45215</v>
      </c>
      <c r="J20" s="550" t="s">
        <v>111</v>
      </c>
      <c r="K20" s="557">
        <v>45713</v>
      </c>
      <c r="L20" s="165"/>
      <c r="M20" s="218"/>
      <c r="N20" s="2"/>
    </row>
    <row r="21" spans="1:14" ht="37.5">
      <c r="A21" s="82" t="s">
        <v>30</v>
      </c>
      <c r="B21" s="199">
        <f>VLOOKUP([2]!Table27[[#This Row],[Location 
(drop-down)]],'[2]List source'!D$2:E$59,2,FALSE)</f>
        <v>132</v>
      </c>
      <c r="C21" s="540" t="s">
        <v>888</v>
      </c>
      <c r="D21" s="559" t="str">
        <f t="shared" si="0"/>
        <v>PTO238-132-23</v>
      </c>
      <c r="E21" s="82" t="s">
        <v>1557</v>
      </c>
      <c r="F21" s="549" t="s">
        <v>1520</v>
      </c>
      <c r="G21" s="82" t="s">
        <v>1558</v>
      </c>
      <c r="H21" s="549">
        <v>3</v>
      </c>
      <c r="I21" s="553">
        <v>45271</v>
      </c>
      <c r="J21" s="563" t="s">
        <v>111</v>
      </c>
      <c r="K21" s="564">
        <v>45680</v>
      </c>
      <c r="L21" s="165"/>
      <c r="M21" s="218"/>
      <c r="N21" s="2"/>
    </row>
    <row r="22" spans="1:14" ht="18.75">
      <c r="A22" s="534"/>
      <c r="B22" s="535">
        <f>VLOOKUP([2]!Table27[[#This Row],[Location 
(drop-down)]],'[2]List source'!D$2:E$59,2,FALSE)</f>
        <v>132</v>
      </c>
      <c r="C22" s="536"/>
      <c r="D22" s="309" t="str">
        <f t="shared" si="0"/>
        <v>PTO-132-23</v>
      </c>
      <c r="E22" s="537"/>
      <c r="F22" s="538"/>
      <c r="G22" s="537"/>
      <c r="H22" s="538"/>
      <c r="I22" s="539"/>
      <c r="J22" s="216"/>
      <c r="K22" s="217"/>
      <c r="L22" s="165"/>
      <c r="M22" s="218"/>
      <c r="N22" s="2"/>
    </row>
    <row r="23" spans="1:14" ht="18.75">
      <c r="A23" s="534"/>
      <c r="B23" s="535">
        <f>VLOOKUP([2]!Table27[[#This Row],[Location 
(drop-down)]],'[2]List source'!D$2:E$59,2,FALSE)</f>
        <v>197</v>
      </c>
      <c r="C23" s="536"/>
      <c r="D23" s="309" t="str">
        <f t="shared" si="0"/>
        <v>PTO-197-23</v>
      </c>
      <c r="E23" s="537"/>
      <c r="F23" s="538"/>
      <c r="G23" s="537"/>
      <c r="H23" s="538"/>
      <c r="I23" s="539"/>
      <c r="J23" s="216"/>
      <c r="K23" s="217"/>
      <c r="L23" s="165"/>
      <c r="M23" s="218"/>
      <c r="N23" s="2"/>
    </row>
    <row r="24" spans="1:14" ht="18.75">
      <c r="A24" s="534"/>
      <c r="B24" s="535">
        <f>VLOOKUP([2]!Table27[[#This Row],[Location 
(drop-down)]],'[2]List source'!D$2:E$59,2,FALSE)</f>
        <v>150</v>
      </c>
      <c r="C24" s="536"/>
      <c r="D24" s="309" t="str">
        <f t="shared" si="0"/>
        <v>PTO-150-23</v>
      </c>
      <c r="E24" s="537"/>
      <c r="F24" s="538"/>
      <c r="G24" s="537"/>
      <c r="H24" s="538"/>
      <c r="I24" s="539"/>
      <c r="J24" s="216"/>
      <c r="K24" s="217"/>
      <c r="L24" s="165"/>
      <c r="M24" s="218"/>
      <c r="N24" s="2"/>
    </row>
    <row r="25" spans="1:14" ht="15">
      <c r="A25" s="90" t="s">
        <v>139</v>
      </c>
      <c r="B25" s="98">
        <f>VLOOKUP([2]!Table27[[#This Row],[Location 
(drop-down)]],'[2]List source'!D$2:E$59,2,FALSE)</f>
        <v>198</v>
      </c>
      <c r="C25" s="145" t="s">
        <v>1559</v>
      </c>
      <c r="D25" s="219" t="str">
        <f t="shared" si="0"/>
        <v>PTO1401-198-23</v>
      </c>
      <c r="E25" s="213" t="s">
        <v>1560</v>
      </c>
      <c r="F25" s="214" t="e" cm="1">
        <f t="array" aca="1" ref="F25" ca="1">MID(LEFT(#REF!, INDEX(_xlfn._xlws.FILTER(ROW(INDIRECT("1:" &amp; LEN(#REF!))), (48 &lt;= CODE(MID(#REF!, ROW(INDIRECT("1:" &amp; LEN(#REF!))), 1))) * (CODE(MID(#REF!, ROW(INDIRECT("1:" &amp; LEN(#REF!))), 1)) &lt;= 57)), 1) - 1), FIND(":",#REF!) + 2, LEN(#REF!))</f>
        <v>#REF!</v>
      </c>
      <c r="G25" s="215" t="e">
        <f>MID(LEFT(#REF!, FIND(",",#REF!) - 1), FIND("{token}", SUBSTITUTE(#REF!, " ", "{token}", 2)) + 1, LEN(#REF!))</f>
        <v>#REF!</v>
      </c>
      <c r="H25" s="214">
        <v>67.3</v>
      </c>
      <c r="I25" s="216">
        <v>45657</v>
      </c>
      <c r="J25" s="220" t="s">
        <v>34</v>
      </c>
      <c r="K25" s="221">
        <v>45299</v>
      </c>
      <c r="L25" s="165" t="s">
        <v>1505</v>
      </c>
      <c r="M25" s="222">
        <v>1401</v>
      </c>
      <c r="N25" s="2" t="str">
        <f t="shared" ca="1" si="1"/>
        <v>CLOSED</v>
      </c>
    </row>
    <row r="26" spans="1:14" ht="18.75">
      <c r="A26" s="64" t="s">
        <v>156</v>
      </c>
      <c r="B26" s="98">
        <f>VLOOKUP([2]!Table27[[#This Row],[Location 
(drop-down)]],'[2]List source'!D$2:E$59,2,FALSE)</f>
        <v>197</v>
      </c>
      <c r="C26" s="99" t="s">
        <v>957</v>
      </c>
      <c r="D26" s="223" t="str">
        <f t="shared" si="0"/>
        <v>PTO001-197-23</v>
      </c>
      <c r="E26" s="115" t="s">
        <v>1561</v>
      </c>
      <c r="F26" s="224" t="e" cm="1">
        <f t="array" aca="1" ref="F26" ca="1">MID(LEFT(#REF!, INDEX(_xlfn._xlws.FILTER(ROW(INDIRECT("1:" &amp; LEN(#REF!))), (48 &lt;= CODE(MID(#REF!, ROW(INDIRECT("1:" &amp; LEN(#REF!))), 1))) * (CODE(MID(#REF!, ROW(INDIRECT("1:" &amp; LEN(#REF!))), 1)) &lt;= 57)), 1) - 1), FIND(":",#REF!) + 2, LEN(#REF!))</f>
        <v>#REF!</v>
      </c>
      <c r="G26" s="225" t="e">
        <f>MID(LEFT(#REF!, FIND(",",#REF!) - 1), FIND("{token}", SUBSTITUTE(#REF!, " ", "{token}", 2)) + 1, LEN(#REF!))</f>
        <v>#REF!</v>
      </c>
      <c r="H26" s="224">
        <v>2.12</v>
      </c>
      <c r="I26" s="216">
        <v>45301</v>
      </c>
      <c r="J26" s="216" t="s">
        <v>34</v>
      </c>
      <c r="K26" s="226">
        <v>45301</v>
      </c>
      <c r="L26" s="165" t="s">
        <v>1562</v>
      </c>
      <c r="M26" s="222">
        <v>1</v>
      </c>
      <c r="N26" s="2" t="str">
        <f t="shared" ca="1" si="1"/>
        <v>CLOSED</v>
      </c>
    </row>
    <row r="27" spans="1:14" ht="30">
      <c r="A27" s="64" t="s">
        <v>119</v>
      </c>
      <c r="B27" s="98">
        <f>VLOOKUP([2]!Table27[[#This Row],[Location 
(drop-down)]],'[2]List source'!D$2:E$59,2,FALSE)</f>
        <v>110</v>
      </c>
      <c r="C27" s="99" t="s">
        <v>31</v>
      </c>
      <c r="D27" s="223" t="str">
        <f t="shared" si="0"/>
        <v>PTO004-110-23</v>
      </c>
      <c r="E27" s="227" t="s">
        <v>1561</v>
      </c>
      <c r="F27" s="214" t="e" cm="1">
        <f t="array" aca="1" ref="F27" ca="1">MID(LEFT(#REF!, INDEX(_xlfn._xlws.FILTER(ROW(INDIRECT("1:" &amp; LEN(#REF!))), (48 &lt;= CODE(MID(#REF!, ROW(INDIRECT("1:" &amp; LEN(#REF!))), 1))) * (CODE(MID(#REF!, ROW(INDIRECT("1:" &amp; LEN(#REF!))), 1)) &lt;= 57)), 1) - 1), FIND(":",#REF!) + 2, LEN(#REF!))</f>
        <v>#REF!</v>
      </c>
      <c r="G27" s="215" t="e">
        <f>MID(LEFT(#REF!, FIND(",",#REF!) - 1), FIND("{token}", SUBSTITUTE(#REF!, " ", "{token}", 2)) + 1, LEN(#REF!))</f>
        <v>#REF!</v>
      </c>
      <c r="H27" s="224">
        <v>2.12</v>
      </c>
      <c r="I27" s="216">
        <v>45301</v>
      </c>
      <c r="J27" s="216" t="s">
        <v>34</v>
      </c>
      <c r="K27" s="226">
        <v>45301</v>
      </c>
      <c r="L27" s="165" t="s">
        <v>1562</v>
      </c>
      <c r="M27" s="218">
        <v>4</v>
      </c>
      <c r="N27" s="2" t="str">
        <f t="shared" ca="1" si="1"/>
        <v>CLOSED</v>
      </c>
    </row>
    <row r="28" spans="1:14" ht="18.75">
      <c r="A28" s="64" t="s">
        <v>139</v>
      </c>
      <c r="B28" s="98">
        <f>VLOOKUP([2]!Table27[[#This Row],[Location 
(drop-down)]],'[2]List source'!D$2:E$59,2,FALSE)</f>
        <v>215</v>
      </c>
      <c r="C28" s="99" t="s">
        <v>320</v>
      </c>
      <c r="D28" s="223" t="str">
        <f t="shared" si="0"/>
        <v>PTO010-215-23</v>
      </c>
      <c r="E28" s="228" t="s">
        <v>1563</v>
      </c>
      <c r="F28" s="229" t="e" cm="1">
        <f t="array" aca="1" ref="F28" ca="1">MID(LEFT(#REF!, INDEX(_xlfn._xlws.FILTER(ROW(INDIRECT("1:" &amp; LEN(#REF!))), (48 &lt;= CODE(MID(#REF!, ROW(INDIRECT("1:" &amp; LEN(#REF!))), 1))) * (CODE(MID(#REF!, ROW(INDIRECT("1:" &amp; LEN(#REF!))), 1)) &lt;= 57)), 1) - 1), FIND(":",#REF!) + 2, LEN(#REF!))</f>
        <v>#REF!</v>
      </c>
      <c r="G28" s="228" t="e">
        <f>MID(LEFT(#REF!, FIND(",",#REF!) - 1), FIND("{token}", SUBSTITUTE(#REF!, " ", "{token}", 2)) + 1, LEN(#REF!))</f>
        <v>#REF!</v>
      </c>
      <c r="H28" s="229">
        <v>2.7</v>
      </c>
      <c r="I28" s="230">
        <v>45301</v>
      </c>
      <c r="J28" s="230" t="s">
        <v>34</v>
      </c>
      <c r="K28" s="226">
        <v>45301</v>
      </c>
      <c r="L28" s="165" t="s">
        <v>1562</v>
      </c>
      <c r="M28" s="222">
        <v>10</v>
      </c>
      <c r="N28" s="2" t="str">
        <f t="shared" ca="1" si="1"/>
        <v>CLOSED</v>
      </c>
    </row>
    <row r="29" spans="1:14" ht="18.75">
      <c r="A29" s="64" t="s">
        <v>103</v>
      </c>
      <c r="B29" s="98">
        <f>VLOOKUP([2]!Table27[[#This Row],[Location 
(drop-down)]],'[2]List source'!D$2:E$59,2,FALSE)</f>
        <v>197</v>
      </c>
      <c r="C29" s="99" t="s">
        <v>672</v>
      </c>
      <c r="D29" s="223" t="str">
        <f t="shared" si="0"/>
        <v>PTO015-197-23</v>
      </c>
      <c r="E29" s="227" t="s">
        <v>1564</v>
      </c>
      <c r="F29" s="165" t="e" cm="1">
        <f t="array" aca="1" ref="F29" ca="1">MID(LEFT(#REF!, INDEX(_xlfn._xlws.FILTER(ROW(INDIRECT("1:" &amp; LEN(#REF!))), (48 &lt;= CODE(MID(#REF!, ROW(INDIRECT("1:" &amp; LEN(#REF!))), 1))) * (CODE(MID(#REF!, ROW(INDIRECT("1:" &amp; LEN(#REF!))), 1)) &lt;= 57)), 1) - 1), FIND(":",#REF!) + 2, LEN(#REF!))</f>
        <v>#REF!</v>
      </c>
      <c r="G29" s="227" t="e">
        <f>MID(LEFT(#REF!, FIND(",",#REF!) - 1), FIND("{token}", SUBSTITUTE(#REF!, " ", "{token}", 2)) + 1, LEN(#REF!))</f>
        <v>#REF!</v>
      </c>
      <c r="H29" s="165">
        <v>2.13</v>
      </c>
      <c r="I29" s="230">
        <v>45301</v>
      </c>
      <c r="J29" s="230" t="s">
        <v>34</v>
      </c>
      <c r="K29" s="226">
        <v>45301</v>
      </c>
      <c r="L29" s="165" t="s">
        <v>1562</v>
      </c>
      <c r="M29" s="222">
        <v>15</v>
      </c>
      <c r="N29" s="2" t="str">
        <f t="shared" ca="1" si="1"/>
        <v>CLOSED</v>
      </c>
    </row>
    <row r="30" spans="1:14" ht="30">
      <c r="A30" s="86" t="s">
        <v>39</v>
      </c>
      <c r="B30" s="98">
        <f>VLOOKUP([2]!Table27[[#This Row],[Location 
(drop-down)]],'[2]List source'!D$2:E$59,2,FALSE)</f>
        <v>197</v>
      </c>
      <c r="C30" s="99" t="s">
        <v>898</v>
      </c>
      <c r="D30" s="223" t="str">
        <f t="shared" si="0"/>
        <v>PTO391-197-23</v>
      </c>
      <c r="E30" s="231" t="s">
        <v>1565</v>
      </c>
      <c r="F30" s="232" t="s">
        <v>1566</v>
      </c>
      <c r="G30" s="231" t="e">
        <f>MID(LEFT(#REF!, FIND(",",#REF!) - 1), FIND("{token}", SUBSTITUTE(#REF!, " ", "{token}", 2)) + 1, LEN(#REF!))</f>
        <v>#REF!</v>
      </c>
      <c r="H30" s="233" t="s">
        <v>1567</v>
      </c>
      <c r="I30" s="234">
        <v>45418</v>
      </c>
      <c r="J30" s="230" t="s">
        <v>239</v>
      </c>
      <c r="K30" s="226">
        <v>45301</v>
      </c>
      <c r="L30" s="165"/>
      <c r="M30" s="222">
        <v>391</v>
      </c>
      <c r="N30" s="2" t="str">
        <f t="shared" ca="1" si="1"/>
        <v>CLOSED</v>
      </c>
    </row>
    <row r="31" spans="1:14" ht="30">
      <c r="A31" s="64" t="s">
        <v>1334</v>
      </c>
      <c r="B31" s="98">
        <f>VLOOKUP([2]!Table27[[#This Row],[Location 
(drop-down)]],'[2]List source'!D$2:E$59,2,FALSE)</f>
        <v>198</v>
      </c>
      <c r="C31" s="99" t="s">
        <v>283</v>
      </c>
      <c r="D31" s="223" t="str">
        <f t="shared" si="0"/>
        <v>PTO018-198-23</v>
      </c>
      <c r="E31" s="227" t="s">
        <v>1568</v>
      </c>
      <c r="F31" s="165" t="e" cm="1">
        <f t="array" aca="1" ref="F31" ca="1">MID(LEFT(#REF!, INDEX(_xlfn._xlws.FILTER(ROW(INDIRECT("1:" &amp; LEN(#REF!))), (48 &lt;= CODE(MID(#REF!, ROW(INDIRECT("1:" &amp; LEN(#REF!))), 1))) * (CODE(MID(#REF!, ROW(INDIRECT("1:" &amp; LEN(#REF!))), 1)) &lt;= 57)), 1) - 1), FIND(":",#REF!) + 2, LEN(#REF!))</f>
        <v>#REF!</v>
      </c>
      <c r="G31" s="227" t="e">
        <f>MID(LEFT(#REF!, FIND(",",#REF!) - 1), FIND("{token}", SUBSTITUTE(#REF!, " ", "{token}", 2)) + 1, LEN(#REF!))</f>
        <v>#REF!</v>
      </c>
      <c r="H31" s="165" t="s">
        <v>1569</v>
      </c>
      <c r="I31" s="230">
        <v>45302</v>
      </c>
      <c r="J31" s="230" t="s">
        <v>34</v>
      </c>
      <c r="K31" s="226">
        <v>45302</v>
      </c>
      <c r="L31" s="165" t="s">
        <v>1562</v>
      </c>
      <c r="M31" s="222">
        <v>18</v>
      </c>
      <c r="N31" s="2" t="str">
        <f t="shared" ca="1" si="1"/>
        <v>CLOSED</v>
      </c>
    </row>
    <row r="32" spans="1:14" ht="18.75">
      <c r="A32" s="64" t="s">
        <v>167</v>
      </c>
      <c r="B32" s="98">
        <f>VLOOKUP([2]!Table27[[#This Row],[Location 
(drop-down)]],'[2]List source'!D$2:E$59,2,FALSE)</f>
        <v>197</v>
      </c>
      <c r="C32" s="99" t="s">
        <v>1000</v>
      </c>
      <c r="D32" s="223" t="str">
        <f t="shared" si="0"/>
        <v>PTO021-197-23</v>
      </c>
      <c r="E32" s="227" t="s">
        <v>1570</v>
      </c>
      <c r="F32" s="165" t="e" cm="1">
        <f t="array" aca="1" ref="F32" ca="1">MID(LEFT(#REF!, INDEX(_xlfn._xlws.FILTER(ROW(INDIRECT("1:" &amp; LEN(#REF!))), (48 &lt;= CODE(MID(#REF!, ROW(INDIRECT("1:" &amp; LEN(#REF!))), 1))) * (CODE(MID(#REF!, ROW(INDIRECT("1:" &amp; LEN(#REF!))), 1)) &lt;= 57)), 1) - 1), FIND(":",#REF!) + 2, LEN(#REF!))</f>
        <v>#REF!</v>
      </c>
      <c r="G32" s="227" t="e">
        <f>MID(LEFT(#REF!, FIND(",",#REF!) - 1), FIND("{token}", SUBSTITUTE(#REF!, " ", "{token}", 2)) + 1, LEN(#REF!))</f>
        <v>#REF!</v>
      </c>
      <c r="H32" s="165">
        <v>2.16</v>
      </c>
      <c r="I32" s="230">
        <v>45302</v>
      </c>
      <c r="J32" s="230" t="s">
        <v>34</v>
      </c>
      <c r="K32" s="226">
        <v>45302</v>
      </c>
      <c r="L32" s="165" t="s">
        <v>1562</v>
      </c>
      <c r="M32" s="222">
        <v>21</v>
      </c>
      <c r="N32" s="2" t="str">
        <f t="shared" ca="1" si="1"/>
        <v>CLOSED</v>
      </c>
    </row>
    <row r="33" spans="1:14" ht="30">
      <c r="A33" s="64" t="s">
        <v>500</v>
      </c>
      <c r="B33" s="98">
        <f>VLOOKUP([2]!Table27[[#This Row],[Location 
(drop-down)]],'[2]List source'!D$2:E$59,2,FALSE)</f>
        <v>197</v>
      </c>
      <c r="C33" s="99" t="s">
        <v>1006</v>
      </c>
      <c r="D33" s="223" t="str">
        <f t="shared" si="0"/>
        <v>PTO022-197-23</v>
      </c>
      <c r="E33" s="227" t="s">
        <v>1571</v>
      </c>
      <c r="F33" s="165" t="e" cm="1">
        <f t="array" aca="1" ref="F33" ca="1">MID(LEFT(#REF!, INDEX(_xlfn._xlws.FILTER(ROW(INDIRECT("1:" &amp; LEN(#REF!))), (48 &lt;= CODE(MID(#REF!, ROW(INDIRECT("1:" &amp; LEN(#REF!))), 1))) * (CODE(MID(#REF!, ROW(INDIRECT("1:" &amp; LEN(#REF!))), 1)) &lt;= 57)), 1) - 1), FIND(":",#REF!) + 2, LEN(#REF!))</f>
        <v>#REF!</v>
      </c>
      <c r="G33" s="227" t="e">
        <f>MID(LEFT(#REF!, FIND(",",#REF!) - 1), FIND("{token}", SUBSTITUTE(#REF!, " ", "{token}", 2)) + 1, LEN(#REF!))</f>
        <v>#REF!</v>
      </c>
      <c r="H33" s="165" t="s">
        <v>1572</v>
      </c>
      <c r="I33" s="230">
        <v>45302</v>
      </c>
      <c r="J33" s="230" t="s">
        <v>34</v>
      </c>
      <c r="K33" s="226">
        <v>45302</v>
      </c>
      <c r="L33" s="165" t="s">
        <v>1562</v>
      </c>
      <c r="M33" s="218">
        <v>22</v>
      </c>
      <c r="N33" s="2" t="str">
        <f t="shared" ca="1" si="1"/>
        <v>CLOSED</v>
      </c>
    </row>
    <row r="34" spans="1:14" ht="30">
      <c r="A34" s="64" t="s">
        <v>500</v>
      </c>
      <c r="B34" s="98">
        <f>VLOOKUP([2]!Table27[[#This Row],[Location 
(drop-down)]],'[2]List source'!D$2:E$59,2,FALSE)</f>
        <v>110</v>
      </c>
      <c r="C34" s="99" t="s">
        <v>157</v>
      </c>
      <c r="D34" s="223" t="str">
        <f t="shared" si="0"/>
        <v>PTO023-110-23</v>
      </c>
      <c r="E34" s="227" t="s">
        <v>1573</v>
      </c>
      <c r="F34" s="165" t="e" cm="1">
        <f t="array" aca="1" ref="F34" ca="1">MID(LEFT(#REF!, INDEX(_xlfn._xlws.FILTER(ROW(INDIRECT("1:" &amp; LEN(#REF!))), (48 &lt;= CODE(MID(#REF!, ROW(INDIRECT("1:" &amp; LEN(#REF!))), 1))) * (CODE(MID(#REF!, ROW(INDIRECT("1:" &amp; LEN(#REF!))), 1)) &lt;= 57)), 1) - 1), FIND(":",#REF!) + 2, LEN(#REF!))</f>
        <v>#REF!</v>
      </c>
      <c r="G34" s="227" t="e">
        <f>MID(LEFT(#REF!, FIND(",",#REF!) - 1), FIND("{token}", SUBSTITUTE(#REF!, " ", "{token}", 2)) + 1, LEN(#REF!))</f>
        <v>#REF!</v>
      </c>
      <c r="H34" s="165">
        <v>2.27</v>
      </c>
      <c r="I34" s="230">
        <v>45302</v>
      </c>
      <c r="J34" s="230" t="s">
        <v>34</v>
      </c>
      <c r="K34" s="226">
        <v>45302</v>
      </c>
      <c r="L34" s="165" t="s">
        <v>1562</v>
      </c>
      <c r="M34" s="222">
        <v>23</v>
      </c>
      <c r="N34" s="2" t="str">
        <f t="shared" ca="1" si="1"/>
        <v>CLOSED</v>
      </c>
    </row>
    <row r="35" spans="1:14" ht="30">
      <c r="A35" s="64" t="s">
        <v>500</v>
      </c>
      <c r="B35" s="98">
        <f>VLOOKUP([2]!Table27[[#This Row],[Location 
(drop-down)]],'[2]List source'!D$2:E$59,2,FALSE)</f>
        <v>110</v>
      </c>
      <c r="C35" s="99" t="s">
        <v>375</v>
      </c>
      <c r="D35" s="223" t="str">
        <f t="shared" si="0"/>
        <v>PTO024-110-23</v>
      </c>
      <c r="E35" s="227" t="s">
        <v>1574</v>
      </c>
      <c r="F35" s="165" t="e" cm="1">
        <f t="array" aca="1" ref="F35" ca="1">MID(LEFT(#REF!, INDEX(_xlfn._xlws.FILTER(ROW(INDIRECT("1:" &amp; LEN(#REF!))), (48 &lt;= CODE(MID(#REF!, ROW(INDIRECT("1:" &amp; LEN(#REF!))), 1))) * (CODE(MID(#REF!, ROW(INDIRECT("1:" &amp; LEN(#REF!))), 1)) &lt;= 57)), 1) - 1), FIND(":",#REF!) + 2, LEN(#REF!))</f>
        <v>#REF!</v>
      </c>
      <c r="G35" s="203" t="s">
        <v>1554</v>
      </c>
      <c r="H35" s="165">
        <v>2.11</v>
      </c>
      <c r="I35" s="235">
        <v>45302</v>
      </c>
      <c r="J35" s="230" t="s">
        <v>34</v>
      </c>
      <c r="K35" s="226">
        <v>45302</v>
      </c>
      <c r="L35" s="165" t="s">
        <v>1562</v>
      </c>
      <c r="M35" s="222">
        <v>24</v>
      </c>
      <c r="N35" s="2" t="str">
        <f t="shared" ca="1" si="1"/>
        <v>CLOSED</v>
      </c>
    </row>
    <row r="36" spans="1:14" ht="30">
      <c r="A36" s="64" t="s">
        <v>1334</v>
      </c>
      <c r="B36" s="98">
        <f>VLOOKUP([2]!Table27[[#This Row],[Location 
(drop-down)]],'[2]List source'!D$2:E$59,2,FALSE)</f>
        <v>120</v>
      </c>
      <c r="C36" s="99" t="s">
        <v>449</v>
      </c>
      <c r="D36" s="223" t="str">
        <f t="shared" si="0"/>
        <v>PTO014-120-23</v>
      </c>
      <c r="E36" s="227" t="s">
        <v>1575</v>
      </c>
      <c r="F36" s="165" t="e" cm="1">
        <f t="array" aca="1" ref="F36" ca="1">MID(LEFT(#REF!, INDEX(_xlfn._xlws.FILTER(ROW(INDIRECT("1:" &amp; LEN(#REF!))), (48 &lt;= CODE(MID(#REF!, ROW(INDIRECT("1:" &amp; LEN(#REF!))), 1))) * (CODE(MID(#REF!, ROW(INDIRECT("1:" &amp; LEN(#REF!))), 1)) &lt;= 57)), 1) - 1), FIND(":",#REF!) + 2, LEN(#REF!))</f>
        <v>#REF!</v>
      </c>
      <c r="G36" s="227" t="e">
        <f>MID(LEFT(#REF!, FIND(",",#REF!) - 1), FIND("{token}", SUBSTITUTE(#REF!, " ", "{token}", 2)) + 1, LEN(#REF!))</f>
        <v>#REF!</v>
      </c>
      <c r="H36" s="165">
        <v>3.46</v>
      </c>
      <c r="I36" s="230">
        <v>45301</v>
      </c>
      <c r="J36" s="230" t="s">
        <v>34</v>
      </c>
      <c r="K36" s="226">
        <v>45303</v>
      </c>
      <c r="L36" s="165" t="s">
        <v>1505</v>
      </c>
      <c r="M36" s="222">
        <v>14</v>
      </c>
      <c r="N36" s="2" t="str">
        <f t="shared" ca="1" si="1"/>
        <v>CLOSED</v>
      </c>
    </row>
    <row r="37" spans="1:14" ht="30">
      <c r="A37" s="64" t="s">
        <v>1334</v>
      </c>
      <c r="B37" s="98">
        <f>VLOOKUP([2]!Table27[[#This Row],[Location 
(drop-down)]],'[2]List source'!D$2:E$59,2,FALSE)</f>
        <v>160</v>
      </c>
      <c r="C37" s="99" t="s">
        <v>643</v>
      </c>
      <c r="D37" s="223" t="str">
        <f t="shared" si="0"/>
        <v>PTO019-160-23</v>
      </c>
      <c r="E37" s="227" t="s">
        <v>1576</v>
      </c>
      <c r="F37" s="165" t="e" cm="1">
        <f t="array" aca="1" ref="F37" ca="1">MID(LEFT(#REF!, INDEX(_xlfn._xlws.FILTER(ROW(INDIRECT("1:" &amp; LEN(#REF!))), (48 &lt;= CODE(MID(#REF!, ROW(INDIRECT("1:" &amp; LEN(#REF!))), 1))) * (CODE(MID(#REF!, ROW(INDIRECT("1:" &amp; LEN(#REF!))), 1)) &lt;= 57)), 1) - 1), FIND(":",#REF!) + 2, LEN(#REF!))</f>
        <v>#REF!</v>
      </c>
      <c r="G37" s="227" t="e">
        <f>MID(LEFT(#REF!, FIND(",",#REF!) - 1), FIND("{token}", SUBSTITUTE(#REF!, " ", "{token}", 2)) + 1, LEN(#REF!))</f>
        <v>#REF!</v>
      </c>
      <c r="H37" s="165">
        <v>2.4500000000000002</v>
      </c>
      <c r="I37" s="230">
        <v>45302</v>
      </c>
      <c r="J37" s="230" t="s">
        <v>34</v>
      </c>
      <c r="K37" s="226">
        <v>45303</v>
      </c>
      <c r="L37" s="165" t="s">
        <v>1505</v>
      </c>
      <c r="M37" s="222">
        <v>19</v>
      </c>
      <c r="N37" s="2" t="str">
        <f t="shared" ca="1" si="1"/>
        <v>CLOSED</v>
      </c>
    </row>
    <row r="38" spans="1:14" ht="18.75">
      <c r="A38" s="64" t="s">
        <v>462</v>
      </c>
      <c r="B38" s="98">
        <f>VLOOKUP([2]!Table27[[#This Row],[Location 
(drop-down)]],'[2]List source'!D$2:E$59,2,FALSE)</f>
        <v>120</v>
      </c>
      <c r="C38" s="99" t="s">
        <v>237</v>
      </c>
      <c r="D38" s="223" t="str">
        <f t="shared" si="0"/>
        <v>PTO027-120-23</v>
      </c>
      <c r="E38" s="123" t="s">
        <v>1577</v>
      </c>
      <c r="F38" s="165" t="e" cm="1">
        <f t="array" aca="1" ref="F38" ca="1">MID(LEFT(#REF!, INDEX(_xlfn._xlws.FILTER(ROW(INDIRECT("1:" &amp; LEN(#REF!))), (48 &lt;= CODE(MID(#REF!, ROW(INDIRECT("1:" &amp; LEN(#REF!))), 1))) * (CODE(MID(#REF!, ROW(INDIRECT("1:" &amp; LEN(#REF!))), 1)) &lt;= 57)), 1) - 1), FIND(":",#REF!) + 2, LEN(#REF!))</f>
        <v>#REF!</v>
      </c>
      <c r="G38" s="227" t="e">
        <f>MID(LEFT(#REF!, FIND(",",#REF!) - 1), FIND("{token}", SUBSTITUTE(#REF!, " ", "{token}", 2)) + 1, LEN(#REF!))</f>
        <v>#REF!</v>
      </c>
      <c r="H38" s="165">
        <v>2.11</v>
      </c>
      <c r="I38" s="230">
        <v>45306</v>
      </c>
      <c r="J38" s="230" t="s">
        <v>34</v>
      </c>
      <c r="K38" s="226">
        <v>45306</v>
      </c>
      <c r="L38" s="165" t="s">
        <v>1562</v>
      </c>
      <c r="M38" s="218">
        <v>27</v>
      </c>
      <c r="N38" s="2" t="str">
        <f t="shared" ca="1" si="1"/>
        <v>CLOSED</v>
      </c>
    </row>
    <row r="39" spans="1:14" ht="18.75">
      <c r="A39" s="64" t="s">
        <v>462</v>
      </c>
      <c r="B39" s="98">
        <f>VLOOKUP([2]!Table27[[#This Row],[Location 
(drop-down)]],'[2]List source'!D$2:E$59,2,FALSE)</f>
        <v>197</v>
      </c>
      <c r="C39" s="99" t="s">
        <v>428</v>
      </c>
      <c r="D39" s="223" t="str">
        <f t="shared" si="0"/>
        <v>PTO028-197-23</v>
      </c>
      <c r="E39" s="227" t="s">
        <v>1578</v>
      </c>
      <c r="F39" s="165" t="e" cm="1">
        <f t="array" aca="1" ref="F39" ca="1">MID(LEFT(#REF!, INDEX(_xlfn._xlws.FILTER(ROW(INDIRECT("1:" &amp; LEN(#REF!))), (48 &lt;= CODE(MID(#REF!, ROW(INDIRECT("1:" &amp; LEN(#REF!))), 1))) * (CODE(MID(#REF!, ROW(INDIRECT("1:" &amp; LEN(#REF!))), 1)) &lt;= 57)), 1) - 1), FIND(":",#REF!) + 2, LEN(#REF!))</f>
        <v>#REF!</v>
      </c>
      <c r="G39" s="227" t="e">
        <f>MID(LEFT(#REF!, FIND(",",#REF!) - 1), FIND("{token}", SUBSTITUTE(#REF!, " ", "{token}", 2)) + 1, LEN(#REF!))</f>
        <v>#REF!</v>
      </c>
      <c r="H39" s="165" t="s">
        <v>1579</v>
      </c>
      <c r="I39" s="230">
        <v>45306</v>
      </c>
      <c r="J39" s="230" t="s">
        <v>34</v>
      </c>
      <c r="K39" s="226">
        <v>45306</v>
      </c>
      <c r="L39" s="165" t="s">
        <v>1562</v>
      </c>
      <c r="M39" s="222">
        <v>28</v>
      </c>
      <c r="N39" s="2" t="str">
        <f t="shared" ca="1" si="1"/>
        <v>CLOSED</v>
      </c>
    </row>
    <row r="40" spans="1:14" ht="18.75">
      <c r="A40" s="64" t="s">
        <v>103</v>
      </c>
      <c r="B40" s="98">
        <f>VLOOKUP([2]!Table27[[#This Row],[Location 
(drop-down)]],'[2]List source'!D$2:E$59,2,FALSE)</f>
        <v>130</v>
      </c>
      <c r="C40" s="99" t="s">
        <v>430</v>
      </c>
      <c r="D40" s="223" t="str">
        <f t="shared" si="0"/>
        <v>PTO031-130-23</v>
      </c>
      <c r="E40" s="115" t="s">
        <v>1580</v>
      </c>
      <c r="F40" s="18" t="e" cm="1">
        <f t="array" aca="1" ref="F40" ca="1">MID(LEFT(#REF!, INDEX(_xlfn._xlws.FILTER(ROW(INDIRECT("1:" &amp; LEN(#REF!))), (48 &lt;= CODE(MID(#REF!, ROW(INDIRECT("1:" &amp; LEN(#REF!))), 1))) * (CODE(MID(#REF!, ROW(INDIRECT("1:" &amp; LEN(#REF!))), 1)) &lt;= 57)), 1) - 1), FIND(":",#REF!) + 2, LEN(#REF!))</f>
        <v>#REF!</v>
      </c>
      <c r="G40" s="115" t="e">
        <f>MID(LEFT(#REF!, FIND(",",#REF!) - 1), FIND("{token}", SUBSTITUTE(#REF!, " ", "{token}", 2)) + 1, LEN(#REF!))</f>
        <v>#REF!</v>
      </c>
      <c r="H40" s="18">
        <v>2.0499999999999998</v>
      </c>
      <c r="I40" s="230">
        <v>45306</v>
      </c>
      <c r="J40" s="230" t="s">
        <v>34</v>
      </c>
      <c r="K40" s="226">
        <v>45306</v>
      </c>
      <c r="L40" s="165" t="s">
        <v>1562</v>
      </c>
      <c r="M40" s="222">
        <v>31</v>
      </c>
      <c r="N40" s="2" t="str">
        <f t="shared" ca="1" si="1"/>
        <v>CLOSED</v>
      </c>
    </row>
    <row r="41" spans="1:14" ht="18.75">
      <c r="A41" s="64" t="s">
        <v>213</v>
      </c>
      <c r="B41" s="98">
        <f>VLOOKUP([2]!Table27[[#This Row],[Location 
(drop-down)]],'[2]List source'!D$2:E$59,2,FALSE)</f>
        <v>130</v>
      </c>
      <c r="C41" s="99" t="s">
        <v>938</v>
      </c>
      <c r="D41" s="223" t="str">
        <f t="shared" si="0"/>
        <v>PTO032-130-23</v>
      </c>
      <c r="E41" s="227" t="s">
        <v>1581</v>
      </c>
      <c r="F41" s="165" t="e" cm="1">
        <f t="array" aca="1" ref="F41" ca="1">MID(LEFT(#REF!, INDEX(_xlfn._xlws.FILTER(ROW(INDIRECT("1:" &amp; LEN(#REF!))), (48 &lt;= CODE(MID(#REF!, ROW(INDIRECT("1:" &amp; LEN(#REF!))), 1))) * (CODE(MID(#REF!, ROW(INDIRECT("1:" &amp; LEN(#REF!))), 1)) &lt;= 57)), 1) - 1), FIND(":",#REF!) + 2, LEN(#REF!))</f>
        <v>#REF!</v>
      </c>
      <c r="G41" s="227" t="e">
        <f>MID(LEFT(#REF!, FIND(",",#REF!) - 1), FIND("{token}", SUBSTITUTE(#REF!, " ", "{token}", 2)) + 1, LEN(#REF!))</f>
        <v>#REF!</v>
      </c>
      <c r="H41" s="165">
        <v>-2.2000000000000002</v>
      </c>
      <c r="I41" s="230">
        <v>45306</v>
      </c>
      <c r="J41" s="230" t="s">
        <v>34</v>
      </c>
      <c r="K41" s="226">
        <v>45306</v>
      </c>
      <c r="L41" s="165" t="s">
        <v>1562</v>
      </c>
      <c r="M41" s="218">
        <v>32</v>
      </c>
      <c r="N41" s="2" t="str">
        <f t="shared" ca="1" si="1"/>
        <v>CLOSED</v>
      </c>
    </row>
    <row r="42" spans="1:14" ht="18.75">
      <c r="A42" s="64" t="s">
        <v>264</v>
      </c>
      <c r="B42" s="98">
        <f>VLOOKUP([2]!Table27[[#This Row],[Location 
(drop-down)]],'[2]List source'!D$2:E$59,2,FALSE)</f>
        <v>215</v>
      </c>
      <c r="C42" s="99" t="s">
        <v>604</v>
      </c>
      <c r="D42" s="223" t="str">
        <f t="shared" si="0"/>
        <v>PTO035-215-23</v>
      </c>
      <c r="E42" s="227" t="s">
        <v>1582</v>
      </c>
      <c r="F42" s="165" t="e" cm="1">
        <f t="array" aca="1" ref="F42" ca="1">MID(LEFT(#REF!, INDEX(_xlfn._xlws.FILTER(ROW(INDIRECT("1:" &amp; LEN(#REF!))), (48 &lt;= CODE(MID(#REF!, ROW(INDIRECT("1:" &amp; LEN(#REF!))), 1))) * (CODE(MID(#REF!, ROW(INDIRECT("1:" &amp; LEN(#REF!))), 1)) &lt;= 57)), 1) - 1), FIND(":",#REF!) + 2, LEN(#REF!))</f>
        <v>#REF!</v>
      </c>
      <c r="G42" s="227" t="e">
        <f>MID(LEFT(#REF!, FIND(",",#REF!) - 1), FIND("{token}", SUBSTITUTE(#REF!, " ", "{token}", 2)) + 1, LEN(#REF!))</f>
        <v>#REF!</v>
      </c>
      <c r="H42" s="165">
        <v>-2.2999999999999998</v>
      </c>
      <c r="I42" s="230">
        <v>45306</v>
      </c>
      <c r="J42" s="230" t="s">
        <v>34</v>
      </c>
      <c r="K42" s="226">
        <v>45306</v>
      </c>
      <c r="L42" s="165" t="s">
        <v>1562</v>
      </c>
      <c r="M42" s="222">
        <v>35</v>
      </c>
      <c r="N42" s="2" t="str">
        <f t="shared" ca="1" si="1"/>
        <v>CLOSED</v>
      </c>
    </row>
    <row r="43" spans="1:14" ht="30">
      <c r="A43" s="64" t="s">
        <v>185</v>
      </c>
      <c r="B43" s="98">
        <f>VLOOKUP([2]!Table27[[#This Row],[Location 
(drop-down)]],'[2]List source'!D$2:E$59,2,FALSE)</f>
        <v>160</v>
      </c>
      <c r="C43" s="99" t="s">
        <v>506</v>
      </c>
      <c r="D43" s="223" t="str">
        <f t="shared" si="0"/>
        <v>PTO036-160-23</v>
      </c>
      <c r="E43" s="227" t="s">
        <v>1583</v>
      </c>
      <c r="F43" s="165" t="e" cm="1">
        <f t="array" aca="1" ref="F43" ca="1">MID(LEFT(#REF!, INDEX(_xlfn._xlws.FILTER(ROW(INDIRECT("1:" &amp; LEN(#REF!))), (48 &lt;= CODE(MID(#REF!, ROW(INDIRECT("1:" &amp; LEN(#REF!))), 1))) * (CODE(MID(#REF!, ROW(INDIRECT("1:" &amp; LEN(#REF!))), 1)) &lt;= 57)), 1) - 1), FIND(":",#REF!) + 2, LEN(#REF!))</f>
        <v>#REF!</v>
      </c>
      <c r="G43" s="227" t="e">
        <f>MID(LEFT(#REF!, FIND(",",#REF!) - 1), FIND("{token}", SUBSTITUTE(#REF!, " ", "{token}", 2)) + 1, LEN(#REF!))</f>
        <v>#REF!</v>
      </c>
      <c r="H43" s="165" t="s">
        <v>1584</v>
      </c>
      <c r="I43" s="230">
        <v>45306</v>
      </c>
      <c r="J43" s="230" t="s">
        <v>34</v>
      </c>
      <c r="K43" s="226">
        <v>45306</v>
      </c>
      <c r="L43" s="165" t="s">
        <v>1562</v>
      </c>
      <c r="M43" s="222">
        <v>36</v>
      </c>
      <c r="N43" s="2" t="str">
        <f t="shared" ca="1" si="1"/>
        <v>CLOSED</v>
      </c>
    </row>
    <row r="44" spans="1:14" ht="18.75">
      <c r="A44" s="64" t="s">
        <v>64</v>
      </c>
      <c r="B44" s="98">
        <f>VLOOKUP([2]!Table27[[#This Row],[Location 
(drop-down)]],'[2]List source'!D$2:E$59,2,FALSE)</f>
        <v>160</v>
      </c>
      <c r="C44" s="99" t="s">
        <v>819</v>
      </c>
      <c r="D44" s="223" t="str">
        <f t="shared" si="0"/>
        <v>PTO037-160-23</v>
      </c>
      <c r="E44" s="227" t="s">
        <v>1582</v>
      </c>
      <c r="F44" s="165" t="e" cm="1">
        <f t="array" aca="1" ref="F44" ca="1">MID(LEFT(#REF!, INDEX(_xlfn._xlws.FILTER(ROW(INDIRECT("1:" &amp; LEN(#REF!))), (48 &lt;= CODE(MID(#REF!, ROW(INDIRECT("1:" &amp; LEN(#REF!))), 1))) * (CODE(MID(#REF!, ROW(INDIRECT("1:" &amp; LEN(#REF!))), 1)) &lt;= 57)), 1) - 1), FIND(":",#REF!) + 2, LEN(#REF!))</f>
        <v>#REF!</v>
      </c>
      <c r="G44" s="227" t="e">
        <f>MID(LEFT(#REF!, FIND(",",#REF!) - 1), FIND("{token}", SUBSTITUTE(#REF!, " ", "{token}", 2)) + 1, LEN(#REF!))</f>
        <v>#REF!</v>
      </c>
      <c r="H44" s="165">
        <v>-2.0499999999999998</v>
      </c>
      <c r="I44" s="230">
        <v>45306</v>
      </c>
      <c r="J44" s="230" t="s">
        <v>34</v>
      </c>
      <c r="K44" s="226">
        <v>45306</v>
      </c>
      <c r="L44" s="165" t="s">
        <v>1562</v>
      </c>
      <c r="M44" s="218">
        <v>37</v>
      </c>
      <c r="N44" s="2" t="str">
        <f t="shared" ca="1" si="1"/>
        <v>CLOSED</v>
      </c>
    </row>
    <row r="45" spans="1:14" ht="30">
      <c r="A45" s="64" t="s">
        <v>485</v>
      </c>
      <c r="B45" s="98">
        <f>VLOOKUP([2]!Table27[[#This Row],[Location 
(drop-down)]],'[2]List source'!D$2:E$59,2,FALSE)</f>
        <v>132</v>
      </c>
      <c r="C45" s="99" t="s">
        <v>412</v>
      </c>
      <c r="D45" s="223" t="str">
        <f t="shared" si="0"/>
        <v>PTO043-132-23</v>
      </c>
      <c r="E45" s="227" t="s">
        <v>1585</v>
      </c>
      <c r="F45" s="165" t="e" cm="1">
        <f t="array" aca="1" ref="F45" ca="1">MID(LEFT(#REF!, INDEX(_xlfn._xlws.FILTER(ROW(INDIRECT("1:" &amp; LEN(#REF!))), (48 &lt;= CODE(MID(#REF!, ROW(INDIRECT("1:" &amp; LEN(#REF!))), 1))) * (CODE(MID(#REF!, ROW(INDIRECT("1:" &amp; LEN(#REF!))), 1)) &lt;= 57)), 1) - 1), FIND(":",#REF!) + 2, LEN(#REF!))</f>
        <v>#REF!</v>
      </c>
      <c r="G45" s="227" t="e">
        <f>MID(LEFT(#REF!, FIND(",",#REF!) - 1), FIND("{token}", SUBSTITUTE(#REF!, " ", "{token}", 2)) + 1, LEN(#REF!))</f>
        <v>#REF!</v>
      </c>
      <c r="H45" s="165" t="s">
        <v>1586</v>
      </c>
      <c r="I45" s="230">
        <v>45306</v>
      </c>
      <c r="J45" s="230" t="s">
        <v>34</v>
      </c>
      <c r="K45" s="226">
        <v>45306</v>
      </c>
      <c r="L45" s="165" t="s">
        <v>1562</v>
      </c>
      <c r="M45" s="218">
        <v>43</v>
      </c>
      <c r="N45" s="2" t="str">
        <f t="shared" ca="1" si="1"/>
        <v>CLOSED</v>
      </c>
    </row>
    <row r="46" spans="1:14" ht="30">
      <c r="A46" s="64" t="s">
        <v>485</v>
      </c>
      <c r="B46" s="98">
        <f>VLOOKUP([2]!Table27[[#This Row],[Location 
(drop-down)]],'[2]List source'!D$2:E$59,2,FALSE)</f>
        <v>132</v>
      </c>
      <c r="C46" s="99" t="s">
        <v>290</v>
      </c>
      <c r="D46" s="223" t="str">
        <f t="shared" si="0"/>
        <v>PTO045-132-23</v>
      </c>
      <c r="E46" s="227" t="s">
        <v>1587</v>
      </c>
      <c r="F46" s="165" t="e" cm="1">
        <f t="array" aca="1" ref="F46" ca="1">MID(LEFT(#REF!, INDEX(_xlfn._xlws.FILTER(ROW(INDIRECT("1:" &amp; LEN(#REF!))), (48 &lt;= CODE(MID(#REF!, ROW(INDIRECT("1:" &amp; LEN(#REF!))), 1))) * (CODE(MID(#REF!, ROW(INDIRECT("1:" &amp; LEN(#REF!))), 1)) &lt;= 57)), 1) - 1), FIND(":",#REF!) + 2, LEN(#REF!))</f>
        <v>#REF!</v>
      </c>
      <c r="G46" s="227" t="e">
        <f>MID(LEFT(#REF!, FIND(",",#REF!) - 1), FIND("{token}", SUBSTITUTE(#REF!, " ", "{token}", 2)) + 1, LEN(#REF!))</f>
        <v>#REF!</v>
      </c>
      <c r="H46" s="236" t="s">
        <v>1588</v>
      </c>
      <c r="I46" s="230">
        <v>45306</v>
      </c>
      <c r="J46" s="230" t="s">
        <v>34</v>
      </c>
      <c r="K46" s="226">
        <v>45306</v>
      </c>
      <c r="L46" s="165" t="s">
        <v>1562</v>
      </c>
      <c r="M46" s="218">
        <v>45</v>
      </c>
      <c r="N46" s="2" t="str">
        <f t="shared" ca="1" si="1"/>
        <v>CLOSED</v>
      </c>
    </row>
    <row r="47" spans="1:14" ht="30">
      <c r="A47" s="64" t="s">
        <v>500</v>
      </c>
      <c r="B47" s="98">
        <f>VLOOKUP([2]!Table27[[#This Row],[Location 
(drop-down)]],'[2]List source'!D$2:E$59,2,FALSE)</f>
        <v>132</v>
      </c>
      <c r="C47" s="99" t="s">
        <v>254</v>
      </c>
      <c r="D47" s="223" t="str">
        <f t="shared" si="0"/>
        <v>PTO046-132-23</v>
      </c>
      <c r="E47" s="227" t="s">
        <v>1585</v>
      </c>
      <c r="F47" s="165" t="e" cm="1">
        <f t="array" aca="1" ref="F47" ca="1">MID(LEFT(#REF!, INDEX(_xlfn._xlws.FILTER(ROW(INDIRECT("1:" &amp; LEN(#REF!))), (48 &lt;= CODE(MID(#REF!, ROW(INDIRECT("1:" &amp; LEN(#REF!))), 1))) * (CODE(MID(#REF!, ROW(INDIRECT("1:" &amp; LEN(#REF!))), 1)) &lt;= 57)), 1) - 1), FIND(":",#REF!) + 2, LEN(#REF!))</f>
        <v>#REF!</v>
      </c>
      <c r="G47" s="190" t="e">
        <f>MID(LEFT(#REF!, FIND(",",#REF!) - 1), FIND("{token}", SUBSTITUTE(#REF!, " ", "{token}", 2)) + 1, LEN(#REF!))</f>
        <v>#REF!</v>
      </c>
      <c r="H47" s="165" t="s">
        <v>1589</v>
      </c>
      <c r="I47" s="230">
        <v>45306</v>
      </c>
      <c r="J47" s="230" t="s">
        <v>34</v>
      </c>
      <c r="K47" s="226">
        <v>45306</v>
      </c>
      <c r="L47" s="165" t="s">
        <v>1562</v>
      </c>
      <c r="M47" s="218">
        <v>46</v>
      </c>
      <c r="N47" s="2" t="str">
        <f t="shared" ca="1" si="1"/>
        <v>CLOSED</v>
      </c>
    </row>
    <row r="48" spans="1:14" ht="30">
      <c r="A48" s="64" t="s">
        <v>202</v>
      </c>
      <c r="B48" s="98">
        <f>VLOOKUP([2]!Table27[[#This Row],[Location 
(drop-down)]],'[2]List source'!D$2:E$59,2,FALSE)</f>
        <v>132</v>
      </c>
      <c r="C48" s="99" t="s">
        <v>312</v>
      </c>
      <c r="D48" s="223" t="str">
        <f t="shared" si="0"/>
        <v>PTO048-132-23</v>
      </c>
      <c r="E48" s="227" t="s">
        <v>1585</v>
      </c>
      <c r="F48" s="165" t="e" cm="1">
        <f t="array" aca="1" ref="F48" ca="1">MID(LEFT(#REF!, INDEX(_xlfn._xlws.FILTER(ROW(INDIRECT("1:" &amp; LEN(#REF!))), (48 &lt;= CODE(MID(#REF!, ROW(INDIRECT("1:" &amp; LEN(#REF!))), 1))) * (CODE(MID(#REF!, ROW(INDIRECT("1:" &amp; LEN(#REF!))), 1)) &lt;= 57)), 1) - 1), FIND(":",#REF!) + 2, LEN(#REF!))</f>
        <v>#REF!</v>
      </c>
      <c r="G48" s="227" t="e">
        <f>MID(LEFT(#REF!, FIND(",",#REF!) - 1), FIND("{token}", SUBSTITUTE(#REF!, " ", "{token}", 2)) + 1, LEN(#REF!))</f>
        <v>#REF!</v>
      </c>
      <c r="H48" s="165" t="s">
        <v>1590</v>
      </c>
      <c r="I48" s="230">
        <v>45306</v>
      </c>
      <c r="J48" s="230" t="s">
        <v>34</v>
      </c>
      <c r="K48" s="226">
        <v>45306</v>
      </c>
      <c r="L48" s="165" t="s">
        <v>1562</v>
      </c>
      <c r="M48" s="222">
        <v>48</v>
      </c>
      <c r="N48" s="2" t="str">
        <f t="shared" ca="1" si="1"/>
        <v>CLOSED</v>
      </c>
    </row>
    <row r="49" spans="1:14" ht="18.75">
      <c r="A49" s="64" t="s">
        <v>23</v>
      </c>
      <c r="B49" s="98">
        <f>VLOOKUP([2]!Table27[[#This Row],[Location 
(drop-down)]],'[2]List source'!D$2:E$59,2,FALSE)</f>
        <v>132</v>
      </c>
      <c r="C49" s="99" t="s">
        <v>341</v>
      </c>
      <c r="D49" s="223" t="str">
        <f t="shared" si="0"/>
        <v>PTO050-132-23</v>
      </c>
      <c r="E49" s="227" t="s">
        <v>1591</v>
      </c>
      <c r="F49" s="165" t="e" cm="1">
        <f t="array" aca="1" ref="F49" ca="1">MID(LEFT(#REF!, INDEX(_xlfn._xlws.FILTER(ROW(INDIRECT("1:" &amp; LEN(#REF!))), (48 &lt;= CODE(MID(#REF!, ROW(INDIRECT("1:" &amp; LEN(#REF!))), 1))) * (CODE(MID(#REF!, ROW(INDIRECT("1:" &amp; LEN(#REF!))), 1)) &lt;= 57)), 1) - 1), FIND(":",#REF!) + 2, LEN(#REF!))</f>
        <v>#REF!</v>
      </c>
      <c r="G49" s="227" t="e">
        <f>MID(LEFT(#REF!, FIND(",",#REF!) - 1), FIND("{token}", SUBSTITUTE(#REF!, " ", "{token}", 2)) + 1, LEN(#REF!))</f>
        <v>#REF!</v>
      </c>
      <c r="H49" s="165">
        <v>-2.64</v>
      </c>
      <c r="I49" s="230">
        <v>45306</v>
      </c>
      <c r="J49" s="230" t="s">
        <v>34</v>
      </c>
      <c r="K49" s="226">
        <v>45306</v>
      </c>
      <c r="L49" s="165" t="s">
        <v>1562</v>
      </c>
      <c r="M49" s="222">
        <v>50</v>
      </c>
      <c r="N49" s="2" t="str">
        <f t="shared" ca="1" si="1"/>
        <v>CLOSED</v>
      </c>
    </row>
    <row r="50" spans="1:14" ht="18.75">
      <c r="A50" s="64" t="s">
        <v>43</v>
      </c>
      <c r="B50" s="98">
        <f>VLOOKUP([2]!Table27[[#This Row],[Location 
(drop-down)]],'[2]List source'!D$2:E$59,2,FALSE)</f>
        <v>215</v>
      </c>
      <c r="C50" s="99" t="s">
        <v>342</v>
      </c>
      <c r="D50" s="223" t="str">
        <f t="shared" si="0"/>
        <v>PTO051-215-23</v>
      </c>
      <c r="E50" s="101" t="s">
        <v>1592</v>
      </c>
      <c r="F50" s="165" t="e" cm="1">
        <f t="array" aca="1" ref="F50" ca="1">MID(LEFT(#REF!, INDEX(_xlfn._xlws.FILTER(ROW(INDIRECT("1:" &amp; LEN(#REF!))), (48 &lt;= CODE(MID(#REF!, ROW(INDIRECT("1:" &amp; LEN(#REF!))), 1))) * (CODE(MID(#REF!, ROW(INDIRECT("1:" &amp; LEN(#REF!))), 1)) &lt;= 57)), 1) - 1), FIND(":",#REF!) + 2, LEN(#REF!))</f>
        <v>#REF!</v>
      </c>
      <c r="G50" s="227" t="e">
        <f>MID(LEFT(#REF!, FIND(",",#REF!) - 1), FIND("{token}", SUBSTITUTE(#REF!, " ", "{token}", 2)) + 1, LEN(#REF!))</f>
        <v>#REF!</v>
      </c>
      <c r="H50" s="237" t="s">
        <v>1593</v>
      </c>
      <c r="I50" s="230">
        <v>45306</v>
      </c>
      <c r="J50" s="230" t="s">
        <v>34</v>
      </c>
      <c r="K50" s="226">
        <v>45306</v>
      </c>
      <c r="L50" s="165" t="s">
        <v>1562</v>
      </c>
      <c r="M50" s="222">
        <v>51</v>
      </c>
      <c r="N50" s="2" t="str">
        <f t="shared" ca="1" si="1"/>
        <v>CLOSED</v>
      </c>
    </row>
    <row r="51" spans="1:14" ht="30">
      <c r="A51" s="64" t="s">
        <v>714</v>
      </c>
      <c r="B51" s="98">
        <f>VLOOKUP([2]!Table27[[#This Row],[Location 
(drop-down)]],'[2]List source'!D$2:E$59,2,FALSE)</f>
        <v>215</v>
      </c>
      <c r="C51" s="99" t="s">
        <v>356</v>
      </c>
      <c r="D51" s="223" t="str">
        <f t="shared" si="0"/>
        <v>PTO055-215-23</v>
      </c>
      <c r="E51" s="227" t="s">
        <v>1594</v>
      </c>
      <c r="F51" s="165" t="e" cm="1">
        <f t="array" aca="1" ref="F51" ca="1">MID(LEFT(#REF!, INDEX(_xlfn._xlws.FILTER(ROW(INDIRECT("1:" &amp; LEN(#REF!))), (48 &lt;= CODE(MID(#REF!, ROW(INDIRECT("1:" &amp; LEN(#REF!))), 1))) * (CODE(MID(#REF!, ROW(INDIRECT("1:" &amp; LEN(#REF!))), 1)) &lt;= 57)), 1) - 1), FIND(":",#REF!) + 2, LEN(#REF!))</f>
        <v>#REF!</v>
      </c>
      <c r="G51" s="227" t="e">
        <f>MID(LEFT(#REF!, FIND(",",#REF!) - 1), FIND("{token}", SUBSTITUTE(#REF!, " ", "{token}", 2)) + 1, LEN(#REF!))</f>
        <v>#REF!</v>
      </c>
      <c r="H51" s="165" t="s">
        <v>1595</v>
      </c>
      <c r="I51" s="230">
        <v>45306</v>
      </c>
      <c r="J51" s="230" t="s">
        <v>34</v>
      </c>
      <c r="K51" s="226">
        <v>45306</v>
      </c>
      <c r="L51" s="165" t="s">
        <v>1562</v>
      </c>
      <c r="M51" s="222">
        <v>55</v>
      </c>
      <c r="N51" s="2" t="str">
        <f t="shared" ca="1" si="1"/>
        <v>CLOSED</v>
      </c>
    </row>
    <row r="52" spans="1:14" ht="30">
      <c r="A52" s="64" t="s">
        <v>39</v>
      </c>
      <c r="B52" s="98">
        <f>VLOOKUP([2]!Table27[[#This Row],[Location 
(drop-down)]],'[2]List source'!D$2:E$59,2,FALSE)</f>
        <v>215</v>
      </c>
      <c r="C52" s="99" t="s">
        <v>519</v>
      </c>
      <c r="D52" s="223" t="str">
        <f t="shared" si="0"/>
        <v>PTO058-215-23</v>
      </c>
      <c r="E52" s="227" t="s">
        <v>1596</v>
      </c>
      <c r="F52" s="165" t="e" cm="1">
        <f t="array" aca="1" ref="F52" ca="1">MID(LEFT(#REF!, INDEX(_xlfn._xlws.FILTER(ROW(INDIRECT("1:" &amp; LEN(#REF!))), (48 &lt;= CODE(MID(#REF!, ROW(INDIRECT("1:" &amp; LEN(#REF!))), 1))) * (CODE(MID(#REF!, ROW(INDIRECT("1:" &amp; LEN(#REF!))), 1)) &lt;= 57)), 1) - 1), FIND(":",#REF!) + 2, LEN(#REF!))</f>
        <v>#REF!</v>
      </c>
      <c r="G52" s="227" t="e">
        <f>MID(LEFT(#REF!, FIND(",",#REF!) - 1), FIND("{token}", SUBSTITUTE(#REF!, " ", "{token}", 2)) + 1, LEN(#REF!))</f>
        <v>#REF!</v>
      </c>
      <c r="H52" s="165">
        <v>-2.77</v>
      </c>
      <c r="I52" s="230">
        <v>45307</v>
      </c>
      <c r="J52" s="230" t="s">
        <v>34</v>
      </c>
      <c r="K52" s="226">
        <v>45307</v>
      </c>
      <c r="L52" s="165" t="s">
        <v>1562</v>
      </c>
      <c r="M52" s="222">
        <v>58</v>
      </c>
      <c r="N52" s="2" t="str">
        <f t="shared" ca="1" si="1"/>
        <v>CLOSED</v>
      </c>
    </row>
    <row r="53" spans="1:14" ht="30">
      <c r="A53" s="64" t="s">
        <v>119</v>
      </c>
      <c r="B53" s="98">
        <f>VLOOKUP([2]!Table27[[#This Row],[Location 
(drop-down)]],'[2]List source'!D$2:E$59,2,FALSE)</f>
        <v>215</v>
      </c>
      <c r="C53" s="99" t="s">
        <v>587</v>
      </c>
      <c r="D53" s="223" t="str">
        <f t="shared" si="0"/>
        <v>PTO059-215-23</v>
      </c>
      <c r="E53" s="227" t="s">
        <v>1597</v>
      </c>
      <c r="F53" s="165" t="e" cm="1">
        <f t="array" aca="1" ref="F53" ca="1">MID(LEFT(#REF!, INDEX(_xlfn._xlws.FILTER(ROW(INDIRECT("1:" &amp; LEN(#REF!))), (48 &lt;= CODE(MID(#REF!, ROW(INDIRECT("1:" &amp; LEN(#REF!))), 1))) * (CODE(MID(#REF!, ROW(INDIRECT("1:" &amp; LEN(#REF!))), 1)) &lt;= 57)), 1) - 1), FIND(":",#REF!) + 2, LEN(#REF!))</f>
        <v>#REF!</v>
      </c>
      <c r="G53" s="227" t="e">
        <f>MID(LEFT(#REF!, FIND(",",#REF!) - 1), FIND("{token}", SUBSTITUTE(#REF!, " ", "{token}", 2)) + 1, LEN(#REF!))</f>
        <v>#REF!</v>
      </c>
      <c r="H53" s="165">
        <v>2.09</v>
      </c>
      <c r="I53" s="230">
        <v>45307</v>
      </c>
      <c r="J53" s="230" t="s">
        <v>34</v>
      </c>
      <c r="K53" s="226">
        <v>45307</v>
      </c>
      <c r="L53" s="165" t="s">
        <v>1562</v>
      </c>
      <c r="M53" s="222">
        <v>59</v>
      </c>
      <c r="N53" s="2" t="str">
        <f t="shared" ca="1" si="1"/>
        <v>CLOSED</v>
      </c>
    </row>
    <row r="54" spans="1:14" ht="18.75">
      <c r="A54" s="64" t="s">
        <v>167</v>
      </c>
      <c r="B54" s="98">
        <f>VLOOKUP([2]!Table27[[#This Row],[Location 
(drop-down)]],'[2]List source'!D$2:E$59,2,FALSE)</f>
        <v>215</v>
      </c>
      <c r="C54" s="99" t="s">
        <v>541</v>
      </c>
      <c r="D54" s="223" t="str">
        <f t="shared" si="0"/>
        <v>PTO060-215-23</v>
      </c>
      <c r="E54" s="190" t="s">
        <v>1598</v>
      </c>
      <c r="F54" s="238" t="e" cm="1">
        <f t="array" aca="1" ref="F54" ca="1">MID(LEFT(#REF!, INDEX(_xlfn._xlws.FILTER(ROW(INDIRECT("1:" &amp; LEN(#REF!))), (48 &lt;= CODE(MID(#REF!, ROW(INDIRECT("1:" &amp; LEN(#REF!))), 1))) * (CODE(MID(#REF!, ROW(INDIRECT("1:" &amp; LEN(#REF!))), 1)) &lt;= 57)), 1) - 1), FIND(":",#REF!) + 2, LEN(#REF!))</f>
        <v>#REF!</v>
      </c>
      <c r="G54" s="190" t="e">
        <f>MID(LEFT(#REF!, FIND(",",#REF!) - 1), FIND("{token}", SUBSTITUTE(#REF!, " ", "{token}", 2)) + 1, LEN(#REF!))</f>
        <v>#REF!</v>
      </c>
      <c r="H54" s="239">
        <v>-2.0499999999999998</v>
      </c>
      <c r="I54" s="230">
        <v>45307</v>
      </c>
      <c r="J54" s="230" t="s">
        <v>34</v>
      </c>
      <c r="K54" s="226">
        <v>45307</v>
      </c>
      <c r="L54" s="165" t="s">
        <v>1562</v>
      </c>
      <c r="M54" s="222">
        <v>60</v>
      </c>
      <c r="N54" s="2" t="str">
        <f t="shared" ca="1" si="1"/>
        <v>CLOSED</v>
      </c>
    </row>
    <row r="55" spans="1:14" ht="18.75">
      <c r="A55" s="64" t="s">
        <v>167</v>
      </c>
      <c r="B55" s="98">
        <f>VLOOKUP([2]!Table27[[#This Row],[Location 
(drop-down)]],'[2]List source'!D$2:E$59,2,FALSE)</f>
        <v>215</v>
      </c>
      <c r="C55" s="99" t="s">
        <v>651</v>
      </c>
      <c r="D55" s="223" t="str">
        <f t="shared" si="0"/>
        <v>PTO061-215-23</v>
      </c>
      <c r="E55" s="227" t="s">
        <v>1599</v>
      </c>
      <c r="F55" s="165" t="e" cm="1">
        <f t="array" aca="1" ref="F55" ca="1">MID(LEFT(#REF!, INDEX(_xlfn._xlws.FILTER(ROW(INDIRECT("1:" &amp; LEN(#REF!))), (48 &lt;= CODE(MID(#REF!, ROW(INDIRECT("1:" &amp; LEN(#REF!))), 1))) * (CODE(MID(#REF!, ROW(INDIRECT("1:" &amp; LEN(#REF!))), 1)) &lt;= 57)), 1) - 1), FIND(":",#REF!) + 2, LEN(#REF!))</f>
        <v>#REF!</v>
      </c>
      <c r="G55" s="227" t="e">
        <f>MID(LEFT(#REF!, FIND(",",#REF!) - 1), FIND("{token}", SUBSTITUTE(#REF!, " ", "{token}", 2)) + 1, LEN(#REF!))</f>
        <v>#REF!</v>
      </c>
      <c r="H55" s="165">
        <v>2.99</v>
      </c>
      <c r="I55" s="230">
        <v>45307</v>
      </c>
      <c r="J55" s="230" t="s">
        <v>34</v>
      </c>
      <c r="K55" s="226">
        <v>45307</v>
      </c>
      <c r="L55" s="165" t="s">
        <v>1562</v>
      </c>
      <c r="M55" s="222">
        <v>61</v>
      </c>
      <c r="N55" s="2" t="str">
        <f t="shared" ca="1" si="1"/>
        <v>CLOSED</v>
      </c>
    </row>
    <row r="56" spans="1:14" ht="18.75">
      <c r="A56" s="64" t="s">
        <v>314</v>
      </c>
      <c r="B56" s="98">
        <f>VLOOKUP([2]!Table27[[#This Row],[Location 
(drop-down)]],'[2]List source'!D$2:E$59,2,FALSE)</f>
        <v>210</v>
      </c>
      <c r="C56" s="99" t="s">
        <v>675</v>
      </c>
      <c r="D56" s="223" t="str">
        <f t="shared" si="0"/>
        <v>PTO063-210-23</v>
      </c>
      <c r="E56" s="227" t="s">
        <v>1600</v>
      </c>
      <c r="F56" s="165" t="e" cm="1">
        <f t="array" aca="1" ref="F56" ca="1">MID(LEFT(#REF!, INDEX(_xlfn._xlws.FILTER(ROW(INDIRECT("1:" &amp; LEN(#REF!))), (48 &lt;= CODE(MID(#REF!, ROW(INDIRECT("1:" &amp; LEN(#REF!))), 1))) * (CODE(MID(#REF!, ROW(INDIRECT("1:" &amp; LEN(#REF!))), 1)) &lt;= 57)), 1) - 1), FIND(":",#REF!) + 2, LEN(#REF!))</f>
        <v>#REF!</v>
      </c>
      <c r="G56" s="227" t="e">
        <f>MID(LEFT(#REF!, FIND(",",#REF!) - 1), FIND("{token}", SUBSTITUTE(#REF!, " ", "{token}", 2)) + 1, LEN(#REF!))</f>
        <v>#REF!</v>
      </c>
      <c r="H56" s="165">
        <v>-2.25</v>
      </c>
      <c r="I56" s="230">
        <v>45307</v>
      </c>
      <c r="J56" s="230" t="s">
        <v>34</v>
      </c>
      <c r="K56" s="226">
        <v>45307</v>
      </c>
      <c r="L56" s="165" t="s">
        <v>1562</v>
      </c>
      <c r="M56" s="222">
        <v>63</v>
      </c>
      <c r="N56" s="2" t="str">
        <f t="shared" ca="1" si="1"/>
        <v>CLOSED</v>
      </c>
    </row>
    <row r="57" spans="1:14" ht="30">
      <c r="A57" s="64" t="s">
        <v>202</v>
      </c>
      <c r="B57" s="98">
        <f>VLOOKUP([2]!Table27[[#This Row],[Location 
(drop-down)]],'[2]List source'!D$2:E$59,2,FALSE)</f>
        <v>215</v>
      </c>
      <c r="C57" s="99" t="s">
        <v>647</v>
      </c>
      <c r="D57" s="223" t="str">
        <f t="shared" si="0"/>
        <v>PTO073-215-23</v>
      </c>
      <c r="E57" s="240" t="s">
        <v>1601</v>
      </c>
      <c r="F57" s="2" t="e" cm="1">
        <f t="array" aca="1" ref="F57" ca="1">MID(LEFT(#REF!, INDEX(_xlfn._xlws.FILTER(ROW(INDIRECT("1:" &amp; LEN(#REF!))), (48 &lt;= CODE(MID(#REF!, ROW(INDIRECT("1:" &amp; LEN(#REF!))), 1))) * (CODE(MID(#REF!, ROW(INDIRECT("1:" &amp; LEN(#REF!))), 1)) &lt;= 57)), 1) - 1), FIND(":",#REF!) + 2, LEN(#REF!))</f>
        <v>#REF!</v>
      </c>
      <c r="G57" s="240" t="e">
        <f>MID(LEFT(#REF!, FIND(",",#REF!) - 1), FIND("{token}", SUBSTITUTE(#REF!, " ", "{token}", 2)) + 1, LEN(#REF!))</f>
        <v>#REF!</v>
      </c>
      <c r="H57" s="2">
        <v>-2.82</v>
      </c>
      <c r="I57" s="230">
        <v>45307</v>
      </c>
      <c r="J57" s="235" t="s">
        <v>34</v>
      </c>
      <c r="K57" s="226">
        <v>45307</v>
      </c>
      <c r="L57" s="165" t="s">
        <v>1505</v>
      </c>
      <c r="M57" s="222">
        <v>73</v>
      </c>
      <c r="N57" s="2" t="str">
        <f t="shared" ca="1" si="1"/>
        <v>CLOSED</v>
      </c>
    </row>
    <row r="58" spans="1:14" ht="30">
      <c r="A58" s="64" t="s">
        <v>202</v>
      </c>
      <c r="B58" s="98">
        <f>VLOOKUP([2]!Table27[[#This Row],[Location 
(drop-down)]],'[2]List source'!D$2:E$59,2,FALSE)</f>
        <v>165</v>
      </c>
      <c r="C58" s="99" t="s">
        <v>613</v>
      </c>
      <c r="D58" s="223" t="str">
        <f t="shared" si="0"/>
        <v>PTO074-165-23</v>
      </c>
      <c r="E58" s="240" t="s">
        <v>1600</v>
      </c>
      <c r="F58" s="2" t="e" cm="1">
        <f t="array" aca="1" ref="F58" ca="1">MID(LEFT(#REF!, INDEX(_xlfn._xlws.FILTER(ROW(INDIRECT("1:" &amp; LEN(#REF!))), (48 &lt;= CODE(MID(#REF!, ROW(INDIRECT("1:" &amp; LEN(#REF!))), 1))) * (CODE(MID(#REF!, ROW(INDIRECT("1:" &amp; LEN(#REF!))), 1)) &lt;= 57)), 1) - 1), FIND(":",#REF!) + 2, LEN(#REF!))</f>
        <v>#REF!</v>
      </c>
      <c r="G58" s="240" t="e">
        <f>MID(LEFT(#REF!, FIND(",",#REF!) - 1), FIND("{token}", SUBSTITUTE(#REF!, " ", "{token}", 2)) + 1, LEN(#REF!))</f>
        <v>#REF!</v>
      </c>
      <c r="H58" s="2">
        <v>-2.25</v>
      </c>
      <c r="I58" s="230">
        <v>45307</v>
      </c>
      <c r="J58" s="235" t="s">
        <v>34</v>
      </c>
      <c r="K58" s="226">
        <v>45307</v>
      </c>
      <c r="L58" s="165" t="s">
        <v>1562</v>
      </c>
      <c r="M58" s="222">
        <v>74</v>
      </c>
      <c r="N58" s="2" t="str">
        <f t="shared" ca="1" si="1"/>
        <v>CLOSED</v>
      </c>
    </row>
    <row r="59" spans="1:14" ht="18.75">
      <c r="A59" s="64" t="s">
        <v>43</v>
      </c>
      <c r="B59" s="98">
        <f>VLOOKUP([2]!Table27[[#This Row],[Location 
(drop-down)]],'[2]List source'!D$2:E$59,2,FALSE)</f>
        <v>165</v>
      </c>
      <c r="C59" s="99" t="s">
        <v>1343</v>
      </c>
      <c r="D59" s="223" t="str">
        <f t="shared" si="0"/>
        <v>PTO078-165-23</v>
      </c>
      <c r="E59" s="240" t="s">
        <v>1602</v>
      </c>
      <c r="F59" s="2" t="e" cm="1">
        <f t="array" aca="1" ref="F59" ca="1">MID(LEFT(#REF!, INDEX(_xlfn._xlws.FILTER(ROW(INDIRECT("1:" &amp; LEN(#REF!))), (48 &lt;= CODE(MID(#REF!, ROW(INDIRECT("1:" &amp; LEN(#REF!))), 1))) * (CODE(MID(#REF!, ROW(INDIRECT("1:" &amp; LEN(#REF!))), 1)) &lt;= 57)), 1) - 1), FIND(":",#REF!) + 2, LEN(#REF!))</f>
        <v>#REF!</v>
      </c>
      <c r="G59" s="240" t="e">
        <f>MID(LEFT(#REF!, FIND(",",#REF!) - 1), FIND("{token}", SUBSTITUTE(#REF!, " ", "{token}", 2)) + 1, LEN(#REF!))</f>
        <v>#REF!</v>
      </c>
      <c r="H59" s="204">
        <v>2.7</v>
      </c>
      <c r="I59" s="230">
        <v>45307</v>
      </c>
      <c r="J59" s="235" t="s">
        <v>34</v>
      </c>
      <c r="K59" s="226">
        <v>45307</v>
      </c>
      <c r="L59" s="165" t="s">
        <v>1562</v>
      </c>
      <c r="M59" s="222">
        <v>78</v>
      </c>
      <c r="N59" s="2" t="str">
        <f t="shared" ca="1" si="1"/>
        <v>CLOSED</v>
      </c>
    </row>
    <row r="60" spans="1:14" ht="30">
      <c r="A60" s="64" t="s">
        <v>294</v>
      </c>
      <c r="B60" s="98">
        <f>VLOOKUP([2]!Table27[[#This Row],[Location 
(drop-down)]],'[2]List source'!D$2:E$59,2,FALSE)</f>
        <v>165</v>
      </c>
      <c r="C60" s="99" t="s">
        <v>348</v>
      </c>
      <c r="D60" s="223" t="str">
        <f t="shared" si="0"/>
        <v>PTO082-165-23</v>
      </c>
      <c r="E60" s="123" t="s">
        <v>1603</v>
      </c>
      <c r="F60" s="2" t="e" cm="1">
        <f t="array" aca="1" ref="F60" ca="1">MID(LEFT(#REF!, INDEX(_xlfn._xlws.FILTER(ROW(INDIRECT("1:" &amp; LEN(#REF!))), (48 &lt;= CODE(MID(#REF!, ROW(INDIRECT("1:" &amp; LEN(#REF!))), 1))) * (CODE(MID(#REF!, ROW(INDIRECT("1:" &amp; LEN(#REF!))), 1)) &lt;= 57)), 1) - 1), FIND(":",#REF!) + 2, LEN(#REF!))</f>
        <v>#REF!</v>
      </c>
      <c r="G60" s="240" t="s">
        <v>1554</v>
      </c>
      <c r="H60" s="2">
        <v>-2.1800000000000002</v>
      </c>
      <c r="I60" s="230">
        <v>45307</v>
      </c>
      <c r="J60" s="235" t="s">
        <v>34</v>
      </c>
      <c r="K60" s="226">
        <v>45307</v>
      </c>
      <c r="L60" s="165" t="s">
        <v>1562</v>
      </c>
      <c r="M60" s="222">
        <v>82</v>
      </c>
      <c r="N60" s="2" t="str">
        <f t="shared" ca="1" si="1"/>
        <v>CLOSED</v>
      </c>
    </row>
    <row r="61" spans="1:14" ht="18.75">
      <c r="A61" s="64" t="s">
        <v>43</v>
      </c>
      <c r="B61" s="98">
        <f>VLOOKUP([2]!Table27[[#This Row],[Location 
(drop-down)]],'[2]List source'!D$2:E$59,2,FALSE)</f>
        <v>165</v>
      </c>
      <c r="C61" s="99" t="s">
        <v>307</v>
      </c>
      <c r="D61" s="223" t="str">
        <f t="shared" si="0"/>
        <v>PTO086-165-23</v>
      </c>
      <c r="E61" s="227" t="s">
        <v>1604</v>
      </c>
      <c r="F61" s="165" t="e" cm="1">
        <f t="array" aca="1" ref="F61" ca="1">MID(LEFT(#REF!, INDEX(_xlfn._xlws.FILTER(ROW(INDIRECT("1:" &amp; LEN(#REF!))), (48 &lt;= CODE(MID(#REF!, ROW(INDIRECT("1:" &amp; LEN(#REF!))), 1))) * (CODE(MID(#REF!, ROW(INDIRECT("1:" &amp; LEN(#REF!))), 1)) &lt;= 57)), 1) - 1), FIND(":",#REF!) + 2, LEN(#REF!))</f>
        <v>#REF!</v>
      </c>
      <c r="G61" s="227" t="e">
        <f>MID(LEFT(#REF!, FIND(",",#REF!) - 1), FIND("{token}", SUBSTITUTE(#REF!, " ", "{token}", 2)) + 1, LEN(#REF!))</f>
        <v>#REF!</v>
      </c>
      <c r="H61" s="165">
        <v>-2.35</v>
      </c>
      <c r="I61" s="230">
        <v>45307</v>
      </c>
      <c r="J61" s="230" t="s">
        <v>34</v>
      </c>
      <c r="K61" s="226">
        <v>45307</v>
      </c>
      <c r="L61" s="165" t="s">
        <v>1562</v>
      </c>
      <c r="M61" s="222">
        <v>86</v>
      </c>
      <c r="N61" s="2" t="str">
        <f t="shared" ca="1" si="1"/>
        <v>CLOSED</v>
      </c>
    </row>
    <row r="62" spans="1:14" ht="18.75">
      <c r="A62" s="64" t="s">
        <v>43</v>
      </c>
      <c r="B62" s="98">
        <f>VLOOKUP([2]!Table27[[#This Row],[Location 
(drop-down)]],'[2]List source'!D$2:E$59,2,FALSE)</f>
        <v>130</v>
      </c>
      <c r="C62" s="99" t="s">
        <v>577</v>
      </c>
      <c r="D62" s="223" t="str">
        <f t="shared" si="0"/>
        <v>PTO087-130-23</v>
      </c>
      <c r="E62" s="227" t="s">
        <v>1605</v>
      </c>
      <c r="F62" s="165" t="e" cm="1">
        <f t="array" aca="1" ref="F62" ca="1">MID(LEFT(#REF!, INDEX(_xlfn._xlws.FILTER(ROW(INDIRECT("1:" &amp; LEN(#REF!))), (48 &lt;= CODE(MID(#REF!, ROW(INDIRECT("1:" &amp; LEN(#REF!))), 1))) * (CODE(MID(#REF!, ROW(INDIRECT("1:" &amp; LEN(#REF!))), 1)) &lt;= 57)), 1) - 1), FIND(":",#REF!) + 2, LEN(#REF!))</f>
        <v>#REF!</v>
      </c>
      <c r="G62" s="201" t="s">
        <v>1606</v>
      </c>
      <c r="H62" s="165">
        <v>-2.37</v>
      </c>
      <c r="I62" s="230">
        <v>45307</v>
      </c>
      <c r="J62" s="230" t="s">
        <v>34</v>
      </c>
      <c r="K62" s="226">
        <v>45307</v>
      </c>
      <c r="L62" s="165" t="s">
        <v>1562</v>
      </c>
      <c r="M62" s="222">
        <v>87</v>
      </c>
      <c r="N62" s="2" t="str">
        <f t="shared" ca="1" si="1"/>
        <v>CLOSED</v>
      </c>
    </row>
    <row r="63" spans="1:14" ht="30">
      <c r="A63" s="64" t="s">
        <v>294</v>
      </c>
      <c r="B63" s="98">
        <f>VLOOKUP([2]!Table27[[#This Row],[Location 
(drop-down)]],'[2]List source'!D$2:E$59,2,FALSE)</f>
        <v>155</v>
      </c>
      <c r="C63" s="99" t="s">
        <v>318</v>
      </c>
      <c r="D63" s="223" t="str">
        <f t="shared" si="0"/>
        <v>PTO088-155-23</v>
      </c>
      <c r="E63" s="227" t="s">
        <v>1607</v>
      </c>
      <c r="F63" s="165" t="e" cm="1">
        <f t="array" aca="1" ref="F63" ca="1">MID(LEFT(#REF!, INDEX(_xlfn._xlws.FILTER(ROW(INDIRECT("1:" &amp; LEN(#REF!))), (48 &lt;= CODE(MID(#REF!, ROW(INDIRECT("1:" &amp; LEN(#REF!))), 1))) * (CODE(MID(#REF!, ROW(INDIRECT("1:" &amp; LEN(#REF!))), 1)) &lt;= 57)), 1) - 1), FIND(":",#REF!) + 2, LEN(#REF!))</f>
        <v>#REF!</v>
      </c>
      <c r="G63" s="201" t="e">
        <f>MID(LEFT(#REF!, FIND(",",#REF!) - 1), FIND("{token}", SUBSTITUTE(#REF!, " ", "{token}", 2)) + 1, LEN(#REF!))</f>
        <v>#REF!</v>
      </c>
      <c r="H63" s="165">
        <v>-2.82</v>
      </c>
      <c r="I63" s="230">
        <v>45307</v>
      </c>
      <c r="J63" s="230" t="s">
        <v>34</v>
      </c>
      <c r="K63" s="226">
        <v>45307</v>
      </c>
      <c r="L63" s="165" t="s">
        <v>1562</v>
      </c>
      <c r="M63" s="222">
        <v>88</v>
      </c>
      <c r="N63" s="2" t="str">
        <f t="shared" ca="1" si="1"/>
        <v>CLOSED</v>
      </c>
    </row>
    <row r="64" spans="1:14" ht="30">
      <c r="A64" s="64" t="s">
        <v>125</v>
      </c>
      <c r="B64" s="98">
        <f>VLOOKUP([2]!Table27[[#This Row],[Location 
(drop-down)]],'[2]List source'!D$2:E$59,2,FALSE)</f>
        <v>130</v>
      </c>
      <c r="C64" s="99" t="s">
        <v>421</v>
      </c>
      <c r="D64" s="223" t="str">
        <f t="shared" si="0"/>
        <v>PTO094-130-23</v>
      </c>
      <c r="E64" s="227" t="s">
        <v>1608</v>
      </c>
      <c r="F64" s="165" t="e" cm="1">
        <f t="array" aca="1" ref="F64" ca="1">MID(LEFT(#REF!, INDEX(_xlfn._xlws.FILTER(ROW(INDIRECT("1:" &amp; LEN(#REF!))), (48 &lt;= CODE(MID(#REF!, ROW(INDIRECT("1:" &amp; LEN(#REF!))), 1))) * (CODE(MID(#REF!, ROW(INDIRECT("1:" &amp; LEN(#REF!))), 1)) &lt;= 57)), 1) - 1), FIND(":",#REF!) + 2, LEN(#REF!))</f>
        <v>#REF!</v>
      </c>
      <c r="G64" s="227" t="e">
        <f>MID(LEFT(#REF!, FIND(",",#REF!) - 1), FIND("{token}", SUBSTITUTE(#REF!, " ", "{token}", 2)) + 1, LEN(#REF!))</f>
        <v>#REF!</v>
      </c>
      <c r="H64" s="165">
        <v>2.67</v>
      </c>
      <c r="I64" s="230">
        <v>45307</v>
      </c>
      <c r="J64" s="230" t="s">
        <v>34</v>
      </c>
      <c r="K64" s="226">
        <v>45307</v>
      </c>
      <c r="L64" s="165" t="s">
        <v>1562</v>
      </c>
      <c r="M64" s="222">
        <v>94</v>
      </c>
      <c r="N64" s="2" t="str">
        <f t="shared" ca="1" si="1"/>
        <v>CLOSED</v>
      </c>
    </row>
    <row r="65" spans="1:14" ht="30">
      <c r="A65" s="64" t="s">
        <v>125</v>
      </c>
      <c r="B65" s="98">
        <f>VLOOKUP([2]!Table27[[#This Row],[Location 
(drop-down)]],'[2]List source'!D$2:E$59,2,FALSE)</f>
        <v>125</v>
      </c>
      <c r="C65" s="99" t="s">
        <v>460</v>
      </c>
      <c r="D65" s="223" t="str">
        <f t="shared" si="0"/>
        <v>PTO095-125-23</v>
      </c>
      <c r="E65" s="227" t="s">
        <v>1609</v>
      </c>
      <c r="F65" s="165" t="e" cm="1">
        <f t="array" aca="1" ref="F65" ca="1">MID(LEFT(#REF!, INDEX(_xlfn._xlws.FILTER(ROW(INDIRECT("1:" &amp; LEN(#REF!))), (48 &lt;= CODE(MID(#REF!, ROW(INDIRECT("1:" &amp; LEN(#REF!))), 1))) * (CODE(MID(#REF!, ROW(INDIRECT("1:" &amp; LEN(#REF!))), 1)) &lt;= 57)), 1) - 1), FIND(":",#REF!) + 2, LEN(#REF!))</f>
        <v>#REF!</v>
      </c>
      <c r="G65" s="227" t="e">
        <f>MID(LEFT(#REF!, FIND(",",#REF!) - 1), FIND("{token}", SUBSTITUTE(#REF!, " ", "{token}", 2)) + 1, LEN(#REF!))</f>
        <v>#REF!</v>
      </c>
      <c r="H65" s="165">
        <v>-33.25</v>
      </c>
      <c r="I65" s="230">
        <v>45307</v>
      </c>
      <c r="J65" s="230" t="s">
        <v>34</v>
      </c>
      <c r="K65" s="226">
        <v>45307</v>
      </c>
      <c r="L65" s="165" t="s">
        <v>1505</v>
      </c>
      <c r="M65" s="222">
        <v>95</v>
      </c>
      <c r="N65" s="2" t="str">
        <f t="shared" ca="1" si="1"/>
        <v>CLOSED</v>
      </c>
    </row>
    <row r="66" spans="1:14" ht="30">
      <c r="A66" s="64" t="s">
        <v>485</v>
      </c>
      <c r="B66" s="98">
        <f>VLOOKUP([2]!Table27[[#This Row],[Location 
(drop-down)]],'[2]List source'!D$2:E$59,2,FALSE)</f>
        <v>125</v>
      </c>
      <c r="C66" s="99" t="s">
        <v>295</v>
      </c>
      <c r="D66" s="223" t="str">
        <f t="shared" ref="D66:D129" si="2">"PTO" &amp; C66 &amp; "-" &amp; B66 &amp; "-" &amp; "23"</f>
        <v>PTO070-125-23</v>
      </c>
      <c r="E66" s="227" t="s">
        <v>1610</v>
      </c>
      <c r="F66" s="165" t="e" cm="1">
        <f t="array" aca="1" ref="F66" ca="1">MID(LEFT(#REF!, INDEX(_xlfn._xlws.FILTER(ROW(INDIRECT("1:" &amp; LEN(#REF!))), (48 &lt;= CODE(MID(#REF!, ROW(INDIRECT("1:" &amp; LEN(#REF!))), 1))) * (CODE(MID(#REF!, ROW(INDIRECT("1:" &amp; LEN(#REF!))), 1)) &lt;= 57)), 1) - 1), FIND(":",#REF!) + 2, LEN(#REF!))</f>
        <v>#REF!</v>
      </c>
      <c r="G66" s="227" t="e">
        <f>MID(LEFT(#REF!, FIND(",",#REF!) - 1), FIND("{token}", SUBSTITUTE(#REF!, " ", "{token}", 2)) + 1, LEN(#REF!))</f>
        <v>#REF!</v>
      </c>
      <c r="H66" s="165" t="s">
        <v>1611</v>
      </c>
      <c r="I66" s="230">
        <v>45307</v>
      </c>
      <c r="J66" s="230" t="s">
        <v>34</v>
      </c>
      <c r="K66" s="226">
        <v>45308</v>
      </c>
      <c r="L66" s="165" t="s">
        <v>1505</v>
      </c>
      <c r="M66" s="222">
        <v>70</v>
      </c>
      <c r="N66" s="2" t="str">
        <f t="shared" ca="1" si="1"/>
        <v>CLOSED</v>
      </c>
    </row>
    <row r="67" spans="1:14" ht="30">
      <c r="A67" s="64" t="s">
        <v>399</v>
      </c>
      <c r="B67" s="98">
        <f>VLOOKUP([2]!Table27[[#This Row],[Location 
(drop-down)]],'[2]List source'!D$2:E$59,2,FALSE)</f>
        <v>132</v>
      </c>
      <c r="C67" s="99" t="s">
        <v>352</v>
      </c>
      <c r="D67" s="223" t="str">
        <f t="shared" si="2"/>
        <v>PTO085-132-23</v>
      </c>
      <c r="E67" s="227" t="s">
        <v>1612</v>
      </c>
      <c r="F67" s="165" t="e" cm="1">
        <f t="array" aca="1" ref="F67" ca="1">MID(LEFT(#REF!, INDEX(_xlfn._xlws.FILTER(ROW(INDIRECT("1:" &amp; LEN(#REF!))), (48 &lt;= CODE(MID(#REF!, ROW(INDIRECT("1:" &amp; LEN(#REF!))), 1))) * (CODE(MID(#REF!, ROW(INDIRECT("1:" &amp; LEN(#REF!))), 1)) &lt;= 57)), 1) - 1), FIND(":",#REF!) + 2, LEN(#REF!))</f>
        <v>#REF!</v>
      </c>
      <c r="G67" s="227" t="e">
        <f>MID(LEFT(#REF!, FIND(",",#REF!) - 1), FIND("{token}", SUBSTITUTE(#REF!, " ", "{token}", 2)) + 1, LEN(#REF!))</f>
        <v>#REF!</v>
      </c>
      <c r="H67" s="165" t="s">
        <v>1613</v>
      </c>
      <c r="I67" s="230">
        <v>45307</v>
      </c>
      <c r="J67" s="230" t="s">
        <v>34</v>
      </c>
      <c r="K67" s="226">
        <v>45308</v>
      </c>
      <c r="L67" s="165" t="s">
        <v>1505</v>
      </c>
      <c r="M67" s="222">
        <v>85</v>
      </c>
      <c r="N67" s="2" t="str">
        <f t="shared" ca="1" si="1"/>
        <v>CLOSED</v>
      </c>
    </row>
    <row r="68" spans="1:14" ht="30">
      <c r="A68" s="64" t="s">
        <v>39</v>
      </c>
      <c r="B68" s="98">
        <f>VLOOKUP([2]!Table27[[#This Row],[Location 
(drop-down)]],'[2]List source'!D$2:E$59,2,FALSE)</f>
        <v>126</v>
      </c>
      <c r="C68" s="99" t="s">
        <v>1289</v>
      </c>
      <c r="D68" s="223" t="str">
        <f t="shared" si="2"/>
        <v>PTO056-126-23</v>
      </c>
      <c r="E68" s="227" t="s">
        <v>1614</v>
      </c>
      <c r="F68" s="165" t="e" cm="1">
        <f t="array" aca="1" ref="F68" ca="1">MID(LEFT(#REF!, INDEX(_xlfn._xlws.FILTER(ROW(INDIRECT("1:" &amp; LEN(#REF!))), (48 &lt;= CODE(MID(#REF!, ROW(INDIRECT("1:" &amp; LEN(#REF!))), 1))) * (CODE(MID(#REF!, ROW(INDIRECT("1:" &amp; LEN(#REF!))), 1)) &lt;= 57)), 1) - 1), FIND(":",#REF!) + 2, LEN(#REF!))</f>
        <v>#REF!</v>
      </c>
      <c r="G68" s="227" t="e">
        <f>MID(LEFT(#REF!, FIND(",",#REF!) - 1), FIND("{token}", SUBSTITUTE(#REF!, " ", "{token}", 2)) + 1, LEN(#REF!))</f>
        <v>#REF!</v>
      </c>
      <c r="H68" s="165">
        <v>-235.5</v>
      </c>
      <c r="I68" s="230">
        <v>45307</v>
      </c>
      <c r="J68" s="230" t="s">
        <v>34</v>
      </c>
      <c r="K68" s="226">
        <v>45309</v>
      </c>
      <c r="L68" s="165" t="s">
        <v>1505</v>
      </c>
      <c r="M68" s="222">
        <v>56</v>
      </c>
      <c r="N68" s="2" t="str">
        <f t="shared" ca="1" si="1"/>
        <v>CLOSED</v>
      </c>
    </row>
    <row r="69" spans="1:14" ht="30">
      <c r="A69" s="64" t="s">
        <v>39</v>
      </c>
      <c r="B69" s="98">
        <f>VLOOKUP([2]!Table27[[#This Row],[Location 
(drop-down)]],'[2]List source'!D$2:E$59,2,FALSE)</f>
        <v>132</v>
      </c>
      <c r="C69" s="99" t="s">
        <v>1291</v>
      </c>
      <c r="D69" s="223" t="str">
        <f t="shared" si="2"/>
        <v>PTO057-132-23</v>
      </c>
      <c r="E69" s="227" t="s">
        <v>1615</v>
      </c>
      <c r="F69" s="165" t="e" cm="1">
        <f t="array" aca="1" ref="F69" ca="1">MID(LEFT(#REF!, INDEX(_xlfn._xlws.FILTER(ROW(INDIRECT("1:" &amp; LEN(#REF!))), (48 &lt;= CODE(MID(#REF!, ROW(INDIRECT("1:" &amp; LEN(#REF!))), 1))) * (CODE(MID(#REF!, ROW(INDIRECT("1:" &amp; LEN(#REF!))), 1)) &lt;= 57)), 1) - 1), FIND(":",#REF!) + 2, LEN(#REF!))</f>
        <v>#REF!</v>
      </c>
      <c r="G69" s="227" t="e">
        <f>MID(LEFT(#REF!, FIND(",",#REF!) - 1), FIND("{token}", SUBSTITUTE(#REF!, " ", "{token}", 2)) + 1, LEN(#REF!))</f>
        <v>#REF!</v>
      </c>
      <c r="H69" s="165">
        <v>-3.3</v>
      </c>
      <c r="I69" s="230">
        <v>45307</v>
      </c>
      <c r="J69" s="230" t="s">
        <v>34</v>
      </c>
      <c r="K69" s="226">
        <v>45309</v>
      </c>
      <c r="L69" s="165" t="s">
        <v>1505</v>
      </c>
      <c r="M69" s="222">
        <v>57</v>
      </c>
      <c r="N69" s="2" t="str">
        <f t="shared" ca="1" si="1"/>
        <v>CLOSED</v>
      </c>
    </row>
    <row r="70" spans="1:14" ht="18.75">
      <c r="A70" s="64" t="s">
        <v>139</v>
      </c>
      <c r="B70" s="98">
        <f>VLOOKUP([2]!Table27[[#This Row],[Location 
(drop-down)]],'[2]List source'!D$2:E$59,2,FALSE)</f>
        <v>125</v>
      </c>
      <c r="C70" s="99" t="s">
        <v>723</v>
      </c>
      <c r="D70" s="223" t="str">
        <f t="shared" si="2"/>
        <v>PTO076-125-23</v>
      </c>
      <c r="E70" s="240" t="s">
        <v>1616</v>
      </c>
      <c r="F70" s="2" t="e" cm="1">
        <f t="array" aca="1" ref="F70" ca="1">MID(LEFT(#REF!, INDEX(_xlfn._xlws.FILTER(ROW(INDIRECT("1:" &amp; LEN(#REF!))), (48 &lt;= CODE(MID(#REF!, ROW(INDIRECT("1:" &amp; LEN(#REF!))), 1))) * (CODE(MID(#REF!, ROW(INDIRECT("1:" &amp; LEN(#REF!))), 1)) &lt;= 57)), 1) - 1), FIND(":",#REF!) + 2, LEN(#REF!))</f>
        <v>#REF!</v>
      </c>
      <c r="G70" s="240" t="e">
        <f>MID(LEFT(#REF!, FIND(",",#REF!) - 1), FIND("{token}", SUBSTITUTE(#REF!, " ", "{token}", 2)) + 1, LEN(#REF!))</f>
        <v>#REF!</v>
      </c>
      <c r="H70" s="2">
        <v>4.3499999999999996</v>
      </c>
      <c r="I70" s="230">
        <v>45307</v>
      </c>
      <c r="J70" s="235" t="s">
        <v>34</v>
      </c>
      <c r="K70" s="226">
        <v>45313</v>
      </c>
      <c r="L70" s="165" t="s">
        <v>1505</v>
      </c>
      <c r="M70" s="222">
        <v>76</v>
      </c>
      <c r="N70" s="2" t="str">
        <f t="shared" ca="1" si="1"/>
        <v>CLOSED</v>
      </c>
    </row>
    <row r="71" spans="1:14" ht="18.75">
      <c r="A71" s="64" t="s">
        <v>64</v>
      </c>
      <c r="B71" s="98">
        <f>VLOOKUP([2]!Table27[[#This Row],[Location 
(drop-down)]],'[2]List source'!D$2:E$59,2,FALSE)</f>
        <v>150</v>
      </c>
      <c r="C71" s="99" t="s">
        <v>299</v>
      </c>
      <c r="D71" s="223" t="str">
        <f t="shared" si="2"/>
        <v>PTO096-150-23</v>
      </c>
      <c r="E71" s="215" t="s">
        <v>1617</v>
      </c>
      <c r="F71" s="214" t="e" cm="1">
        <f t="array" aca="1" ref="F71" ca="1">MID(LEFT(#REF!, INDEX(_xlfn._xlws.FILTER(ROW(INDIRECT("1:" &amp; LEN(#REF!))), (48 &lt;= CODE(MID(#REF!, ROW(INDIRECT("1:" &amp; LEN(#REF!))), 1))) * (CODE(MID(#REF!, ROW(INDIRECT("1:" &amp; LEN(#REF!))), 1)) &lt;= 57)), 1) - 1), FIND(":",#REF!) + 2, LEN(#REF!))</f>
        <v>#REF!</v>
      </c>
      <c r="G71" s="215" t="e">
        <f>MID(LEFT(#REF!, FIND(",",#REF!) - 1), FIND("{token}", SUBSTITUTE(#REF!, " ", "{token}", 2)) + 1, LEN(#REF!))</f>
        <v>#REF!</v>
      </c>
      <c r="H71" s="214">
        <v>3.59</v>
      </c>
      <c r="I71" s="230">
        <v>45307</v>
      </c>
      <c r="J71" s="230" t="s">
        <v>34</v>
      </c>
      <c r="K71" s="226">
        <v>45313</v>
      </c>
      <c r="L71" s="165" t="s">
        <v>1505</v>
      </c>
      <c r="M71" s="222">
        <v>96</v>
      </c>
      <c r="N71" s="2" t="str">
        <f t="shared" ca="1" si="1"/>
        <v>CLOSED</v>
      </c>
    </row>
    <row r="72" spans="1:14" ht="18.75">
      <c r="A72" s="64" t="s">
        <v>103</v>
      </c>
      <c r="B72" s="98">
        <f>VLOOKUP([2]!Table27[[#This Row],[Location 
(drop-down)]],'[2]List source'!D$2:E$59,2,FALSE)</f>
        <v>165</v>
      </c>
      <c r="C72" s="99" t="s">
        <v>451</v>
      </c>
      <c r="D72" s="223" t="str">
        <f t="shared" si="2"/>
        <v>PTO016-165-23</v>
      </c>
      <c r="E72" s="227" t="s">
        <v>1618</v>
      </c>
      <c r="F72" s="165" t="e" cm="1">
        <f t="array" aca="1" ref="F72" ca="1">MID(LEFT(#REF!, INDEX(_xlfn._xlws.FILTER(ROW(INDIRECT("1:" &amp; LEN(#REF!))), (48 &lt;= CODE(MID(#REF!, ROW(INDIRECT("1:" &amp; LEN(#REF!))), 1))) * (CODE(MID(#REF!, ROW(INDIRECT("1:" &amp; LEN(#REF!))), 1)) &lt;= 57)), 1) - 1), FIND(":",#REF!) + 2, LEN(#REF!))</f>
        <v>#REF!</v>
      </c>
      <c r="G72" s="227" t="e">
        <f>MID(LEFT(#REF!, FIND(",",#REF!) - 1), FIND("{token}", SUBSTITUTE(#REF!, " ", "{token}", 2)) + 1, LEN(#REF!))</f>
        <v>#REF!</v>
      </c>
      <c r="H72" s="165">
        <v>-2.5</v>
      </c>
      <c r="I72" s="230">
        <v>45301</v>
      </c>
      <c r="J72" s="230" t="s">
        <v>1619</v>
      </c>
      <c r="K72" s="226">
        <v>45315</v>
      </c>
      <c r="L72" s="165"/>
      <c r="M72" s="222">
        <v>16</v>
      </c>
      <c r="N72" s="2" t="str">
        <f t="shared" ca="1" si="1"/>
        <v>CLOSED</v>
      </c>
    </row>
    <row r="73" spans="1:14" ht="30">
      <c r="A73" s="64" t="s">
        <v>80</v>
      </c>
      <c r="B73" s="98">
        <f>VLOOKUP([2]!Table27[[#This Row],[Location 
(drop-down)]],'[2]List source'!D$2:E$59,2,FALSE)</f>
        <v>191</v>
      </c>
      <c r="C73" s="99" t="s">
        <v>609</v>
      </c>
      <c r="D73" s="223" t="str">
        <f t="shared" si="2"/>
        <v>PTO033-191-23</v>
      </c>
      <c r="E73" s="227" t="s">
        <v>1620</v>
      </c>
      <c r="F73" s="165" t="e" cm="1">
        <f t="array" aca="1" ref="F73" ca="1">MID(LEFT(#REF!, INDEX(_xlfn._xlws.FILTER(ROW(INDIRECT("1:" &amp; LEN(#REF!))), (48 &lt;= CODE(MID(#REF!, ROW(INDIRECT("1:" &amp; LEN(#REF!))), 1))) * (CODE(MID(#REF!, ROW(INDIRECT("1:" &amp; LEN(#REF!))), 1)) &lt;= 57)), 1) - 1), FIND(":",#REF!) + 2, LEN(#REF!))</f>
        <v>#REF!</v>
      </c>
      <c r="G73" s="227" t="e">
        <f>MID(LEFT(#REF!, FIND(",",#REF!) - 1), FIND("{token}", SUBSTITUTE(#REF!, " ", "{token}", 2)) + 1, LEN(#REF!))</f>
        <v>#REF!</v>
      </c>
      <c r="H73" s="165">
        <v>-2.14</v>
      </c>
      <c r="I73" s="230">
        <v>45306</v>
      </c>
      <c r="J73" s="230" t="s">
        <v>239</v>
      </c>
      <c r="K73" s="226">
        <v>45315</v>
      </c>
      <c r="L73" s="165"/>
      <c r="M73" s="222">
        <v>33</v>
      </c>
      <c r="N73" s="2" t="str">
        <f t="shared" ca="1" si="1"/>
        <v>CLOSED</v>
      </c>
    </row>
    <row r="74" spans="1:14" ht="30">
      <c r="A74" s="64" t="s">
        <v>80</v>
      </c>
      <c r="B74" s="98">
        <f>VLOOKUP([2]!Table27[[#This Row],[Location 
(drop-down)]],'[2]List source'!D$2:E$59,2,FALSE)</f>
        <v>120</v>
      </c>
      <c r="C74" s="99" t="s">
        <v>504</v>
      </c>
      <c r="D74" s="223" t="str">
        <f t="shared" si="2"/>
        <v>PTO034-120-23</v>
      </c>
      <c r="E74" s="227" t="s">
        <v>1621</v>
      </c>
      <c r="F74" s="165" t="e" cm="1">
        <f t="array" aca="1" ref="F74" ca="1">MID(LEFT(#REF!, INDEX(_xlfn._xlws.FILTER(ROW(INDIRECT("1:" &amp; LEN(#REF!))), (48 &lt;= CODE(MID(#REF!, ROW(INDIRECT("1:" &amp; LEN(#REF!))), 1))) * (CODE(MID(#REF!, ROW(INDIRECT("1:" &amp; LEN(#REF!))), 1)) &lt;= 57)), 1) - 1), FIND(":",#REF!) + 2, LEN(#REF!))</f>
        <v>#REF!</v>
      </c>
      <c r="G74" s="227" t="e">
        <f>MID(LEFT(#REF!, FIND(",",#REF!) - 1), FIND("{token}", SUBSTITUTE(#REF!, " ", "{token}", 2)) + 1, LEN(#REF!))</f>
        <v>#REF!</v>
      </c>
      <c r="H74" s="165">
        <v>-2.86</v>
      </c>
      <c r="I74" s="230">
        <v>45306</v>
      </c>
      <c r="J74" s="230" t="s">
        <v>239</v>
      </c>
      <c r="K74" s="226">
        <v>45315</v>
      </c>
      <c r="L74" s="165"/>
      <c r="M74" s="222">
        <v>34</v>
      </c>
      <c r="N74" s="2" t="str">
        <f t="shared" ca="1" si="1"/>
        <v>CLOSED</v>
      </c>
    </row>
    <row r="75" spans="1:14" ht="18.75">
      <c r="A75" s="64" t="s">
        <v>1082</v>
      </c>
      <c r="B75" s="98">
        <f>VLOOKUP([2]!Table27[[#This Row],[Location 
(drop-down)]],'[2]List source'!D$2:E$59,2,FALSE)</f>
        <v>210</v>
      </c>
      <c r="C75" s="99" t="s">
        <v>645</v>
      </c>
      <c r="D75" s="223" t="str">
        <f t="shared" si="2"/>
        <v>PTO068-210-23</v>
      </c>
      <c r="E75" s="227" t="s">
        <v>1622</v>
      </c>
      <c r="F75" s="165" t="e" cm="1">
        <f t="array" aca="1" ref="F75" ca="1">MID(LEFT(#REF!, INDEX(_xlfn._xlws.FILTER(ROW(INDIRECT("1:" &amp; LEN(#REF!))), (48 &lt;= CODE(MID(#REF!, ROW(INDIRECT("1:" &amp; LEN(#REF!))), 1))) * (CODE(MID(#REF!, ROW(INDIRECT("1:" &amp; LEN(#REF!))), 1)) &lt;= 57)), 1) - 1), FIND(":",#REF!) + 2, LEN(#REF!))</f>
        <v>#REF!</v>
      </c>
      <c r="G75" s="227" t="e">
        <f>MID(LEFT(#REF!, FIND(",",#REF!) - 1), FIND("{token}", SUBSTITUTE(#REF!, " ", "{token}", 2)) + 1, LEN(#REF!))</f>
        <v>#REF!</v>
      </c>
      <c r="H75" s="165">
        <v>-2.25</v>
      </c>
      <c r="I75" s="230">
        <v>45307</v>
      </c>
      <c r="J75" s="230" t="s">
        <v>327</v>
      </c>
      <c r="K75" s="226">
        <v>45318</v>
      </c>
      <c r="L75" s="165"/>
      <c r="M75" s="222">
        <v>68</v>
      </c>
      <c r="N75" s="2" t="str">
        <f t="shared" ca="1" si="1"/>
        <v>CLOSED</v>
      </c>
    </row>
    <row r="76" spans="1:14" ht="30">
      <c r="A76" s="64" t="s">
        <v>358</v>
      </c>
      <c r="B76" s="98">
        <f>VLOOKUP([2]!Table27[[#This Row],[Location 
(drop-down)]],'[2]List source'!D$2:E$59,2,FALSE)</f>
        <v>160</v>
      </c>
      <c r="C76" s="99" t="s">
        <v>1034</v>
      </c>
      <c r="D76" s="223" t="str">
        <f t="shared" si="2"/>
        <v>PTO075-160-23</v>
      </c>
      <c r="E76" s="240" t="s">
        <v>1616</v>
      </c>
      <c r="F76" s="2" t="e" cm="1">
        <f t="array" aca="1" ref="F76" ca="1">MID(LEFT(#REF!, INDEX(_xlfn._xlws.FILTER(ROW(INDIRECT("1:" &amp; LEN(#REF!))), (48 &lt;= CODE(MID(#REF!, ROW(INDIRECT("1:" &amp; LEN(#REF!))), 1))) * (CODE(MID(#REF!, ROW(INDIRECT("1:" &amp; LEN(#REF!))), 1)) &lt;= 57)), 1) - 1), FIND(":",#REF!) + 2, LEN(#REF!))</f>
        <v>#REF!</v>
      </c>
      <c r="G76" s="201" t="e">
        <f>MID(LEFT(#REF!, FIND(",",#REF!) - 1), FIND("{token}", SUBSTITUTE(#REF!, " ", "{token}", 2)) + 1, LEN(#REF!))</f>
        <v>#REF!</v>
      </c>
      <c r="H76" s="204">
        <v>4.3499999999999996</v>
      </c>
      <c r="I76" s="230">
        <v>45307</v>
      </c>
      <c r="J76" s="235" t="s">
        <v>1619</v>
      </c>
      <c r="K76" s="226">
        <v>45324</v>
      </c>
      <c r="L76" s="92"/>
      <c r="M76" s="222">
        <v>75</v>
      </c>
      <c r="N76" s="2" t="str">
        <f t="shared" ca="1" si="1"/>
        <v>CLOSED</v>
      </c>
    </row>
    <row r="77" spans="1:14" ht="18.75">
      <c r="A77" s="64" t="s">
        <v>1082</v>
      </c>
      <c r="B77" s="98">
        <f>VLOOKUP([2]!Table27[[#This Row],[Location 
(drop-down)]],'[2]List source'!D$2:E$59,2,FALSE)</f>
        <v>160</v>
      </c>
      <c r="C77" s="99" t="s">
        <v>1341</v>
      </c>
      <c r="D77" s="223" t="str">
        <f t="shared" si="2"/>
        <v>PTO069-160-23</v>
      </c>
      <c r="E77" s="227" t="s">
        <v>1623</v>
      </c>
      <c r="F77" s="165" t="e" cm="1">
        <f t="array" aca="1" ref="F77" ca="1">MID(LEFT(#REF!, INDEX(_xlfn._xlws.FILTER(ROW(INDIRECT("1:" &amp; LEN(#REF!))), (48 &lt;= CODE(MID(#REF!, ROW(INDIRECT("1:" &amp; LEN(#REF!))), 1))) * (CODE(MID(#REF!, ROW(INDIRECT("1:" &amp; LEN(#REF!))), 1)) &lt;= 57)), 1) - 1), FIND(":",#REF!) + 2, LEN(#REF!))</f>
        <v>#REF!</v>
      </c>
      <c r="G77" s="227" t="e">
        <f>MID(LEFT(#REF!, FIND(",",#REF!) - 1), FIND("{token}", SUBSTITUTE(#REF!, " ", "{token}", 2)) + 1, LEN(#REF!))</f>
        <v>#REF!</v>
      </c>
      <c r="H77" s="165">
        <v>-3.27</v>
      </c>
      <c r="I77" s="230">
        <v>45307</v>
      </c>
      <c r="J77" s="230" t="s">
        <v>47</v>
      </c>
      <c r="K77" s="226">
        <v>45327</v>
      </c>
      <c r="L77" s="92"/>
      <c r="M77" s="222">
        <v>69</v>
      </c>
      <c r="N77" s="2" t="str">
        <f t="shared" ca="1" si="1"/>
        <v>CLOSED</v>
      </c>
    </row>
    <row r="78" spans="1:14" ht="18.75">
      <c r="A78" s="64" t="s">
        <v>156</v>
      </c>
      <c r="B78" s="98">
        <f>VLOOKUP([2]!Table27[[#This Row],[Location 
(drop-down)]],'[2]List source'!D$2:E$59,2,FALSE)</f>
        <v>150</v>
      </c>
      <c r="C78" s="99" t="s">
        <v>691</v>
      </c>
      <c r="D78" s="223" t="str">
        <f t="shared" si="2"/>
        <v>PTO098-150-23</v>
      </c>
      <c r="E78" s="227" t="s">
        <v>1624</v>
      </c>
      <c r="F78" s="165" t="e" cm="1">
        <f t="array" aca="1" ref="F78" ca="1">MID(LEFT(#REF!, INDEX(_xlfn._xlws.FILTER(ROW(INDIRECT("1:" &amp; LEN(#REF!))), (48 &lt;= CODE(MID(#REF!, ROW(INDIRECT("1:" &amp; LEN(#REF!))), 1))) * (CODE(MID(#REF!, ROW(INDIRECT("1:" &amp; LEN(#REF!))), 1)) &lt;= 57)), 1) - 1), FIND(":",#REF!) + 2, LEN(#REF!))</f>
        <v>#REF!</v>
      </c>
      <c r="G78" s="227" t="e">
        <f>MID(LEFT(#REF!, FIND(",",#REF!) - 1), FIND("{token}", SUBSTITUTE(#REF!, " ", "{token}", 2)) + 1, LEN(#REF!))</f>
        <v>#REF!</v>
      </c>
      <c r="H78" s="165" t="s">
        <v>1625</v>
      </c>
      <c r="I78" s="230">
        <v>45327</v>
      </c>
      <c r="J78" s="230" t="s">
        <v>34</v>
      </c>
      <c r="K78" s="226">
        <v>45327</v>
      </c>
      <c r="L78" s="165" t="s">
        <v>1562</v>
      </c>
      <c r="M78" s="222">
        <v>98</v>
      </c>
      <c r="N78" s="2" t="str">
        <f t="shared" ca="1" si="1"/>
        <v>CLOSED</v>
      </c>
    </row>
    <row r="79" spans="1:14" ht="30">
      <c r="A79" s="64" t="s">
        <v>73</v>
      </c>
      <c r="B79" s="98">
        <f>VLOOKUP([2]!Table27[[#This Row],[Location 
(drop-down)]],'[2]List source'!D$2:E$59,2,FALSE)</f>
        <v>160</v>
      </c>
      <c r="C79" s="99" t="s">
        <v>454</v>
      </c>
      <c r="D79" s="223" t="str">
        <f t="shared" si="2"/>
        <v>PTO100-160-23</v>
      </c>
      <c r="E79" s="227" t="s">
        <v>1626</v>
      </c>
      <c r="F79" s="165" t="e" cm="1">
        <f t="array" aca="1" ref="F79" ca="1">MID(LEFT(#REF!, INDEX(_xlfn._xlws.FILTER(ROW(INDIRECT("1:" &amp; LEN(#REF!))), (48 &lt;= CODE(MID(#REF!, ROW(INDIRECT("1:" &amp; LEN(#REF!))), 1))) * (CODE(MID(#REF!, ROW(INDIRECT("1:" &amp; LEN(#REF!))), 1)) &lt;= 57)), 1) - 1), FIND(":",#REF!) + 2, LEN(#REF!))</f>
        <v>#REF!</v>
      </c>
      <c r="G79" s="227" t="s">
        <v>1627</v>
      </c>
      <c r="H79" s="165" t="s">
        <v>1628</v>
      </c>
      <c r="I79" s="230">
        <v>45327</v>
      </c>
      <c r="J79" s="230" t="s">
        <v>34</v>
      </c>
      <c r="K79" s="226">
        <v>45327</v>
      </c>
      <c r="L79" s="165" t="s">
        <v>1629</v>
      </c>
      <c r="M79" s="222">
        <v>100</v>
      </c>
      <c r="N79" s="2" t="str">
        <f t="shared" ca="1" si="1"/>
        <v>CLOSED</v>
      </c>
    </row>
    <row r="80" spans="1:14" ht="18.75">
      <c r="A80" s="64" t="s">
        <v>139</v>
      </c>
      <c r="B80" s="98">
        <f>VLOOKUP([2]!Table27[[#This Row],[Location 
(drop-down)]],'[2]List source'!D$2:E$59,2,FALSE)</f>
        <v>210</v>
      </c>
      <c r="C80" s="99" t="s">
        <v>176</v>
      </c>
      <c r="D80" s="223" t="str">
        <f t="shared" si="2"/>
        <v>PTO105-210-23</v>
      </c>
      <c r="E80" s="227" t="s">
        <v>1630</v>
      </c>
      <c r="F80" s="165" t="e" cm="1">
        <f t="array" aca="1" ref="F80" ca="1">MID(LEFT(#REF!, INDEX(_xlfn._xlws.FILTER(ROW(INDIRECT("1:" &amp; LEN(#REF!))), (48 &lt;= CODE(MID(#REF!, ROW(INDIRECT("1:" &amp; LEN(#REF!))), 1))) * (CODE(MID(#REF!, ROW(INDIRECT("1:" &amp; LEN(#REF!))), 1)) &lt;= 57)), 1) - 1), FIND(":",#REF!) + 2, LEN(#REF!))</f>
        <v>#REF!</v>
      </c>
      <c r="G80" s="227" t="e">
        <f>MID(LEFT(#REF!, FIND(",",#REF!) - 1), FIND("{token}", SUBSTITUTE(#REF!, " ", "{token}", 2)) + 1, LEN(#REF!))</f>
        <v>#REF!</v>
      </c>
      <c r="H80" s="165">
        <v>-2.21</v>
      </c>
      <c r="I80" s="230">
        <v>45327</v>
      </c>
      <c r="J80" s="230" t="s">
        <v>34</v>
      </c>
      <c r="K80" s="226">
        <v>45327</v>
      </c>
      <c r="L80" s="165" t="s">
        <v>1562</v>
      </c>
      <c r="M80" s="222">
        <v>105</v>
      </c>
      <c r="N80" s="2" t="str">
        <f t="shared" ca="1" si="1"/>
        <v>CLOSED</v>
      </c>
    </row>
    <row r="81" spans="1:14" ht="18.75">
      <c r="A81" s="64" t="s">
        <v>139</v>
      </c>
      <c r="B81" s="98">
        <f>VLOOKUP([2]!Table27[[#This Row],[Location 
(drop-down)]],'[2]List source'!D$2:E$59,2,FALSE)</f>
        <v>146</v>
      </c>
      <c r="C81" s="99" t="s">
        <v>551</v>
      </c>
      <c r="D81" s="223" t="str">
        <f t="shared" si="2"/>
        <v>PTO106-146-23</v>
      </c>
      <c r="E81" s="227" t="s">
        <v>1631</v>
      </c>
      <c r="F81" s="165" t="e" cm="1">
        <f t="array" aca="1" ref="F81" ca="1">MID(LEFT(#REF!, INDEX(_xlfn._xlws.FILTER(ROW(INDIRECT("1:" &amp; LEN(#REF!))), (48 &lt;= CODE(MID(#REF!, ROW(INDIRECT("1:" &amp; LEN(#REF!))), 1))) * (CODE(MID(#REF!, ROW(INDIRECT("1:" &amp; LEN(#REF!))), 1)) &lt;= 57)), 1) - 1), FIND(":",#REF!) + 2, LEN(#REF!))</f>
        <v>#REF!</v>
      </c>
      <c r="G81" s="227" t="e">
        <f>MID(LEFT(#REF!, FIND(",",#REF!) - 1), FIND("{token}", SUBSTITUTE(#REF!, " ", "{token}", 2)) + 1, LEN(#REF!))</f>
        <v>#REF!</v>
      </c>
      <c r="H81" s="165">
        <v>6.26</v>
      </c>
      <c r="I81" s="230">
        <v>45327</v>
      </c>
      <c r="J81" s="230" t="s">
        <v>34</v>
      </c>
      <c r="K81" s="226">
        <v>45327</v>
      </c>
      <c r="L81" s="165" t="s">
        <v>1505</v>
      </c>
      <c r="M81" s="222">
        <v>106</v>
      </c>
      <c r="N81" s="2" t="str">
        <f t="shared" ca="1" si="1"/>
        <v>CLOSED</v>
      </c>
    </row>
    <row r="82" spans="1:14" ht="30">
      <c r="A82" s="64" t="s">
        <v>518</v>
      </c>
      <c r="B82" s="98">
        <f>VLOOKUP([2]!Table27[[#This Row],[Location 
(drop-down)]],'[2]List source'!D$2:E$59,2,FALSE)</f>
        <v>131</v>
      </c>
      <c r="C82" s="99" t="s">
        <v>292</v>
      </c>
      <c r="D82" s="223" t="str">
        <f t="shared" si="2"/>
        <v>PTO008-131-23</v>
      </c>
      <c r="E82" s="228" t="s">
        <v>1632</v>
      </c>
      <c r="F82" s="229" t="e" cm="1">
        <f t="array" aca="1" ref="F82" ca="1">MID(LEFT(#REF!, INDEX(_xlfn._xlws.FILTER(ROW(INDIRECT("1:" &amp; LEN(#REF!))), (48 &lt;= CODE(MID(#REF!, ROW(INDIRECT("1:" &amp; LEN(#REF!))), 1))) * (CODE(MID(#REF!, ROW(INDIRECT("1:" &amp; LEN(#REF!))), 1)) &lt;= 57)), 1) - 1), FIND(":",#REF!) + 2, LEN(#REF!))</f>
        <v>#REF!</v>
      </c>
      <c r="G82" s="228" t="e">
        <f>MID(LEFT(#REF!, FIND(",",#REF!) - 1), FIND("{token}", SUBSTITUTE(#REF!, " ", "{token}", 2)) + 1, LEN(#REF!))</f>
        <v>#REF!</v>
      </c>
      <c r="H82" s="229">
        <v>2.92</v>
      </c>
      <c r="I82" s="230">
        <v>45301</v>
      </c>
      <c r="J82" s="230" t="s">
        <v>29</v>
      </c>
      <c r="K82" s="226">
        <v>45328</v>
      </c>
      <c r="L82" s="165"/>
      <c r="M82" s="222">
        <v>8</v>
      </c>
      <c r="N82" s="2" t="str">
        <f t="shared" ca="1" si="1"/>
        <v>CLOSED</v>
      </c>
    </row>
    <row r="83" spans="1:14" ht="30">
      <c r="A83" s="64" t="s">
        <v>485</v>
      </c>
      <c r="B83" s="98">
        <f>VLOOKUP([2]!Table27[[#This Row],[Location 
(drop-down)]],'[2]List source'!D$2:E$59,2,FALSE)</f>
        <v>146</v>
      </c>
      <c r="C83" s="99" t="s">
        <v>328</v>
      </c>
      <c r="D83" s="223" t="str">
        <f t="shared" si="2"/>
        <v>PTO044-146-23</v>
      </c>
      <c r="E83" s="227" t="s">
        <v>1633</v>
      </c>
      <c r="F83" s="165" t="e" cm="1">
        <f t="array" aca="1" ref="F83" ca="1">MID(LEFT(#REF!, INDEX(_xlfn._xlws.FILTER(ROW(INDIRECT("1:" &amp; LEN(#REF!))), (48 &lt;= CODE(MID(#REF!, ROW(INDIRECT("1:" &amp; LEN(#REF!))), 1))) * (CODE(MID(#REF!, ROW(INDIRECT("1:" &amp; LEN(#REF!))), 1)) &lt;= 57)), 1) - 1), FIND(":",#REF!) + 2, LEN(#REF!))</f>
        <v>#REF!</v>
      </c>
      <c r="G83" s="227" t="e">
        <f>MID(LEFT(#REF!, FIND(",",#REF!) - 1), FIND("{token}", SUBSTITUTE(#REF!, " ", "{token}", 2)) + 1, LEN(#REF!))</f>
        <v>#REF!</v>
      </c>
      <c r="H83" s="165">
        <v>2.27</v>
      </c>
      <c r="I83" s="230">
        <v>45306</v>
      </c>
      <c r="J83" s="230" t="s">
        <v>34</v>
      </c>
      <c r="K83" s="226">
        <v>45329</v>
      </c>
      <c r="L83" s="165" t="s">
        <v>1634</v>
      </c>
      <c r="M83" s="222">
        <v>44</v>
      </c>
      <c r="N83" s="2" t="str">
        <f t="shared" ca="1" si="1"/>
        <v>CLOSED</v>
      </c>
    </row>
    <row r="84" spans="1:14" ht="18.75">
      <c r="A84" s="64" t="s">
        <v>103</v>
      </c>
      <c r="B84" s="98">
        <f>VLOOKUP([2]!Table27[[#This Row],[Location 
(drop-down)]],'[2]List source'!D$2:E$59,2,FALSE)</f>
        <v>170</v>
      </c>
      <c r="C84" s="99" t="s">
        <v>206</v>
      </c>
      <c r="D84" s="223" t="str">
        <f t="shared" si="2"/>
        <v>PTO005-170-23</v>
      </c>
      <c r="E84" s="228" t="s">
        <v>1635</v>
      </c>
      <c r="F84" s="229" t="e" cm="1">
        <f t="array" aca="1" ref="F84" ca="1">MID(LEFT(#REF!, INDEX(_xlfn._xlws.FILTER(ROW(INDIRECT("1:" &amp; LEN(#REF!))), (48 &lt;= CODE(MID(#REF!, ROW(INDIRECT("1:" &amp; LEN(#REF!))), 1))) * (CODE(MID(#REF!, ROW(INDIRECT("1:" &amp; LEN(#REF!))), 1)) &lt;= 57)), 1) - 1), FIND(":",#REF!) + 2, LEN(#REF!))</f>
        <v>#REF!</v>
      </c>
      <c r="G84" s="228" t="e">
        <f>MID(LEFT(#REF!, FIND(",",#REF!) - 1), FIND("{token}", SUBSTITUTE(#REF!, " ", "{token}", 2)) + 1, LEN(#REF!))</f>
        <v>#REF!</v>
      </c>
      <c r="H84" s="241">
        <v>2.16</v>
      </c>
      <c r="I84" s="230">
        <v>45301</v>
      </c>
      <c r="J84" s="230" t="s">
        <v>1619</v>
      </c>
      <c r="K84" s="226">
        <v>45330</v>
      </c>
      <c r="L84" s="165"/>
      <c r="M84" s="222">
        <v>5</v>
      </c>
      <c r="N84" s="2" t="str">
        <f t="shared" ca="1" si="1"/>
        <v>CLOSED</v>
      </c>
    </row>
    <row r="85" spans="1:14" ht="18.75">
      <c r="A85" s="64" t="s">
        <v>43</v>
      </c>
      <c r="B85" s="98">
        <f>VLOOKUP([2]!Table27[[#This Row],[Location 
(drop-down)]],'[2]List source'!D$2:E$59,2,FALSE)</f>
        <v>150</v>
      </c>
      <c r="C85" s="99" t="s">
        <v>337</v>
      </c>
      <c r="D85" s="223" t="str">
        <f t="shared" si="2"/>
        <v>PTO107-150-23</v>
      </c>
      <c r="E85" s="227" t="s">
        <v>1636</v>
      </c>
      <c r="F85" s="165" t="e" cm="1">
        <f t="array" aca="1" ref="F85" ca="1">MID(LEFT(#REF!, INDEX(_xlfn._xlws.FILTER(ROW(INDIRECT("1:" &amp; LEN(#REF!))), (48 &lt;= CODE(MID(#REF!, ROW(INDIRECT("1:" &amp; LEN(#REF!))), 1))) * (CODE(MID(#REF!, ROW(INDIRECT("1:" &amp; LEN(#REF!))), 1)) &lt;= 57)), 1) - 1), FIND(":",#REF!) + 2, LEN(#REF!))</f>
        <v>#REF!</v>
      </c>
      <c r="G85" s="227" t="e">
        <f>MID(LEFT(#REF!, FIND(",",#REF!) - 1), FIND("{token}", SUBSTITUTE(#REF!, " ", "{token}", 2)) + 1, LEN(#REF!))</f>
        <v>#REF!</v>
      </c>
      <c r="H85" s="165" t="s">
        <v>1579</v>
      </c>
      <c r="I85" s="230">
        <v>45327</v>
      </c>
      <c r="J85" s="230" t="s">
        <v>34</v>
      </c>
      <c r="K85" s="226">
        <v>45331</v>
      </c>
      <c r="L85" s="165" t="s">
        <v>1505</v>
      </c>
      <c r="M85" s="222">
        <v>107</v>
      </c>
      <c r="N85" s="2" t="str">
        <f t="shared" ca="1" si="1"/>
        <v>CLOSED</v>
      </c>
    </row>
    <row r="86" spans="1:14" ht="30">
      <c r="A86" s="64" t="s">
        <v>500</v>
      </c>
      <c r="B86" s="98">
        <f>VLOOKUP([2]!Table27[[#This Row],[Location 
(drop-down)]],'[2]List source'!D$2:E$59,2,FALSE)</f>
        <v>170</v>
      </c>
      <c r="C86" s="99" t="s">
        <v>301</v>
      </c>
      <c r="D86" s="223" t="str">
        <f t="shared" si="2"/>
        <v>PTO097-170-23</v>
      </c>
      <c r="E86" s="227" t="s">
        <v>1637</v>
      </c>
      <c r="F86" s="165" t="e" cm="1">
        <f t="array" aca="1" ref="F86" ca="1">MID(LEFT(#REF!, INDEX(_xlfn._xlws.FILTER(ROW(INDIRECT("1:" &amp; LEN(#REF!))), (48 &lt;= CODE(MID(#REF!, ROW(INDIRECT("1:" &amp; LEN(#REF!))), 1))) * (CODE(MID(#REF!, ROW(INDIRECT("1:" &amp; LEN(#REF!))), 1)) &lt;= 57)), 1) - 1), FIND(":",#REF!) + 2, LEN(#REF!))</f>
        <v>#REF!</v>
      </c>
      <c r="G86" s="227" t="e">
        <f>MID(LEFT(#REF!, FIND(",",#REF!) - 1), FIND("{token}", SUBSTITUTE(#REF!, " ", "{token}", 2)) + 1, LEN(#REF!))</f>
        <v>#REF!</v>
      </c>
      <c r="H86" s="165">
        <v>-2.41</v>
      </c>
      <c r="I86" s="230">
        <v>45307</v>
      </c>
      <c r="J86" s="230" t="s">
        <v>34</v>
      </c>
      <c r="K86" s="226">
        <v>45336</v>
      </c>
      <c r="L86" s="165" t="s">
        <v>1505</v>
      </c>
      <c r="M86" s="222">
        <v>97</v>
      </c>
      <c r="N86" s="2" t="str">
        <f t="shared" ca="1" si="1"/>
        <v>CLOSED</v>
      </c>
    </row>
    <row r="87" spans="1:14" ht="30">
      <c r="A87" s="64" t="s">
        <v>500</v>
      </c>
      <c r="B87" s="98">
        <f>VLOOKUP([2]!Table27[[#This Row],[Location 
(drop-down)]],'[2]List source'!D$2:E$59,2,FALSE)</f>
        <v>170</v>
      </c>
      <c r="C87" s="99" t="s">
        <v>1196</v>
      </c>
      <c r="D87" s="223" t="str">
        <f t="shared" si="2"/>
        <v>PTO102-170-23</v>
      </c>
      <c r="E87" s="227" t="s">
        <v>1638</v>
      </c>
      <c r="F87" s="165" t="e" cm="1">
        <f t="array" aca="1" ref="F87" ca="1">MID(LEFT(#REF!, INDEX(_xlfn._xlws.FILTER(ROW(INDIRECT("1:" &amp; LEN(#REF!))), (48 &lt;= CODE(MID(#REF!, ROW(INDIRECT("1:" &amp; LEN(#REF!))), 1))) * (CODE(MID(#REF!, ROW(INDIRECT("1:" &amp; LEN(#REF!))), 1)) &lt;= 57)), 1) - 1), FIND(":",#REF!) + 2, LEN(#REF!))</f>
        <v>#REF!</v>
      </c>
      <c r="G87" s="227" t="e">
        <f>MID(LEFT(#REF!, FIND(",",#REF!) - 1), FIND("{token}", SUBSTITUTE(#REF!, " ", "{token}", 2)) + 1, LEN(#REF!))</f>
        <v>#REF!</v>
      </c>
      <c r="H87" s="165">
        <v>2.46</v>
      </c>
      <c r="I87" s="230">
        <v>45327</v>
      </c>
      <c r="J87" s="230" t="s">
        <v>34</v>
      </c>
      <c r="K87" s="226">
        <v>45336</v>
      </c>
      <c r="L87" s="18" t="s">
        <v>1639</v>
      </c>
      <c r="M87" s="222">
        <v>102</v>
      </c>
      <c r="N87" s="2" t="str">
        <f t="shared" ca="1" si="1"/>
        <v>CLOSED</v>
      </c>
    </row>
    <row r="88" spans="1:14" ht="30">
      <c r="A88" s="64" t="s">
        <v>500</v>
      </c>
      <c r="B88" s="98">
        <f>VLOOKUP([2]!Table27[[#This Row],[Location 
(drop-down)]],'[2]List source'!D$2:E$59,2,FALSE)</f>
        <v>170</v>
      </c>
      <c r="C88" s="99" t="s">
        <v>456</v>
      </c>
      <c r="D88" s="223" t="str">
        <f t="shared" si="2"/>
        <v>PTO103-170-23</v>
      </c>
      <c r="E88" s="242" t="s">
        <v>1640</v>
      </c>
      <c r="F88" s="165" t="e" cm="1">
        <f t="array" aca="1" ref="F88" ca="1">MID(LEFT(#REF!, INDEX(_xlfn._xlws.FILTER(ROW(INDIRECT("1:" &amp; LEN(#REF!))), (48 &lt;= CODE(MID(#REF!, ROW(INDIRECT("1:" &amp; LEN(#REF!))), 1))) * (CODE(MID(#REF!, ROW(INDIRECT("1:" &amp; LEN(#REF!))), 1)) &lt;= 57)), 1) - 1), FIND(":",#REF!) + 2, LEN(#REF!))</f>
        <v>#REF!</v>
      </c>
      <c r="G88" s="243" t="e">
        <f>MID(LEFT(#REF!, FIND(",",#REF!) - 1), FIND("{token}", SUBSTITUTE(#REF!, " ", "{token}", 2)) + 1, LEN(#REF!))</f>
        <v>#REF!</v>
      </c>
      <c r="H88" s="244">
        <v>2.25</v>
      </c>
      <c r="I88" s="230">
        <v>45327</v>
      </c>
      <c r="J88" s="230" t="s">
        <v>34</v>
      </c>
      <c r="K88" s="226">
        <v>45336</v>
      </c>
      <c r="L88" s="18" t="s">
        <v>1639</v>
      </c>
      <c r="M88" s="222">
        <v>103</v>
      </c>
      <c r="N88" s="2" t="str">
        <f t="shared" ref="N88:N151" ca="1" si="3">IF(ISBLANK(K88), TODAY()-(I88), "CLOSED")</f>
        <v>CLOSED</v>
      </c>
    </row>
    <row r="89" spans="1:14" ht="30">
      <c r="A89" s="64" t="s">
        <v>500</v>
      </c>
      <c r="B89" s="98">
        <f>VLOOKUP([2]!Table27[[#This Row],[Location 
(drop-down)]],'[2]List source'!D$2:E$59,2,FALSE)</f>
        <v>165</v>
      </c>
      <c r="C89" s="99" t="s">
        <v>476</v>
      </c>
      <c r="D89" s="223" t="str">
        <f t="shared" si="2"/>
        <v>PTO104-165-23</v>
      </c>
      <c r="E89" s="227" t="s">
        <v>1641</v>
      </c>
      <c r="F89" s="165" t="e" cm="1">
        <f t="array" aca="1" ref="F89" ca="1">MID(LEFT(#REF!, INDEX(_xlfn._xlws.FILTER(ROW(INDIRECT("1:" &amp; LEN(#REF!))), (48 &lt;= CODE(MID(#REF!, ROW(INDIRECT("1:" &amp; LEN(#REF!))), 1))) * (CODE(MID(#REF!, ROW(INDIRECT("1:" &amp; LEN(#REF!))), 1)) &lt;= 57)), 1) - 1), FIND(":",#REF!) + 2, LEN(#REF!))</f>
        <v>#REF!</v>
      </c>
      <c r="G89" s="227" t="e">
        <f>MID(LEFT(#REF!, FIND(",",#REF!) - 1), FIND("{token}", SUBSTITUTE(#REF!, " ", "{token}", 2)) + 1, LEN(#REF!))</f>
        <v>#REF!</v>
      </c>
      <c r="H89" s="165" t="s">
        <v>1642</v>
      </c>
      <c r="I89" s="230">
        <v>45327</v>
      </c>
      <c r="J89" s="230" t="s">
        <v>34</v>
      </c>
      <c r="K89" s="226">
        <v>45336</v>
      </c>
      <c r="L89" s="165" t="s">
        <v>1639</v>
      </c>
      <c r="M89" s="222">
        <v>104</v>
      </c>
      <c r="N89" s="2" t="str">
        <f t="shared" ca="1" si="3"/>
        <v>CLOSED</v>
      </c>
    </row>
    <row r="90" spans="1:14" ht="30">
      <c r="A90" s="64" t="s">
        <v>518</v>
      </c>
      <c r="B90" s="98">
        <f>VLOOKUP([2]!Table27[[#This Row],[Location 
(drop-down)]],'[2]List source'!D$2:E$59,2,FALSE)</f>
        <v>150</v>
      </c>
      <c r="C90" s="99" t="s">
        <v>304</v>
      </c>
      <c r="D90" s="223" t="str">
        <f t="shared" si="2"/>
        <v>PTO009-150-23</v>
      </c>
      <c r="E90" s="228" t="s">
        <v>1643</v>
      </c>
      <c r="F90" s="229" t="e" cm="1">
        <f t="array" aca="1" ref="F90" ca="1">MID(LEFT(#REF!, INDEX(_xlfn._xlws.FILTER(ROW(INDIRECT("1:" &amp; LEN(#REF!))), (48 &lt;= CODE(MID(#REF!, ROW(INDIRECT("1:" &amp; LEN(#REF!))), 1))) * (CODE(MID(#REF!, ROW(INDIRECT("1:" &amp; LEN(#REF!))), 1)) &lt;= 57)), 1) - 1), FIND(":",#REF!) + 2, LEN(#REF!))</f>
        <v>#REF!</v>
      </c>
      <c r="G90" s="228" t="e">
        <f>MID(LEFT(#REF!, FIND(",",#REF!) - 1), FIND("{token}", SUBSTITUTE(#REF!, " ", "{token}", 2)) + 1, LEN(#REF!))</f>
        <v>#REF!</v>
      </c>
      <c r="H90" s="229">
        <v>-6.31</v>
      </c>
      <c r="I90" s="230">
        <v>45301</v>
      </c>
      <c r="J90" s="230" t="s">
        <v>47</v>
      </c>
      <c r="K90" s="226">
        <v>45337</v>
      </c>
      <c r="L90" s="165"/>
      <c r="M90" s="222">
        <v>9</v>
      </c>
      <c r="N90" s="2" t="str">
        <f t="shared" ca="1" si="3"/>
        <v>CLOSED</v>
      </c>
    </row>
    <row r="91" spans="1:14" ht="18.75">
      <c r="A91" s="64" t="s">
        <v>167</v>
      </c>
      <c r="B91" s="98">
        <f>VLOOKUP([2]!Table27[[#This Row],[Location 
(drop-down)]],'[2]List source'!D$2:E$59,2,FALSE)</f>
        <v>160</v>
      </c>
      <c r="C91" s="99" t="s">
        <v>379</v>
      </c>
      <c r="D91" s="223" t="str">
        <f t="shared" si="2"/>
        <v>PTO039-160-23</v>
      </c>
      <c r="E91" s="227" t="s">
        <v>1644</v>
      </c>
      <c r="F91" s="165" t="e" cm="1">
        <f t="array" aca="1" ref="F91" ca="1">MID(LEFT(#REF!, INDEX(_xlfn._xlws.FILTER(ROW(INDIRECT("1:" &amp; LEN(#REF!))), (48 &lt;= CODE(MID(#REF!, ROW(INDIRECT("1:" &amp; LEN(#REF!))), 1))) * (CODE(MID(#REF!, ROW(INDIRECT("1:" &amp; LEN(#REF!))), 1)) &lt;= 57)), 1) - 1), FIND(":",#REF!) + 2, LEN(#REF!))</f>
        <v>#REF!</v>
      </c>
      <c r="G91" s="227" t="e">
        <f>MID(LEFT(#REF!, FIND(",",#REF!) - 1), FIND("{token}", SUBSTITUTE(#REF!, " ", "{token}", 2)) + 1, LEN(#REF!))</f>
        <v>#REF!</v>
      </c>
      <c r="H91" s="165" t="s">
        <v>1645</v>
      </c>
      <c r="I91" s="230">
        <v>45306</v>
      </c>
      <c r="J91" s="230" t="s">
        <v>1619</v>
      </c>
      <c r="K91" s="226">
        <v>45337</v>
      </c>
      <c r="L91" s="165"/>
      <c r="M91" s="222">
        <v>39</v>
      </c>
      <c r="N91" s="2" t="str">
        <f t="shared" ca="1" si="3"/>
        <v>CLOSED</v>
      </c>
    </row>
    <row r="92" spans="1:14" ht="30">
      <c r="A92" s="64" t="s">
        <v>294</v>
      </c>
      <c r="B92" s="98">
        <f>VLOOKUP([2]!Table27[[#This Row],[Location 
(drop-down)]],'[2]List source'!D$2:E$59,2,FALSE)</f>
        <v>165</v>
      </c>
      <c r="C92" s="99" t="s">
        <v>330</v>
      </c>
      <c r="D92" s="223" t="str">
        <f t="shared" si="2"/>
        <v>PTO041-165-23</v>
      </c>
      <c r="E92" s="242" t="s">
        <v>1646</v>
      </c>
      <c r="F92" s="245" t="e" cm="1">
        <f t="array" aca="1" ref="F92" ca="1">MID(LEFT(#REF!, INDEX(_xlfn._xlws.FILTER(ROW(INDIRECT("1:" &amp; LEN(#REF!))), (48 &lt;= CODE(MID(#REF!, ROW(INDIRECT("1:" &amp; LEN(#REF!))), 1))) * (CODE(MID(#REF!, ROW(INDIRECT("1:" &amp; LEN(#REF!))), 1)) &lt;= 57)), 1) - 1), FIND(":",#REF!) + 2, LEN(#REF!))</f>
        <v>#REF!</v>
      </c>
      <c r="G92" s="242" t="e">
        <f>MID(LEFT(#REF!, FIND(",",#REF!) - 1), FIND("{token}", SUBSTITUTE(#REF!, " ", "{token}", 2)) + 1, LEN(#REF!))</f>
        <v>#REF!</v>
      </c>
      <c r="H92" s="245" t="s">
        <v>1647</v>
      </c>
      <c r="I92" s="230">
        <v>45306</v>
      </c>
      <c r="J92" s="230" t="s">
        <v>327</v>
      </c>
      <c r="K92" s="226">
        <v>45337</v>
      </c>
      <c r="L92" s="165"/>
      <c r="M92" s="222">
        <v>41</v>
      </c>
      <c r="N92" s="2" t="str">
        <f t="shared" ca="1" si="3"/>
        <v>CLOSED</v>
      </c>
    </row>
    <row r="93" spans="1:14" ht="30">
      <c r="A93" s="64" t="s">
        <v>500</v>
      </c>
      <c r="B93" s="98">
        <f>VLOOKUP([2]!Table27[[#This Row],[Location 
(drop-down)]],'[2]List source'!D$2:E$59,2,FALSE)</f>
        <v>210</v>
      </c>
      <c r="C93" s="99" t="s">
        <v>339</v>
      </c>
      <c r="D93" s="223" t="str">
        <f t="shared" si="2"/>
        <v>PTO047-210-23</v>
      </c>
      <c r="E93" s="115" t="s">
        <v>1648</v>
      </c>
      <c r="F93" s="18" t="e" cm="1">
        <f t="array" aca="1" ref="F93" ca="1">MID(LEFT(#REF!, INDEX(_xlfn._xlws.FILTER(ROW(INDIRECT("1:" &amp; LEN(#REF!))), (48 &lt;= CODE(MID(#REF!, ROW(INDIRECT("1:" &amp; LEN(#REF!))), 1))) * (CODE(MID(#REF!, ROW(INDIRECT("1:" &amp; LEN(#REF!))), 1)) &lt;= 57)), 1) - 1), FIND(":",#REF!) + 2, LEN(#REF!))</f>
        <v>#REF!</v>
      </c>
      <c r="G93" s="115" t="e">
        <f>MID(LEFT(#REF!, FIND(",",#REF!) - 1), FIND("{token}", SUBSTITUTE(#REF!, " ", "{token}", 2)) + 1, LEN(#REF!))</f>
        <v>#REF!</v>
      </c>
      <c r="H93" s="18" t="s">
        <v>1649</v>
      </c>
      <c r="I93" s="230">
        <v>45306</v>
      </c>
      <c r="J93" s="230" t="s">
        <v>1619</v>
      </c>
      <c r="K93" s="226">
        <v>45337</v>
      </c>
      <c r="L93" s="165"/>
      <c r="M93" s="222">
        <v>47</v>
      </c>
      <c r="N93" s="2" t="str">
        <f t="shared" ca="1" si="3"/>
        <v>CLOSED</v>
      </c>
    </row>
    <row r="94" spans="1:14" ht="30">
      <c r="A94" s="64" t="s">
        <v>518</v>
      </c>
      <c r="B94" s="98">
        <f>VLOOKUP([2]!Table27[[#This Row],[Location 
(drop-down)]],'[2]List source'!D$2:E$59,2,FALSE)</f>
        <v>146</v>
      </c>
      <c r="C94" s="99" t="s">
        <v>340</v>
      </c>
      <c r="D94" s="223" t="str">
        <f t="shared" si="2"/>
        <v>PTO049-146-23</v>
      </c>
      <c r="E94" s="227" t="s">
        <v>1650</v>
      </c>
      <c r="F94" s="165" t="e" cm="1">
        <f t="array" aca="1" ref="F94" ca="1">MID(LEFT(#REF!, INDEX(_xlfn._xlws.FILTER(ROW(INDIRECT("1:" &amp; LEN(#REF!))), (48 &lt;= CODE(MID(#REF!, ROW(INDIRECT("1:" &amp; LEN(#REF!))), 1))) * (CODE(MID(#REF!, ROW(INDIRECT("1:" &amp; LEN(#REF!))), 1)) &lt;= 57)), 1) - 1), FIND(":",#REF!) + 2, LEN(#REF!))</f>
        <v>#REF!</v>
      </c>
      <c r="G94" s="227" t="e">
        <f>MID(LEFT(#REF!, FIND(",",#REF!) - 1), FIND("{token}", SUBSTITUTE(#REF!, " ", "{token}", 2)) + 1, LEN(#REF!))</f>
        <v>#REF!</v>
      </c>
      <c r="H94" s="165">
        <v>2.16</v>
      </c>
      <c r="I94" s="230">
        <v>45306</v>
      </c>
      <c r="J94" s="230" t="s">
        <v>108</v>
      </c>
      <c r="K94" s="226">
        <v>45337</v>
      </c>
      <c r="L94" s="165"/>
      <c r="M94" s="222">
        <v>49</v>
      </c>
      <c r="N94" s="2" t="str">
        <f t="shared" ca="1" si="3"/>
        <v>CLOSED</v>
      </c>
    </row>
    <row r="95" spans="1:14" ht="30">
      <c r="A95" s="64" t="s">
        <v>294</v>
      </c>
      <c r="B95" s="98">
        <f>VLOOKUP([2]!Table27[[#This Row],[Location 
(drop-down)]],'[2]List source'!D$2:E$59,2,FALSE)</f>
        <v>189</v>
      </c>
      <c r="C95" s="99" t="s">
        <v>405</v>
      </c>
      <c r="D95" s="223" t="str">
        <f t="shared" si="2"/>
        <v>PTO066-189-23</v>
      </c>
      <c r="E95" s="227" t="s">
        <v>1651</v>
      </c>
      <c r="F95" s="165" t="e" cm="1">
        <f t="array" aca="1" ref="F95" ca="1">MID(LEFT(#REF!, INDEX(_xlfn._xlws.FILTER(ROW(INDIRECT("1:" &amp; LEN(#REF!))), (48 &lt;= CODE(MID(#REF!, ROW(INDIRECT("1:" &amp; LEN(#REF!))), 1))) * (CODE(MID(#REF!, ROW(INDIRECT("1:" &amp; LEN(#REF!))), 1)) &lt;= 57)), 1) - 1), FIND(":",#REF!) + 2, LEN(#REF!))</f>
        <v>#REF!</v>
      </c>
      <c r="G95" s="227" t="e">
        <f>MID(LEFT(#REF!, FIND(",",#REF!) - 1), FIND("{token}", SUBSTITUTE(#REF!, " ", "{token}", 2)) + 1, LEN(#REF!))</f>
        <v>#REF!</v>
      </c>
      <c r="H95" s="165">
        <v>4.29</v>
      </c>
      <c r="I95" s="230">
        <v>45307</v>
      </c>
      <c r="J95" s="230" t="s">
        <v>327</v>
      </c>
      <c r="K95" s="226">
        <v>45337</v>
      </c>
      <c r="L95" s="165"/>
      <c r="M95" s="222">
        <v>66</v>
      </c>
      <c r="N95" s="2" t="str">
        <f t="shared" ca="1" si="3"/>
        <v>CLOSED</v>
      </c>
    </row>
    <row r="96" spans="1:14" ht="30">
      <c r="A96" s="64" t="s">
        <v>323</v>
      </c>
      <c r="B96" s="98">
        <f>VLOOKUP([2]!Table27[[#This Row],[Location 
(drop-down)]],'[2]List source'!D$2:E$59,2,FALSE)</f>
        <v>180</v>
      </c>
      <c r="C96" s="99" t="s">
        <v>611</v>
      </c>
      <c r="D96" s="223" t="str">
        <f t="shared" si="2"/>
        <v>PTO067-180-23</v>
      </c>
      <c r="E96" s="227" t="s">
        <v>1652</v>
      </c>
      <c r="F96" s="165" t="e" cm="1">
        <f t="array" aca="1" ref="F96" ca="1">MID(LEFT(#REF!, INDEX(_xlfn._xlws.FILTER(ROW(INDIRECT("1:" &amp; LEN(#REF!))), (48 &lt;= CODE(MID(#REF!, ROW(INDIRECT("1:" &amp; LEN(#REF!))), 1))) * (CODE(MID(#REF!, ROW(INDIRECT("1:" &amp; LEN(#REF!))), 1)) &lt;= 57)), 1) - 1), FIND(":",#REF!) + 2, LEN(#REF!))</f>
        <v>#REF!</v>
      </c>
      <c r="G96" s="227" t="e">
        <f>MID(LEFT(#REF!, FIND(",",#REF!) - 1), FIND("{token}", SUBSTITUTE(#REF!, " ", "{token}", 2)) + 1, LEN(#REF!))</f>
        <v>#REF!</v>
      </c>
      <c r="H96" s="246" t="s">
        <v>1653</v>
      </c>
      <c r="I96" s="230">
        <v>45307</v>
      </c>
      <c r="J96" s="230" t="s">
        <v>327</v>
      </c>
      <c r="K96" s="226">
        <v>45337</v>
      </c>
      <c r="L96" s="165"/>
      <c r="M96" s="222">
        <v>67</v>
      </c>
      <c r="N96" s="2" t="str">
        <f t="shared" ca="1" si="3"/>
        <v>CLOSED</v>
      </c>
    </row>
    <row r="97" spans="1:14" ht="30">
      <c r="A97" s="64" t="s">
        <v>294</v>
      </c>
      <c r="B97" s="98">
        <f>VLOOKUP([2]!Table27[[#This Row],[Location 
(drop-down)]],'[2]List source'!D$2:E$59,2,FALSE)</f>
        <v>145</v>
      </c>
      <c r="C97" s="99" t="s">
        <v>332</v>
      </c>
      <c r="D97" s="223" t="str">
        <f t="shared" si="2"/>
        <v>PTO089-145-23</v>
      </c>
      <c r="E97" s="227" t="s">
        <v>1654</v>
      </c>
      <c r="F97" s="165" t="e" cm="1">
        <f t="array" aca="1" ref="F97" ca="1">MID(LEFT(#REF!, INDEX(_xlfn._xlws.FILTER(ROW(INDIRECT("1:" &amp; LEN(#REF!))), (48 &lt;= CODE(MID(#REF!, ROW(INDIRECT("1:" &amp; LEN(#REF!))), 1))) * (CODE(MID(#REF!, ROW(INDIRECT("1:" &amp; LEN(#REF!))), 1)) &lt;= 57)), 1) - 1), FIND(":",#REF!) + 2, LEN(#REF!))</f>
        <v>#REF!</v>
      </c>
      <c r="G97" s="227" t="e">
        <f>MID(LEFT(#REF!, FIND(",",#REF!) - 1), FIND("{token}", SUBSTITUTE(#REF!, " ", "{token}", 2)) + 1, LEN(#REF!))</f>
        <v>#REF!</v>
      </c>
      <c r="H97" s="165">
        <v>-2.02</v>
      </c>
      <c r="I97" s="230">
        <v>45307</v>
      </c>
      <c r="J97" s="230" t="s">
        <v>327</v>
      </c>
      <c r="K97" s="226">
        <v>45337</v>
      </c>
      <c r="L97" s="165"/>
      <c r="M97" s="222">
        <v>89</v>
      </c>
      <c r="N97" s="2" t="str">
        <f t="shared" ca="1" si="3"/>
        <v>CLOSED</v>
      </c>
    </row>
    <row r="98" spans="1:14" ht="18.75">
      <c r="A98" s="64" t="s">
        <v>167</v>
      </c>
      <c r="B98" s="98">
        <f>VLOOKUP([2]!Table27[[#This Row],[Location 
(drop-down)]],'[2]List source'!D$2:E$59,2,FALSE)</f>
        <v>170</v>
      </c>
      <c r="C98" s="99" t="s">
        <v>508</v>
      </c>
      <c r="D98" s="223" t="str">
        <f t="shared" si="2"/>
        <v>PTO038-170-23</v>
      </c>
      <c r="E98" s="227" t="s">
        <v>1655</v>
      </c>
      <c r="F98" s="165" t="e" cm="1">
        <f t="array" aca="1" ref="F98" ca="1">MID(LEFT(#REF!, INDEX(_xlfn._xlws.FILTER(ROW(INDIRECT("1:" &amp; LEN(#REF!))), (48 &lt;= CODE(MID(#REF!, ROW(INDIRECT("1:" &amp; LEN(#REF!))), 1))) * (CODE(MID(#REF!, ROW(INDIRECT("1:" &amp; LEN(#REF!))), 1)) &lt;= 57)), 1) - 1), FIND(":",#REF!) + 2, LEN(#REF!))</f>
        <v>#REF!</v>
      </c>
      <c r="G98" s="247" t="e">
        <f>MID(LEFT(#REF!, FIND(",",#REF!) - 1), FIND("{token}", SUBSTITUTE(#REF!, " ", "{token}", 2)) + 1, LEN(#REF!))</f>
        <v>#REF!</v>
      </c>
      <c r="H98" s="92">
        <v>-3</v>
      </c>
      <c r="I98" s="230">
        <v>45306</v>
      </c>
      <c r="J98" s="230" t="s">
        <v>1619</v>
      </c>
      <c r="K98" s="226">
        <v>45341</v>
      </c>
      <c r="L98" s="165"/>
      <c r="M98" s="222">
        <v>38</v>
      </c>
      <c r="N98" s="2" t="str">
        <f t="shared" ca="1" si="3"/>
        <v>CLOSED</v>
      </c>
    </row>
    <row r="99" spans="1:14" ht="18.75">
      <c r="A99" s="64" t="s">
        <v>64</v>
      </c>
      <c r="B99" s="98">
        <f>VLOOKUP([2]!Table27[[#This Row],[Location 
(drop-down)]],'[2]List source'!D$2:E$59,2,FALSE)</f>
        <v>170</v>
      </c>
      <c r="C99" s="99" t="s">
        <v>569</v>
      </c>
      <c r="D99" s="223" t="str">
        <f t="shared" si="2"/>
        <v>PTO007-170-23</v>
      </c>
      <c r="E99" s="228" t="s">
        <v>1656</v>
      </c>
      <c r="F99" s="229" t="e" cm="1">
        <f t="array" aca="1" ref="F99" ca="1">MID(LEFT(#REF!, INDEX(_xlfn._xlws.FILTER(ROW(INDIRECT("1:" &amp; LEN(#REF!))), (48 &lt;= CODE(MID(#REF!, ROW(INDIRECT("1:" &amp; LEN(#REF!))), 1))) * (CODE(MID(#REF!, ROW(INDIRECT("1:" &amp; LEN(#REF!))), 1)) &lt;= 57)), 1) - 1), FIND(":",#REF!) + 2, LEN(#REF!))</f>
        <v>#REF!</v>
      </c>
      <c r="G99" s="228" t="e">
        <f>MID(LEFT(#REF!, FIND(",",#REF!) - 1), FIND("{token}", SUBSTITUTE(#REF!, " ", "{token}", 2)) + 1, LEN(#REF!))</f>
        <v>#REF!</v>
      </c>
      <c r="H99" s="229">
        <v>3.21</v>
      </c>
      <c r="I99" s="230">
        <v>45301</v>
      </c>
      <c r="J99" s="230" t="s">
        <v>239</v>
      </c>
      <c r="K99" s="226">
        <v>45356</v>
      </c>
      <c r="L99" s="165"/>
      <c r="M99" s="222">
        <v>7</v>
      </c>
      <c r="N99" s="2" t="str">
        <f t="shared" ca="1" si="3"/>
        <v>CLOSED</v>
      </c>
    </row>
    <row r="100" spans="1:14" ht="18.75">
      <c r="A100" s="64" t="s">
        <v>139</v>
      </c>
      <c r="B100" s="98">
        <f>VLOOKUP([2]!Table27[[#This Row],[Location 
(drop-down)]],'[2]List source'!D$2:E$59,2,FALSE)</f>
        <v>130</v>
      </c>
      <c r="C100" s="99" t="s">
        <v>1013</v>
      </c>
      <c r="D100" s="223" t="str">
        <f t="shared" si="2"/>
        <v>PTO077-130-23</v>
      </c>
      <c r="E100" s="240" t="s">
        <v>1657</v>
      </c>
      <c r="F100" s="2" t="e" cm="1">
        <f t="array" aca="1" ref="F100" ca="1">MID(LEFT(#REF!, INDEX(_xlfn._xlws.FILTER(ROW(INDIRECT("1:" &amp; LEN(#REF!))), (48 &lt;= CODE(MID(#REF!, ROW(INDIRECT("1:" &amp; LEN(#REF!))), 1))) * (CODE(MID(#REF!, ROW(INDIRECT("1:" &amp; LEN(#REF!))), 1)) &lt;= 57)), 1) - 1), FIND(":",#REF!) + 2, LEN(#REF!))</f>
        <v>#REF!</v>
      </c>
      <c r="G100" s="240" t="e">
        <f>MID(LEFT(#REF!, FIND(",",#REF!) - 1), FIND("{token}", SUBSTITUTE(#REF!, " ", "{token}", 2)) + 1, LEN(#REF!))</f>
        <v>#REF!</v>
      </c>
      <c r="H100" s="2">
        <v>4.17</v>
      </c>
      <c r="I100" s="230">
        <v>45307</v>
      </c>
      <c r="J100" s="235" t="s">
        <v>1619</v>
      </c>
      <c r="K100" s="226">
        <v>45356</v>
      </c>
      <c r="L100" s="165"/>
      <c r="M100" s="222">
        <v>77</v>
      </c>
      <c r="N100" s="2" t="str">
        <f t="shared" ca="1" si="3"/>
        <v>CLOSED</v>
      </c>
    </row>
    <row r="101" spans="1:14" ht="18.75">
      <c r="A101" s="64" t="s">
        <v>311</v>
      </c>
      <c r="B101" s="98">
        <f>VLOOKUP([2]!Table27[[#This Row],[Location 
(drop-down)]],'[2]List source'!D$2:E$59,2,FALSE)</f>
        <v>165</v>
      </c>
      <c r="C101" s="99" t="s">
        <v>345</v>
      </c>
      <c r="D101" s="223" t="str">
        <f t="shared" si="2"/>
        <v>PTO080-165-23</v>
      </c>
      <c r="E101" s="240" t="s">
        <v>1658</v>
      </c>
      <c r="F101" s="2" t="e" cm="1">
        <f t="array" aca="1" ref="F101" ca="1">MID(LEFT(#REF!, INDEX(_xlfn._xlws.FILTER(ROW(INDIRECT("1:" &amp; LEN(#REF!))), (48 &lt;= CODE(MID(#REF!, ROW(INDIRECT("1:" &amp; LEN(#REF!))), 1))) * (CODE(MID(#REF!, ROW(INDIRECT("1:" &amp; LEN(#REF!))), 1)) &lt;= 57)), 1) - 1), FIND(":",#REF!) + 2, LEN(#REF!))</f>
        <v>#REF!</v>
      </c>
      <c r="G101" s="248" t="e">
        <f>MID(LEFT(#REF!, FIND(",",#REF!) - 1), FIND("{token}", SUBSTITUTE(#REF!, " ", "{token}", 2)) + 1, LEN(#REF!))</f>
        <v>#REF!</v>
      </c>
      <c r="H101" s="1">
        <v>-3.57</v>
      </c>
      <c r="I101" s="230">
        <v>45307</v>
      </c>
      <c r="J101" s="235" t="s">
        <v>1619</v>
      </c>
      <c r="K101" s="226">
        <v>45369</v>
      </c>
      <c r="L101" s="165"/>
      <c r="M101" s="222">
        <v>80</v>
      </c>
      <c r="N101" s="2" t="str">
        <f t="shared" ca="1" si="3"/>
        <v>CLOSED</v>
      </c>
    </row>
    <row r="102" spans="1:14" ht="18.75">
      <c r="A102" s="64" t="s">
        <v>311</v>
      </c>
      <c r="B102" s="98">
        <f>VLOOKUP([2]!Table27[[#This Row],[Location 
(drop-down)]],'[2]List source'!D$2:E$59,2,FALSE)</f>
        <v>155</v>
      </c>
      <c r="C102" s="99" t="s">
        <v>161</v>
      </c>
      <c r="D102" s="223" t="str">
        <f t="shared" si="2"/>
        <v>PTO081-155-23</v>
      </c>
      <c r="E102" s="240" t="s">
        <v>1659</v>
      </c>
      <c r="F102" s="249" t="e" cm="1">
        <f t="array" aca="1" ref="F102" ca="1">MID(LEFT(#REF!, INDEX(_xlfn._xlws.FILTER(ROW(INDIRECT("1:" &amp; LEN(#REF!))), (48 &lt;= CODE(MID(#REF!, ROW(INDIRECT("1:" &amp; LEN(#REF!))), 1))) * (CODE(MID(#REF!, ROW(INDIRECT("1:" &amp; LEN(#REF!))), 1)) &lt;= 57)), 1) - 1), FIND(":",#REF!) + 2, LEN(#REF!))</f>
        <v>#REF!</v>
      </c>
      <c r="G102" s="250" t="e">
        <f>MID(LEFT(#REF!, FIND(",",#REF!) - 1), FIND("{token}", SUBSTITUTE(#REF!, " ", "{token}", 2)) + 1, LEN(#REF!))</f>
        <v>#REF!</v>
      </c>
      <c r="H102" s="1">
        <v>-2.74</v>
      </c>
      <c r="I102" s="230">
        <v>45307</v>
      </c>
      <c r="J102" s="235" t="s">
        <v>1619</v>
      </c>
      <c r="K102" s="226">
        <v>45369</v>
      </c>
      <c r="L102" s="165"/>
      <c r="M102" s="222">
        <v>81</v>
      </c>
      <c r="N102" s="2" t="str">
        <f t="shared" ca="1" si="3"/>
        <v>CLOSED</v>
      </c>
    </row>
    <row r="103" spans="1:14" ht="18.75">
      <c r="A103" s="64" t="s">
        <v>103</v>
      </c>
      <c r="B103" s="98">
        <f>VLOOKUP([2]!Table27[[#This Row],[Location 
(drop-down)]],'[2]List source'!D$2:E$59,2,FALSE)</f>
        <v>155</v>
      </c>
      <c r="C103" s="99" t="s">
        <v>685</v>
      </c>
      <c r="D103" s="223" t="str">
        <f t="shared" si="2"/>
        <v>PTO020-155-23</v>
      </c>
      <c r="E103" s="227" t="s">
        <v>1660</v>
      </c>
      <c r="F103" s="165" t="e" cm="1">
        <f t="array" aca="1" ref="F103" ca="1">MID(LEFT(#REF!, INDEX(_xlfn._xlws.FILTER(ROW(INDIRECT("1:" &amp; LEN(#REF!))), (48 &lt;= CODE(MID(#REF!, ROW(INDIRECT("1:" &amp; LEN(#REF!))), 1))) * (CODE(MID(#REF!, ROW(INDIRECT("1:" &amp; LEN(#REF!))), 1)) &lt;= 57)), 1) - 1), FIND(":",#REF!) + 2, LEN(#REF!))</f>
        <v>#REF!</v>
      </c>
      <c r="G103" s="190" t="e">
        <f>MID(LEFT(#REF!, FIND(",",#REF!) - 1), FIND("{token}", SUBSTITUTE(#REF!, " ", "{token}", 2)) + 1, LEN(#REF!))</f>
        <v>#REF!</v>
      </c>
      <c r="H103" s="236" t="s">
        <v>1661</v>
      </c>
      <c r="I103" s="230">
        <v>45302</v>
      </c>
      <c r="J103" s="230" t="s">
        <v>1619</v>
      </c>
      <c r="K103" s="226">
        <v>45371</v>
      </c>
      <c r="L103" s="165"/>
      <c r="M103" s="222">
        <v>20</v>
      </c>
      <c r="N103" s="2" t="str">
        <f t="shared" ca="1" si="3"/>
        <v>CLOSED</v>
      </c>
    </row>
    <row r="104" spans="1:14" ht="30">
      <c r="A104" s="64" t="s">
        <v>432</v>
      </c>
      <c r="B104" s="98">
        <f>VLOOKUP([2]!Table27[[#This Row],[Location 
(drop-down)]],'[2]List source'!D$2:E$59,2,FALSE)</f>
        <v>165</v>
      </c>
      <c r="C104" s="99" t="s">
        <v>54</v>
      </c>
      <c r="D104" s="223" t="str">
        <f t="shared" si="2"/>
        <v>PTO026-165-23</v>
      </c>
      <c r="E104" s="227" t="s">
        <v>1662</v>
      </c>
      <c r="F104" s="165" t="e" cm="1">
        <f t="array" aca="1" ref="F104" ca="1">MID(LEFT(#REF!, INDEX(_xlfn._xlws.FILTER(ROW(INDIRECT("1:" &amp; LEN(#REF!))), (48 &lt;= CODE(MID(#REF!, ROW(INDIRECT("1:" &amp; LEN(#REF!))), 1))) * (CODE(MID(#REF!, ROW(INDIRECT("1:" &amp; LEN(#REF!))), 1)) &lt;= 57)), 1) - 1), FIND(":",#REF!) + 2, LEN(#REF!))</f>
        <v>#REF!</v>
      </c>
      <c r="G104" s="227" t="e">
        <f>MID(LEFT(#REF!, FIND(",",#REF!) - 1), FIND("{token}", SUBSTITUTE(#REF!, " ", "{token}", 2)) + 1, LEN(#REF!))</f>
        <v>#REF!</v>
      </c>
      <c r="H104" s="165">
        <v>11.44</v>
      </c>
      <c r="I104" s="230">
        <v>45306</v>
      </c>
      <c r="J104" s="230" t="s">
        <v>108</v>
      </c>
      <c r="K104" s="226">
        <v>45371</v>
      </c>
      <c r="L104" s="165"/>
      <c r="M104" s="222">
        <v>26</v>
      </c>
      <c r="N104" s="2" t="str">
        <f t="shared" ca="1" si="3"/>
        <v>CLOSED</v>
      </c>
    </row>
    <row r="105" spans="1:14" ht="30">
      <c r="A105" s="64" t="s">
        <v>432</v>
      </c>
      <c r="B105" s="98">
        <f>VLOOKUP([2]!Table27[[#This Row],[Location 
(drop-down)]],'[2]List source'!D$2:E$59,2,FALSE)</f>
        <v>130</v>
      </c>
      <c r="C105" s="99" t="s">
        <v>365</v>
      </c>
      <c r="D105" s="223" t="str">
        <f t="shared" si="2"/>
        <v>PTO111-130-23</v>
      </c>
      <c r="E105" s="227" t="s">
        <v>1663</v>
      </c>
      <c r="F105" s="165" t="e" cm="1">
        <f t="array" aca="1" ref="F105" ca="1">MID(LEFT(#REF!, INDEX(_xlfn._xlws.FILTER(ROW(INDIRECT("1:" &amp; LEN(#REF!))), (48 &lt;= CODE(MID(#REF!, ROW(INDIRECT("1:" &amp; LEN(#REF!))), 1))) * (CODE(MID(#REF!, ROW(INDIRECT("1:" &amp; LEN(#REF!))), 1)) &lt;= 57)), 1) - 1), FIND(":",#REF!) + 2, LEN(#REF!))</f>
        <v>#REF!</v>
      </c>
      <c r="G105" s="195" t="e">
        <f>MID(LEFT(#REF!, FIND(",",#REF!) - 1), FIND("{token}", SUBSTITUTE(#REF!, " ", "{token}", 2)) + 1, LEN(#REF!))</f>
        <v>#REF!</v>
      </c>
      <c r="H105" s="165" t="s">
        <v>1664</v>
      </c>
      <c r="I105" s="230">
        <v>45376</v>
      </c>
      <c r="J105" s="230" t="s">
        <v>34</v>
      </c>
      <c r="K105" s="226">
        <v>45376</v>
      </c>
      <c r="L105" s="165" t="s">
        <v>1505</v>
      </c>
      <c r="M105" s="222">
        <v>111</v>
      </c>
      <c r="N105" s="2" t="str">
        <f t="shared" ca="1" si="3"/>
        <v>CLOSED</v>
      </c>
    </row>
    <row r="106" spans="1:14" ht="30">
      <c r="A106" s="64" t="s">
        <v>432</v>
      </c>
      <c r="B106" s="98">
        <f>VLOOKUP([2]!Table27[[#This Row],[Location 
(drop-down)]],'[2]List source'!D$2:E$59,2,FALSE)</f>
        <v>165</v>
      </c>
      <c r="C106" s="99" t="s">
        <v>1158</v>
      </c>
      <c r="D106" s="223" t="str">
        <f t="shared" si="2"/>
        <v>PTO113-165-23</v>
      </c>
      <c r="E106" s="227" t="s">
        <v>1665</v>
      </c>
      <c r="F106" s="165" t="e" cm="1">
        <f t="array" aca="1" ref="F106" ca="1">MID(LEFT(#REF!, INDEX(_xlfn._xlws.FILTER(ROW(INDIRECT("1:" &amp; LEN(#REF!))), (48 &lt;= CODE(MID(#REF!, ROW(INDIRECT("1:" &amp; LEN(#REF!))), 1))) * (CODE(MID(#REF!, ROW(INDIRECT("1:" &amp; LEN(#REF!))), 1)) &lt;= 57)), 1) - 1), FIND(":",#REF!) + 2, LEN(#REF!))</f>
        <v>#REF!</v>
      </c>
      <c r="G106" s="227" t="e">
        <f>MID(LEFT(#REF!, FIND(",",#REF!) - 1), FIND("{token}", SUBSTITUTE(#REF!, " ", "{token}", 2)) + 1, LEN(#REF!))</f>
        <v>#REF!</v>
      </c>
      <c r="H106" s="165">
        <v>-2.94</v>
      </c>
      <c r="I106" s="230">
        <v>45376</v>
      </c>
      <c r="J106" s="230" t="s">
        <v>34</v>
      </c>
      <c r="K106" s="226">
        <v>45376</v>
      </c>
      <c r="L106" s="165" t="s">
        <v>1505</v>
      </c>
      <c r="M106" s="222">
        <v>113</v>
      </c>
      <c r="N106" s="2" t="str">
        <f t="shared" ca="1" si="3"/>
        <v>CLOSED</v>
      </c>
    </row>
    <row r="107" spans="1:14" ht="30">
      <c r="A107" s="64" t="s">
        <v>432</v>
      </c>
      <c r="B107" s="98">
        <f>VLOOKUP([2]!Table27[[#This Row],[Location 
(drop-down)]],'[2]List source'!D$2:E$59,2,FALSE)</f>
        <v>165</v>
      </c>
      <c r="C107" s="99" t="s">
        <v>1180</v>
      </c>
      <c r="D107" s="223" t="str">
        <f t="shared" si="2"/>
        <v>PTO114-165-23</v>
      </c>
      <c r="E107" s="227" t="s">
        <v>1666</v>
      </c>
      <c r="F107" s="165" t="e" cm="1">
        <f t="array" aca="1" ref="F107" ca="1">MID(LEFT(#REF!, INDEX(_xlfn._xlws.FILTER(ROW(INDIRECT("1:" &amp; LEN(#REF!))), (48 &lt;= CODE(MID(#REF!, ROW(INDIRECT("1:" &amp; LEN(#REF!))), 1))) * (CODE(MID(#REF!, ROW(INDIRECT("1:" &amp; LEN(#REF!))), 1)) &lt;= 57)), 1) - 1), FIND(":",#REF!) + 2, LEN(#REF!))</f>
        <v>#REF!</v>
      </c>
      <c r="G107" s="227" t="e">
        <f>MID(LEFT(#REF!, FIND(",",#REF!) - 1), FIND("{token}", SUBSTITUTE(#REF!, " ", "{token}", 2)) + 1, LEN(#REF!))</f>
        <v>#REF!</v>
      </c>
      <c r="H107" s="165">
        <v>-8.25</v>
      </c>
      <c r="I107" s="230">
        <v>45376</v>
      </c>
      <c r="J107" s="230" t="s">
        <v>34</v>
      </c>
      <c r="K107" s="226">
        <v>45376</v>
      </c>
      <c r="L107" s="165" t="s">
        <v>1505</v>
      </c>
      <c r="M107" s="222">
        <v>114</v>
      </c>
      <c r="N107" s="2" t="str">
        <f t="shared" ca="1" si="3"/>
        <v>CLOSED</v>
      </c>
    </row>
    <row r="108" spans="1:14" ht="30">
      <c r="A108" s="64" t="s">
        <v>432</v>
      </c>
      <c r="B108" s="98">
        <f>VLOOKUP([2]!Table27[[#This Row],[Location 
(drop-down)]],'[2]List source'!D$2:E$59,2,FALSE)</f>
        <v>191</v>
      </c>
      <c r="C108" s="99" t="s">
        <v>1186</v>
      </c>
      <c r="D108" s="223" t="str">
        <f t="shared" si="2"/>
        <v>PTO115-191-23</v>
      </c>
      <c r="E108" s="227" t="s">
        <v>1667</v>
      </c>
      <c r="F108" s="165" t="e" cm="1">
        <f t="array" aca="1" ref="F108" ca="1">MID(LEFT(#REF!, INDEX(_xlfn._xlws.FILTER(ROW(INDIRECT("1:" &amp; LEN(#REF!))), (48 &lt;= CODE(MID(#REF!, ROW(INDIRECT("1:" &amp; LEN(#REF!))), 1))) * (CODE(MID(#REF!, ROW(INDIRECT("1:" &amp; LEN(#REF!))), 1)) &lt;= 57)), 1) - 1), FIND(":",#REF!) + 2, LEN(#REF!))</f>
        <v>#REF!</v>
      </c>
      <c r="G108" s="227" t="e">
        <f>MID(LEFT(#REF!, FIND(",",#REF!) - 1), FIND("{token}", SUBSTITUTE(#REF!, " ", "{token}", 2)) + 1, LEN(#REF!))</f>
        <v>#REF!</v>
      </c>
      <c r="H108" s="165">
        <v>-5.9</v>
      </c>
      <c r="I108" s="230">
        <v>45376</v>
      </c>
      <c r="J108" s="230" t="s">
        <v>34</v>
      </c>
      <c r="K108" s="226">
        <v>45376</v>
      </c>
      <c r="L108" s="165" t="s">
        <v>1505</v>
      </c>
      <c r="M108" s="222">
        <v>115</v>
      </c>
      <c r="N108" s="2" t="str">
        <f t="shared" ca="1" si="3"/>
        <v>CLOSED</v>
      </c>
    </row>
    <row r="109" spans="1:14" ht="30">
      <c r="A109" s="64" t="s">
        <v>591</v>
      </c>
      <c r="B109" s="98">
        <f>VLOOKUP([2]!Table27[[#This Row],[Location 
(drop-down)]],'[2]List source'!D$2:E$59,2,FALSE)</f>
        <v>146</v>
      </c>
      <c r="C109" s="99" t="s">
        <v>435</v>
      </c>
      <c r="D109" s="223" t="str">
        <f t="shared" si="2"/>
        <v>PTO116-146-23</v>
      </c>
      <c r="E109" s="227" t="s">
        <v>1668</v>
      </c>
      <c r="F109" s="165" t="e" cm="1">
        <f t="array" aca="1" ref="F109" ca="1">MID(LEFT(#REF!, INDEX(_xlfn._xlws.FILTER(ROW(INDIRECT("1:" &amp; LEN(#REF!))), (48 &lt;= CODE(MID(#REF!, ROW(INDIRECT("1:" &amp; LEN(#REF!))), 1))) * (CODE(MID(#REF!, ROW(INDIRECT("1:" &amp; LEN(#REF!))), 1)) &lt;= 57)), 1) - 1), FIND(":",#REF!) + 2, LEN(#REF!))</f>
        <v>#REF!</v>
      </c>
      <c r="G109" s="251" t="e">
        <f>MID(LEFT(#REF!, FIND(",",#REF!) - 1), FIND("{token}", SUBSTITUTE(#REF!, " ", "{token}", 2)) + 1, LEN(#REF!))</f>
        <v>#REF!</v>
      </c>
      <c r="H109" s="165" t="s">
        <v>1579</v>
      </c>
      <c r="I109" s="230">
        <v>45376</v>
      </c>
      <c r="J109" s="230" t="s">
        <v>34</v>
      </c>
      <c r="K109" s="226">
        <v>45376</v>
      </c>
      <c r="L109" s="165" t="s">
        <v>1562</v>
      </c>
      <c r="M109" s="222">
        <v>116</v>
      </c>
      <c r="N109" s="2" t="str">
        <f t="shared" ca="1" si="3"/>
        <v>CLOSED</v>
      </c>
    </row>
    <row r="110" spans="1:14" ht="18.75">
      <c r="A110" s="64" t="s">
        <v>103</v>
      </c>
      <c r="B110" s="98">
        <f>VLOOKUP([2]!Table27[[#This Row],[Location 
(drop-down)]],'[2]List source'!D$2:E$59,2,FALSE)</f>
        <v>130</v>
      </c>
      <c r="C110" s="99" t="s">
        <v>511</v>
      </c>
      <c r="D110" s="223" t="str">
        <f t="shared" si="2"/>
        <v>PTO127-130-23</v>
      </c>
      <c r="E110" s="227" t="s">
        <v>1669</v>
      </c>
      <c r="F110" s="88" t="e" cm="1">
        <f t="array" aca="1" ref="F110" ca="1">MID(LEFT(#REF!, INDEX(_xlfn._xlws.FILTER(ROW(INDIRECT("1:" &amp; LEN(#REF!))), (48 &lt;= CODE(MID(#REF!, ROW(INDIRECT("1:" &amp; LEN(#REF!))), 1))) * (CODE(MID(#REF!, ROW(INDIRECT("1:" &amp; LEN(#REF!))), 1)) &lt;= 57)), 1) - 1), FIND(":",#REF!) + 2, LEN(#REF!))</f>
        <v>#REF!</v>
      </c>
      <c r="G110" s="252" t="e">
        <f>MID(LEFT(#REF!, FIND(",",#REF!) - 1), FIND("{token}", SUBSTITUTE(#REF!, " ", "{token}", 2)) + 1, LEN(#REF!))</f>
        <v>#REF!</v>
      </c>
      <c r="H110" s="253">
        <v>23.79</v>
      </c>
      <c r="I110" s="230">
        <v>45376</v>
      </c>
      <c r="J110" s="230" t="s">
        <v>34</v>
      </c>
      <c r="K110" s="226">
        <v>45376</v>
      </c>
      <c r="L110" s="165" t="s">
        <v>1505</v>
      </c>
      <c r="M110" s="222">
        <v>127</v>
      </c>
      <c r="N110" s="2" t="str">
        <f t="shared" ca="1" si="3"/>
        <v>CLOSED</v>
      </c>
    </row>
    <row r="111" spans="1:14" ht="18.75">
      <c r="A111" s="64" t="s">
        <v>139</v>
      </c>
      <c r="B111" s="98">
        <f>VLOOKUP([2]!Table27[[#This Row],[Location 
(drop-down)]],'[2]List source'!D$2:E$59,2,FALSE)</f>
        <v>130</v>
      </c>
      <c r="C111" s="99" t="s">
        <v>433</v>
      </c>
      <c r="D111" s="223" t="str">
        <f t="shared" si="2"/>
        <v>PTO137-130-23</v>
      </c>
      <c r="E111" s="240" t="s">
        <v>1670</v>
      </c>
      <c r="F111" s="2" t="e" cm="1">
        <f t="array" aca="1" ref="F111" ca="1">MID(LEFT(#REF!, INDEX(_xlfn._xlws.FILTER(ROW(INDIRECT("1:" &amp; LEN(#REF!))), (48 &lt;= CODE(MID(#REF!, ROW(INDIRECT("1:" &amp; LEN(#REF!))), 1))) * (CODE(MID(#REF!, ROW(INDIRECT("1:" &amp; LEN(#REF!))), 1)) &lt;= 57)), 1) - 1), FIND(":",#REF!) + 2, LEN(#REF!))</f>
        <v>#REF!</v>
      </c>
      <c r="G111" s="190" t="e">
        <f>MID(LEFT(#REF!, FIND(",",#REF!) - 1), FIND("{token}", SUBSTITUTE(#REF!, " ", "{token}", 2)) + 1, LEN(#REF!))</f>
        <v>#REF!</v>
      </c>
      <c r="H111" s="2">
        <v>2.2999999999999998</v>
      </c>
      <c r="I111" s="230">
        <v>45376</v>
      </c>
      <c r="J111" s="230" t="s">
        <v>34</v>
      </c>
      <c r="K111" s="226">
        <v>45376</v>
      </c>
      <c r="L111" s="165" t="s">
        <v>1671</v>
      </c>
      <c r="M111" s="222">
        <v>137</v>
      </c>
      <c r="N111" s="2" t="str">
        <f t="shared" ca="1" si="3"/>
        <v>CLOSED</v>
      </c>
    </row>
    <row r="112" spans="1:14" ht="30">
      <c r="A112" s="64" t="s">
        <v>495</v>
      </c>
      <c r="B112" s="98">
        <f>VLOOKUP([2]!Table27[[#This Row],[Location 
(drop-down)]],'[2]List source'!D$2:E$59,2,FALSE)</f>
        <v>130</v>
      </c>
      <c r="C112" s="99" t="s">
        <v>1352</v>
      </c>
      <c r="D112" s="223" t="str">
        <f t="shared" si="2"/>
        <v>PTO138-130-23</v>
      </c>
      <c r="E112" s="240" t="s">
        <v>1672</v>
      </c>
      <c r="F112" s="2" t="e" cm="1">
        <f t="array" aca="1" ref="F112" ca="1">MID(LEFT(#REF!, INDEX(_xlfn._xlws.FILTER(ROW(INDIRECT("1:" &amp; LEN(#REF!))), (48 &lt;= CODE(MID(#REF!, ROW(INDIRECT("1:" &amp; LEN(#REF!))), 1))) * (CODE(MID(#REF!, ROW(INDIRECT("1:" &amp; LEN(#REF!))), 1)) &lt;= 57)), 1) - 1), FIND(":",#REF!) + 2, LEN(#REF!))</f>
        <v>#REF!</v>
      </c>
      <c r="G112" s="227" t="e">
        <f>MID(LEFT(#REF!, FIND(",",#REF!) - 1), FIND("{token}", SUBSTITUTE(#REF!, " ", "{token}", 2)) + 1, LEN(#REF!))</f>
        <v>#REF!</v>
      </c>
      <c r="H112" s="254" t="s">
        <v>1673</v>
      </c>
      <c r="I112" s="230">
        <v>45376</v>
      </c>
      <c r="J112" s="230" t="s">
        <v>34</v>
      </c>
      <c r="K112" s="226">
        <v>45376</v>
      </c>
      <c r="L112" s="165" t="s">
        <v>1505</v>
      </c>
      <c r="M112" s="222">
        <v>138</v>
      </c>
      <c r="N112" s="2" t="str">
        <f t="shared" ca="1" si="3"/>
        <v>CLOSED</v>
      </c>
    </row>
    <row r="113" spans="1:14" ht="30">
      <c r="A113" s="64" t="s">
        <v>294</v>
      </c>
      <c r="B113" s="98">
        <f>VLOOKUP([2]!Table27[[#This Row],[Location 
(drop-down)]],'[2]List source'!D$2:E$59,2,FALSE)</f>
        <v>146</v>
      </c>
      <c r="C113" s="99" t="s">
        <v>472</v>
      </c>
      <c r="D113" s="223" t="str">
        <f t="shared" si="2"/>
        <v>PTO065-146-23</v>
      </c>
      <c r="E113" s="190" t="s">
        <v>1674</v>
      </c>
      <c r="F113" s="238" t="e" cm="1">
        <f t="array" aca="1" ref="F113" ca="1">MID(LEFT(#REF!, INDEX(_xlfn._xlws.FILTER(ROW(INDIRECT("1:" &amp; LEN(#REF!))), (48 &lt;= CODE(MID(#REF!, ROW(INDIRECT("1:" &amp; LEN(#REF!))), 1))) * (CODE(MID(#REF!, ROW(INDIRECT("1:" &amp; LEN(#REF!))), 1)) &lt;= 57)), 1) - 1), FIND(":",#REF!) + 2, LEN(#REF!))</f>
        <v>#REF!</v>
      </c>
      <c r="G113" s="119" t="e">
        <f>MID(LEFT(#REF!, FIND(",",#REF!) - 1), FIND("{token}", SUBSTITUTE(#REF!, " ", "{token}", 2)) + 1, LEN(#REF!))</f>
        <v>#REF!</v>
      </c>
      <c r="H113" s="92">
        <v>4.93</v>
      </c>
      <c r="I113" s="230">
        <v>45307</v>
      </c>
      <c r="J113" s="230" t="s">
        <v>327</v>
      </c>
      <c r="K113" s="226">
        <v>45378</v>
      </c>
      <c r="L113" s="165"/>
      <c r="M113" s="222">
        <v>65</v>
      </c>
      <c r="N113" s="2" t="str">
        <f t="shared" ca="1" si="3"/>
        <v>CLOSED</v>
      </c>
    </row>
    <row r="114" spans="1:14" ht="30">
      <c r="A114" s="64" t="s">
        <v>294</v>
      </c>
      <c r="B114" s="98">
        <f>VLOOKUP([2]!Table27[[#This Row],[Location 
(drop-down)]],'[2]List source'!D$2:E$59,2,FALSE)</f>
        <v>136</v>
      </c>
      <c r="C114" s="99" t="s">
        <v>350</v>
      </c>
      <c r="D114" s="223" t="str">
        <f t="shared" si="2"/>
        <v>PTO083-136-23</v>
      </c>
      <c r="E114" s="227" t="s">
        <v>1675</v>
      </c>
      <c r="F114" s="165" t="e" cm="1">
        <f t="array" aca="1" ref="F114" ca="1">MID(LEFT(#REF!, INDEX(_xlfn._xlws.FILTER(ROW(INDIRECT("1:" &amp; LEN(#REF!))), (48 &lt;= CODE(MID(#REF!, ROW(INDIRECT("1:" &amp; LEN(#REF!))), 1))) * (CODE(MID(#REF!, ROW(INDIRECT("1:" &amp; LEN(#REF!))), 1)) &lt;= 57)), 1) - 1), FIND(":",#REF!) + 2, LEN(#REF!))</f>
        <v>#REF!</v>
      </c>
      <c r="G114" s="227" t="e">
        <f>MID(LEFT(#REF!, FIND(",",#REF!) - 1), FIND("{token}", SUBSTITUTE(#REF!, " ", "{token}", 2)) + 1, LEN(#REF!))</f>
        <v>#REF!</v>
      </c>
      <c r="H114" s="165">
        <v>3.05</v>
      </c>
      <c r="I114" s="230">
        <v>45307</v>
      </c>
      <c r="J114" s="235" t="s">
        <v>327</v>
      </c>
      <c r="K114" s="226">
        <v>45379</v>
      </c>
      <c r="L114" s="165"/>
      <c r="M114" s="222">
        <v>83</v>
      </c>
      <c r="N114" s="2" t="str">
        <f t="shared" ca="1" si="3"/>
        <v>CLOSED</v>
      </c>
    </row>
    <row r="115" spans="1:14" ht="30">
      <c r="A115" s="64" t="s">
        <v>125</v>
      </c>
      <c r="B115" s="98">
        <f>VLOOKUP([2]!Table27[[#This Row],[Location 
(drop-down)]],'[2]List source'!D$2:E$59,2,FALSE)</f>
        <v>180</v>
      </c>
      <c r="C115" s="99" t="s">
        <v>1258</v>
      </c>
      <c r="D115" s="223" t="str">
        <f t="shared" si="2"/>
        <v>PTO159-180-23</v>
      </c>
      <c r="E115" s="255" t="s">
        <v>1676</v>
      </c>
      <c r="F115" s="14" t="e" cm="1">
        <f t="array" aca="1" ref="F115" ca="1">MID(LEFT(#REF!, INDEX(_xlfn._xlws.FILTER(ROW(INDIRECT("1:" &amp; LEN(#REF!))), (48 &lt;= CODE(MID(#REF!, ROW(INDIRECT("1:" &amp; LEN(#REF!))), 1))) * (CODE(MID(#REF!, ROW(INDIRECT("1:" &amp; LEN(#REF!))), 1)) &lt;= 57)), 1) - 1), FIND(":",#REF!) + 2, LEN(#REF!))</f>
        <v>#REF!</v>
      </c>
      <c r="G115" s="255" t="e">
        <f>MID(LEFT(#REF!, FIND(",",#REF!) - 1), FIND("{token}", SUBSTITUTE(#REF!, " ", "{token}", 2)) + 1, LEN(#REF!))</f>
        <v>#REF!</v>
      </c>
      <c r="H115" s="204">
        <v>2.06</v>
      </c>
      <c r="I115" s="256">
        <v>45387</v>
      </c>
      <c r="J115" s="257" t="s">
        <v>34</v>
      </c>
      <c r="K115" s="258">
        <v>45387</v>
      </c>
      <c r="L115" s="259" t="s">
        <v>1671</v>
      </c>
      <c r="M115" s="222">
        <v>159</v>
      </c>
      <c r="N115" s="2" t="str">
        <f t="shared" ca="1" si="3"/>
        <v>CLOSED</v>
      </c>
    </row>
    <row r="116" spans="1:14" ht="30">
      <c r="A116" s="64" t="s">
        <v>125</v>
      </c>
      <c r="B116" s="98">
        <f>VLOOKUP([2]!Table27[[#This Row],[Location 
(drop-down)]],'[2]List source'!D$2:E$59,2,FALSE)</f>
        <v>127</v>
      </c>
      <c r="C116" s="99" t="s">
        <v>585</v>
      </c>
      <c r="D116" s="223" t="str">
        <f t="shared" si="2"/>
        <v>PTO160-127-23</v>
      </c>
      <c r="E116" s="240" t="s">
        <v>1677</v>
      </c>
      <c r="F116" s="2" t="e" cm="1">
        <f t="array" aca="1" ref="F116" ca="1">MID(LEFT(#REF!, INDEX(_xlfn._xlws.FILTER(ROW(INDIRECT("1:" &amp; LEN(#REF!))), (48 &lt;= CODE(MID(#REF!, ROW(INDIRECT("1:" &amp; LEN(#REF!))), 1))) * (CODE(MID(#REF!, ROW(INDIRECT("1:" &amp; LEN(#REF!))), 1)) &lt;= 57)), 1) - 1), FIND(":",#REF!) + 2, LEN(#REF!))</f>
        <v>#REF!</v>
      </c>
      <c r="G116" s="240" t="e">
        <f>MID(LEFT(#REF!, FIND(",",#REF!) - 1), FIND("{token}", SUBSTITUTE(#REF!, " ", "{token}", 2)) + 1, LEN(#REF!))</f>
        <v>#REF!</v>
      </c>
      <c r="H116" s="2">
        <v>2.16</v>
      </c>
      <c r="I116" s="260">
        <v>45387</v>
      </c>
      <c r="J116" s="235" t="s">
        <v>34</v>
      </c>
      <c r="K116" s="258">
        <v>45387</v>
      </c>
      <c r="L116" s="259" t="s">
        <v>1671</v>
      </c>
      <c r="M116" s="222">
        <v>160</v>
      </c>
      <c r="N116" s="2" t="str">
        <f t="shared" ca="1" si="3"/>
        <v>CLOSED</v>
      </c>
    </row>
    <row r="117" spans="1:14" ht="30">
      <c r="A117" s="64" t="s">
        <v>500</v>
      </c>
      <c r="B117" s="98">
        <f>VLOOKUP([2]!Table27[[#This Row],[Location 
(drop-down)]],'[2]List source'!D$2:E$59,2,FALSE)</f>
        <v>165</v>
      </c>
      <c r="C117" s="99" t="s">
        <v>747</v>
      </c>
      <c r="D117" s="223" t="str">
        <f t="shared" si="2"/>
        <v>PTO181-165-23</v>
      </c>
      <c r="E117" s="227" t="s">
        <v>1678</v>
      </c>
      <c r="F117" s="165" t="e" cm="1">
        <f t="array" aca="1" ref="F117" ca="1">MID(LEFT(#REF!, INDEX(_xlfn._xlws.FILTER(ROW(INDIRECT("1:" &amp; LEN(#REF!))), (48 &lt;= CODE(MID(#REF!, ROW(INDIRECT("1:" &amp; LEN(#REF!))), 1))) * (CODE(MID(#REF!, ROW(INDIRECT("1:" &amp; LEN(#REF!))), 1)) &lt;= 57)), 1) - 1), FIND(":",#REF!) + 2, LEN(#REF!))</f>
        <v>#REF!</v>
      </c>
      <c r="G117" s="227" t="e">
        <f>MID(LEFT(#REF!, FIND(",",#REF!) - 1), FIND("{token}", SUBSTITUTE(#REF!, " ", "{token}", 2)) + 1, LEN(#REF!))</f>
        <v>#REF!</v>
      </c>
      <c r="H117" s="236" t="s">
        <v>1679</v>
      </c>
      <c r="I117" s="260">
        <v>45387</v>
      </c>
      <c r="J117" s="230" t="s">
        <v>34</v>
      </c>
      <c r="K117" s="226">
        <v>45387</v>
      </c>
      <c r="L117" s="165" t="s">
        <v>1562</v>
      </c>
      <c r="M117" s="222">
        <v>181</v>
      </c>
      <c r="N117" s="2" t="str">
        <f t="shared" ca="1" si="3"/>
        <v>CLOSED</v>
      </c>
    </row>
    <row r="118" spans="1:14" ht="18.75">
      <c r="A118" s="64" t="s">
        <v>43</v>
      </c>
      <c r="B118" s="98">
        <f>VLOOKUP([2]!Table27[[#This Row],[Location 
(drop-down)]],'[2]List source'!D$2:E$59,2,FALSE)</f>
        <v>165</v>
      </c>
      <c r="C118" s="99" t="s">
        <v>791</v>
      </c>
      <c r="D118" s="223" t="str">
        <f t="shared" si="2"/>
        <v>PTO182-165-23</v>
      </c>
      <c r="E118" s="215" t="s">
        <v>1680</v>
      </c>
      <c r="F118" s="214" t="e" cm="1">
        <f t="array" aca="1" ref="F118" ca="1">MID(LEFT(#REF!, INDEX(_xlfn._xlws.FILTER(ROW(INDIRECT("1:" &amp; LEN(#REF!))), (48 &lt;= CODE(MID(#REF!, ROW(INDIRECT("1:" &amp; LEN(#REF!))), 1))) * (CODE(MID(#REF!, ROW(INDIRECT("1:" &amp; LEN(#REF!))), 1)) &lt;= 57)), 1) - 1), FIND(":",#REF!) + 2, LEN(#REF!))</f>
        <v>#REF!</v>
      </c>
      <c r="G118" s="215" t="e">
        <f>MID(LEFT(#REF!, FIND(",",#REF!) - 1), FIND("{token}", SUBSTITUTE(#REF!, " ", "{token}", 2)) + 1, LEN(#REF!))</f>
        <v>#REF!</v>
      </c>
      <c r="H118" s="224" t="s">
        <v>1681</v>
      </c>
      <c r="I118" s="260">
        <v>45387</v>
      </c>
      <c r="J118" s="230" t="s">
        <v>34</v>
      </c>
      <c r="K118" s="226">
        <v>45387</v>
      </c>
      <c r="L118" s="165" t="s">
        <v>1562</v>
      </c>
      <c r="M118" s="222">
        <v>182</v>
      </c>
      <c r="N118" s="2" t="str">
        <f t="shared" ca="1" si="3"/>
        <v>CLOSED</v>
      </c>
    </row>
    <row r="119" spans="1:14" ht="30">
      <c r="A119" s="64" t="s">
        <v>714</v>
      </c>
      <c r="B119" s="98">
        <f>VLOOKUP([2]!Table27[[#This Row],[Location 
(drop-down)]],'[2]List source'!D$2:E$59,2,FALSE)</f>
        <v>146</v>
      </c>
      <c r="C119" s="99" t="s">
        <v>473</v>
      </c>
      <c r="D119" s="223" t="str">
        <f t="shared" si="2"/>
        <v>PTO183-146-23</v>
      </c>
      <c r="E119" s="227" t="s">
        <v>1682</v>
      </c>
      <c r="F119" s="165" t="e" cm="1">
        <f t="array" aca="1" ref="F119" ca="1">MID(LEFT(#REF!, INDEX(_xlfn._xlws.FILTER(ROW(INDIRECT("1:" &amp; LEN(#REF!))), (48 &lt;= CODE(MID(#REF!, ROW(INDIRECT("1:" &amp; LEN(#REF!))), 1))) * (CODE(MID(#REF!, ROW(INDIRECT("1:" &amp; LEN(#REF!))), 1)) &lt;= 57)), 1) - 1), FIND(":",#REF!) + 2, LEN(#REF!))</f>
        <v>#REF!</v>
      </c>
      <c r="G119" s="227" t="e">
        <f>MID(LEFT(#REF!, FIND(",",#REF!) - 1), FIND("{token}", SUBSTITUTE(#REF!, " ", "{token}", 2)) + 1, LEN(#REF!))</f>
        <v>#REF!</v>
      </c>
      <c r="H119" s="236" t="s">
        <v>1683</v>
      </c>
      <c r="I119" s="260">
        <v>45387</v>
      </c>
      <c r="J119" s="230" t="s">
        <v>34</v>
      </c>
      <c r="K119" s="226">
        <v>45387</v>
      </c>
      <c r="L119" s="165" t="s">
        <v>1562</v>
      </c>
      <c r="M119" s="222">
        <v>183</v>
      </c>
      <c r="N119" s="2" t="str">
        <f t="shared" ca="1" si="3"/>
        <v>CLOSED</v>
      </c>
    </row>
    <row r="120" spans="1:14" ht="30">
      <c r="A120" s="64" t="s">
        <v>714</v>
      </c>
      <c r="B120" s="98">
        <f>VLOOKUP([2]!Table27[[#This Row],[Location 
(drop-down)]],'[2]List source'!D$2:E$59,2,FALSE)</f>
        <v>146</v>
      </c>
      <c r="C120" s="99" t="s">
        <v>463</v>
      </c>
      <c r="D120" s="223" t="str">
        <f t="shared" si="2"/>
        <v>PTO184-146-23</v>
      </c>
      <c r="E120" s="195" t="s">
        <v>1684</v>
      </c>
      <c r="F120" s="165" t="e" cm="1">
        <f t="array" aca="1" ref="F120" ca="1">MID(LEFT(#REF!, INDEX(_xlfn._xlws.FILTER(ROW(INDIRECT("1:" &amp; LEN(#REF!))), (48 &lt;= CODE(MID(#REF!, ROW(INDIRECT("1:" &amp; LEN(#REF!))), 1))) * (CODE(MID(#REF!, ROW(INDIRECT("1:" &amp; LEN(#REF!))), 1)) &lt;= 57)), 1) - 1), FIND(":",#REF!) + 2, LEN(#REF!))</f>
        <v>#REF!</v>
      </c>
      <c r="G120" s="227" t="e">
        <f>MID(LEFT(#REF!, FIND(",",#REF!) - 1), FIND("{token}", SUBSTITUTE(#REF!, " ", "{token}", 2)) + 1, LEN(#REF!))</f>
        <v>#REF!</v>
      </c>
      <c r="H120" s="165">
        <v>-2.3199999999999998</v>
      </c>
      <c r="I120" s="260">
        <v>45387</v>
      </c>
      <c r="J120" s="230" t="s">
        <v>34</v>
      </c>
      <c r="K120" s="226">
        <v>45387</v>
      </c>
      <c r="L120" s="165" t="s">
        <v>1562</v>
      </c>
      <c r="M120" s="222">
        <v>184</v>
      </c>
      <c r="N120" s="2" t="str">
        <f t="shared" ca="1" si="3"/>
        <v>CLOSED</v>
      </c>
    </row>
    <row r="121" spans="1:14" ht="30">
      <c r="A121" s="64" t="s">
        <v>185</v>
      </c>
      <c r="B121" s="98">
        <f>VLOOKUP([2]!Table27[[#This Row],[Location 
(drop-down)]],'[2]List source'!D$2:E$59,2,FALSE)</f>
        <v>180</v>
      </c>
      <c r="C121" s="99" t="s">
        <v>942</v>
      </c>
      <c r="D121" s="223" t="str">
        <f t="shared" si="2"/>
        <v>PTO170-180-23</v>
      </c>
      <c r="E121" s="242" t="s">
        <v>1685</v>
      </c>
      <c r="F121" s="245" t="e" cm="1">
        <f t="array" aca="1" ref="F121" ca="1">MID(LEFT(#REF!, INDEX(_xlfn._xlws.FILTER(ROW(INDIRECT("1:" &amp; LEN(#REF!))), (48 &lt;= CODE(MID(#REF!, ROW(INDIRECT("1:" &amp; LEN(#REF!))), 1))) * (CODE(MID(#REF!, ROW(INDIRECT("1:" &amp; LEN(#REF!))), 1)) &lt;= 57)), 1) - 1), FIND(":",#REF!) + 2, LEN(#REF!))</f>
        <v>#REF!</v>
      </c>
      <c r="G121" s="242" t="e">
        <f>MID(LEFT(#REF!, FIND(",",#REF!) - 1), FIND("{token}", SUBSTITUTE(#REF!, " ", "{token}", 2)) + 1, LEN(#REF!))</f>
        <v>#REF!</v>
      </c>
      <c r="H121" s="261" t="s">
        <v>1686</v>
      </c>
      <c r="I121" s="260">
        <v>45387</v>
      </c>
      <c r="J121" s="230" t="s">
        <v>34</v>
      </c>
      <c r="K121" s="226">
        <v>45388</v>
      </c>
      <c r="L121" s="165" t="s">
        <v>1505</v>
      </c>
      <c r="M121" s="222">
        <v>170</v>
      </c>
      <c r="N121" s="2" t="str">
        <f t="shared" ca="1" si="3"/>
        <v>CLOSED</v>
      </c>
    </row>
    <row r="122" spans="1:14" ht="30">
      <c r="A122" s="64" t="s">
        <v>591</v>
      </c>
      <c r="B122" s="98">
        <f>VLOOKUP([2]!Table27[[#This Row],[Location 
(drop-down)]],'[2]List source'!D$2:E$59,2,FALSE)</f>
        <v>191</v>
      </c>
      <c r="C122" s="99" t="s">
        <v>423</v>
      </c>
      <c r="D122" s="223" t="str">
        <f t="shared" si="2"/>
        <v>PTO117-191-23</v>
      </c>
      <c r="E122" s="227" t="s">
        <v>1687</v>
      </c>
      <c r="F122" s="165" t="e" cm="1">
        <f t="array" aca="1" ref="F122" ca="1">MID(LEFT(#REF!, INDEX(_xlfn._xlws.FILTER(ROW(INDIRECT("1:" &amp; LEN(#REF!))), (48 &lt;= CODE(MID(#REF!, ROW(INDIRECT("1:" &amp; LEN(#REF!))), 1))) * (CODE(MID(#REF!, ROW(INDIRECT("1:" &amp; LEN(#REF!))), 1)) &lt;= 57)), 1) - 1), FIND(":",#REF!) + 2, LEN(#REF!))</f>
        <v>#REF!</v>
      </c>
      <c r="G122" s="227" t="e">
        <f>MID(LEFT(#REF!, FIND(",",#REF!) - 1), FIND("{token}", SUBSTITUTE(#REF!, " ", "{token}", 2)) + 1, LEN(#REF!))</f>
        <v>#REF!</v>
      </c>
      <c r="H122" s="165">
        <v>-2.14</v>
      </c>
      <c r="I122" s="230">
        <v>45376</v>
      </c>
      <c r="J122" s="230" t="s">
        <v>29</v>
      </c>
      <c r="K122" s="226">
        <v>45390</v>
      </c>
      <c r="L122" s="165"/>
      <c r="M122" s="222">
        <v>117</v>
      </c>
      <c r="N122" s="2" t="str">
        <f t="shared" ca="1" si="3"/>
        <v>CLOSED</v>
      </c>
    </row>
    <row r="123" spans="1:14" ht="30">
      <c r="A123" s="64" t="s">
        <v>485</v>
      </c>
      <c r="B123" s="98">
        <f>VLOOKUP([2]!Table27[[#This Row],[Location 
(drop-down)]],'[2]List source'!D$2:E$59,2,FALSE)</f>
        <v>180</v>
      </c>
      <c r="C123" s="99" t="s">
        <v>809</v>
      </c>
      <c r="D123" s="223" t="str">
        <f t="shared" si="2"/>
        <v>PTO071-180-23</v>
      </c>
      <c r="E123" s="227" t="s">
        <v>1688</v>
      </c>
      <c r="F123" s="165" t="e" cm="1">
        <f t="array" aca="1" ref="F123" ca="1">MID(LEFT(#REF!, INDEX(_xlfn._xlws.FILTER(ROW(INDIRECT("1:" &amp; LEN(#REF!))), (48 &lt;= CODE(MID(#REF!, ROW(INDIRECT("1:" &amp; LEN(#REF!))), 1))) * (CODE(MID(#REF!, ROW(INDIRECT("1:" &amp; LEN(#REF!))), 1)) &lt;= 57)), 1) - 1), FIND(":",#REF!) + 2, LEN(#REF!))</f>
        <v>#REF!</v>
      </c>
      <c r="G123" s="227" t="e">
        <f>MID(LEFT(#REF!, FIND(",",#REF!) - 1), FIND("{token}", SUBSTITUTE(#REF!, " ", "{token}", 2)) + 1, LEN(#REF!))</f>
        <v>#REF!</v>
      </c>
      <c r="H123" s="165">
        <v>2.3199999999999998</v>
      </c>
      <c r="I123" s="230">
        <v>45307</v>
      </c>
      <c r="J123" s="230" t="s">
        <v>327</v>
      </c>
      <c r="K123" s="226">
        <v>45391</v>
      </c>
      <c r="L123" s="165"/>
      <c r="M123" s="222">
        <v>71</v>
      </c>
      <c r="N123" s="2" t="str">
        <f t="shared" ca="1" si="3"/>
        <v>CLOSED</v>
      </c>
    </row>
    <row r="124" spans="1:14" ht="30">
      <c r="A124" s="64" t="s">
        <v>432</v>
      </c>
      <c r="B124" s="98">
        <f>VLOOKUP([2]!Table27[[#This Row],[Location 
(drop-down)]],'[2]List source'!D$2:E$59,2,FALSE)</f>
        <v>180</v>
      </c>
      <c r="C124" s="99" t="s">
        <v>783</v>
      </c>
      <c r="D124" s="223" t="str">
        <f t="shared" si="2"/>
        <v>PTO157-180-23</v>
      </c>
      <c r="E124" s="227" t="s">
        <v>1689</v>
      </c>
      <c r="F124" s="165" t="e" cm="1">
        <f t="array" aca="1" ref="F124" ca="1">MID(LEFT(#REF!, INDEX(_xlfn._xlws.FILTER(ROW(INDIRECT("1:" &amp; LEN(#REF!))), (48 &lt;= CODE(MID(#REF!, ROW(INDIRECT("1:" &amp; LEN(#REF!))), 1))) * (CODE(MID(#REF!, ROW(INDIRECT("1:" &amp; LEN(#REF!))), 1)) &lt;= 57)), 1) - 1), FIND(":",#REF!) + 2, LEN(#REF!))</f>
        <v>#REF!</v>
      </c>
      <c r="G124" s="190" t="e">
        <f>MID(LEFT(#REF!, FIND(",",#REF!) - 1), FIND("{token}", SUBSTITUTE(#REF!, " ", "{token}", 2)) + 1, LEN(#REF!))</f>
        <v>#REF!</v>
      </c>
      <c r="H124" s="236" t="s">
        <v>1690</v>
      </c>
      <c r="I124" s="256">
        <v>45387</v>
      </c>
      <c r="J124" s="257" t="s">
        <v>34</v>
      </c>
      <c r="K124" s="262">
        <v>45393</v>
      </c>
      <c r="L124" s="165" t="s">
        <v>1505</v>
      </c>
      <c r="M124" s="222">
        <v>157</v>
      </c>
      <c r="N124" s="2" t="str">
        <f t="shared" ca="1" si="3"/>
        <v>CLOSED</v>
      </c>
    </row>
    <row r="125" spans="1:14" ht="30">
      <c r="A125" s="64" t="s">
        <v>125</v>
      </c>
      <c r="B125" s="98">
        <f>VLOOKUP([2]!Table27[[#This Row],[Location 
(drop-down)]],'[2]List source'!D$2:E$59,2,FALSE)</f>
        <v>180</v>
      </c>
      <c r="C125" s="99" t="s">
        <v>785</v>
      </c>
      <c r="D125" s="223" t="str">
        <f t="shared" si="2"/>
        <v>PTO158-180-23</v>
      </c>
      <c r="E125" s="240" t="s">
        <v>1691</v>
      </c>
      <c r="F125" s="2" t="e" cm="1">
        <f t="array" aca="1" ref="F125" ca="1">MID(LEFT(#REF!, INDEX(_xlfn._xlws.FILTER(ROW(INDIRECT("1:" &amp; LEN(#REF!))), (48 &lt;= CODE(MID(#REF!, ROW(INDIRECT("1:" &amp; LEN(#REF!))), 1))) * (CODE(MID(#REF!, ROW(INDIRECT("1:" &amp; LEN(#REF!))), 1)) &lt;= 57)), 1) - 1), FIND(":",#REF!) + 2, LEN(#REF!))</f>
        <v>#REF!</v>
      </c>
      <c r="G125" s="240" t="e">
        <f>MID(LEFT(#REF!, FIND(",",#REF!) - 1), FIND("{token}", SUBSTITUTE(#REF!, " ", "{token}", 2)) + 1, LEN(#REF!))</f>
        <v>#REF!</v>
      </c>
      <c r="H125" s="254" t="s">
        <v>1692</v>
      </c>
      <c r="I125" s="260">
        <v>45387</v>
      </c>
      <c r="J125" s="263" t="s">
        <v>34</v>
      </c>
      <c r="K125" s="258">
        <v>45393</v>
      </c>
      <c r="L125" s="92" t="s">
        <v>1505</v>
      </c>
      <c r="M125" s="191">
        <v>158</v>
      </c>
      <c r="N125" s="2" t="str">
        <f t="shared" ca="1" si="3"/>
        <v>CLOSED</v>
      </c>
    </row>
    <row r="126" spans="1:14" ht="30">
      <c r="A126" s="64" t="s">
        <v>30</v>
      </c>
      <c r="B126" s="98">
        <f>VLOOKUP([2]!Table27[[#This Row],[Location 
(drop-down)]],'[2]List source'!D$2:E$59,2,FALSE)</f>
        <v>210</v>
      </c>
      <c r="C126" s="99" t="s">
        <v>583</v>
      </c>
      <c r="D126" s="223" t="str">
        <f t="shared" si="2"/>
        <v>PTO165-210-23</v>
      </c>
      <c r="E126" s="255" t="s">
        <v>1693</v>
      </c>
      <c r="F126" s="14" t="e" cm="1">
        <f t="array" aca="1" ref="F126" ca="1">MID(LEFT(#REF!, INDEX(_xlfn._xlws.FILTER(ROW(INDIRECT("1:" &amp; LEN(#REF!))), (48 &lt;= CODE(MID(#REF!, ROW(INDIRECT("1:" &amp; LEN(#REF!))), 1))) * (CODE(MID(#REF!, ROW(INDIRECT("1:" &amp; LEN(#REF!))), 1)) &lt;= 57)), 1) - 1), FIND(":",#REF!) + 2, LEN(#REF!))</f>
        <v>#REF!</v>
      </c>
      <c r="G126" s="255" t="e">
        <f>MID(LEFT(#REF!, FIND(",",#REF!) - 1), FIND("{token}", SUBSTITUTE(#REF!, " ", "{token}", 2)) + 1, LEN(#REF!))</f>
        <v>#REF!</v>
      </c>
      <c r="H126" s="264" t="s">
        <v>1694</v>
      </c>
      <c r="I126" s="265">
        <v>45387</v>
      </c>
      <c r="J126" s="266" t="s">
        <v>34</v>
      </c>
      <c r="K126" s="267">
        <v>45393</v>
      </c>
      <c r="L126" s="92" t="s">
        <v>1505</v>
      </c>
      <c r="M126" s="191">
        <v>165</v>
      </c>
      <c r="N126" s="2" t="str">
        <f t="shared" ca="1" si="3"/>
        <v>CLOSED</v>
      </c>
    </row>
    <row r="127" spans="1:14" ht="30">
      <c r="A127" s="64" t="s">
        <v>294</v>
      </c>
      <c r="B127" s="98">
        <f>VLOOKUP([2]!Table27[[#This Row],[Location 
(drop-down)]],'[2]List source'!D$2:E$59,2,FALSE)</f>
        <v>180</v>
      </c>
      <c r="C127" s="99" t="s">
        <v>1229</v>
      </c>
      <c r="D127" s="223" t="str">
        <f t="shared" si="2"/>
        <v>PTO173-180-23</v>
      </c>
      <c r="E127" s="227" t="s">
        <v>1695</v>
      </c>
      <c r="F127" s="165" t="e" cm="1">
        <f t="array" aca="1" ref="F127" ca="1">MID(LEFT(#REF!, INDEX(_xlfn._xlws.FILTER(ROW(INDIRECT("1:" &amp; LEN(#REF!))), (48 &lt;= CODE(MID(#REF!, ROW(INDIRECT("1:" &amp; LEN(#REF!))), 1))) * (CODE(MID(#REF!, ROW(INDIRECT("1:" &amp; LEN(#REF!))), 1)) &lt;= 57)), 1) - 1), FIND(":",#REF!) + 2, LEN(#REF!))</f>
        <v>#REF!</v>
      </c>
      <c r="G127" s="227" t="e">
        <f>MID(LEFT(#REF!, FIND(",",#REF!) - 1), FIND("{token}", SUBSTITUTE(#REF!, " ", "{token}", 2)) + 1, LEN(#REF!))</f>
        <v>#REF!</v>
      </c>
      <c r="H127" s="236" t="s">
        <v>1696</v>
      </c>
      <c r="I127" s="268">
        <v>45387</v>
      </c>
      <c r="J127" s="266" t="s">
        <v>327</v>
      </c>
      <c r="K127" s="269">
        <v>45394</v>
      </c>
      <c r="L127" s="165"/>
      <c r="M127" s="270">
        <v>173</v>
      </c>
      <c r="N127" s="2" t="str">
        <f t="shared" ca="1" si="3"/>
        <v>CLOSED</v>
      </c>
    </row>
    <row r="128" spans="1:14" ht="30">
      <c r="A128" s="64" t="s">
        <v>591</v>
      </c>
      <c r="B128" s="98">
        <f>VLOOKUP([2]!Table27[[#This Row],[Location 
(drop-down)]],'[2]List source'!D$2:E$59,2,FALSE)</f>
        <v>130</v>
      </c>
      <c r="C128" s="99" t="s">
        <v>1155</v>
      </c>
      <c r="D128" s="223" t="str">
        <f t="shared" si="2"/>
        <v>PTO185-130-23</v>
      </c>
      <c r="E128" s="227" t="s">
        <v>1697</v>
      </c>
      <c r="F128" s="165" t="e" cm="1">
        <f t="array" aca="1" ref="F128" ca="1">MID(LEFT(#REF!, INDEX(_xlfn._xlws.FILTER(ROW(INDIRECT("1:" &amp; LEN(#REF!))), (48 &lt;= CODE(MID(#REF!, ROW(INDIRECT("1:" &amp; LEN(#REF!))), 1))) * (CODE(MID(#REF!, ROW(INDIRECT("1:" &amp; LEN(#REF!))), 1)) &lt;= 57)), 1) - 1), FIND(":",#REF!) + 2, LEN(#REF!))</f>
        <v>#REF!</v>
      </c>
      <c r="G128" s="227" t="e">
        <f>MID(LEFT(#REF!, FIND(",",#REF!) - 1), FIND("{token}", SUBSTITUTE(#REF!, " ", "{token}", 2)) + 1, LEN(#REF!))</f>
        <v>#REF!</v>
      </c>
      <c r="H128" s="165">
        <v>-2.17</v>
      </c>
      <c r="I128" s="268">
        <v>45397</v>
      </c>
      <c r="J128" s="266" t="s">
        <v>34</v>
      </c>
      <c r="K128" s="269">
        <v>45397</v>
      </c>
      <c r="L128" s="165" t="s">
        <v>1562</v>
      </c>
      <c r="M128" s="270">
        <v>185</v>
      </c>
      <c r="N128" s="2" t="str">
        <f t="shared" ca="1" si="3"/>
        <v>CLOSED</v>
      </c>
    </row>
    <row r="129" spans="1:14" ht="30">
      <c r="A129" s="64" t="s">
        <v>125</v>
      </c>
      <c r="B129" s="98">
        <f>VLOOKUP([2]!Table27[[#This Row],[Location 
(drop-down)]],'[2]List source'!D$2:E$59,2,FALSE)</f>
        <v>124</v>
      </c>
      <c r="C129" s="99" t="s">
        <v>182</v>
      </c>
      <c r="D129" s="223" t="str">
        <f t="shared" si="2"/>
        <v>PTO186-124-23</v>
      </c>
      <c r="E129" s="227" t="s">
        <v>1698</v>
      </c>
      <c r="F129" s="165" t="e" cm="1">
        <f t="array" aca="1" ref="F129" ca="1">MID(LEFT(#REF!, INDEX(_xlfn._xlws.FILTER(ROW(INDIRECT("1:" &amp; LEN(#REF!))), (48 &lt;= CODE(MID(#REF!, ROW(INDIRECT("1:" &amp; LEN(#REF!))), 1))) * (CODE(MID(#REF!, ROW(INDIRECT("1:" &amp; LEN(#REF!))), 1)) &lt;= 57)), 1) - 1), FIND(":",#REF!) + 2, LEN(#REF!))</f>
        <v>#REF!</v>
      </c>
      <c r="G129" s="227" t="e">
        <f>MID(LEFT(#REF!, FIND(",",#REF!) - 1), FIND("{token}", SUBSTITUTE(#REF!, " ", "{token}", 2)) + 1, LEN(#REF!))</f>
        <v>#REF!</v>
      </c>
      <c r="H129" s="165" t="s">
        <v>1699</v>
      </c>
      <c r="I129" s="260">
        <v>45397</v>
      </c>
      <c r="J129" s="216" t="s">
        <v>34</v>
      </c>
      <c r="K129" s="226">
        <v>45397</v>
      </c>
      <c r="L129" s="165" t="s">
        <v>1562</v>
      </c>
      <c r="M129" s="222">
        <v>186</v>
      </c>
      <c r="N129" s="2" t="str">
        <f t="shared" ca="1" si="3"/>
        <v>CLOSED</v>
      </c>
    </row>
    <row r="130" spans="1:14" ht="30">
      <c r="A130" s="64" t="s">
        <v>125</v>
      </c>
      <c r="B130" s="98">
        <f>VLOOKUP([2]!Table27[[#This Row],[Location 
(drop-down)]],'[2]List source'!D$2:E$59,2,FALSE)</f>
        <v>146</v>
      </c>
      <c r="C130" s="99" t="s">
        <v>65</v>
      </c>
      <c r="D130" s="223" t="str">
        <f t="shared" ref="D130:D193" si="4">"PTO" &amp; C130 &amp; "-" &amp; B130 &amp; "-" &amp; "23"</f>
        <v>PTO187-146-23</v>
      </c>
      <c r="E130" s="227" t="s">
        <v>1700</v>
      </c>
      <c r="F130" s="165" t="e" cm="1">
        <f t="array" aca="1" ref="F130" ca="1">MID(LEFT(#REF!, INDEX(_xlfn._xlws.FILTER(ROW(INDIRECT("1:" &amp; LEN(#REF!))), (48 &lt;= CODE(MID(#REF!, ROW(INDIRECT("1:" &amp; LEN(#REF!))), 1))) * (CODE(MID(#REF!, ROW(INDIRECT("1:" &amp; LEN(#REF!))), 1)) &lt;= 57)), 1) - 1), FIND(":",#REF!) + 2, LEN(#REF!))</f>
        <v>#REF!</v>
      </c>
      <c r="G130" s="227" t="e">
        <f>MID(LEFT(#REF!, FIND(",",#REF!) - 1), FIND("{token}", SUBSTITUTE(#REF!, " ", "{token}", 2)) + 1, LEN(#REF!))</f>
        <v>#REF!</v>
      </c>
      <c r="H130" s="165">
        <v>-6.29</v>
      </c>
      <c r="I130" s="260">
        <v>45397</v>
      </c>
      <c r="J130" s="266" t="s">
        <v>34</v>
      </c>
      <c r="K130" s="269">
        <v>45397</v>
      </c>
      <c r="L130" s="165" t="s">
        <v>1505</v>
      </c>
      <c r="M130" s="270">
        <v>187</v>
      </c>
      <c r="N130" s="2" t="str">
        <f t="shared" ca="1" si="3"/>
        <v>CLOSED</v>
      </c>
    </row>
    <row r="131" spans="1:14" ht="30">
      <c r="A131" s="64" t="s">
        <v>125</v>
      </c>
      <c r="B131" s="98">
        <f>VLOOKUP([2]!Table27[[#This Row],[Location 
(drop-down)]],'[2]List source'!D$2:E$59,2,FALSE)</f>
        <v>210</v>
      </c>
      <c r="C131" s="99" t="s">
        <v>70</v>
      </c>
      <c r="D131" s="223" t="str">
        <f t="shared" si="4"/>
        <v>PTO188-210-23</v>
      </c>
      <c r="E131" s="227" t="s">
        <v>1701</v>
      </c>
      <c r="F131" s="165" t="e" cm="1">
        <f t="array" aca="1" ref="F131" ca="1">MID(LEFT(#REF!, INDEX(_xlfn._xlws.FILTER(ROW(INDIRECT("1:" &amp; LEN(#REF!))), (48 &lt;= CODE(MID(#REF!, ROW(INDIRECT("1:" &amp; LEN(#REF!))), 1))) * (CODE(MID(#REF!, ROW(INDIRECT("1:" &amp; LEN(#REF!))), 1)) &lt;= 57)), 1) - 1), FIND(":",#REF!) + 2, LEN(#REF!))</f>
        <v>#REF!</v>
      </c>
      <c r="G131" s="227" t="e">
        <f>MID(LEFT(#REF!, FIND(",",#REF!) - 1), FIND("{token}", SUBSTITUTE(#REF!, " ", "{token}", 2)) + 1, LEN(#REF!))</f>
        <v>#REF!</v>
      </c>
      <c r="H131" s="165">
        <v>9.6</v>
      </c>
      <c r="I131" s="260">
        <v>45397</v>
      </c>
      <c r="J131" s="266" t="s">
        <v>34</v>
      </c>
      <c r="K131" s="269">
        <v>45397</v>
      </c>
      <c r="L131" s="165" t="s">
        <v>1505</v>
      </c>
      <c r="M131" s="270">
        <v>188</v>
      </c>
      <c r="N131" s="2" t="str">
        <f t="shared" ca="1" si="3"/>
        <v>CLOSED</v>
      </c>
    </row>
    <row r="132" spans="1:14" ht="30">
      <c r="A132" s="64" t="s">
        <v>119</v>
      </c>
      <c r="B132" s="98">
        <f>VLOOKUP([2]!Table27[[#This Row],[Location 
(drop-down)]],'[2]List source'!D$2:E$59,2,FALSE)</f>
        <v>127</v>
      </c>
      <c r="C132" s="99" t="s">
        <v>1702</v>
      </c>
      <c r="D132" s="223" t="str">
        <f t="shared" si="4"/>
        <v>PTO190-127-23</v>
      </c>
      <c r="E132" s="227" t="s">
        <v>1703</v>
      </c>
      <c r="F132" s="165" t="e" cm="1">
        <f t="array" aca="1" ref="F132" ca="1">MID(LEFT(#REF!, INDEX(_xlfn._xlws.FILTER(ROW(INDIRECT("1:" &amp; LEN(#REF!))), (48 &lt;= CODE(MID(#REF!, ROW(INDIRECT("1:" &amp; LEN(#REF!))), 1))) * (CODE(MID(#REF!, ROW(INDIRECT("1:" &amp; LEN(#REF!))), 1)) &lt;= 57)), 1) - 1), FIND(":",#REF!) + 2, LEN(#REF!))</f>
        <v>#REF!</v>
      </c>
      <c r="G132" s="227" t="e">
        <f>MID(LEFT(#REF!, FIND(",",#REF!) - 1), FIND("{token}", SUBSTITUTE(#REF!, " ", "{token}", 2)) + 1, LEN(#REF!))</f>
        <v>#REF!</v>
      </c>
      <c r="H132" s="165">
        <v>-3.87</v>
      </c>
      <c r="I132" s="260">
        <v>45397</v>
      </c>
      <c r="J132" s="266" t="s">
        <v>34</v>
      </c>
      <c r="K132" s="269">
        <v>45397</v>
      </c>
      <c r="L132" s="165" t="s">
        <v>1505</v>
      </c>
      <c r="M132" s="270">
        <v>190</v>
      </c>
      <c r="N132" s="2" t="str">
        <f t="shared" ca="1" si="3"/>
        <v>CLOSED</v>
      </c>
    </row>
    <row r="133" spans="1:14" ht="30">
      <c r="A133" s="64" t="s">
        <v>80</v>
      </c>
      <c r="B133" s="98">
        <f>VLOOKUP([2]!Table27[[#This Row],[Location 
(drop-down)]],'[2]List source'!D$2:E$59,2,FALSE)</f>
        <v>170</v>
      </c>
      <c r="C133" s="99" t="s">
        <v>774</v>
      </c>
      <c r="D133" s="223" t="str">
        <f t="shared" si="4"/>
        <v>PTO192-170-23</v>
      </c>
      <c r="E133" s="227" t="s">
        <v>1704</v>
      </c>
      <c r="F133" s="165" t="e" cm="1">
        <f t="array" aca="1" ref="F133" ca="1">MID(LEFT(#REF!, INDEX(_xlfn._xlws.FILTER(ROW(INDIRECT("1:" &amp; LEN(#REF!))), (48 &lt;= CODE(MID(#REF!, ROW(INDIRECT("1:" &amp; LEN(#REF!))), 1))) * (CODE(MID(#REF!, ROW(INDIRECT("1:" &amp; LEN(#REF!))), 1)) &lt;= 57)), 1) - 1), FIND(":",#REF!) + 2, LEN(#REF!))</f>
        <v>#REF!</v>
      </c>
      <c r="G133" s="227" t="e">
        <f>MID(LEFT(#REF!, FIND(",",#REF!) - 1), FIND("{token}", SUBSTITUTE(#REF!, " ", "{token}", 2)) + 1, LEN(#REF!))</f>
        <v>#REF!</v>
      </c>
      <c r="H133" s="165">
        <v>0</v>
      </c>
      <c r="I133" s="260">
        <v>45397</v>
      </c>
      <c r="J133" s="266" t="s">
        <v>34</v>
      </c>
      <c r="K133" s="269">
        <v>45397</v>
      </c>
      <c r="L133" s="165" t="s">
        <v>1562</v>
      </c>
      <c r="M133" s="270">
        <v>192</v>
      </c>
      <c r="N133" s="2" t="str">
        <f t="shared" ca="1" si="3"/>
        <v>CLOSED</v>
      </c>
    </row>
    <row r="134" spans="1:14" ht="18.75">
      <c r="A134" s="64" t="s">
        <v>314</v>
      </c>
      <c r="B134" s="98">
        <f>VLOOKUP([2]!Table27[[#This Row],[Location 
(drop-down)]],'[2]List source'!D$2:E$59,2,FALSE)</f>
        <v>146</v>
      </c>
      <c r="C134" s="99" t="s">
        <v>1238</v>
      </c>
      <c r="D134" s="223" t="str">
        <f t="shared" si="4"/>
        <v>PTO195-146-23</v>
      </c>
      <c r="E134" s="251" t="s">
        <v>1705</v>
      </c>
      <c r="F134" s="165" t="e" cm="1">
        <f t="array" aca="1" ref="F134" ca="1">MID(LEFT(#REF!, INDEX(_xlfn._xlws.FILTER(ROW(INDIRECT("1:" &amp; LEN(#REF!))), (48 &lt;= CODE(MID(#REF!, ROW(INDIRECT("1:" &amp; LEN(#REF!))), 1))) * (CODE(MID(#REF!, ROW(INDIRECT("1:" &amp; LEN(#REF!))), 1)) &lt;= 57)), 1) - 1), FIND(":",#REF!) + 2, LEN(#REF!))</f>
        <v>#REF!</v>
      </c>
      <c r="G134" s="190" t="e">
        <f>MID(LEFT(#REF!, FIND(",",#REF!) - 1), FIND("{token}", SUBSTITUTE(#REF!, " ", "{token}", 2)) + 1, LEN(#REF!))</f>
        <v>#REF!</v>
      </c>
      <c r="H134" s="236" t="s">
        <v>1706</v>
      </c>
      <c r="I134" s="260">
        <v>45397</v>
      </c>
      <c r="J134" s="266" t="s">
        <v>34</v>
      </c>
      <c r="K134" s="269">
        <v>45397</v>
      </c>
      <c r="L134" s="165" t="s">
        <v>1562</v>
      </c>
      <c r="M134" s="270">
        <v>195</v>
      </c>
      <c r="N134" s="2" t="str">
        <f t="shared" ca="1" si="3"/>
        <v>CLOSED</v>
      </c>
    </row>
    <row r="135" spans="1:14" ht="18.75">
      <c r="A135" s="64" t="s">
        <v>53</v>
      </c>
      <c r="B135" s="98">
        <f>VLOOKUP([2]!Table27[[#This Row],[Location 
(drop-down)]],'[2]List source'!D$2:E$59,2,FALSE)</f>
        <v>120</v>
      </c>
      <c r="C135" s="99" t="s">
        <v>1242</v>
      </c>
      <c r="D135" s="223" t="str">
        <f t="shared" si="4"/>
        <v>PTO197-120-23</v>
      </c>
      <c r="E135" s="227" t="s">
        <v>1707</v>
      </c>
      <c r="F135" s="165" t="e" cm="1">
        <f t="array" aca="1" ref="F135" ca="1">MID(LEFT(#REF!, INDEX(_xlfn._xlws.FILTER(ROW(INDIRECT("1:" &amp; LEN(#REF!))), (48 &lt;= CODE(MID(#REF!, ROW(INDIRECT("1:" &amp; LEN(#REF!))), 1))) * (CODE(MID(#REF!, ROW(INDIRECT("1:" &amp; LEN(#REF!))), 1)) &lt;= 57)), 1) - 1), FIND(":",#REF!) + 2, LEN(#REF!))</f>
        <v>#REF!</v>
      </c>
      <c r="G135" s="200" t="e">
        <f>MID(LEFT(#REF!, FIND(",",#REF!) - 1), FIND("{token}", SUBSTITUTE(#REF!, " ", "{token}", 2)) + 1, LEN(#REF!))</f>
        <v>#REF!</v>
      </c>
      <c r="H135" s="236">
        <v>7.07</v>
      </c>
      <c r="I135" s="260">
        <v>45397</v>
      </c>
      <c r="J135" s="230" t="s">
        <v>34</v>
      </c>
      <c r="K135" s="226">
        <v>45397</v>
      </c>
      <c r="L135" s="165" t="s">
        <v>1505</v>
      </c>
      <c r="M135" s="222">
        <v>197</v>
      </c>
      <c r="N135" s="2" t="str">
        <f t="shared" ca="1" si="3"/>
        <v>CLOSED</v>
      </c>
    </row>
    <row r="136" spans="1:14" ht="30">
      <c r="A136" s="64" t="s">
        <v>73</v>
      </c>
      <c r="B136" s="98">
        <f>VLOOKUP([2]!Table27[[#This Row],[Location 
(drop-down)]],'[2]List source'!D$2:E$59,2,FALSE)</f>
        <v>170</v>
      </c>
      <c r="C136" s="99" t="s">
        <v>1249</v>
      </c>
      <c r="D136" s="223" t="str">
        <f t="shared" si="4"/>
        <v>PTO201-170-23</v>
      </c>
      <c r="E136" s="215" t="s">
        <v>1708</v>
      </c>
      <c r="F136" s="165" t="e" cm="1">
        <f t="array" aca="1" ref="F136" ca="1">MID(LEFT(#REF!, INDEX(_xlfn._xlws.FILTER(ROW(INDIRECT("1:" &amp; LEN(#REF!))), (48 &lt;= CODE(MID(#REF!, ROW(INDIRECT("1:" &amp; LEN(#REF!))), 1))) * (CODE(MID(#REF!, ROW(INDIRECT("1:" &amp; LEN(#REF!))), 1)) &lt;= 57)), 1) - 1), FIND(":",#REF!) + 2, LEN(#REF!))</f>
        <v>#REF!</v>
      </c>
      <c r="G136" s="227" t="e">
        <f>MID(LEFT(#REF!, FIND(",",#REF!) - 1), FIND("{token}", SUBSTITUTE(#REF!, " ", "{token}", 2)) + 1, LEN(#REF!))</f>
        <v>#REF!</v>
      </c>
      <c r="H136" s="165">
        <v>0</v>
      </c>
      <c r="I136" s="260">
        <v>45397</v>
      </c>
      <c r="J136" s="266" t="s">
        <v>34</v>
      </c>
      <c r="K136" s="269">
        <v>45397</v>
      </c>
      <c r="L136" s="165" t="s">
        <v>1505</v>
      </c>
      <c r="M136" s="270">
        <v>201</v>
      </c>
      <c r="N136" s="2" t="str">
        <f t="shared" ca="1" si="3"/>
        <v>CLOSED</v>
      </c>
    </row>
    <row r="137" spans="1:14" ht="30">
      <c r="A137" s="64" t="s">
        <v>485</v>
      </c>
      <c r="B137" s="98">
        <f>VLOOKUP([2]!Table27[[#This Row],[Location 
(drop-down)]],'[2]List source'!D$2:E$59,2,FALSE)</f>
        <v>150</v>
      </c>
      <c r="C137" s="99" t="s">
        <v>702</v>
      </c>
      <c r="D137" s="223" t="str">
        <f t="shared" si="4"/>
        <v>PTO202-150-23</v>
      </c>
      <c r="E137" s="227" t="s">
        <v>1709</v>
      </c>
      <c r="F137" s="165" t="e" cm="1">
        <f t="array" aca="1" ref="F137" ca="1">MID(LEFT(#REF!, INDEX(_xlfn._xlws.FILTER(ROW(INDIRECT("1:" &amp; LEN(#REF!))), (48 &lt;= CODE(MID(#REF!, ROW(INDIRECT("1:" &amp; LEN(#REF!))), 1))) * (CODE(MID(#REF!, ROW(INDIRECT("1:" &amp; LEN(#REF!))), 1)) &lt;= 57)), 1) - 1), FIND(":",#REF!) + 2, LEN(#REF!))</f>
        <v>#REF!</v>
      </c>
      <c r="G137" s="227" t="e">
        <f>MID(LEFT(#REF!, FIND(",",#REF!) - 1), FIND("{token}", SUBSTITUTE(#REF!, " ", "{token}", 2)) + 1, LEN(#REF!))</f>
        <v>#REF!</v>
      </c>
      <c r="H137" s="236" t="s">
        <v>1710</v>
      </c>
      <c r="I137" s="260">
        <v>45397</v>
      </c>
      <c r="J137" s="266" t="s">
        <v>34</v>
      </c>
      <c r="K137" s="269">
        <v>45397</v>
      </c>
      <c r="L137" s="165" t="s">
        <v>1562</v>
      </c>
      <c r="M137" s="270">
        <v>202</v>
      </c>
      <c r="N137" s="2" t="str">
        <f t="shared" ca="1" si="3"/>
        <v>CLOSED</v>
      </c>
    </row>
    <row r="138" spans="1:14" ht="30">
      <c r="A138" s="64" t="s">
        <v>485</v>
      </c>
      <c r="B138" s="98">
        <f>VLOOKUP([2]!Table27[[#This Row],[Location 
(drop-down)]],'[2]List source'!D$2:E$59,2,FALSE)</f>
        <v>160</v>
      </c>
      <c r="C138" s="99" t="s">
        <v>712</v>
      </c>
      <c r="D138" s="223" t="str">
        <f t="shared" si="4"/>
        <v>PTO205-160-23</v>
      </c>
      <c r="E138" s="227" t="s">
        <v>1697</v>
      </c>
      <c r="F138" s="165" t="e" cm="1">
        <f t="array" aca="1" ref="F138" ca="1">MID(LEFT(#REF!, INDEX(_xlfn._xlws.FILTER(ROW(INDIRECT("1:" &amp; LEN(#REF!))), (48 &lt;= CODE(MID(#REF!, ROW(INDIRECT("1:" &amp; LEN(#REF!))), 1))) * (CODE(MID(#REF!, ROW(INDIRECT("1:" &amp; LEN(#REF!))), 1)) &lt;= 57)), 1) - 1), FIND(":",#REF!) + 2, LEN(#REF!))</f>
        <v>#REF!</v>
      </c>
      <c r="G138" s="227" t="e">
        <f>MID(LEFT(#REF!, FIND(",",#REF!) - 1), FIND("{token}", SUBSTITUTE(#REF!, " ", "{token}", 2)) + 1, LEN(#REF!))</f>
        <v>#REF!</v>
      </c>
      <c r="H138" s="236">
        <v>2.11</v>
      </c>
      <c r="I138" s="260">
        <v>45397</v>
      </c>
      <c r="J138" s="266" t="s">
        <v>34</v>
      </c>
      <c r="K138" s="269">
        <v>45397</v>
      </c>
      <c r="L138" s="165" t="s">
        <v>1562</v>
      </c>
      <c r="M138" s="270">
        <v>205</v>
      </c>
      <c r="N138" s="2" t="str">
        <f t="shared" ca="1" si="3"/>
        <v>CLOSED</v>
      </c>
    </row>
    <row r="139" spans="1:14" ht="30">
      <c r="A139" s="64" t="s">
        <v>202</v>
      </c>
      <c r="B139" s="98">
        <f>VLOOKUP([2]!Table27[[#This Row],[Location 
(drop-down)]],'[2]List source'!D$2:E$59,2,FALSE)</f>
        <v>170</v>
      </c>
      <c r="C139" s="99" t="s">
        <v>1373</v>
      </c>
      <c r="D139" s="223" t="str">
        <f t="shared" si="4"/>
        <v>PTO208-170-23</v>
      </c>
      <c r="E139" s="227" t="s">
        <v>1711</v>
      </c>
      <c r="F139" s="165" t="e" cm="1">
        <f t="array" aca="1" ref="F139" ca="1">MID(LEFT(#REF!, INDEX(_xlfn._xlws.FILTER(ROW(INDIRECT("1:" &amp; LEN(#REF!))), (48 &lt;= CODE(MID(#REF!, ROW(INDIRECT("1:" &amp; LEN(#REF!))), 1))) * (CODE(MID(#REF!, ROW(INDIRECT("1:" &amp; LEN(#REF!))), 1)) &lt;= 57)), 1) - 1), FIND(":",#REF!) + 2, LEN(#REF!))</f>
        <v>#REF!</v>
      </c>
      <c r="G139" s="227" t="e">
        <f>MID(LEFT(#REF!, FIND(",",#REF!) - 1), FIND("{token}", SUBSTITUTE(#REF!, " ", "{token}", 2)) + 1, LEN(#REF!))</f>
        <v>#REF!</v>
      </c>
      <c r="H139" s="165">
        <v>2.56</v>
      </c>
      <c r="I139" s="260">
        <v>45397</v>
      </c>
      <c r="J139" s="230" t="s">
        <v>34</v>
      </c>
      <c r="K139" s="226">
        <v>45397</v>
      </c>
      <c r="L139" s="165" t="s">
        <v>1562</v>
      </c>
      <c r="M139" s="191">
        <v>208</v>
      </c>
      <c r="N139" s="2" t="str">
        <f t="shared" ca="1" si="3"/>
        <v>CLOSED</v>
      </c>
    </row>
    <row r="140" spans="1:14" ht="30">
      <c r="A140" s="64" t="s">
        <v>202</v>
      </c>
      <c r="B140" s="98">
        <f>VLOOKUP([2]!Table27[[#This Row],[Location 
(drop-down)]],'[2]List source'!D$2:E$59,2,FALSE)</f>
        <v>155</v>
      </c>
      <c r="C140" s="99" t="s">
        <v>1374</v>
      </c>
      <c r="D140" s="223" t="str">
        <f t="shared" si="4"/>
        <v>PTO209-155-23</v>
      </c>
      <c r="E140" s="227" t="s">
        <v>1712</v>
      </c>
      <c r="F140" s="165" t="e" cm="1">
        <f t="array" aca="1" ref="F140" ca="1">MID(LEFT(#REF!, INDEX(_xlfn._xlws.FILTER(ROW(INDIRECT("1:" &amp; LEN(#REF!))), (48 &lt;= CODE(MID(#REF!, ROW(INDIRECT("1:" &amp; LEN(#REF!))), 1))) * (CODE(MID(#REF!, ROW(INDIRECT("1:" &amp; LEN(#REF!))), 1)) &lt;= 57)), 1) - 1), FIND(":",#REF!) + 2, LEN(#REF!))</f>
        <v>#REF!</v>
      </c>
      <c r="G140" s="227" t="e">
        <f>MID(LEFT(#REF!, FIND(",",#REF!) - 1), FIND("{token}", SUBSTITUTE(#REF!, " ", "{token}", 2)) + 1, LEN(#REF!))</f>
        <v>#REF!</v>
      </c>
      <c r="H140" s="236" t="s">
        <v>1713</v>
      </c>
      <c r="I140" s="260">
        <v>45397</v>
      </c>
      <c r="J140" s="230" t="s">
        <v>34</v>
      </c>
      <c r="K140" s="226">
        <v>45397</v>
      </c>
      <c r="L140" s="165" t="s">
        <v>1562</v>
      </c>
      <c r="M140" s="222">
        <v>209</v>
      </c>
      <c r="N140" s="2" t="str">
        <f t="shared" ca="1" si="3"/>
        <v>CLOSED</v>
      </c>
    </row>
    <row r="141" spans="1:14" ht="30">
      <c r="A141" s="64" t="s">
        <v>495</v>
      </c>
      <c r="B141" s="98">
        <f>VLOOKUP([2]!Table27[[#This Row],[Location 
(drop-down)]],'[2]List source'!D$2:E$59,2,FALSE)</f>
        <v>115</v>
      </c>
      <c r="C141" s="99" t="s">
        <v>959</v>
      </c>
      <c r="D141" s="223" t="str">
        <f t="shared" si="4"/>
        <v>PTO210-115-23</v>
      </c>
      <c r="E141" s="227" t="s">
        <v>1714</v>
      </c>
      <c r="F141" s="165" t="e" cm="1">
        <f t="array" aca="1" ref="F141" ca="1">MID(LEFT(#REF!, INDEX(_xlfn._xlws.FILTER(ROW(INDIRECT("1:" &amp; LEN(#REF!))), (48 &lt;= CODE(MID(#REF!, ROW(INDIRECT("1:" &amp; LEN(#REF!))), 1))) * (CODE(MID(#REF!, ROW(INDIRECT("1:" &amp; LEN(#REF!))), 1)) &lt;= 57)), 1) - 1), FIND(":",#REF!) + 2, LEN(#REF!))</f>
        <v>#REF!</v>
      </c>
      <c r="G141" s="227" t="e">
        <f>MID(LEFT(#REF!, FIND(",",#REF!) - 1), FIND("{token}", SUBSTITUTE(#REF!, " ", "{token}", 2)) + 1, LEN(#REF!))</f>
        <v>#REF!</v>
      </c>
      <c r="H141" s="165">
        <v>-145.61000000000001</v>
      </c>
      <c r="I141" s="260">
        <v>45397</v>
      </c>
      <c r="J141" s="230" t="s">
        <v>34</v>
      </c>
      <c r="K141" s="226">
        <v>45397</v>
      </c>
      <c r="L141" s="165" t="s">
        <v>1505</v>
      </c>
      <c r="M141" s="222">
        <v>210</v>
      </c>
      <c r="N141" s="2" t="str">
        <f t="shared" ca="1" si="3"/>
        <v>CLOSED</v>
      </c>
    </row>
    <row r="142" spans="1:14" ht="18.75">
      <c r="A142" s="64" t="s">
        <v>43</v>
      </c>
      <c r="B142" s="98">
        <f>VLOOKUP([2]!Table27[[#This Row],[Location 
(drop-down)]],'[2]List source'!D$2:E$59,2,FALSE)</f>
        <v>115</v>
      </c>
      <c r="C142" s="99" t="s">
        <v>991</v>
      </c>
      <c r="D142" s="223" t="str">
        <f t="shared" si="4"/>
        <v>PTO211-115-23</v>
      </c>
      <c r="E142" s="271" t="s">
        <v>1715</v>
      </c>
      <c r="F142" s="272" t="e" cm="1">
        <f t="array" aca="1" ref="F142" ca="1">MID(LEFT(#REF!, INDEX(_xlfn._xlws.FILTER(ROW(INDIRECT("1:" &amp; LEN(#REF!))), (48 &lt;= CODE(MID(#REF!, ROW(INDIRECT("1:" &amp; LEN(#REF!))), 1))) * (CODE(MID(#REF!, ROW(INDIRECT("1:" &amp; LEN(#REF!))), 1)) &lt;= 57)), 1) - 1), FIND(":",#REF!) + 2, LEN(#REF!))</f>
        <v>#REF!</v>
      </c>
      <c r="G142" s="271" t="e">
        <f>MID(LEFT(#REF!, FIND(",",#REF!) - 1), FIND("{token}", SUBSTITUTE(#REF!, " ", "{token}", 2)) + 1, LEN(#REF!))</f>
        <v>#REF!</v>
      </c>
      <c r="H142" s="272" t="s">
        <v>1716</v>
      </c>
      <c r="I142" s="260">
        <v>45397</v>
      </c>
      <c r="J142" s="230" t="s">
        <v>34</v>
      </c>
      <c r="K142" s="226">
        <v>45397</v>
      </c>
      <c r="L142" s="165" t="s">
        <v>1562</v>
      </c>
      <c r="M142" s="222">
        <v>211</v>
      </c>
      <c r="N142" s="2" t="str">
        <f t="shared" ca="1" si="3"/>
        <v>CLOSED</v>
      </c>
    </row>
    <row r="143" spans="1:14" ht="18.75">
      <c r="A143" s="64" t="s">
        <v>43</v>
      </c>
      <c r="B143" s="98">
        <f>VLOOKUP([2]!Table27[[#This Row],[Location 
(drop-down)]],'[2]List source'!D$2:E$59,2,FALSE)</f>
        <v>115</v>
      </c>
      <c r="C143" s="99" t="s">
        <v>725</v>
      </c>
      <c r="D143" s="223" t="str">
        <f t="shared" si="4"/>
        <v>PTO212-115-23</v>
      </c>
      <c r="E143" s="227" t="s">
        <v>1717</v>
      </c>
      <c r="F143" s="165" t="e" cm="1">
        <f t="array" aca="1" ref="F143" ca="1">MID(LEFT(#REF!, INDEX(_xlfn._xlws.FILTER(ROW(INDIRECT("1:" &amp; LEN(#REF!))), (48 &lt;= CODE(MID(#REF!, ROW(INDIRECT("1:" &amp; LEN(#REF!))), 1))) * (CODE(MID(#REF!, ROW(INDIRECT("1:" &amp; LEN(#REF!))), 1)) &lt;= 57)), 1) - 1), FIND(":",#REF!) + 2, LEN(#REF!))</f>
        <v>#REF!</v>
      </c>
      <c r="G143" s="227" t="e">
        <f>MID(LEFT(#REF!, FIND(",",#REF!) - 1), FIND("{token}", SUBSTITUTE(#REF!, " ", "{token}", 2)) + 1, LEN(#REF!))</f>
        <v>#REF!</v>
      </c>
      <c r="H143" s="236" t="s">
        <v>1718</v>
      </c>
      <c r="I143" s="260">
        <v>45397</v>
      </c>
      <c r="J143" s="230" t="s">
        <v>34</v>
      </c>
      <c r="K143" s="226">
        <v>45397</v>
      </c>
      <c r="L143" s="165" t="s">
        <v>1505</v>
      </c>
      <c r="M143" s="222">
        <v>212</v>
      </c>
      <c r="N143" s="2" t="str">
        <f t="shared" ca="1" si="3"/>
        <v>CLOSED</v>
      </c>
    </row>
    <row r="144" spans="1:14" ht="18.75">
      <c r="A144" s="64" t="s">
        <v>43</v>
      </c>
      <c r="B144" s="98">
        <f>VLOOKUP([2]!Table27[[#This Row],[Location 
(drop-down)]],'[2]List source'!D$2:E$59,2,FALSE)</f>
        <v>115</v>
      </c>
      <c r="C144" s="99" t="s">
        <v>706</v>
      </c>
      <c r="D144" s="223" t="str">
        <f t="shared" si="4"/>
        <v>PTO213-115-23</v>
      </c>
      <c r="E144" s="227" t="s">
        <v>1719</v>
      </c>
      <c r="F144" s="165" t="e" cm="1">
        <f t="array" aca="1" ref="F144" ca="1">MID(LEFT(#REF!, INDEX(_xlfn._xlws.FILTER(ROW(INDIRECT("1:" &amp; LEN(#REF!))), (48 &lt;= CODE(MID(#REF!, ROW(INDIRECT("1:" &amp; LEN(#REF!))), 1))) * (CODE(MID(#REF!, ROW(INDIRECT("1:" &amp; LEN(#REF!))), 1)) &lt;= 57)), 1) - 1), FIND(":",#REF!) + 2, LEN(#REF!))</f>
        <v>#REF!</v>
      </c>
      <c r="G144" s="190" t="e">
        <f>MID(LEFT(#REF!, FIND(",",#REF!) - 1), FIND("{token}", SUBSTITUTE(#REF!, " ", "{token}", 2)) + 1, LEN(#REF!))</f>
        <v>#REF!</v>
      </c>
      <c r="H144" s="165">
        <v>2.2000000000000002</v>
      </c>
      <c r="I144" s="260">
        <v>45397</v>
      </c>
      <c r="J144" s="230" t="s">
        <v>34</v>
      </c>
      <c r="K144" s="226">
        <v>45397</v>
      </c>
      <c r="L144" s="165" t="s">
        <v>1562</v>
      </c>
      <c r="M144" s="222">
        <v>213</v>
      </c>
      <c r="N144" s="2" t="str">
        <f t="shared" ca="1" si="3"/>
        <v>CLOSED</v>
      </c>
    </row>
    <row r="145" spans="1:14" ht="18.75">
      <c r="A145" s="64" t="s">
        <v>462</v>
      </c>
      <c r="B145" s="98">
        <f>VLOOKUP([2]!Table27[[#This Row],[Location 
(drop-down)]],'[2]List source'!D$2:E$59,2,FALSE)</f>
        <v>136</v>
      </c>
      <c r="C145" s="99" t="s">
        <v>607</v>
      </c>
      <c r="D145" s="223" t="str">
        <f t="shared" si="4"/>
        <v>PTO030-136-23</v>
      </c>
      <c r="E145" s="227" t="s">
        <v>1720</v>
      </c>
      <c r="F145" s="165" t="e" cm="1">
        <f t="array" aca="1" ref="F145" ca="1">MID(LEFT(#REF!, INDEX(_xlfn._xlws.FILTER(ROW(INDIRECT("1:" &amp; LEN(#REF!))), (48 &lt;= CODE(MID(#REF!, ROW(INDIRECT("1:" &amp; LEN(#REF!))), 1))) * (CODE(MID(#REF!, ROW(INDIRECT("1:" &amp; LEN(#REF!))), 1)) &lt;= 57)), 1) - 1), FIND(":",#REF!) + 2, LEN(#REF!))</f>
        <v>#REF!</v>
      </c>
      <c r="G145" s="227" t="e">
        <f>MID(LEFT(#REF!, FIND(",",#REF!) - 1), FIND("{token}", SUBSTITUTE(#REF!, " ", "{token}", 2)) + 1, LEN(#REF!))</f>
        <v>#REF!</v>
      </c>
      <c r="H145" s="165" t="s">
        <v>1721</v>
      </c>
      <c r="I145" s="230">
        <v>45306</v>
      </c>
      <c r="J145" s="230" t="s">
        <v>108</v>
      </c>
      <c r="K145" s="226">
        <v>45401</v>
      </c>
      <c r="L145" s="165"/>
      <c r="M145" s="222">
        <v>30</v>
      </c>
      <c r="N145" s="2" t="str">
        <f t="shared" ca="1" si="3"/>
        <v>CLOSED</v>
      </c>
    </row>
    <row r="146" spans="1:14" ht="30">
      <c r="A146" s="64" t="s">
        <v>500</v>
      </c>
      <c r="B146" s="98">
        <f>VLOOKUP([2]!Table27[[#This Row],[Location 
(drop-down)]],'[2]List source'!D$2:E$59,2,FALSE)</f>
        <v>146</v>
      </c>
      <c r="C146" s="99" t="s">
        <v>361</v>
      </c>
      <c r="D146" s="223" t="str">
        <f t="shared" si="4"/>
        <v>PTO131-146-23</v>
      </c>
      <c r="E146" s="240" t="s">
        <v>1722</v>
      </c>
      <c r="F146" s="2" t="e" cm="1">
        <f t="array" aca="1" ref="F146" ca="1">MID(LEFT(#REF!, INDEX(_xlfn._xlws.FILTER(ROW(INDIRECT("1:" &amp; LEN(#REF!))), (48 &lt;= CODE(MID(#REF!, ROW(INDIRECT("1:" &amp; LEN(#REF!))), 1))) * (CODE(MID(#REF!, ROW(INDIRECT("1:" &amp; LEN(#REF!))), 1)) &lt;= 57)), 1) - 1), FIND(":",#REF!) + 2, LEN(#REF!))</f>
        <v>#REF!</v>
      </c>
      <c r="G146" s="273" t="e">
        <f>MID(LEFT(#REF!, FIND(",",#REF!) - 1), FIND("{token}", SUBSTITUTE(#REF!, " ", "{token}", 2)) + 1, LEN(#REF!))</f>
        <v>#REF!</v>
      </c>
      <c r="H146" s="2">
        <v>2.4500000000000002</v>
      </c>
      <c r="I146" s="230">
        <v>45376</v>
      </c>
      <c r="J146" s="230" t="s">
        <v>34</v>
      </c>
      <c r="K146" s="226">
        <v>45405</v>
      </c>
      <c r="L146" s="165" t="s">
        <v>1505</v>
      </c>
      <c r="M146" s="222">
        <v>131</v>
      </c>
      <c r="N146" s="2" t="str">
        <f t="shared" ca="1" si="3"/>
        <v>CLOSED</v>
      </c>
    </row>
    <row r="147" spans="1:14" ht="30">
      <c r="A147" s="64" t="s">
        <v>500</v>
      </c>
      <c r="B147" s="98">
        <f>VLOOKUP([2]!Table27[[#This Row],[Location 
(drop-down)]],'[2]List source'!D$2:E$59,2,FALSE)</f>
        <v>170</v>
      </c>
      <c r="C147" s="99" t="s">
        <v>1193</v>
      </c>
      <c r="D147" s="223" t="str">
        <f t="shared" si="4"/>
        <v>PTO101-170-23</v>
      </c>
      <c r="E147" s="227" t="s">
        <v>1723</v>
      </c>
      <c r="F147" s="165" t="e" cm="1">
        <f t="array" aca="1" ref="F147" ca="1">MID(LEFT(#REF!, INDEX(_xlfn._xlws.FILTER(ROW(INDIRECT("1:" &amp; LEN(#REF!))), (48 &lt;= CODE(MID(#REF!, ROW(INDIRECT("1:" &amp; LEN(#REF!))), 1))) * (CODE(MID(#REF!, ROW(INDIRECT("1:" &amp; LEN(#REF!))), 1)) &lt;= 57)), 1) - 1), FIND(":",#REF!) + 2, LEN(#REF!))</f>
        <v>#REF!</v>
      </c>
      <c r="G147" s="118" t="e">
        <f>MID(LEFT(#REF!, FIND(",",#REF!) - 1), FIND("{token}", SUBSTITUTE(#REF!, " ", "{token}", 2)) + 1, LEN(#REF!))</f>
        <v>#REF!</v>
      </c>
      <c r="H147" s="165">
        <v>2.27</v>
      </c>
      <c r="I147" s="230">
        <v>45327</v>
      </c>
      <c r="J147" s="230" t="s">
        <v>1619</v>
      </c>
      <c r="K147" s="226">
        <v>45406</v>
      </c>
      <c r="L147" s="165"/>
      <c r="M147" s="222">
        <v>101</v>
      </c>
      <c r="N147" s="2" t="str">
        <f t="shared" ca="1" si="3"/>
        <v>CLOSED</v>
      </c>
    </row>
    <row r="148" spans="1:14" ht="30">
      <c r="A148" s="64" t="s">
        <v>500</v>
      </c>
      <c r="B148" s="98">
        <f>VLOOKUP([2]!Table27[[#This Row],[Location 
(drop-down)]],'[2]List source'!D$2:E$59,2,FALSE)</f>
        <v>191</v>
      </c>
      <c r="C148" s="99" t="s">
        <v>486</v>
      </c>
      <c r="D148" s="223" t="str">
        <f t="shared" si="4"/>
        <v>PTO132-191-23</v>
      </c>
      <c r="E148" s="227" t="s">
        <v>1724</v>
      </c>
      <c r="F148" s="165" t="e" cm="1">
        <f t="array" aca="1" ref="F148" ca="1">MID(LEFT(#REF!, INDEX(_xlfn._xlws.FILTER(ROW(INDIRECT("1:" &amp; LEN(#REF!))), (48 &lt;= CODE(MID(#REF!, ROW(INDIRECT("1:" &amp; LEN(#REF!))), 1))) * (CODE(MID(#REF!, ROW(INDIRECT("1:" &amp; LEN(#REF!))), 1)) &lt;= 57)), 1) - 1), FIND(":",#REF!) + 2, LEN(#REF!))</f>
        <v>#REF!</v>
      </c>
      <c r="G148" s="227" t="e">
        <f>MID(LEFT(#REF!, FIND(",",#REF!) - 1), FIND("{token}", SUBSTITUTE(#REF!, " ", "{token}", 2)) + 1, LEN(#REF!))</f>
        <v>#REF!</v>
      </c>
      <c r="H148" s="236" t="s">
        <v>1725</v>
      </c>
      <c r="I148" s="230">
        <v>45376</v>
      </c>
      <c r="J148" s="230" t="s">
        <v>1619</v>
      </c>
      <c r="K148" s="226">
        <v>45406</v>
      </c>
      <c r="L148" s="165"/>
      <c r="M148" s="222">
        <v>132</v>
      </c>
      <c r="N148" s="2" t="str">
        <f t="shared" ca="1" si="3"/>
        <v>CLOSED</v>
      </c>
    </row>
    <row r="149" spans="1:14" ht="18.75">
      <c r="A149" s="64" t="s">
        <v>156</v>
      </c>
      <c r="B149" s="98">
        <f>VLOOKUP([2]!Table27[[#This Row],[Location 
(drop-down)]],'[2]List source'!D$2:E$59,2,FALSE)</f>
        <v>198</v>
      </c>
      <c r="C149" s="99" t="s">
        <v>707</v>
      </c>
      <c r="D149" s="223" t="str">
        <f t="shared" si="4"/>
        <v>PTO215-198-23</v>
      </c>
      <c r="E149" s="227" t="s">
        <v>1726</v>
      </c>
      <c r="F149" s="165" t="e" cm="1">
        <f t="array" aca="1" ref="F149" ca="1">MID(LEFT(#REF!, INDEX(_xlfn._xlws.FILTER(ROW(INDIRECT("1:" &amp; LEN(#REF!))), (48 &lt;= CODE(MID(#REF!, ROW(INDIRECT("1:" &amp; LEN(#REF!))), 1))) * (CODE(MID(#REF!, ROW(INDIRECT("1:" &amp; LEN(#REF!))), 1)) &lt;= 57)), 1) - 1), FIND(":",#REF!) + 2, LEN(#REF!))</f>
        <v>#REF!</v>
      </c>
      <c r="G149" s="227" t="e">
        <f>MID(LEFT(#REF!, FIND(",",#REF!) - 1), FIND("{token}", SUBSTITUTE(#REF!, " ", "{token}", 2)) + 1, LEN(#REF!))</f>
        <v>#REF!</v>
      </c>
      <c r="H149" s="236" t="s">
        <v>1727</v>
      </c>
      <c r="I149" s="260">
        <v>45406</v>
      </c>
      <c r="J149" s="230" t="s">
        <v>34</v>
      </c>
      <c r="K149" s="226">
        <v>45406</v>
      </c>
      <c r="L149" s="165" t="s">
        <v>1505</v>
      </c>
      <c r="M149" s="222">
        <v>215</v>
      </c>
      <c r="N149" s="2" t="str">
        <f t="shared" ca="1" si="3"/>
        <v>CLOSED</v>
      </c>
    </row>
    <row r="150" spans="1:14" ht="30">
      <c r="A150" s="64" t="s">
        <v>125</v>
      </c>
      <c r="B150" s="98">
        <f>VLOOKUP([2]!Table27[[#This Row],[Location 
(drop-down)]],'[2]List source'!D$2:E$59,2,FALSE)</f>
        <v>198</v>
      </c>
      <c r="C150" s="99" t="s">
        <v>660</v>
      </c>
      <c r="D150" s="223" t="str">
        <f t="shared" si="4"/>
        <v>PTO217-198-23</v>
      </c>
      <c r="E150" s="227" t="s">
        <v>1728</v>
      </c>
      <c r="F150" s="165" t="e" cm="1">
        <f t="array" aca="1" ref="F150" ca="1">MID(LEFT(#REF!, INDEX(_xlfn._xlws.FILTER(ROW(INDIRECT("1:" &amp; LEN(#REF!))), (48 &lt;= CODE(MID(#REF!, ROW(INDIRECT("1:" &amp; LEN(#REF!))), 1))) * (CODE(MID(#REF!, ROW(INDIRECT("1:" &amp; LEN(#REF!))), 1)) &lt;= 57)), 1) - 1), FIND(":",#REF!) + 2, LEN(#REF!))</f>
        <v>#REF!</v>
      </c>
      <c r="G150" s="227" t="e">
        <f>MID(LEFT(#REF!, FIND(",",#REF!) - 1), FIND("{token}", SUBSTITUTE(#REF!, " ", "{token}", 2)) + 1, LEN(#REF!))</f>
        <v>#REF!</v>
      </c>
      <c r="H150" s="165">
        <v>2.1</v>
      </c>
      <c r="I150" s="260">
        <v>45406</v>
      </c>
      <c r="J150" s="230" t="s">
        <v>34</v>
      </c>
      <c r="K150" s="226">
        <v>45406</v>
      </c>
      <c r="L150" s="204" t="s">
        <v>1671</v>
      </c>
      <c r="M150" s="222">
        <v>217</v>
      </c>
      <c r="N150" s="2" t="str">
        <f t="shared" ca="1" si="3"/>
        <v>CLOSED</v>
      </c>
    </row>
    <row r="151" spans="1:14" ht="30">
      <c r="A151" s="64" t="s">
        <v>119</v>
      </c>
      <c r="B151" s="98">
        <f>VLOOKUP([2]!Table27[[#This Row],[Location 
(drop-down)]],'[2]List source'!D$2:E$59,2,FALSE)</f>
        <v>198</v>
      </c>
      <c r="C151" s="99" t="s">
        <v>709</v>
      </c>
      <c r="D151" s="223" t="str">
        <f t="shared" si="4"/>
        <v>PTO220-198-23</v>
      </c>
      <c r="E151" s="227" t="s">
        <v>1729</v>
      </c>
      <c r="F151" s="165" t="e" cm="1">
        <f t="array" aca="1" ref="F151" ca="1">MID(LEFT(#REF!, INDEX(_xlfn._xlws.FILTER(ROW(INDIRECT("1:" &amp; LEN(#REF!))), (48 &lt;= CODE(MID(#REF!, ROW(INDIRECT("1:" &amp; LEN(#REF!))), 1))) * (CODE(MID(#REF!, ROW(INDIRECT("1:" &amp; LEN(#REF!))), 1)) &lt;= 57)), 1) - 1), FIND(":",#REF!) + 2, LEN(#REF!))</f>
        <v>#REF!</v>
      </c>
      <c r="G151" s="227" t="e">
        <f>MID(LEFT(#REF!, FIND(",",#REF!) - 1), FIND("{token}", SUBSTITUTE(#REF!, " ", "{token}", 2)) + 1, LEN(#REF!))</f>
        <v>#REF!</v>
      </c>
      <c r="H151" s="165" t="s">
        <v>1730</v>
      </c>
      <c r="I151" s="260">
        <v>45406</v>
      </c>
      <c r="J151" s="230" t="s">
        <v>34</v>
      </c>
      <c r="K151" s="226">
        <v>45406</v>
      </c>
      <c r="L151" s="204" t="s">
        <v>1671</v>
      </c>
      <c r="M151" s="222">
        <v>220</v>
      </c>
      <c r="N151" s="2" t="str">
        <f t="shared" ca="1" si="3"/>
        <v>CLOSED</v>
      </c>
    </row>
    <row r="152" spans="1:14" ht="18.75">
      <c r="A152" s="64" t="s">
        <v>167</v>
      </c>
      <c r="B152" s="98">
        <f>VLOOKUP([2]!Table27[[#This Row],[Location 
(drop-down)]],'[2]List source'!D$2:E$59,2,FALSE)</f>
        <v>130</v>
      </c>
      <c r="C152" s="99" t="s">
        <v>664</v>
      </c>
      <c r="D152" s="223" t="str">
        <f t="shared" si="4"/>
        <v>PTO221-130-23</v>
      </c>
      <c r="E152" s="227" t="s">
        <v>1731</v>
      </c>
      <c r="F152" s="165" t="e" cm="1">
        <f t="array" aca="1" ref="F152" ca="1">MID(LEFT(#REF!, INDEX(_xlfn._xlws.FILTER(ROW(INDIRECT("1:" &amp; LEN(#REF!))), (48 &lt;= CODE(MID(#REF!, ROW(INDIRECT("1:" &amp; LEN(#REF!))), 1))) * (CODE(MID(#REF!, ROW(INDIRECT("1:" &amp; LEN(#REF!))), 1)) &lt;= 57)), 1) - 1), FIND(":",#REF!) + 2, LEN(#REF!))</f>
        <v>#REF!</v>
      </c>
      <c r="G152" s="190" t="e">
        <f>MID(LEFT(#REF!, FIND(",",#REF!) - 1), FIND("{token}", SUBSTITUTE(#REF!, " ", "{token}", 2)) + 1, LEN(#REF!))</f>
        <v>#REF!</v>
      </c>
      <c r="H152" s="165">
        <v>2.13</v>
      </c>
      <c r="I152" s="260">
        <v>45406</v>
      </c>
      <c r="J152" s="230" t="s">
        <v>34</v>
      </c>
      <c r="K152" s="226">
        <v>45406</v>
      </c>
      <c r="L152" s="204" t="s">
        <v>1671</v>
      </c>
      <c r="M152" s="222">
        <v>221</v>
      </c>
      <c r="N152" s="2" t="str">
        <f t="shared" ref="N152:N215" ca="1" si="5">IF(ISBLANK(K152), TODAY()-(I152), "CLOSED")</f>
        <v>CLOSED</v>
      </c>
    </row>
    <row r="153" spans="1:14" ht="30">
      <c r="A153" s="64" t="s">
        <v>294</v>
      </c>
      <c r="B153" s="98">
        <f>VLOOKUP([2]!Table27[[#This Row],[Location 
(drop-down)]],'[2]List source'!D$2:E$59,2,FALSE)</f>
        <v>132</v>
      </c>
      <c r="C153" s="99" t="s">
        <v>666</v>
      </c>
      <c r="D153" s="223" t="str">
        <f t="shared" si="4"/>
        <v>PTO222-132-23</v>
      </c>
      <c r="E153" s="251" t="s">
        <v>1732</v>
      </c>
      <c r="F153" s="274" t="e" cm="1">
        <f t="array" aca="1" ref="F153" ca="1">MID(LEFT(#REF!, INDEX(_xlfn._xlws.FILTER(ROW(INDIRECT("1:" &amp; LEN(#REF!))), (48 &lt;= CODE(MID(#REF!, ROW(INDIRECT("1:" &amp; LEN(#REF!))), 1))) * (CODE(MID(#REF!, ROW(INDIRECT("1:" &amp; LEN(#REF!))), 1)) &lt;= 57)), 1) - 1), FIND(":",#REF!) + 2, LEN(#REF!))</f>
        <v>#REF!</v>
      </c>
      <c r="G153" s="251" t="e">
        <f>MID(LEFT(#REF!, FIND(",",#REF!) - 1), FIND("{token}", SUBSTITUTE(#REF!, " ", "{token}", 2)) + 1, LEN(#REF!))</f>
        <v>#REF!</v>
      </c>
      <c r="H153" s="274">
        <v>2.2200000000000002</v>
      </c>
      <c r="I153" s="260">
        <v>45406</v>
      </c>
      <c r="J153" s="230" t="s">
        <v>34</v>
      </c>
      <c r="K153" s="226">
        <v>45406</v>
      </c>
      <c r="L153" s="204" t="s">
        <v>1671</v>
      </c>
      <c r="M153" s="222">
        <v>222</v>
      </c>
      <c r="N153" s="2" t="str">
        <f t="shared" ca="1" si="5"/>
        <v>CLOSED</v>
      </c>
    </row>
    <row r="154" spans="1:14" ht="18.75">
      <c r="A154" s="64" t="s">
        <v>53</v>
      </c>
      <c r="B154" s="98">
        <f>VLOOKUP([2]!Table27[[#This Row],[Location 
(drop-down)]],'[2]List source'!D$2:E$59,2,FALSE)</f>
        <v>132</v>
      </c>
      <c r="C154" s="99" t="s">
        <v>687</v>
      </c>
      <c r="D154" s="223" t="str">
        <f t="shared" si="4"/>
        <v>PTO223-132-23</v>
      </c>
      <c r="E154" s="252" t="s">
        <v>1733</v>
      </c>
      <c r="F154" s="275" t="e" cm="1">
        <f t="array" aca="1" ref="F154" ca="1">MID(LEFT(#REF!, INDEX(_xlfn._xlws.FILTER(ROW(INDIRECT("1:" &amp; LEN(#REF!))), (48 &lt;= CODE(MID(#REF!, ROW(INDIRECT("1:" &amp; LEN(#REF!))), 1))) * (CODE(MID(#REF!, ROW(INDIRECT("1:" &amp; LEN(#REF!))), 1)) &lt;= 57)), 1) - 1), FIND(":",#REF!) + 2, LEN(#REF!))</f>
        <v>#REF!</v>
      </c>
      <c r="G154" s="252" t="e">
        <f>MID(LEFT(#REF!, FIND(",",#REF!) - 1), FIND("{token}", SUBSTITUTE(#REF!, " ", "{token}", 2)) + 1, LEN(#REF!))</f>
        <v>#REF!</v>
      </c>
      <c r="H154" s="275">
        <v>-149.63</v>
      </c>
      <c r="I154" s="276">
        <v>45406</v>
      </c>
      <c r="J154" s="230" t="s">
        <v>34</v>
      </c>
      <c r="K154" s="226">
        <v>45406</v>
      </c>
      <c r="L154" s="165" t="s">
        <v>1505</v>
      </c>
      <c r="M154" s="222">
        <v>223</v>
      </c>
      <c r="N154" s="2" t="str">
        <f t="shared" ca="1" si="5"/>
        <v>CLOSED</v>
      </c>
    </row>
    <row r="155" spans="1:14" ht="18.75">
      <c r="A155" s="64" t="s">
        <v>53</v>
      </c>
      <c r="B155" s="98">
        <f>VLOOKUP([2]!Table27[[#This Row],[Location 
(drop-down)]],'[2]List source'!D$2:E$59,2,FALSE)</f>
        <v>132</v>
      </c>
      <c r="C155" s="99" t="s">
        <v>1385</v>
      </c>
      <c r="D155" s="223" t="str">
        <f t="shared" si="4"/>
        <v>PTO224-132-23</v>
      </c>
      <c r="E155" s="215" t="s">
        <v>1734</v>
      </c>
      <c r="F155" s="214" t="e" cm="1">
        <f t="array" aca="1" ref="F155" ca="1">MID(LEFT(#REF!, INDEX(_xlfn._xlws.FILTER(ROW(INDIRECT("1:" &amp; LEN(#REF!))), (48 &lt;= CODE(MID(#REF!, ROW(INDIRECT("1:" &amp; LEN(#REF!))), 1))) * (CODE(MID(#REF!, ROW(INDIRECT("1:" &amp; LEN(#REF!))), 1)) &lt;= 57)), 1) - 1), FIND(":",#REF!) + 2, LEN(#REF!))</f>
        <v>#REF!</v>
      </c>
      <c r="G155" s="277" t="e">
        <f>MID(LEFT(#REF!, FIND(",",#REF!) - 1), FIND("{token}", SUBSTITUTE(#REF!, " ", "{token}", 2)) + 1, LEN(#REF!))</f>
        <v>#REF!</v>
      </c>
      <c r="H155" s="214">
        <v>2.09</v>
      </c>
      <c r="I155" s="260">
        <v>45406</v>
      </c>
      <c r="J155" s="230" t="s">
        <v>34</v>
      </c>
      <c r="K155" s="226">
        <v>45406</v>
      </c>
      <c r="L155" s="204" t="s">
        <v>1671</v>
      </c>
      <c r="M155" s="222">
        <v>224</v>
      </c>
      <c r="N155" s="2" t="str">
        <f t="shared" ca="1" si="5"/>
        <v>CLOSED</v>
      </c>
    </row>
    <row r="156" spans="1:14" ht="30">
      <c r="A156" s="64" t="s">
        <v>73</v>
      </c>
      <c r="B156" s="98">
        <f>VLOOKUP([2]!Table27[[#This Row],[Location 
(drop-down)]],'[2]List source'!D$2:E$59,2,FALSE)</f>
        <v>136</v>
      </c>
      <c r="C156" s="99" t="s">
        <v>692</v>
      </c>
      <c r="D156" s="223" t="str">
        <f t="shared" si="4"/>
        <v>PTO228-136-23</v>
      </c>
      <c r="E156" s="227" t="s">
        <v>1735</v>
      </c>
      <c r="F156" s="88" t="e" cm="1">
        <f t="array" aca="1" ref="F156" ca="1">MID(LEFT(#REF!, INDEX(_xlfn._xlws.FILTER(ROW(INDIRECT("1:" &amp; LEN(#REF!))), (48 &lt;= CODE(MID(#REF!, ROW(INDIRECT("1:" &amp; LEN(#REF!))), 1))) * (CODE(MID(#REF!, ROW(INDIRECT("1:" &amp; LEN(#REF!))), 1)) &lt;= 57)), 1) - 1), FIND(":",#REF!) + 2, LEN(#REF!))</f>
        <v>#REF!</v>
      </c>
      <c r="G156" s="252" t="e">
        <f>MID(LEFT(#REF!, FIND(",",#REF!) - 1), FIND("{token}", SUBSTITUTE(#REF!, " ", "{token}", 2)) + 1, LEN(#REF!))</f>
        <v>#REF!</v>
      </c>
      <c r="H156" s="253">
        <v>0</v>
      </c>
      <c r="I156" s="260">
        <v>45406</v>
      </c>
      <c r="J156" s="230" t="s">
        <v>34</v>
      </c>
      <c r="K156" s="226">
        <v>45406</v>
      </c>
      <c r="L156" s="204" t="s">
        <v>1671</v>
      </c>
      <c r="M156" s="222">
        <v>228</v>
      </c>
      <c r="N156" s="2" t="str">
        <f t="shared" ca="1" si="5"/>
        <v>CLOSED</v>
      </c>
    </row>
    <row r="157" spans="1:14" ht="30">
      <c r="A157" s="64" t="s">
        <v>500</v>
      </c>
      <c r="B157" s="98">
        <f>VLOOKUP([2]!Table27[[#This Row],[Location 
(drop-down)]],'[2]List source'!D$2:E$59,2,FALSE)</f>
        <v>130</v>
      </c>
      <c r="C157" s="99" t="s">
        <v>694</v>
      </c>
      <c r="D157" s="223" t="str">
        <f t="shared" si="4"/>
        <v>PTO230-130-23</v>
      </c>
      <c r="E157" s="227" t="s">
        <v>1736</v>
      </c>
      <c r="F157" s="165" t="e" cm="1">
        <f t="array" aca="1" ref="F157" ca="1">MID(LEFT(#REF!, INDEX(_xlfn._xlws.FILTER(ROW(INDIRECT("1:" &amp; LEN(#REF!))), (48 &lt;= CODE(MID(#REF!, ROW(INDIRECT("1:" &amp; LEN(#REF!))), 1))) * (CODE(MID(#REF!, ROW(INDIRECT("1:" &amp; LEN(#REF!))), 1)) &lt;= 57)), 1) - 1), FIND(":",#REF!) + 2, LEN(#REF!))</f>
        <v>#REF!</v>
      </c>
      <c r="G157" s="190" t="e">
        <f>MID(LEFT(#REF!, FIND(",",#REF!) - 1), FIND("{token}", SUBSTITUTE(#REF!, " ", "{token}", 2)) + 1, LEN(#REF!))</f>
        <v>#REF!</v>
      </c>
      <c r="H157" s="165" t="s">
        <v>1737</v>
      </c>
      <c r="I157" s="260">
        <v>45406</v>
      </c>
      <c r="J157" s="230" t="s">
        <v>34</v>
      </c>
      <c r="K157" s="226">
        <v>45406</v>
      </c>
      <c r="L157" s="204" t="s">
        <v>1671</v>
      </c>
      <c r="M157" s="222">
        <v>230</v>
      </c>
      <c r="N157" s="2" t="str">
        <f t="shared" ca="1" si="5"/>
        <v>CLOSED</v>
      </c>
    </row>
    <row r="158" spans="1:14" ht="18.75">
      <c r="A158" s="64" t="s">
        <v>43</v>
      </c>
      <c r="B158" s="98">
        <f>VLOOKUP([2]!Table27[[#This Row],[Location 
(drop-down)]],'[2]List source'!D$2:E$59,2,FALSE)</f>
        <v>180</v>
      </c>
      <c r="C158" s="99" t="s">
        <v>813</v>
      </c>
      <c r="D158" s="223" t="str">
        <f t="shared" si="4"/>
        <v>PTO234-180-23</v>
      </c>
      <c r="E158" s="227" t="s">
        <v>1738</v>
      </c>
      <c r="F158" s="165" t="e" cm="1">
        <f t="array" aca="1" ref="F158" ca="1">MID(LEFT(#REF!, INDEX(_xlfn._xlws.FILTER(ROW(INDIRECT("1:" &amp; LEN(#REF!))), (48 &lt;= CODE(MID(#REF!, ROW(INDIRECT("1:" &amp; LEN(#REF!))), 1))) * (CODE(MID(#REF!, ROW(INDIRECT("1:" &amp; LEN(#REF!))), 1)) &lt;= 57)), 1) - 1), FIND(":",#REF!) + 2, LEN(#REF!))</f>
        <v>#REF!</v>
      </c>
      <c r="G158" s="227" t="e">
        <f>MID(LEFT(#REF!, FIND(",",#REF!) - 1), FIND("{token}", SUBSTITUTE(#REF!, " ", "{token}", 2)) + 1, LEN(#REF!))</f>
        <v>#REF!</v>
      </c>
      <c r="H158" s="92">
        <v>-2.0099999999999998</v>
      </c>
      <c r="I158" s="260">
        <v>45406</v>
      </c>
      <c r="J158" s="165" t="s">
        <v>34</v>
      </c>
      <c r="K158" s="226">
        <v>45406</v>
      </c>
      <c r="L158" s="204" t="s">
        <v>1671</v>
      </c>
      <c r="M158" s="222">
        <v>234</v>
      </c>
      <c r="N158" s="2" t="str">
        <f t="shared" ca="1" si="5"/>
        <v>CLOSED</v>
      </c>
    </row>
    <row r="159" spans="1:14" ht="30">
      <c r="A159" s="64" t="s">
        <v>500</v>
      </c>
      <c r="B159" s="98">
        <f>VLOOKUP([2]!Table27[[#This Row],[Location 
(drop-down)]],'[2]List source'!D$2:E$59,2,FALSE)</f>
        <v>210</v>
      </c>
      <c r="C159" s="99" t="s">
        <v>477</v>
      </c>
      <c r="D159" s="223" t="str">
        <f t="shared" si="4"/>
        <v>PTO179-210-23</v>
      </c>
      <c r="E159" s="227" t="s">
        <v>1739</v>
      </c>
      <c r="F159" s="165" t="e" cm="1">
        <f t="array" aca="1" ref="F159" ca="1">MID(LEFT(#REF!, INDEX(_xlfn._xlws.FILTER(ROW(INDIRECT("1:" &amp; LEN(#REF!))), (48 &lt;= CODE(MID(#REF!, ROW(INDIRECT("1:" &amp; LEN(#REF!))), 1))) * (CODE(MID(#REF!, ROW(INDIRECT("1:" &amp; LEN(#REF!))), 1)) &lt;= 57)), 1) - 1), FIND(":",#REF!) + 2, LEN(#REF!))</f>
        <v>#REF!</v>
      </c>
      <c r="G159" s="227" t="e">
        <f>MID(LEFT(#REF!, FIND(",",#REF!) - 1), FIND("{token}", SUBSTITUTE(#REF!, " ", "{token}", 2)) + 1, LEN(#REF!))</f>
        <v>#REF!</v>
      </c>
      <c r="H159" s="165">
        <v>7.03</v>
      </c>
      <c r="I159" s="260">
        <v>45387</v>
      </c>
      <c r="J159" s="230" t="s">
        <v>1619</v>
      </c>
      <c r="K159" s="226">
        <v>45407</v>
      </c>
      <c r="L159" s="165"/>
      <c r="M159" s="222">
        <v>179</v>
      </c>
      <c r="N159" s="2" t="str">
        <f t="shared" ca="1" si="5"/>
        <v>CLOSED</v>
      </c>
    </row>
    <row r="160" spans="1:14" ht="30">
      <c r="A160" s="64" t="s">
        <v>500</v>
      </c>
      <c r="B160" s="98">
        <f>VLOOKUP([2]!Table27[[#This Row],[Location 
(drop-down)]],'[2]List source'!D$2:E$59,2,FALSE)</f>
        <v>210</v>
      </c>
      <c r="C160" s="99" t="s">
        <v>992</v>
      </c>
      <c r="D160" s="223" t="str">
        <f t="shared" si="4"/>
        <v>PTO180-210-23</v>
      </c>
      <c r="E160" s="227" t="s">
        <v>1740</v>
      </c>
      <c r="F160" s="253" t="e" cm="1">
        <f t="array" aca="1" ref="F160" ca="1">MID(LEFT(#REF!, INDEX(_xlfn._xlws.FILTER(ROW(INDIRECT("1:" &amp; LEN(#REF!))), (48 &lt;= CODE(MID(#REF!, ROW(INDIRECT("1:" &amp; LEN(#REF!))), 1))) * (CODE(MID(#REF!, ROW(INDIRECT("1:" &amp; LEN(#REF!))), 1)) &lt;= 57)), 1) - 1), FIND(":",#REF!) + 2, LEN(#REF!))</f>
        <v>#REF!</v>
      </c>
      <c r="G160" s="227" t="e">
        <f>MID(LEFT(#REF!, FIND(",",#REF!) - 1), FIND("{token}", SUBSTITUTE(#REF!, " ", "{token}", 2)) + 1, LEN(#REF!))</f>
        <v>#REF!</v>
      </c>
      <c r="H160" s="253" t="s">
        <v>1741</v>
      </c>
      <c r="I160" s="276">
        <v>45387</v>
      </c>
      <c r="J160" s="230" t="s">
        <v>1619</v>
      </c>
      <c r="K160" s="226">
        <v>45407</v>
      </c>
      <c r="L160" s="165"/>
      <c r="M160" s="222">
        <v>180</v>
      </c>
      <c r="N160" s="2" t="str">
        <f t="shared" ca="1" si="5"/>
        <v>CLOSED</v>
      </c>
    </row>
    <row r="161" spans="1:14" ht="18.75">
      <c r="A161" s="64" t="s">
        <v>43</v>
      </c>
      <c r="B161" s="98">
        <f>VLOOKUP([2]!Table27[[#This Row],[Location 
(drop-down)]],'[2]List source'!D$2:E$59,2,FALSE)</f>
        <v>110</v>
      </c>
      <c r="C161" s="99" t="s">
        <v>878</v>
      </c>
      <c r="D161" s="223" t="str">
        <f t="shared" si="4"/>
        <v>PTO235-110-23</v>
      </c>
      <c r="E161" s="227" t="s">
        <v>1742</v>
      </c>
      <c r="F161" s="253" t="e" cm="1">
        <f t="array" aca="1" ref="F161" ca="1">MID(LEFT(#REF!, INDEX(_xlfn._xlws.FILTER(ROW(INDIRECT("1:" &amp; LEN(#REF!))), (48 &lt;= CODE(MID(#REF!, ROW(INDIRECT("1:" &amp; LEN(#REF!))), 1))) * (CODE(MID(#REF!, ROW(INDIRECT("1:" &amp; LEN(#REF!))), 1)) &lt;= 57)), 1) - 1), FIND(":",#REF!) + 2, LEN(#REF!))</f>
        <v>#REF!</v>
      </c>
      <c r="G161" s="227" t="e">
        <f>MID(LEFT(#REF!, FIND(",",#REF!) - 1), FIND("{token}", SUBSTITUTE(#REF!, " ", "{token}", 2)) + 1, LEN(#REF!))</f>
        <v>#REF!</v>
      </c>
      <c r="H161" s="253">
        <v>2.33</v>
      </c>
      <c r="I161" s="276">
        <v>45407</v>
      </c>
      <c r="J161" s="230" t="s">
        <v>34</v>
      </c>
      <c r="K161" s="226">
        <v>45407</v>
      </c>
      <c r="L161" s="259" t="s">
        <v>1671</v>
      </c>
      <c r="M161" s="222">
        <v>235</v>
      </c>
      <c r="N161" s="2" t="str">
        <f t="shared" ca="1" si="5"/>
        <v>CLOSED</v>
      </c>
    </row>
    <row r="162" spans="1:14" ht="30">
      <c r="A162" s="64" t="s">
        <v>500</v>
      </c>
      <c r="B162" s="98">
        <f>VLOOKUP([2]!Table27[[#This Row],[Location 
(drop-down)]],'[2]List source'!D$2:E$59,2,FALSE)</f>
        <v>158</v>
      </c>
      <c r="C162" s="99" t="s">
        <v>888</v>
      </c>
      <c r="D162" s="223" t="str">
        <f t="shared" si="4"/>
        <v>PTO238-158-23</v>
      </c>
      <c r="E162" s="227" t="s">
        <v>1743</v>
      </c>
      <c r="F162" s="165" t="e" cm="1">
        <f t="array" aca="1" ref="F162" ca="1">MID(LEFT(#REF!, INDEX(_xlfn._xlws.FILTER(ROW(INDIRECT("1:" &amp; LEN(#REF!))), (48 &lt;= CODE(MID(#REF!, ROW(INDIRECT("1:" &amp; LEN(#REF!))), 1))) * (CODE(MID(#REF!, ROW(INDIRECT("1:" &amp; LEN(#REF!))), 1)) &lt;= 57)), 1) - 1), FIND(":",#REF!) + 2, LEN(#REF!))</f>
        <v>#REF!</v>
      </c>
      <c r="G162" s="227" t="e">
        <f>MID(LEFT(#REF!, FIND(",",#REF!) - 1), FIND("{token}", SUBSTITUTE(#REF!, " ", "{token}", 2)) + 1, LEN(#REF!))</f>
        <v>#REF!</v>
      </c>
      <c r="H162" s="165">
        <v>2.1800000000000002</v>
      </c>
      <c r="I162" s="260">
        <v>45407</v>
      </c>
      <c r="J162" s="230" t="s">
        <v>34</v>
      </c>
      <c r="K162" s="226">
        <v>45407</v>
      </c>
      <c r="L162" s="165" t="s">
        <v>1562</v>
      </c>
      <c r="M162" s="222">
        <v>238</v>
      </c>
      <c r="N162" s="2" t="str">
        <f t="shared" ca="1" si="5"/>
        <v>CLOSED</v>
      </c>
    </row>
    <row r="163" spans="1:14" ht="18.75">
      <c r="A163" s="64" t="s">
        <v>23</v>
      </c>
      <c r="B163" s="98">
        <f>VLOOKUP([2]!Table27[[#This Row],[Location 
(drop-down)]],'[2]List source'!D$2:E$59,2,FALSE)</f>
        <v>126</v>
      </c>
      <c r="C163" s="99" t="s">
        <v>1415</v>
      </c>
      <c r="D163" s="223" t="str">
        <f t="shared" si="4"/>
        <v>PTO242-126-23</v>
      </c>
      <c r="E163" s="227" t="s">
        <v>1744</v>
      </c>
      <c r="F163" s="165" t="e" cm="1">
        <f t="array" aca="1" ref="F163" ca="1">MID(LEFT(#REF!, INDEX(_xlfn._xlws.FILTER(ROW(INDIRECT("1:" &amp; LEN(#REF!))), (48 &lt;= CODE(MID(#REF!, ROW(INDIRECT("1:" &amp; LEN(#REF!))), 1))) * (CODE(MID(#REF!, ROW(INDIRECT("1:" &amp; LEN(#REF!))), 1)) &lt;= 57)), 1) - 1), FIND(":",#REF!) + 2, LEN(#REF!))</f>
        <v>#REF!</v>
      </c>
      <c r="G163" s="227" t="e">
        <f>MID(LEFT(#REF!, FIND(",",#REF!) - 1), FIND("{token}", SUBSTITUTE(#REF!, " ", "{token}", 2)) + 1, LEN(#REF!))</f>
        <v>#REF!</v>
      </c>
      <c r="H163" s="165" t="s">
        <v>1745</v>
      </c>
      <c r="I163" s="260">
        <v>45407</v>
      </c>
      <c r="J163" s="230" t="s">
        <v>34</v>
      </c>
      <c r="K163" s="278">
        <v>45407</v>
      </c>
      <c r="L163" s="165" t="s">
        <v>1562</v>
      </c>
      <c r="M163" s="222">
        <v>242</v>
      </c>
      <c r="N163" s="2" t="str">
        <f t="shared" ca="1" si="5"/>
        <v>CLOSED</v>
      </c>
    </row>
    <row r="164" spans="1:14" ht="30">
      <c r="A164" s="64" t="s">
        <v>119</v>
      </c>
      <c r="B164" s="98">
        <f>VLOOKUP([2]!Table27[[#This Row],[Location 
(drop-down)]],'[2]List source'!D$2:E$59,2,FALSE)</f>
        <v>126</v>
      </c>
      <c r="C164" s="99" t="s">
        <v>501</v>
      </c>
      <c r="D164" s="223" t="str">
        <f t="shared" si="4"/>
        <v>PTO120-126-23</v>
      </c>
      <c r="E164" s="227" t="s">
        <v>1746</v>
      </c>
      <c r="F164" s="165" t="e" cm="1">
        <f t="array" aca="1" ref="F164" ca="1">MID(LEFT(#REF!, INDEX(_xlfn._xlws.FILTER(ROW(INDIRECT("1:" &amp; LEN(#REF!))), (48 &lt;= CODE(MID(#REF!, ROW(INDIRECT("1:" &amp; LEN(#REF!))), 1))) * (CODE(MID(#REF!, ROW(INDIRECT("1:" &amp; LEN(#REF!))), 1)) &lt;= 57)), 1) - 1), FIND(":",#REF!) + 2, LEN(#REF!))</f>
        <v>#REF!</v>
      </c>
      <c r="G164" s="227" t="e">
        <f>MID(LEFT(#REF!, FIND(",",#REF!) - 1), FIND("{token}", SUBSTITUTE(#REF!, " ", "{token}", 2)) + 1, LEN(#REF!))</f>
        <v>#REF!</v>
      </c>
      <c r="H164" s="165">
        <v>-7.23</v>
      </c>
      <c r="I164" s="230">
        <v>45376</v>
      </c>
      <c r="J164" s="230" t="s">
        <v>111</v>
      </c>
      <c r="K164" s="226">
        <v>45408</v>
      </c>
      <c r="L164" s="165"/>
      <c r="M164" s="222">
        <v>120</v>
      </c>
      <c r="N164" s="2" t="str">
        <f t="shared" ca="1" si="5"/>
        <v>CLOSED</v>
      </c>
    </row>
    <row r="165" spans="1:14" ht="30">
      <c r="A165" s="64" t="s">
        <v>119</v>
      </c>
      <c r="B165" s="98">
        <f>VLOOKUP([2]!Table27[[#This Row],[Location 
(drop-down)]],'[2]List source'!D$2:E$59,2,FALSE)</f>
        <v>132</v>
      </c>
      <c r="C165" s="99" t="s">
        <v>539</v>
      </c>
      <c r="D165" s="223" t="str">
        <f t="shared" si="4"/>
        <v>PTO161-132-23</v>
      </c>
      <c r="E165" s="255" t="s">
        <v>1747</v>
      </c>
      <c r="F165" s="14" t="e" cm="1">
        <f t="array" aca="1" ref="F165" ca="1">MID(LEFT(#REF!, INDEX(_xlfn._xlws.FILTER(ROW(INDIRECT("1:" &amp; LEN(#REF!))), (48 &lt;= CODE(MID(#REF!, ROW(INDIRECT("1:" &amp; LEN(#REF!))), 1))) * (CODE(MID(#REF!, ROW(INDIRECT("1:" &amp; LEN(#REF!))), 1)) &lt;= 57)), 1) - 1), FIND(":",#REF!) + 2, LEN(#REF!))</f>
        <v>#REF!</v>
      </c>
      <c r="G165" s="255" t="e">
        <f>MID(LEFT(#REF!, FIND(",",#REF!) - 1), FIND("{token}", SUBSTITUTE(#REF!, " ", "{token}", 2)) + 1, LEN(#REF!))</f>
        <v>#REF!</v>
      </c>
      <c r="H165" s="14" t="s">
        <v>1748</v>
      </c>
      <c r="I165" s="256">
        <v>45387</v>
      </c>
      <c r="J165" s="257" t="s">
        <v>111</v>
      </c>
      <c r="K165" s="258">
        <v>45408</v>
      </c>
      <c r="L165" s="279"/>
      <c r="M165" s="222">
        <v>161</v>
      </c>
      <c r="N165" s="2" t="str">
        <f t="shared" ca="1" si="5"/>
        <v>CLOSED</v>
      </c>
    </row>
    <row r="166" spans="1:14" ht="30">
      <c r="A166" s="64" t="s">
        <v>119</v>
      </c>
      <c r="B166" s="98">
        <f>VLOOKUP([2]!Table27[[#This Row],[Location 
(drop-down)]],'[2]List source'!D$2:E$59,2,FALSE)</f>
        <v>132</v>
      </c>
      <c r="C166" s="99" t="s">
        <v>509</v>
      </c>
      <c r="D166" s="223" t="str">
        <f t="shared" si="4"/>
        <v>PTO162-132-23</v>
      </c>
      <c r="E166" s="240" t="s">
        <v>1749</v>
      </c>
      <c r="F166" s="2" t="e" cm="1">
        <f t="array" aca="1" ref="F166" ca="1">MID(LEFT(#REF!, INDEX(_xlfn._xlws.FILTER(ROW(INDIRECT("1:" &amp; LEN(#REF!))), (48 &lt;= CODE(MID(#REF!, ROW(INDIRECT("1:" &amp; LEN(#REF!))), 1))) * (CODE(MID(#REF!, ROW(INDIRECT("1:" &amp; LEN(#REF!))), 1)) &lt;= 57)), 1) - 1), FIND(":",#REF!) + 2, LEN(#REF!))</f>
        <v>#REF!</v>
      </c>
      <c r="G166" s="240" t="e">
        <f>MID(LEFT(#REF!, FIND(",",#REF!) - 1), FIND("{token}", SUBSTITUTE(#REF!, " ", "{token}", 2)) + 1, LEN(#REF!))</f>
        <v>#REF!</v>
      </c>
      <c r="H166" s="2">
        <v>3.1</v>
      </c>
      <c r="I166" s="260">
        <v>45387</v>
      </c>
      <c r="J166" s="230" t="s">
        <v>111</v>
      </c>
      <c r="K166" s="258">
        <v>45408</v>
      </c>
      <c r="L166" s="165"/>
      <c r="M166" s="222">
        <v>162</v>
      </c>
      <c r="N166" s="2" t="str">
        <f t="shared" ca="1" si="5"/>
        <v>CLOSED</v>
      </c>
    </row>
    <row r="167" spans="1:14" ht="30">
      <c r="A167" s="64" t="s">
        <v>80</v>
      </c>
      <c r="B167" s="98">
        <f>VLOOKUP([2]!Table27[[#This Row],[Location 
(drop-down)]],'[2]List source'!D$2:E$59,2,FALSE)</f>
        <v>136</v>
      </c>
      <c r="C167" s="99" t="s">
        <v>1044</v>
      </c>
      <c r="D167" s="223" t="str">
        <f t="shared" si="4"/>
        <v>PTO169-136-23</v>
      </c>
      <c r="E167" s="254" t="s">
        <v>1750</v>
      </c>
      <c r="F167" s="254" t="e" cm="1">
        <f t="array" aca="1" ref="F167" ca="1">MID(LEFT(#REF!, INDEX(_xlfn._xlws.FILTER(ROW(INDIRECT("1:" &amp; LEN(#REF!))), (48 &lt;= CODE(MID(#REF!, ROW(INDIRECT("1:" &amp; LEN(#REF!))), 1))) * (CODE(MID(#REF!, ROW(INDIRECT("1:" &amp; LEN(#REF!))), 1)) &lt;= 57)), 1) - 1), FIND(":",#REF!) + 2, LEN(#REF!))</f>
        <v>#REF!</v>
      </c>
      <c r="G167" s="89" t="e">
        <f>MID(LEFT(#REF!, FIND(",",#REF!) - 1), FIND("{token}", SUBSTITUTE(#REF!, " ", "{token}", 2)) + 1, LEN(#REF!))</f>
        <v>#REF!</v>
      </c>
      <c r="H167" s="254" t="s">
        <v>1751</v>
      </c>
      <c r="I167" s="260">
        <v>45387</v>
      </c>
      <c r="J167" s="254" t="s">
        <v>239</v>
      </c>
      <c r="K167" s="235">
        <v>45408</v>
      </c>
      <c r="L167" s="165"/>
      <c r="M167" s="222">
        <v>169</v>
      </c>
      <c r="N167" s="2" t="str">
        <f t="shared" ca="1" si="5"/>
        <v>CLOSED</v>
      </c>
    </row>
    <row r="168" spans="1:14" ht="30">
      <c r="A168" s="64" t="s">
        <v>73</v>
      </c>
      <c r="B168" s="98">
        <f>VLOOKUP([2]!Table27[[#This Row],[Location 
(drop-down)]],'[2]List source'!D$2:E$59,2,FALSE)</f>
        <v>141</v>
      </c>
      <c r="C168" s="99" t="s">
        <v>735</v>
      </c>
      <c r="D168" s="223" t="str">
        <f t="shared" si="4"/>
        <v>PTO245-141-23</v>
      </c>
      <c r="E168" s="227" t="s">
        <v>1752</v>
      </c>
      <c r="F168" s="165" t="s">
        <v>1524</v>
      </c>
      <c r="G168" s="227" t="e">
        <f>MID(LEFT(#REF!, FIND(",",#REF!) - 1), FIND("{token}", SUBSTITUTE(#REF!, " ", "{token}", 2)) + 1, LEN(#REF!))</f>
        <v>#REF!</v>
      </c>
      <c r="H168" s="165">
        <v>2.09</v>
      </c>
      <c r="I168" s="260">
        <v>45408</v>
      </c>
      <c r="J168" s="230" t="s">
        <v>34</v>
      </c>
      <c r="K168" s="226">
        <v>45408</v>
      </c>
      <c r="L168" s="165" t="s">
        <v>1562</v>
      </c>
      <c r="M168" s="222">
        <v>245</v>
      </c>
      <c r="N168" s="2" t="str">
        <f t="shared" ca="1" si="5"/>
        <v>CLOSED</v>
      </c>
    </row>
    <row r="169" spans="1:14" ht="18.75">
      <c r="A169" s="64" t="s">
        <v>314</v>
      </c>
      <c r="B169" s="98">
        <f>VLOOKUP([2]!Table27[[#This Row],[Location 
(drop-down)]],'[2]List source'!D$2:E$59,2,FALSE)</f>
        <v>150</v>
      </c>
      <c r="C169" s="99" t="s">
        <v>737</v>
      </c>
      <c r="D169" s="223" t="str">
        <f t="shared" si="4"/>
        <v>PTO246-150-23</v>
      </c>
      <c r="E169" s="201" t="s">
        <v>1753</v>
      </c>
      <c r="F169" s="165" t="s">
        <v>1524</v>
      </c>
      <c r="G169" s="227" t="e">
        <f>MID(LEFT(#REF!, FIND(",",#REF!) - 1), FIND("{token}", SUBSTITUTE(#REF!, " ", "{token}", 2)) + 1, LEN(#REF!))</f>
        <v>#REF!</v>
      </c>
      <c r="H169" s="236" t="s">
        <v>1754</v>
      </c>
      <c r="I169" s="260">
        <v>45408</v>
      </c>
      <c r="J169" s="230" t="s">
        <v>34</v>
      </c>
      <c r="K169" s="226">
        <v>45408</v>
      </c>
      <c r="L169" s="165" t="s">
        <v>1562</v>
      </c>
      <c r="M169" s="222">
        <v>246</v>
      </c>
      <c r="N169" s="2" t="str">
        <f t="shared" ca="1" si="5"/>
        <v>CLOSED</v>
      </c>
    </row>
    <row r="170" spans="1:14" ht="18.75">
      <c r="A170" s="64" t="s">
        <v>53</v>
      </c>
      <c r="B170" s="98">
        <f>VLOOKUP([2]!Table27[[#This Row],[Location 
(drop-down)]],'[2]List source'!D$2:E$59,2,FALSE)</f>
        <v>155</v>
      </c>
      <c r="C170" s="99" t="s">
        <v>1416</v>
      </c>
      <c r="D170" s="223" t="str">
        <f t="shared" si="4"/>
        <v>PTO247-155-23</v>
      </c>
      <c r="E170" s="227" t="s">
        <v>1755</v>
      </c>
      <c r="F170" s="165" t="s">
        <v>1524</v>
      </c>
      <c r="G170" s="227" t="s">
        <v>1554</v>
      </c>
      <c r="H170" s="236" t="s">
        <v>1756</v>
      </c>
      <c r="I170" s="230">
        <v>45408</v>
      </c>
      <c r="J170" s="230" t="s">
        <v>34</v>
      </c>
      <c r="K170" s="226">
        <v>45408</v>
      </c>
      <c r="L170" s="165" t="s">
        <v>1562</v>
      </c>
      <c r="M170" s="222">
        <v>247</v>
      </c>
      <c r="N170" s="2" t="str">
        <f t="shared" ca="1" si="5"/>
        <v>CLOSED</v>
      </c>
    </row>
    <row r="171" spans="1:14" ht="18.75">
      <c r="A171" s="64" t="s">
        <v>264</v>
      </c>
      <c r="B171" s="98">
        <f>VLOOKUP([2]!Table27[[#This Row],[Location 
(drop-down)]],'[2]List source'!D$2:E$59,2,FALSE)</f>
        <v>160</v>
      </c>
      <c r="C171" s="99" t="s">
        <v>793</v>
      </c>
      <c r="D171" s="223" t="str">
        <f t="shared" si="4"/>
        <v>PTO248-160-23</v>
      </c>
      <c r="E171" s="227" t="s">
        <v>1757</v>
      </c>
      <c r="F171" s="214" t="s">
        <v>1758</v>
      </c>
      <c r="G171" s="215" t="e">
        <f>MID(LEFT(#REF!, FIND(",",#REF!) - 1), FIND("{token}", SUBSTITUTE(#REF!, " ", "{token}", 2)) + 1, LEN(#REF!))</f>
        <v>#REF!</v>
      </c>
      <c r="H171" s="224" t="s">
        <v>1759</v>
      </c>
      <c r="I171" s="216">
        <v>45408</v>
      </c>
      <c r="J171" s="230" t="s">
        <v>34</v>
      </c>
      <c r="K171" s="217">
        <v>45408</v>
      </c>
      <c r="L171" s="165" t="s">
        <v>1562</v>
      </c>
      <c r="M171" s="218">
        <v>248</v>
      </c>
      <c r="N171" s="2" t="str">
        <f t="shared" ca="1" si="5"/>
        <v>CLOSED</v>
      </c>
    </row>
    <row r="172" spans="1:14" ht="18.75">
      <c r="A172" s="64" t="s">
        <v>64</v>
      </c>
      <c r="B172" s="98">
        <f>VLOOKUP([2]!Table27[[#This Row],[Location 
(drop-down)]],'[2]List source'!D$2:E$59,2,FALSE)</f>
        <v>165</v>
      </c>
      <c r="C172" s="99" t="s">
        <v>1462</v>
      </c>
      <c r="D172" s="223" t="str">
        <f t="shared" si="4"/>
        <v>PTO249-165-23</v>
      </c>
      <c r="E172" s="227" t="s">
        <v>1760</v>
      </c>
      <c r="F172" s="165" t="s">
        <v>1758</v>
      </c>
      <c r="G172" s="227" t="s">
        <v>1525</v>
      </c>
      <c r="H172" s="165">
        <v>2.34</v>
      </c>
      <c r="I172" s="230">
        <v>45408</v>
      </c>
      <c r="J172" s="230" t="s">
        <v>34</v>
      </c>
      <c r="K172" s="226">
        <v>45408</v>
      </c>
      <c r="L172" s="165" t="s">
        <v>1562</v>
      </c>
      <c r="M172" s="222">
        <v>249</v>
      </c>
      <c r="N172" s="2" t="str">
        <f t="shared" ca="1" si="5"/>
        <v>CLOSED</v>
      </c>
    </row>
    <row r="173" spans="1:14" ht="18.75">
      <c r="A173" s="64" t="s">
        <v>64</v>
      </c>
      <c r="B173" s="98">
        <f>VLOOKUP([2]!Table27[[#This Row],[Location 
(drop-down)]],'[2]List source'!D$2:E$59,2,FALSE)</f>
        <v>170</v>
      </c>
      <c r="C173" s="99" t="s">
        <v>1464</v>
      </c>
      <c r="D173" s="223" t="str">
        <f t="shared" si="4"/>
        <v>PTO250-170-23</v>
      </c>
      <c r="E173" s="227" t="s">
        <v>1761</v>
      </c>
      <c r="F173" s="165" t="s">
        <v>1758</v>
      </c>
      <c r="G173" s="227" t="s">
        <v>1554</v>
      </c>
      <c r="H173" s="236" t="s">
        <v>1762</v>
      </c>
      <c r="I173" s="230">
        <v>45408</v>
      </c>
      <c r="J173" s="230" t="s">
        <v>34</v>
      </c>
      <c r="K173" s="226">
        <v>45408</v>
      </c>
      <c r="L173" s="165" t="s">
        <v>1562</v>
      </c>
      <c r="M173" s="222">
        <v>250</v>
      </c>
      <c r="N173" s="2" t="str">
        <f t="shared" ca="1" si="5"/>
        <v>CLOSED</v>
      </c>
    </row>
    <row r="174" spans="1:14" ht="30">
      <c r="A174" s="64" t="s">
        <v>518</v>
      </c>
      <c r="B174" s="98">
        <f>VLOOKUP([2]!Table27[[#This Row],[Location 
(drop-down)]],'[2]List source'!D$2:E$59,2,FALSE)</f>
        <v>170</v>
      </c>
      <c r="C174" s="99" t="s">
        <v>730</v>
      </c>
      <c r="D174" s="223" t="str">
        <f t="shared" si="4"/>
        <v>PTO251-170-23</v>
      </c>
      <c r="E174" s="227" t="s">
        <v>1763</v>
      </c>
      <c r="F174" s="165" t="s">
        <v>1758</v>
      </c>
      <c r="G174" s="227" t="e">
        <f>MID(LEFT(#REF!, FIND(",",#REF!) - 1), FIND("{token}", SUBSTITUTE(#REF!, " ", "{token}", 2)) + 1, LEN(#REF!))</f>
        <v>#REF!</v>
      </c>
      <c r="H174" s="236" t="s">
        <v>1764</v>
      </c>
      <c r="I174" s="230">
        <v>45408</v>
      </c>
      <c r="J174" s="280" t="s">
        <v>34</v>
      </c>
      <c r="K174" s="281">
        <v>45408</v>
      </c>
      <c r="L174" s="92" t="s">
        <v>1562</v>
      </c>
      <c r="M174" s="222">
        <v>251</v>
      </c>
      <c r="N174" s="2" t="str">
        <f t="shared" ca="1" si="5"/>
        <v>CLOSED</v>
      </c>
    </row>
    <row r="175" spans="1:14" ht="30">
      <c r="A175" s="64" t="s">
        <v>1334</v>
      </c>
      <c r="B175" s="98">
        <f>VLOOKUP([2]!Table27[[#This Row],[Location 
(drop-down)]],'[2]List source'!D$2:E$59,2,FALSE)</f>
        <v>210</v>
      </c>
      <c r="C175" s="99" t="s">
        <v>625</v>
      </c>
      <c r="D175" s="223" t="str">
        <f t="shared" si="4"/>
        <v>PTO153-210-23</v>
      </c>
      <c r="E175" s="240" t="s">
        <v>1765</v>
      </c>
      <c r="F175" s="2" t="e" cm="1">
        <f t="array" aca="1" ref="F175" ca="1">MID(LEFT(#REF!, INDEX(_xlfn._xlws.FILTER(ROW(INDIRECT("1:" &amp; LEN(#REF!))), (48 &lt;= CODE(MID(#REF!, ROW(INDIRECT("1:" &amp; LEN(#REF!))), 1))) * (CODE(MID(#REF!, ROW(INDIRECT("1:" &amp; LEN(#REF!))), 1)) &lt;= 57)), 1) - 1), FIND(":",#REF!) + 2, LEN(#REF!))</f>
        <v>#REF!</v>
      </c>
      <c r="G175" s="240" t="e">
        <f>MID(LEFT(#REF!, FIND(",",#REF!) - 1), FIND("{token}", SUBSTITUTE(#REF!, " ", "{token}", 2)) + 1, LEN(#REF!))</f>
        <v>#REF!</v>
      </c>
      <c r="H175" s="2">
        <v>15.67</v>
      </c>
      <c r="I175" s="260">
        <v>45387</v>
      </c>
      <c r="J175" s="282" t="s">
        <v>34</v>
      </c>
      <c r="K175" s="283">
        <v>45411</v>
      </c>
      <c r="L175" s="92" t="s">
        <v>1505</v>
      </c>
      <c r="M175" s="191">
        <v>153</v>
      </c>
      <c r="N175" s="2" t="str">
        <f t="shared" ca="1" si="5"/>
        <v>CLOSED</v>
      </c>
    </row>
    <row r="176" spans="1:14" ht="30">
      <c r="A176" s="64" t="s">
        <v>1334</v>
      </c>
      <c r="B176" s="98">
        <f>VLOOKUP([2]!Table27[[#This Row],[Location 
(drop-down)]],'[2]List source'!D$2:E$59,2,FALSE)</f>
        <v>215</v>
      </c>
      <c r="C176" s="99" t="s">
        <v>962</v>
      </c>
      <c r="D176" s="223" t="str">
        <f t="shared" si="4"/>
        <v>PTO154-215-23</v>
      </c>
      <c r="E176" s="240" t="s">
        <v>1766</v>
      </c>
      <c r="F176" s="2" t="e" cm="1">
        <f t="array" aca="1" ref="F176" ca="1">MID(LEFT(#REF!, INDEX(_xlfn._xlws.FILTER(ROW(INDIRECT("1:" &amp; LEN(#REF!))), (48 &lt;= CODE(MID(#REF!, ROW(INDIRECT("1:" &amp; LEN(#REF!))), 1))) * (CODE(MID(#REF!, ROW(INDIRECT("1:" &amp; LEN(#REF!))), 1)) &lt;= 57)), 1) - 1), FIND(":",#REF!) + 2, LEN(#REF!))</f>
        <v>#REF!</v>
      </c>
      <c r="G176" s="240" t="e">
        <f>MID(LEFT(#REF!, FIND(",",#REF!) - 1), FIND("{token}", SUBSTITUTE(#REF!, " ", "{token}", 2)) + 1, LEN(#REF!))</f>
        <v>#REF!</v>
      </c>
      <c r="H176" s="254" t="s">
        <v>1767</v>
      </c>
      <c r="I176" s="260">
        <v>45387</v>
      </c>
      <c r="J176" s="235" t="s">
        <v>34</v>
      </c>
      <c r="K176" s="258">
        <v>45411</v>
      </c>
      <c r="L176" s="165" t="s">
        <v>1505</v>
      </c>
      <c r="M176" s="222">
        <v>154</v>
      </c>
      <c r="N176" s="2" t="str">
        <f t="shared" ca="1" si="5"/>
        <v>CLOSED</v>
      </c>
    </row>
    <row r="177" spans="1:14" ht="30">
      <c r="A177" s="64" t="s">
        <v>80</v>
      </c>
      <c r="B177" s="98">
        <f>VLOOKUP([2]!Table27[[#This Row],[Location 
(drop-down)]],'[2]List source'!D$2:E$59,2,FALSE)</f>
        <v>144</v>
      </c>
      <c r="C177" s="99" t="s">
        <v>800</v>
      </c>
      <c r="D177" s="223" t="str">
        <f t="shared" si="4"/>
        <v>PTO254-144-23</v>
      </c>
      <c r="E177" s="284" t="s">
        <v>1768</v>
      </c>
      <c r="F177" s="285" t="s">
        <v>1769</v>
      </c>
      <c r="G177" s="286" t="s">
        <v>1770</v>
      </c>
      <c r="H177" s="287" t="s">
        <v>1771</v>
      </c>
      <c r="I177" s="230">
        <v>45411</v>
      </c>
      <c r="J177" s="230" t="s">
        <v>34</v>
      </c>
      <c r="K177" s="226">
        <v>45411</v>
      </c>
      <c r="L177" s="165" t="s">
        <v>1562</v>
      </c>
      <c r="M177" s="222">
        <v>254</v>
      </c>
      <c r="N177" s="2" t="str">
        <f t="shared" ca="1" si="5"/>
        <v>CLOSED</v>
      </c>
    </row>
    <row r="178" spans="1:14" ht="18.75">
      <c r="A178" s="64" t="s">
        <v>139</v>
      </c>
      <c r="B178" s="98">
        <f>VLOOKUP([2]!Table27[[#This Row],[Location 
(drop-down)]],'[2]List source'!D$2:E$59,2,FALSE)</f>
        <v>144</v>
      </c>
      <c r="C178" s="99" t="s">
        <v>1474</v>
      </c>
      <c r="D178" s="223" t="str">
        <f t="shared" si="4"/>
        <v>PTO258-144-23</v>
      </c>
      <c r="E178" s="118" t="s">
        <v>1772</v>
      </c>
      <c r="F178" s="288" t="s">
        <v>1769</v>
      </c>
      <c r="G178" s="252" t="e">
        <f>MID(LEFT(#REF!, FIND(",",#REF!) - 1), FIND("{token}", SUBSTITUTE(#REF!, " ", "{token}", 2)) + 1, LEN(#REF!))</f>
        <v>#REF!</v>
      </c>
      <c r="H178" s="288" t="s">
        <v>1579</v>
      </c>
      <c r="I178" s="289">
        <v>45411</v>
      </c>
      <c r="J178" s="230" t="s">
        <v>34</v>
      </c>
      <c r="K178" s="226">
        <v>45411</v>
      </c>
      <c r="L178" s="204" t="s">
        <v>1773</v>
      </c>
      <c r="M178" s="222">
        <v>258</v>
      </c>
      <c r="N178" s="2" t="str">
        <f t="shared" ca="1" si="5"/>
        <v>CLOSED</v>
      </c>
    </row>
    <row r="179" spans="1:14" ht="18.75">
      <c r="A179" s="64" t="s">
        <v>103</v>
      </c>
      <c r="B179" s="98">
        <f>VLOOKUP([2]!Table27[[#This Row],[Location 
(drop-down)]],'[2]List source'!D$2:E$59,2,FALSE)</f>
        <v>170</v>
      </c>
      <c r="C179" s="99" t="s">
        <v>851</v>
      </c>
      <c r="D179" s="223" t="str">
        <f t="shared" si="4"/>
        <v>PTO260-170-23</v>
      </c>
      <c r="E179" s="228" t="s">
        <v>1774</v>
      </c>
      <c r="F179" s="290" t="s">
        <v>1769</v>
      </c>
      <c r="G179" s="291" t="s">
        <v>1770</v>
      </c>
      <c r="H179" s="290">
        <v>2.33</v>
      </c>
      <c r="I179" s="230">
        <v>45411</v>
      </c>
      <c r="J179" s="230" t="s">
        <v>34</v>
      </c>
      <c r="K179" s="226">
        <v>45411</v>
      </c>
      <c r="L179" s="165" t="s">
        <v>1562</v>
      </c>
      <c r="M179" s="222">
        <v>260</v>
      </c>
      <c r="N179" s="2" t="str">
        <f t="shared" ca="1" si="5"/>
        <v>CLOSED</v>
      </c>
    </row>
    <row r="180" spans="1:14" ht="30">
      <c r="A180" s="64" t="s">
        <v>500</v>
      </c>
      <c r="B180" s="98">
        <f>VLOOKUP([2]!Table27[[#This Row],[Location 
(drop-down)]],'[2]List source'!D$2:E$59,2,FALSE)</f>
        <v>194</v>
      </c>
      <c r="C180" s="99" t="s">
        <v>673</v>
      </c>
      <c r="D180" s="223" t="str">
        <f t="shared" si="4"/>
        <v>PTO262-194-23</v>
      </c>
      <c r="E180" s="228" t="s">
        <v>1775</v>
      </c>
      <c r="F180" s="229" t="s">
        <v>1769</v>
      </c>
      <c r="G180" s="228" t="s">
        <v>1770</v>
      </c>
      <c r="H180" s="241" t="s">
        <v>1776</v>
      </c>
      <c r="I180" s="230">
        <v>45411</v>
      </c>
      <c r="J180" s="230" t="s">
        <v>34</v>
      </c>
      <c r="K180" s="226">
        <v>45411</v>
      </c>
      <c r="L180" s="165" t="s">
        <v>1562</v>
      </c>
      <c r="M180" s="222">
        <v>262</v>
      </c>
      <c r="N180" s="2" t="str">
        <f t="shared" ca="1" si="5"/>
        <v>CLOSED</v>
      </c>
    </row>
    <row r="181" spans="1:14" ht="30">
      <c r="A181" s="64" t="s">
        <v>500</v>
      </c>
      <c r="B181" s="98">
        <f>VLOOKUP([2]!Table27[[#This Row],[Location 
(drop-down)]],'[2]List source'!D$2:E$59,2,FALSE)</f>
        <v>131</v>
      </c>
      <c r="C181" s="99" t="s">
        <v>1076</v>
      </c>
      <c r="D181" s="223" t="str">
        <f t="shared" si="4"/>
        <v>PTO265-131-23</v>
      </c>
      <c r="E181" s="228" t="s">
        <v>1777</v>
      </c>
      <c r="F181" s="229" t="s">
        <v>1769</v>
      </c>
      <c r="G181" s="228" t="e">
        <f>MID(LEFT(#REF!, FIND(",",#REF!) - 1), FIND("{token}", SUBSTITUTE(#REF!, " ", "{token}", 2)) + 1, LEN(#REF!))</f>
        <v>#REF!</v>
      </c>
      <c r="H181" s="241" t="s">
        <v>1778</v>
      </c>
      <c r="I181" s="230">
        <v>45411</v>
      </c>
      <c r="J181" s="230" t="s">
        <v>34</v>
      </c>
      <c r="K181" s="226">
        <v>45411</v>
      </c>
      <c r="L181" s="165" t="s">
        <v>1562</v>
      </c>
      <c r="M181" s="222">
        <v>265</v>
      </c>
      <c r="N181" s="2" t="str">
        <f t="shared" ca="1" si="5"/>
        <v>CLOSED</v>
      </c>
    </row>
    <row r="182" spans="1:14" ht="18.75">
      <c r="A182" s="64" t="s">
        <v>167</v>
      </c>
      <c r="B182" s="98">
        <f>VLOOKUP([2]!Table27[[#This Row],[Location 
(drop-down)]],'[2]List source'!D$2:E$59,2,FALSE)</f>
        <v>170</v>
      </c>
      <c r="C182" s="99" t="s">
        <v>40</v>
      </c>
      <c r="D182" s="223" t="str">
        <f t="shared" si="4"/>
        <v>PTO267-170-23</v>
      </c>
      <c r="E182" s="228" t="s">
        <v>1774</v>
      </c>
      <c r="F182" s="229" t="s">
        <v>1769</v>
      </c>
      <c r="G182" s="201" t="s">
        <v>1770</v>
      </c>
      <c r="H182" s="292" t="s">
        <v>1779</v>
      </c>
      <c r="I182" s="230">
        <v>45411</v>
      </c>
      <c r="J182" s="230" t="s">
        <v>34</v>
      </c>
      <c r="K182" s="226">
        <v>45411</v>
      </c>
      <c r="L182" s="92" t="s">
        <v>1562</v>
      </c>
      <c r="M182" s="191">
        <v>267</v>
      </c>
      <c r="N182" s="2" t="str">
        <f t="shared" ca="1" si="5"/>
        <v>CLOSED</v>
      </c>
    </row>
    <row r="183" spans="1:14" ht="30">
      <c r="A183" s="64" t="s">
        <v>500</v>
      </c>
      <c r="B183" s="98">
        <f>VLOOKUP([2]!Table27[[#This Row],[Location 
(drop-down)]],'[2]List source'!D$2:E$59,2,FALSE)</f>
        <v>170</v>
      </c>
      <c r="C183" s="99" t="s">
        <v>1121</v>
      </c>
      <c r="D183" s="223" t="str">
        <f t="shared" si="4"/>
        <v>PTO264-170-23</v>
      </c>
      <c r="E183" s="228" t="s">
        <v>1780</v>
      </c>
      <c r="F183" s="229" t="s">
        <v>1769</v>
      </c>
      <c r="G183" s="228" t="e">
        <f>MID(LEFT(#REF!, FIND(",",#REF!) - 1), FIND("{token}", SUBSTITUTE(#REF!, " ", "{token}", 2)) + 1, LEN(#REF!))</f>
        <v>#REF!</v>
      </c>
      <c r="H183" s="229">
        <v>5.0599999999999996</v>
      </c>
      <c r="I183" s="230">
        <v>45411</v>
      </c>
      <c r="J183" s="230" t="s">
        <v>34</v>
      </c>
      <c r="K183" s="226">
        <v>45412</v>
      </c>
      <c r="L183" s="92" t="s">
        <v>1505</v>
      </c>
      <c r="M183" s="191">
        <v>264</v>
      </c>
      <c r="N183" s="2" t="str">
        <f t="shared" ca="1" si="5"/>
        <v>CLOSED</v>
      </c>
    </row>
    <row r="184" spans="1:14" ht="30">
      <c r="A184" s="64" t="s">
        <v>432</v>
      </c>
      <c r="B184" s="98">
        <f>VLOOKUP([2]!Table27[[#This Row],[Location 
(drop-down)]],'[2]List source'!D$2:E$59,2,FALSE)</f>
        <v>170</v>
      </c>
      <c r="C184" s="99" t="s">
        <v>61</v>
      </c>
      <c r="D184" s="223" t="str">
        <f t="shared" si="4"/>
        <v>PTO269-170-23</v>
      </c>
      <c r="E184" s="228" t="s">
        <v>1781</v>
      </c>
      <c r="F184" s="229" t="e" cm="1">
        <f t="array" aca="1" ref="F184" ca="1">MID(LEFT(#REF!, INDEX(_xlfn._xlws.FILTER(ROW(INDIRECT("1:" &amp; LEN(#REF!))), (48 &lt;= CODE(MID(#REF!, ROW(INDIRECT("1:" &amp; LEN(#REF!))), 1))) * (CODE(MID(#REF!, ROW(INDIRECT("1:" &amp; LEN(#REF!))), 1)) &lt;= 57)), 1) - 1), FIND(":",#REF!) + 2, LEN(#REF!))</f>
        <v>#REF!</v>
      </c>
      <c r="G184" s="228" t="e">
        <f>MID(LEFT(#REF!, FIND(",",#REF!) - 1), FIND("{token}", SUBSTITUTE(#REF!, " ", "{token}", 2)) + 1, LEN(#REF!))</f>
        <v>#REF!</v>
      </c>
      <c r="H184" s="229" t="s">
        <v>1782</v>
      </c>
      <c r="I184" s="230">
        <v>45412</v>
      </c>
      <c r="J184" s="230" t="s">
        <v>34</v>
      </c>
      <c r="K184" s="226">
        <v>45412</v>
      </c>
      <c r="L184" s="165" t="s">
        <v>1562</v>
      </c>
      <c r="M184" s="222">
        <v>269</v>
      </c>
      <c r="N184" s="2" t="str">
        <f t="shared" ca="1" si="5"/>
        <v>CLOSED</v>
      </c>
    </row>
    <row r="185" spans="1:14" ht="18.75">
      <c r="A185" s="64" t="s">
        <v>462</v>
      </c>
      <c r="B185" s="98">
        <f>VLOOKUP([2]!Table27[[#This Row],[Location 
(drop-down)]],'[2]List source'!D$2:E$59,2,FALSE)</f>
        <v>127</v>
      </c>
      <c r="C185" s="99" t="s">
        <v>753</v>
      </c>
      <c r="D185" s="223" t="str">
        <f t="shared" si="4"/>
        <v>PTO271-127-23</v>
      </c>
      <c r="E185" s="228" t="s">
        <v>1783</v>
      </c>
      <c r="F185" s="229" t="e" cm="1">
        <f t="array" aca="1" ref="F185" ca="1">MID(LEFT(#REF!, INDEX(_xlfn._xlws.FILTER(ROW(INDIRECT("1:" &amp; LEN(#REF!))), (48 &lt;= CODE(MID(#REF!, ROW(INDIRECT("1:" &amp; LEN(#REF!))), 1))) * (CODE(MID(#REF!, ROW(INDIRECT("1:" &amp; LEN(#REF!))), 1)) &lt;= 57)), 1) - 1), FIND(":",#REF!) + 2, LEN(#REF!))</f>
        <v>#REF!</v>
      </c>
      <c r="G185" s="228" t="e">
        <f>MID(LEFT(#REF!, FIND(",",#REF!) - 1), FIND("{token}", SUBSTITUTE(#REF!, " ", "{token}", 2)) + 1, LEN(#REF!))</f>
        <v>#REF!</v>
      </c>
      <c r="H185" s="241" t="s">
        <v>1727</v>
      </c>
      <c r="I185" s="230">
        <v>45412</v>
      </c>
      <c r="J185" s="230" t="s">
        <v>34</v>
      </c>
      <c r="K185" s="226">
        <v>45412</v>
      </c>
      <c r="L185" s="165" t="s">
        <v>1562</v>
      </c>
      <c r="M185" s="222">
        <v>271</v>
      </c>
      <c r="N185" s="2" t="str">
        <f t="shared" ca="1" si="5"/>
        <v>CLOSED</v>
      </c>
    </row>
    <row r="186" spans="1:14" ht="30">
      <c r="A186" s="64" t="s">
        <v>591</v>
      </c>
      <c r="B186" s="98">
        <f>VLOOKUP([2]!Table27[[#This Row],[Location 
(drop-down)]],'[2]List source'!D$2:E$59,2,FALSE)</f>
        <v>127</v>
      </c>
      <c r="C186" s="99" t="s">
        <v>285</v>
      </c>
      <c r="D186" s="223" t="str">
        <f t="shared" si="4"/>
        <v>PTO272-127-23</v>
      </c>
      <c r="E186" s="228" t="s">
        <v>1784</v>
      </c>
      <c r="F186" s="229" t="e" cm="1">
        <f t="array" aca="1" ref="F186" ca="1">MID(LEFT(#REF!, INDEX(_xlfn._xlws.FILTER(ROW(INDIRECT("1:" &amp; LEN(#REF!))), (48 &lt;= CODE(MID(#REF!, ROW(INDIRECT("1:" &amp; LEN(#REF!))), 1))) * (CODE(MID(#REF!, ROW(INDIRECT("1:" &amp; LEN(#REF!))), 1)) &lt;= 57)), 1) - 1), FIND(":",#REF!) + 2, LEN(#REF!))</f>
        <v>#REF!</v>
      </c>
      <c r="G186" s="228" t="e">
        <f>MID(LEFT(#REF!, FIND(",",#REF!) - 1), FIND("{token}", SUBSTITUTE(#REF!, " ", "{token}", 2)) + 1, LEN(#REF!))</f>
        <v>#REF!</v>
      </c>
      <c r="H186" s="229">
        <v>8.2799999999999994</v>
      </c>
      <c r="I186" s="230">
        <v>45412</v>
      </c>
      <c r="J186" s="230" t="s">
        <v>34</v>
      </c>
      <c r="K186" s="226">
        <v>45412</v>
      </c>
      <c r="L186" s="165" t="s">
        <v>1505</v>
      </c>
      <c r="M186" s="222">
        <v>272</v>
      </c>
      <c r="N186" s="2" t="str">
        <f t="shared" ca="1" si="5"/>
        <v>CLOSED</v>
      </c>
    </row>
    <row r="187" spans="1:14" ht="30">
      <c r="A187" s="64" t="s">
        <v>125</v>
      </c>
      <c r="B187" s="98">
        <f>VLOOKUP([2]!Table27[[#This Row],[Location 
(drop-down)]],'[2]List source'!D$2:E$59,2,FALSE)</f>
        <v>110</v>
      </c>
      <c r="C187" s="99" t="s">
        <v>633</v>
      </c>
      <c r="D187" s="223" t="str">
        <f t="shared" si="4"/>
        <v>PTO273-110-23</v>
      </c>
      <c r="E187" s="242" t="s">
        <v>1785</v>
      </c>
      <c r="F187" s="245" t="e" cm="1">
        <f t="array" aca="1" ref="F187" ca="1">MID(LEFT(#REF!, INDEX(_xlfn._xlws.FILTER(ROW(INDIRECT("1:" &amp; LEN(#REF!))), (48 &lt;= CODE(MID(#REF!, ROW(INDIRECT("1:" &amp; LEN(#REF!))), 1))) * (CODE(MID(#REF!, ROW(INDIRECT("1:" &amp; LEN(#REF!))), 1)) &lt;= 57)), 1) - 1), FIND(":",#REF!) + 2, LEN(#REF!))</f>
        <v>#REF!</v>
      </c>
      <c r="G187" s="242" t="e">
        <f>MID(LEFT(#REF!, FIND(",",#REF!) - 1), FIND("{token}", SUBSTITUTE(#REF!, " ", "{token}", 2)) + 1, LEN(#REF!))</f>
        <v>#REF!</v>
      </c>
      <c r="H187" s="229">
        <v>2.06</v>
      </c>
      <c r="I187" s="230">
        <v>45412</v>
      </c>
      <c r="J187" s="230" t="s">
        <v>34</v>
      </c>
      <c r="K187" s="226">
        <v>45412</v>
      </c>
      <c r="L187" s="165" t="s">
        <v>1562</v>
      </c>
      <c r="M187" s="222">
        <v>273</v>
      </c>
      <c r="N187" s="2" t="str">
        <f t="shared" ca="1" si="5"/>
        <v>CLOSED</v>
      </c>
    </row>
    <row r="188" spans="1:14" ht="18.75">
      <c r="A188" s="64" t="s">
        <v>311</v>
      </c>
      <c r="B188" s="98">
        <f>VLOOKUP([2]!Table27[[#This Row],[Location 
(drop-down)]],'[2]List source'!D$2:E$59,2,FALSE)</f>
        <v>124</v>
      </c>
      <c r="C188" s="99" t="s">
        <v>766</v>
      </c>
      <c r="D188" s="223" t="str">
        <f t="shared" si="4"/>
        <v>PTO279-124-23</v>
      </c>
      <c r="E188" s="227" t="s">
        <v>1786</v>
      </c>
      <c r="F188" s="165" t="e" cm="1">
        <f t="array" aca="1" ref="F188" ca="1">MID(LEFT(#REF!, INDEX(_xlfn._xlws.FILTER(ROW(INDIRECT("1:" &amp; LEN(#REF!))), (48 &lt;= CODE(MID(#REF!, ROW(INDIRECT("1:" &amp; LEN(#REF!))), 1))) * (CODE(MID(#REF!, ROW(INDIRECT("1:" &amp; LEN(#REF!))), 1)) &lt;= 57)), 1) - 1), FIND(":",#REF!) + 2, LEN(#REF!))</f>
        <v>#REF!</v>
      </c>
      <c r="G188" s="227" t="e">
        <f>MID(LEFT(#REF!, FIND(",",#REF!) - 1), FIND("{token}", SUBSTITUTE(#REF!, " ", "{token}", 2)) + 1, LEN(#REF!))</f>
        <v>#REF!</v>
      </c>
      <c r="H188" s="165">
        <v>2.2400000000000002</v>
      </c>
      <c r="I188" s="230">
        <v>45412</v>
      </c>
      <c r="J188" s="230" t="s">
        <v>34</v>
      </c>
      <c r="K188" s="226">
        <v>45412</v>
      </c>
      <c r="L188" s="165" t="s">
        <v>1562</v>
      </c>
      <c r="M188" s="222">
        <v>279</v>
      </c>
      <c r="N188" s="2" t="str">
        <f t="shared" ca="1" si="5"/>
        <v>CLOSED</v>
      </c>
    </row>
    <row r="189" spans="1:14" ht="18.75">
      <c r="A189" s="64" t="s">
        <v>213</v>
      </c>
      <c r="B189" s="98">
        <f>VLOOKUP([2]!Table27[[#This Row],[Location 
(drop-down)]],'[2]List source'!D$2:E$59,2,FALSE)</f>
        <v>132</v>
      </c>
      <c r="C189" s="99" t="s">
        <v>1042</v>
      </c>
      <c r="D189" s="223" t="str">
        <f t="shared" si="4"/>
        <v>PTO285-132-23</v>
      </c>
      <c r="E189" s="227" t="s">
        <v>1787</v>
      </c>
      <c r="F189" s="165" t="e" cm="1">
        <f t="array" aca="1" ref="F189" ca="1">MID(LEFT(#REF!, INDEX(_xlfn._xlws.FILTER(ROW(INDIRECT("1:" &amp; LEN(#REF!))), (48 &lt;= CODE(MID(#REF!, ROW(INDIRECT("1:" &amp; LEN(#REF!))), 1))) * (CODE(MID(#REF!, ROW(INDIRECT("1:" &amp; LEN(#REF!))), 1)) &lt;= 57)), 1) - 1), FIND(":",#REF!) + 2, LEN(#REF!))</f>
        <v>#REF!</v>
      </c>
      <c r="G189" s="227" t="e">
        <f>MID(LEFT(#REF!, FIND(",",#REF!) - 1), FIND("{token}", SUBSTITUTE(#REF!, " ", "{token}", 2)) + 1, LEN(#REF!))</f>
        <v>#REF!</v>
      </c>
      <c r="H189" s="165">
        <v>2.92</v>
      </c>
      <c r="I189" s="230">
        <v>45412</v>
      </c>
      <c r="J189" s="230" t="s">
        <v>34</v>
      </c>
      <c r="K189" s="226">
        <v>45412</v>
      </c>
      <c r="L189" s="165" t="s">
        <v>1562</v>
      </c>
      <c r="M189" s="222">
        <v>285</v>
      </c>
      <c r="N189" s="2" t="str">
        <f t="shared" ca="1" si="5"/>
        <v>CLOSED</v>
      </c>
    </row>
    <row r="190" spans="1:14" ht="18.75">
      <c r="A190" s="64" t="s">
        <v>264</v>
      </c>
      <c r="B190" s="98">
        <f>VLOOKUP([2]!Table27[[#This Row],[Location 
(drop-down)]],'[2]List source'!D$2:E$59,2,FALSE)</f>
        <v>145</v>
      </c>
      <c r="C190" s="99" t="s">
        <v>1788</v>
      </c>
      <c r="D190" s="223" t="str">
        <f t="shared" si="4"/>
        <v>PTO286-145-23</v>
      </c>
      <c r="E190" s="227" t="s">
        <v>1789</v>
      </c>
      <c r="F190" s="165" t="e" cm="1">
        <f t="array" aca="1" ref="F190" ca="1">MID(LEFT(#REF!, INDEX(_xlfn._xlws.FILTER(ROW(INDIRECT("1:" &amp; LEN(#REF!))), (48 &lt;= CODE(MID(#REF!, ROW(INDIRECT("1:" &amp; LEN(#REF!))), 1))) * (CODE(MID(#REF!, ROW(INDIRECT("1:" &amp; LEN(#REF!))), 1)) &lt;= 57)), 1) - 1), FIND(":",#REF!) + 2, LEN(#REF!))</f>
        <v>#REF!</v>
      </c>
      <c r="G190" s="227" t="e">
        <f>MID(LEFT(#REF!, FIND(",",#REF!) - 1), FIND("{token}", SUBSTITUTE(#REF!, " ", "{token}", 2)) + 1, LEN(#REF!))</f>
        <v>#REF!</v>
      </c>
      <c r="H190" s="165">
        <v>2.68</v>
      </c>
      <c r="I190" s="230">
        <v>45412</v>
      </c>
      <c r="J190" s="230" t="s">
        <v>34</v>
      </c>
      <c r="K190" s="226">
        <v>45412</v>
      </c>
      <c r="L190" s="165" t="s">
        <v>1562</v>
      </c>
      <c r="M190" s="222">
        <v>286</v>
      </c>
      <c r="N190" s="2" t="str">
        <f t="shared" ca="1" si="5"/>
        <v>CLOSED</v>
      </c>
    </row>
    <row r="191" spans="1:14" ht="18.75">
      <c r="A191" s="64" t="s">
        <v>167</v>
      </c>
      <c r="B191" s="98">
        <f>VLOOKUP([2]!Table27[[#This Row],[Location 
(drop-down)]],'[2]List source'!D$2:E$59,2,FALSE)</f>
        <v>150</v>
      </c>
      <c r="C191" s="99" t="s">
        <v>1360</v>
      </c>
      <c r="D191" s="223" t="str">
        <f t="shared" si="4"/>
        <v>PTO288-150-23</v>
      </c>
      <c r="E191" s="227" t="s">
        <v>1790</v>
      </c>
      <c r="F191" s="165" t="e" cm="1">
        <f t="array" aca="1" ref="F191" ca="1">MID(LEFT(#REF!, INDEX(_xlfn._xlws.FILTER(ROW(INDIRECT("1:" &amp; LEN(#REF!))), (48 &lt;= CODE(MID(#REF!, ROW(INDIRECT("1:" &amp; LEN(#REF!))), 1))) * (CODE(MID(#REF!, ROW(INDIRECT("1:" &amp; LEN(#REF!))), 1)) &lt;= 57)), 1) - 1), FIND(":",#REF!) + 2, LEN(#REF!))</f>
        <v>#REF!</v>
      </c>
      <c r="G191" s="227" t="e">
        <f>MID(LEFT(#REF!, FIND(",",#REF!) - 1), FIND("{token}", SUBSTITUTE(#REF!, " ", "{token}", 2)) + 1, LEN(#REF!))</f>
        <v>#REF!</v>
      </c>
      <c r="H191" s="236" t="s">
        <v>1791</v>
      </c>
      <c r="I191" s="230">
        <v>45412</v>
      </c>
      <c r="J191" s="230" t="s">
        <v>34</v>
      </c>
      <c r="K191" s="226">
        <v>45412</v>
      </c>
      <c r="L191" s="165" t="s">
        <v>1505</v>
      </c>
      <c r="M191" s="222">
        <v>288</v>
      </c>
      <c r="N191" s="2" t="str">
        <f t="shared" ca="1" si="5"/>
        <v>CLOSED</v>
      </c>
    </row>
    <row r="192" spans="1:14" ht="18.75">
      <c r="A192" s="64" t="s">
        <v>167</v>
      </c>
      <c r="B192" s="98">
        <f>VLOOKUP([2]!Table27[[#This Row],[Location 
(drop-down)]],'[2]List source'!D$2:E$59,2,FALSE)</f>
        <v>155</v>
      </c>
      <c r="C192" s="99" t="s">
        <v>1792</v>
      </c>
      <c r="D192" s="223" t="str">
        <f t="shared" si="4"/>
        <v>PTO289-155-23</v>
      </c>
      <c r="E192" s="227" t="s">
        <v>1793</v>
      </c>
      <c r="F192" s="165" t="e" cm="1">
        <f t="array" aca="1" ref="F192" ca="1">MID(LEFT(#REF!, INDEX(_xlfn._xlws.FILTER(ROW(INDIRECT("1:" &amp; LEN(#REF!))), (48 &lt;= CODE(MID(#REF!, ROW(INDIRECT("1:" &amp; LEN(#REF!))), 1))) * (CODE(MID(#REF!, ROW(INDIRECT("1:" &amp; LEN(#REF!))), 1)) &lt;= 57)), 1) - 1), FIND(":",#REF!) + 2, LEN(#REF!))</f>
        <v>#REF!</v>
      </c>
      <c r="G192" s="227" t="e">
        <f>MID(LEFT(#REF!, FIND(",",#REF!) - 1), FIND("{token}", SUBSTITUTE(#REF!, " ", "{token}", 2)) + 1, LEN(#REF!))</f>
        <v>#REF!</v>
      </c>
      <c r="H192" s="236" t="s">
        <v>1794</v>
      </c>
      <c r="I192" s="230">
        <v>45412</v>
      </c>
      <c r="J192" s="230" t="s">
        <v>34</v>
      </c>
      <c r="K192" s="226">
        <v>45412</v>
      </c>
      <c r="L192" s="165" t="s">
        <v>1505</v>
      </c>
      <c r="M192" s="222">
        <v>289</v>
      </c>
      <c r="N192" s="2" t="str">
        <f t="shared" ca="1" si="5"/>
        <v>CLOSED</v>
      </c>
    </row>
    <row r="193" spans="1:14" ht="30">
      <c r="A193" s="64" t="s">
        <v>485</v>
      </c>
      <c r="B193" s="98">
        <f>VLOOKUP([2]!Table27[[#This Row],[Location 
(drop-down)]],'[2]List source'!D$2:E$59,2,FALSE)</f>
        <v>165</v>
      </c>
      <c r="C193" s="99" t="s">
        <v>1449</v>
      </c>
      <c r="D193" s="223" t="str">
        <f t="shared" si="4"/>
        <v>PTO295-165-23</v>
      </c>
      <c r="E193" s="227" t="s">
        <v>1795</v>
      </c>
      <c r="F193" s="165" t="e" cm="1">
        <f t="array" aca="1" ref="F193" ca="1">MID(LEFT(#REF!, INDEX(_xlfn._xlws.FILTER(ROW(INDIRECT("1:" &amp; LEN(#REF!))), (48 &lt;= CODE(MID(#REF!, ROW(INDIRECT("1:" &amp; LEN(#REF!))), 1))) * (CODE(MID(#REF!, ROW(INDIRECT("1:" &amp; LEN(#REF!))), 1)) &lt;= 57)), 1) - 1), FIND(":",#REF!) + 2, LEN(#REF!))</f>
        <v>#REF!</v>
      </c>
      <c r="G193" s="227" t="e">
        <f>MID(LEFT(#REF!, FIND(",",#REF!) - 1), FIND("{token}", SUBSTITUTE(#REF!, " ", "{token}", 2)) + 1, LEN(#REF!))</f>
        <v>#REF!</v>
      </c>
      <c r="H193" s="165">
        <v>2.12</v>
      </c>
      <c r="I193" s="230">
        <v>45412</v>
      </c>
      <c r="J193" s="266" t="s">
        <v>34</v>
      </c>
      <c r="K193" s="269">
        <v>45412</v>
      </c>
      <c r="L193" s="165" t="s">
        <v>1562</v>
      </c>
      <c r="M193" s="270">
        <v>295</v>
      </c>
      <c r="N193" s="2" t="str">
        <f t="shared" ca="1" si="5"/>
        <v>CLOSED</v>
      </c>
    </row>
    <row r="194" spans="1:14" ht="30">
      <c r="A194" s="64" t="s">
        <v>500</v>
      </c>
      <c r="B194" s="98">
        <f>VLOOKUP([2]!Table27[[#This Row],[Location 
(drop-down)]],'[2]List source'!D$2:E$59,2,FALSE)</f>
        <v>192</v>
      </c>
      <c r="C194" s="99" t="s">
        <v>1454</v>
      </c>
      <c r="D194" s="223" t="str">
        <f t="shared" ref="D194:D257" si="6">"PTO" &amp; C194 &amp; "-" &amp; B194 &amp; "-" &amp; "23"</f>
        <v>PTO296-192-23</v>
      </c>
      <c r="E194" s="227" t="s">
        <v>1796</v>
      </c>
      <c r="F194" s="214" t="e" cm="1">
        <f t="array" aca="1" ref="F194" ca="1">MID(LEFT(#REF!, INDEX(_xlfn._xlws.FILTER(ROW(INDIRECT("1:" &amp; LEN(#REF!))), (48 &lt;= CODE(MID(#REF!, ROW(INDIRECT("1:" &amp; LEN(#REF!))), 1))) * (CODE(MID(#REF!, ROW(INDIRECT("1:" &amp; LEN(#REF!))), 1)) &lt;= 57)), 1) - 1), FIND(":",#REF!) + 2, LEN(#REF!))</f>
        <v>#REF!</v>
      </c>
      <c r="G194" s="215" t="e">
        <f>MID(LEFT(#REF!, FIND(",",#REF!) - 1), FIND("{token}", SUBSTITUTE(#REF!, " ", "{token}", 2)) + 1, LEN(#REF!))</f>
        <v>#REF!</v>
      </c>
      <c r="H194" s="214">
        <v>2.79</v>
      </c>
      <c r="I194" s="216">
        <v>45412</v>
      </c>
      <c r="J194" s="216" t="s">
        <v>34</v>
      </c>
      <c r="K194" s="217">
        <v>45412</v>
      </c>
      <c r="L194" s="165" t="s">
        <v>1562</v>
      </c>
      <c r="M194" s="218">
        <v>296</v>
      </c>
      <c r="N194" s="2" t="str">
        <f t="shared" ca="1" si="5"/>
        <v>CLOSED</v>
      </c>
    </row>
    <row r="195" spans="1:14" ht="30">
      <c r="A195" s="64" t="s">
        <v>202</v>
      </c>
      <c r="B195" s="98">
        <f>VLOOKUP([2]!Table27[[#This Row],[Location 
(drop-down)]],'[2]List source'!D$2:E$59,2,FALSE)</f>
        <v>198</v>
      </c>
      <c r="C195" s="99" t="s">
        <v>1457</v>
      </c>
      <c r="D195" s="223" t="str">
        <f t="shared" si="6"/>
        <v>PTO298-198-23</v>
      </c>
      <c r="E195" s="227" t="s">
        <v>1797</v>
      </c>
      <c r="F195" s="165" t="e" cm="1">
        <f t="array" aca="1" ref="F195" ca="1">MID(LEFT(#REF!, INDEX(_xlfn._xlws.FILTER(ROW(INDIRECT("1:" &amp; LEN(#REF!))), (48 &lt;= CODE(MID(#REF!, ROW(INDIRECT("1:" &amp; LEN(#REF!))), 1))) * (CODE(MID(#REF!, ROW(INDIRECT("1:" &amp; LEN(#REF!))), 1)) &lt;= 57)), 1) - 1), FIND(":",#REF!) + 2, LEN(#REF!))</f>
        <v>#REF!</v>
      </c>
      <c r="G195" s="227" t="e">
        <f>MID(LEFT(#REF!, FIND(",",#REF!) - 1), FIND("{token}", SUBSTITUTE(#REF!, " ", "{token}", 2)) + 1, LEN(#REF!))</f>
        <v>#REF!</v>
      </c>
      <c r="H195" s="165">
        <v>2.0699999999999998</v>
      </c>
      <c r="I195" s="230">
        <v>45412</v>
      </c>
      <c r="J195" s="230" t="s">
        <v>34</v>
      </c>
      <c r="K195" s="226">
        <v>45412</v>
      </c>
      <c r="L195" s="165" t="s">
        <v>1562</v>
      </c>
      <c r="M195" s="222">
        <v>298</v>
      </c>
      <c r="N195" s="2" t="str">
        <f t="shared" ca="1" si="5"/>
        <v>CLOSED</v>
      </c>
    </row>
    <row r="196" spans="1:14" ht="30">
      <c r="A196" s="64" t="s">
        <v>518</v>
      </c>
      <c r="B196" s="98">
        <f>VLOOKUP([2]!Table27[[#This Row],[Location 
(drop-down)]],'[2]List source'!D$2:E$59,2,FALSE)</f>
        <v>215</v>
      </c>
      <c r="C196" s="99" t="s">
        <v>74</v>
      </c>
      <c r="D196" s="223" t="str">
        <f t="shared" si="6"/>
        <v>PTO299-215-23</v>
      </c>
      <c r="E196" s="227" t="s">
        <v>1798</v>
      </c>
      <c r="F196" s="165" t="e" cm="1">
        <f t="array" aca="1" ref="F196" ca="1">MID(LEFT(#REF!, INDEX(_xlfn._xlws.FILTER(ROW(INDIRECT("1:" &amp; LEN(#REF!))), (48 &lt;= CODE(MID(#REF!, ROW(INDIRECT("1:" &amp; LEN(#REF!))), 1))) * (CODE(MID(#REF!, ROW(INDIRECT("1:" &amp; LEN(#REF!))), 1)) &lt;= 57)), 1) - 1), FIND(":",#REF!) + 2, LEN(#REF!))</f>
        <v>#REF!</v>
      </c>
      <c r="G196" s="227" t="e">
        <f>MID(LEFT(#REF!, FIND(",",#REF!) - 1), FIND("{token}", SUBSTITUTE(#REF!, " ", "{token}", 2)) + 1, LEN(#REF!))</f>
        <v>#REF!</v>
      </c>
      <c r="H196" s="165">
        <v>2.5299999999999998</v>
      </c>
      <c r="I196" s="230">
        <v>45412</v>
      </c>
      <c r="J196" s="230" t="s">
        <v>34</v>
      </c>
      <c r="K196" s="226">
        <v>45412</v>
      </c>
      <c r="L196" s="165" t="s">
        <v>1562</v>
      </c>
      <c r="M196" s="222">
        <v>299</v>
      </c>
      <c r="N196" s="2" t="str">
        <f t="shared" ca="1" si="5"/>
        <v>CLOSED</v>
      </c>
    </row>
    <row r="197" spans="1:14" ht="30">
      <c r="A197" s="64" t="s">
        <v>714</v>
      </c>
      <c r="B197" s="98">
        <f>VLOOKUP([2]!Table27[[#This Row],[Location 
(drop-down)]],'[2]List source'!D$2:E$59,2,FALSE)</f>
        <v>155</v>
      </c>
      <c r="C197" s="99" t="s">
        <v>1460</v>
      </c>
      <c r="D197" s="223" t="str">
        <f t="shared" si="6"/>
        <v>PTO300-155-23</v>
      </c>
      <c r="E197" s="227" t="s">
        <v>1787</v>
      </c>
      <c r="F197" s="165" t="e" cm="1">
        <f t="array" aca="1" ref="F197" ca="1">MID(LEFT(#REF!, INDEX(_xlfn._xlws.FILTER(ROW(INDIRECT("1:" &amp; LEN(#REF!))), (48 &lt;= CODE(MID(#REF!, ROW(INDIRECT("1:" &amp; LEN(#REF!))), 1))) * (CODE(MID(#REF!, ROW(INDIRECT("1:" &amp; LEN(#REF!))), 1)) &lt;= 57)), 1) - 1), FIND(":",#REF!) + 2, LEN(#REF!))</f>
        <v>#REF!</v>
      </c>
      <c r="G197" s="227" t="e">
        <f>MID(LEFT(#REF!, FIND(",",#REF!) - 1), FIND("{token}", SUBSTITUTE(#REF!, " ", "{token}", 2)) + 1, LEN(#REF!))</f>
        <v>#REF!</v>
      </c>
      <c r="H197" s="236" t="s">
        <v>1799</v>
      </c>
      <c r="I197" s="230">
        <v>45412</v>
      </c>
      <c r="J197" s="230" t="s">
        <v>34</v>
      </c>
      <c r="K197" s="226">
        <v>45412</v>
      </c>
      <c r="L197" s="165" t="s">
        <v>1562</v>
      </c>
      <c r="M197" s="222">
        <v>300</v>
      </c>
      <c r="N197" s="2" t="str">
        <f t="shared" ca="1" si="5"/>
        <v>CLOSED</v>
      </c>
    </row>
    <row r="198" spans="1:14" ht="18.75">
      <c r="A198" s="64" t="s">
        <v>156</v>
      </c>
      <c r="B198" s="98">
        <f>VLOOKUP([2]!Table27[[#This Row],[Location 
(drop-down)]],'[2]List source'!D$2:E$59,2,FALSE)</f>
        <v>155</v>
      </c>
      <c r="C198" s="99" t="s">
        <v>234</v>
      </c>
      <c r="D198" s="223" t="str">
        <f t="shared" si="6"/>
        <v>PTO303-155-23</v>
      </c>
      <c r="E198" s="227" t="s">
        <v>1800</v>
      </c>
      <c r="F198" s="165" t="s">
        <v>1769</v>
      </c>
      <c r="G198" s="227" t="s">
        <v>1770</v>
      </c>
      <c r="H198" s="236" t="s">
        <v>1653</v>
      </c>
      <c r="I198" s="230">
        <v>45412</v>
      </c>
      <c r="J198" s="230" t="s">
        <v>34</v>
      </c>
      <c r="K198" s="226">
        <v>45412</v>
      </c>
      <c r="L198" s="165" t="s">
        <v>1562</v>
      </c>
      <c r="M198" s="222">
        <v>303</v>
      </c>
      <c r="N198" s="2" t="str">
        <f t="shared" ca="1" si="5"/>
        <v>CLOSED</v>
      </c>
    </row>
    <row r="199" spans="1:14" ht="30">
      <c r="A199" s="64" t="s">
        <v>1334</v>
      </c>
      <c r="B199" s="98">
        <f>VLOOKUP([2]!Table27[[#This Row],[Location 
(drop-down)]],'[2]List source'!D$2:E$59,2,FALSE)</f>
        <v>155</v>
      </c>
      <c r="C199" s="99" t="s">
        <v>1202</v>
      </c>
      <c r="D199" s="223" t="str">
        <f t="shared" si="6"/>
        <v>PTO306-155-23</v>
      </c>
      <c r="E199" s="227" t="s">
        <v>1801</v>
      </c>
      <c r="F199" s="165" t="s">
        <v>1769</v>
      </c>
      <c r="G199" s="227" t="s">
        <v>1770</v>
      </c>
      <c r="H199" s="236" t="s">
        <v>1802</v>
      </c>
      <c r="I199" s="230">
        <v>45412</v>
      </c>
      <c r="J199" s="230" t="s">
        <v>34</v>
      </c>
      <c r="K199" s="226">
        <v>45412</v>
      </c>
      <c r="L199" s="165" t="s">
        <v>1562</v>
      </c>
      <c r="M199" s="222">
        <v>306</v>
      </c>
      <c r="N199" s="2" t="str">
        <f t="shared" ca="1" si="5"/>
        <v>CLOSED</v>
      </c>
    </row>
    <row r="200" spans="1:14" ht="30">
      <c r="A200" s="64" t="s">
        <v>80</v>
      </c>
      <c r="B200" s="98">
        <f>VLOOKUP([2]!Table27[[#This Row],[Location 
(drop-down)]],'[2]List source'!D$2:E$59,2,FALSE)</f>
        <v>185</v>
      </c>
      <c r="C200" s="99" t="s">
        <v>1074</v>
      </c>
      <c r="D200" s="223" t="str">
        <f t="shared" si="6"/>
        <v>PTO307-185-23</v>
      </c>
      <c r="E200" s="227" t="s">
        <v>1803</v>
      </c>
      <c r="F200" s="165" t="s">
        <v>1769</v>
      </c>
      <c r="G200" s="227" t="s">
        <v>1770</v>
      </c>
      <c r="H200" s="165">
        <v>2.12</v>
      </c>
      <c r="I200" s="230">
        <v>45412</v>
      </c>
      <c r="J200" s="230" t="s">
        <v>34</v>
      </c>
      <c r="K200" s="226">
        <v>45412</v>
      </c>
      <c r="L200" s="165" t="s">
        <v>1562</v>
      </c>
      <c r="M200" s="222">
        <v>307</v>
      </c>
      <c r="N200" s="2" t="str">
        <f t="shared" ca="1" si="5"/>
        <v>CLOSED</v>
      </c>
    </row>
    <row r="201" spans="1:14" ht="30">
      <c r="A201" s="64" t="s">
        <v>500</v>
      </c>
      <c r="B201" s="98">
        <f>VLOOKUP([2]!Table27[[#This Row],[Location 
(drop-down)]],'[2]List source'!D$2:E$59,2,FALSE)</f>
        <v>158</v>
      </c>
      <c r="C201" s="99" t="s">
        <v>1033</v>
      </c>
      <c r="D201" s="223" t="str">
        <f t="shared" si="6"/>
        <v>PTO309-158-23</v>
      </c>
      <c r="E201" s="227" t="s">
        <v>1804</v>
      </c>
      <c r="F201" s="165" t="s">
        <v>1769</v>
      </c>
      <c r="G201" s="227" t="s">
        <v>1805</v>
      </c>
      <c r="H201" s="236" t="s">
        <v>1806</v>
      </c>
      <c r="I201" s="230">
        <v>45412</v>
      </c>
      <c r="J201" s="230" t="s">
        <v>34</v>
      </c>
      <c r="K201" s="226">
        <v>45412</v>
      </c>
      <c r="L201" s="165" t="s">
        <v>1562</v>
      </c>
      <c r="M201" s="222">
        <v>309</v>
      </c>
      <c r="N201" s="2" t="str">
        <f t="shared" ca="1" si="5"/>
        <v>CLOSED</v>
      </c>
    </row>
    <row r="202" spans="1:14" ht="30">
      <c r="A202" s="64" t="s">
        <v>39</v>
      </c>
      <c r="B202" s="98">
        <f>VLOOKUP([2]!Table27[[#This Row],[Location 
(drop-down)]],'[2]List source'!D$2:E$59,2,FALSE)</f>
        <v>191</v>
      </c>
      <c r="C202" s="99" t="s">
        <v>858</v>
      </c>
      <c r="D202" s="223" t="str">
        <f t="shared" si="6"/>
        <v>PTO313-191-23</v>
      </c>
      <c r="E202" s="227" t="s">
        <v>1807</v>
      </c>
      <c r="F202" s="165" t="e" cm="1">
        <f t="array" aca="1" ref="F202" ca="1">MID(LEFT(#REF!, INDEX(_xlfn._xlws.FILTER(ROW(INDIRECT("1:" &amp; LEN(#REF!))), (48 &lt;= CODE(MID(#REF!, ROW(INDIRECT("1:" &amp; LEN(#REF!))), 1))) * (CODE(MID(#REF!, ROW(INDIRECT("1:" &amp; LEN(#REF!))), 1)) &lt;= 57)), 1) - 1), FIND(":",#REF!) + 2, LEN(#REF!))</f>
        <v>#REF!</v>
      </c>
      <c r="G202" s="227" t="e">
        <f>MID(LEFT(#REF!, FIND(",",#REF!) - 1), FIND("{token}", SUBSTITUTE(#REF!, " ", "{token}", 2)) + 1, LEN(#REF!))</f>
        <v>#REF!</v>
      </c>
      <c r="H202" s="236" t="s">
        <v>1808</v>
      </c>
      <c r="I202" s="230">
        <v>45412</v>
      </c>
      <c r="J202" s="230" t="s">
        <v>34</v>
      </c>
      <c r="K202" s="226">
        <v>45412</v>
      </c>
      <c r="L202" s="165" t="s">
        <v>1562</v>
      </c>
      <c r="M202" s="222">
        <v>313</v>
      </c>
      <c r="N202" s="2" t="str">
        <f t="shared" ca="1" si="5"/>
        <v>CLOSED</v>
      </c>
    </row>
    <row r="203" spans="1:14" ht="30">
      <c r="A203" s="64" t="s">
        <v>202</v>
      </c>
      <c r="B203" s="98">
        <f>VLOOKUP([2]!Table27[[#This Row],[Location 
(drop-down)]],'[2]List source'!D$2:E$59,2,FALSE)</f>
        <v>110</v>
      </c>
      <c r="C203" s="99" t="s">
        <v>198</v>
      </c>
      <c r="D203" s="223" t="str">
        <f t="shared" si="6"/>
        <v>PTO314-110-23</v>
      </c>
      <c r="E203" s="215" t="s">
        <v>1809</v>
      </c>
      <c r="F203" s="165" t="e" cm="1">
        <f t="array" aca="1" ref="F203" ca="1">MID(LEFT(#REF!, INDEX(_xlfn._xlws.FILTER(ROW(INDIRECT("1:" &amp; LEN(#REF!))), (48 &lt;= CODE(MID(#REF!, ROW(INDIRECT("1:" &amp; LEN(#REF!))), 1))) * (CODE(MID(#REF!, ROW(INDIRECT("1:" &amp; LEN(#REF!))), 1)) &lt;= 57)), 1) - 1), FIND(":",#REF!) + 2, LEN(#REF!))</f>
        <v>#REF!</v>
      </c>
      <c r="G203" s="227" t="e">
        <f>MID(LEFT(#REF!, FIND(",",#REF!) - 1), FIND("{token}", SUBSTITUTE(#REF!, " ", "{token}", 2)) + 1, LEN(#REF!))</f>
        <v>#REF!</v>
      </c>
      <c r="H203" s="165">
        <v>2.5099999999999998</v>
      </c>
      <c r="I203" s="230">
        <v>45412</v>
      </c>
      <c r="J203" s="230" t="s">
        <v>34</v>
      </c>
      <c r="K203" s="226">
        <v>45412</v>
      </c>
      <c r="L203" s="165" t="s">
        <v>1562</v>
      </c>
      <c r="M203" s="222">
        <v>314</v>
      </c>
      <c r="N203" s="2" t="str">
        <f t="shared" ca="1" si="5"/>
        <v>CLOSED</v>
      </c>
    </row>
    <row r="204" spans="1:14" ht="30">
      <c r="A204" s="64" t="s">
        <v>39</v>
      </c>
      <c r="B204" s="98">
        <f>VLOOKUP([2]!Table27[[#This Row],[Location 
(drop-down)]],'[2]List source'!D$2:E$59,2,FALSE)</f>
        <v>210</v>
      </c>
      <c r="C204" s="99" t="s">
        <v>849</v>
      </c>
      <c r="D204" s="223" t="str">
        <f t="shared" si="6"/>
        <v>PTO318-210-23</v>
      </c>
      <c r="E204" s="227" t="s">
        <v>1810</v>
      </c>
      <c r="F204" s="165" t="s">
        <v>1811</v>
      </c>
      <c r="G204" s="227" t="e">
        <f>MID(LEFT(#REF!, FIND(",",#REF!) - 1), FIND("{token}", SUBSTITUTE(#REF!, " ", "{token}", 2)) + 1, LEN(#REF!))</f>
        <v>#REF!</v>
      </c>
      <c r="H204" s="165">
        <v>2.85</v>
      </c>
      <c r="I204" s="230">
        <v>45412</v>
      </c>
      <c r="J204" s="230" t="s">
        <v>34</v>
      </c>
      <c r="K204" s="226">
        <v>45412</v>
      </c>
      <c r="L204" s="165" t="s">
        <v>1562</v>
      </c>
      <c r="M204" s="222">
        <v>318</v>
      </c>
      <c r="N204" s="2" t="str">
        <f t="shared" ca="1" si="5"/>
        <v>CLOSED</v>
      </c>
    </row>
    <row r="205" spans="1:14" ht="18.75">
      <c r="A205" s="64" t="s">
        <v>156</v>
      </c>
      <c r="B205" s="98">
        <f>VLOOKUP([2]!Table27[[#This Row],[Location 
(drop-down)]],'[2]List source'!D$2:E$59,2,FALSE)</f>
        <v>210</v>
      </c>
      <c r="C205" s="99" t="s">
        <v>153</v>
      </c>
      <c r="D205" s="223" t="str">
        <f t="shared" si="6"/>
        <v>PTO302-210-23</v>
      </c>
      <c r="E205" s="227" t="s">
        <v>1812</v>
      </c>
      <c r="F205" s="165" t="s">
        <v>1769</v>
      </c>
      <c r="G205" s="227" t="e">
        <f>MID(LEFT(#REF!, FIND(",",#REF!) - 1), FIND("{token}", SUBSTITUTE(#REF!, " ", "{token}", 2)) + 1, LEN(#REF!))</f>
        <v>#REF!</v>
      </c>
      <c r="H205" s="165">
        <v>2.08</v>
      </c>
      <c r="I205" s="230">
        <v>45412</v>
      </c>
      <c r="J205" s="266" t="s">
        <v>34</v>
      </c>
      <c r="K205" s="269">
        <v>45413</v>
      </c>
      <c r="L205" s="165" t="s">
        <v>1505</v>
      </c>
      <c r="M205" s="191">
        <v>302</v>
      </c>
      <c r="N205" s="2" t="str">
        <f t="shared" ca="1" si="5"/>
        <v>CLOSED</v>
      </c>
    </row>
    <row r="206" spans="1:14" ht="30">
      <c r="A206" s="64" t="s">
        <v>125</v>
      </c>
      <c r="B206" s="98">
        <f>VLOOKUP([2]!Table27[[#This Row],[Location 
(drop-down)]],'[2]List source'!D$2:E$59,2,FALSE)</f>
        <v>210</v>
      </c>
      <c r="C206" s="99" t="s">
        <v>244</v>
      </c>
      <c r="D206" s="223" t="str">
        <f t="shared" si="6"/>
        <v>PTO323-210-23</v>
      </c>
      <c r="E206" s="227" t="s">
        <v>1813</v>
      </c>
      <c r="F206" s="165" t="s">
        <v>1814</v>
      </c>
      <c r="G206" s="227" t="s">
        <v>1815</v>
      </c>
      <c r="H206" s="236" t="s">
        <v>1816</v>
      </c>
      <c r="I206" s="230">
        <v>45413</v>
      </c>
      <c r="J206" s="230" t="s">
        <v>34</v>
      </c>
      <c r="K206" s="226">
        <v>45413</v>
      </c>
      <c r="L206" s="165" t="s">
        <v>1562</v>
      </c>
      <c r="M206" s="191">
        <v>323</v>
      </c>
      <c r="N206" s="2" t="str">
        <f t="shared" ca="1" si="5"/>
        <v>CLOSED</v>
      </c>
    </row>
    <row r="207" spans="1:14" ht="30">
      <c r="A207" s="64" t="s">
        <v>30</v>
      </c>
      <c r="B207" s="98">
        <f>VLOOKUP([2]!Table27[[#This Row],[Location 
(drop-down)]],'[2]List source'!D$2:E$59,2,FALSE)</f>
        <v>210</v>
      </c>
      <c r="C207" s="99" t="s">
        <v>242</v>
      </c>
      <c r="D207" s="223" t="str">
        <f t="shared" si="6"/>
        <v>PTO325-210-23</v>
      </c>
      <c r="E207" s="190" t="s">
        <v>1817</v>
      </c>
      <c r="F207" s="165" t="s">
        <v>1818</v>
      </c>
      <c r="G207" s="227" t="e">
        <f>MID(LEFT(#REF!, FIND(",",#REF!) - 1), FIND("{token}", SUBSTITUTE(#REF!, " ", "{token}", 2)) + 1, LEN(#REF!))</f>
        <v>#REF!</v>
      </c>
      <c r="H207" s="236" t="s">
        <v>1819</v>
      </c>
      <c r="I207" s="230">
        <v>45413</v>
      </c>
      <c r="J207" s="230" t="s">
        <v>34</v>
      </c>
      <c r="K207" s="226">
        <v>45413</v>
      </c>
      <c r="L207" s="165" t="s">
        <v>1562</v>
      </c>
      <c r="M207" s="191">
        <v>325</v>
      </c>
      <c r="N207" s="2" t="str">
        <f t="shared" ca="1" si="5"/>
        <v>CLOSED</v>
      </c>
    </row>
    <row r="208" spans="1:14" ht="30">
      <c r="A208" s="64" t="s">
        <v>30</v>
      </c>
      <c r="B208" s="98">
        <f>VLOOKUP([2]!Table27[[#This Row],[Location 
(drop-down)]],'[2]List source'!D$2:E$59,2,FALSE)</f>
        <v>136</v>
      </c>
      <c r="C208" s="99" t="s">
        <v>219</v>
      </c>
      <c r="D208" s="223" t="str">
        <f t="shared" si="6"/>
        <v>PTO328-136-23</v>
      </c>
      <c r="E208" s="227" t="s">
        <v>1820</v>
      </c>
      <c r="F208" s="165" t="s">
        <v>1821</v>
      </c>
      <c r="G208" s="227" t="e">
        <f>MID(LEFT(#REF!, FIND(",",#REF!) - 1), FIND("{token}", SUBSTITUTE(#REF!, " ", "{token}", 2)) + 1, LEN(#REF!))</f>
        <v>#REF!</v>
      </c>
      <c r="H208" s="236" t="s">
        <v>1822</v>
      </c>
      <c r="I208" s="230">
        <v>45413</v>
      </c>
      <c r="J208" s="230" t="s">
        <v>34</v>
      </c>
      <c r="K208" s="226">
        <v>45413</v>
      </c>
      <c r="L208" s="165" t="s">
        <v>1562</v>
      </c>
      <c r="M208" s="191">
        <v>328</v>
      </c>
      <c r="N208" s="2" t="str">
        <f t="shared" ca="1" si="5"/>
        <v>CLOSED</v>
      </c>
    </row>
    <row r="209" spans="1:14" ht="30">
      <c r="A209" s="64" t="s">
        <v>30</v>
      </c>
      <c r="B209" s="98">
        <f>VLOOKUP([2]!Table27[[#This Row],[Location 
(drop-down)]],'[2]List source'!D$2:E$59,2,FALSE)</f>
        <v>139</v>
      </c>
      <c r="C209" s="99" t="s">
        <v>1214</v>
      </c>
      <c r="D209" s="223" t="str">
        <f t="shared" si="6"/>
        <v>PTO331-139-23</v>
      </c>
      <c r="E209" s="227" t="s">
        <v>1823</v>
      </c>
      <c r="F209" s="165" t="s">
        <v>1824</v>
      </c>
      <c r="G209" s="227" t="s">
        <v>1825</v>
      </c>
      <c r="H209" s="165">
        <v>2.0099999999999998</v>
      </c>
      <c r="I209" s="230">
        <v>45413</v>
      </c>
      <c r="J209" s="230" t="s">
        <v>34</v>
      </c>
      <c r="K209" s="226">
        <v>45413</v>
      </c>
      <c r="L209" s="165" t="s">
        <v>1562</v>
      </c>
      <c r="M209" s="191">
        <v>331</v>
      </c>
      <c r="N209" s="2" t="str">
        <f t="shared" ca="1" si="5"/>
        <v>CLOSED</v>
      </c>
    </row>
    <row r="210" spans="1:14" ht="30">
      <c r="A210" s="64" t="s">
        <v>125</v>
      </c>
      <c r="B210" s="98">
        <f>VLOOKUP([2]!Table27[[#This Row],[Location 
(drop-down)]],'[2]List source'!D$2:E$59,2,FALSE)</f>
        <v>141</v>
      </c>
      <c r="C210" s="99" t="s">
        <v>1217</v>
      </c>
      <c r="D210" s="223" t="str">
        <f t="shared" si="6"/>
        <v>PTO332-141-23</v>
      </c>
      <c r="E210" s="227" t="s">
        <v>1826</v>
      </c>
      <c r="F210" s="165" t="s">
        <v>1827</v>
      </c>
      <c r="G210" s="227" t="s">
        <v>1815</v>
      </c>
      <c r="H210" s="165">
        <v>2.02</v>
      </c>
      <c r="I210" s="230">
        <v>45413</v>
      </c>
      <c r="J210" s="230" t="s">
        <v>34</v>
      </c>
      <c r="K210" s="226">
        <v>45413</v>
      </c>
      <c r="L210" s="165" t="s">
        <v>1562</v>
      </c>
      <c r="M210" s="222">
        <v>332</v>
      </c>
      <c r="N210" s="2" t="str">
        <f t="shared" ca="1" si="5"/>
        <v>CLOSED</v>
      </c>
    </row>
    <row r="211" spans="1:14" ht="30">
      <c r="A211" s="64" t="s">
        <v>30</v>
      </c>
      <c r="B211" s="98">
        <f>VLOOKUP([2]!Table27[[#This Row],[Location 
(drop-down)]],'[2]List source'!D$2:E$59,2,FALSE)</f>
        <v>139</v>
      </c>
      <c r="C211" s="99" t="s">
        <v>1220</v>
      </c>
      <c r="D211" s="223" t="str">
        <f t="shared" si="6"/>
        <v>PTO333-139-23</v>
      </c>
      <c r="E211" s="227" t="s">
        <v>1828</v>
      </c>
      <c r="F211" s="165" t="s">
        <v>1827</v>
      </c>
      <c r="G211" s="227" t="e">
        <f>MID(LEFT(#REF!, FIND(",",#REF!) - 1), FIND("{token}", SUBSTITUTE(#REF!, " ", "{token}", 2)) + 1, LEN(#REF!))</f>
        <v>#REF!</v>
      </c>
      <c r="H211" s="165">
        <v>2.08</v>
      </c>
      <c r="I211" s="230">
        <v>45413</v>
      </c>
      <c r="J211" s="266" t="s">
        <v>34</v>
      </c>
      <c r="K211" s="269">
        <v>45413</v>
      </c>
      <c r="L211" s="165" t="s">
        <v>1562</v>
      </c>
      <c r="M211" s="270">
        <v>333</v>
      </c>
      <c r="N211" s="2" t="str">
        <f t="shared" ca="1" si="5"/>
        <v>CLOSED</v>
      </c>
    </row>
    <row r="212" spans="1:14" ht="30">
      <c r="A212" s="64" t="s">
        <v>30</v>
      </c>
      <c r="B212" s="98">
        <f>VLOOKUP([2]!Table27[[#This Row],[Location 
(drop-down)]],'[2]List source'!D$2:E$59,2,FALSE)</f>
        <v>210</v>
      </c>
      <c r="C212" s="99" t="s">
        <v>884</v>
      </c>
      <c r="D212" s="223" t="str">
        <f t="shared" si="6"/>
        <v>PTO335-210-23</v>
      </c>
      <c r="E212" s="227" t="s">
        <v>1829</v>
      </c>
      <c r="F212" s="165" t="s">
        <v>1830</v>
      </c>
      <c r="G212" s="227" t="s">
        <v>1831</v>
      </c>
      <c r="H212" s="165">
        <v>2.1800000000000002</v>
      </c>
      <c r="I212" s="230">
        <v>45413</v>
      </c>
      <c r="J212" s="266" t="s">
        <v>34</v>
      </c>
      <c r="K212" s="269">
        <v>45413</v>
      </c>
      <c r="L212" s="165" t="s">
        <v>1562</v>
      </c>
      <c r="M212" s="270">
        <v>335</v>
      </c>
      <c r="N212" s="2" t="str">
        <f t="shared" ca="1" si="5"/>
        <v>CLOSED</v>
      </c>
    </row>
    <row r="213" spans="1:14" ht="30">
      <c r="A213" s="64" t="s">
        <v>30</v>
      </c>
      <c r="B213" s="98">
        <f>VLOOKUP([2]!Table27[[#This Row],[Location 
(drop-down)]],'[2]List source'!D$2:E$59,2,FALSE)</f>
        <v>210</v>
      </c>
      <c r="C213" s="99" t="s">
        <v>874</v>
      </c>
      <c r="D213" s="223" t="str">
        <f t="shared" si="6"/>
        <v>PTO338-210-23</v>
      </c>
      <c r="E213" s="227" t="s">
        <v>1832</v>
      </c>
      <c r="F213" s="165" t="s">
        <v>1833</v>
      </c>
      <c r="G213" s="227" t="s">
        <v>1815</v>
      </c>
      <c r="H213" s="165"/>
      <c r="I213" s="230">
        <v>45413</v>
      </c>
      <c r="J213" s="266" t="s">
        <v>34</v>
      </c>
      <c r="K213" s="269">
        <v>45413</v>
      </c>
      <c r="L213" s="165" t="s">
        <v>1562</v>
      </c>
      <c r="M213" s="270">
        <v>338</v>
      </c>
      <c r="N213" s="2" t="str">
        <f t="shared" ca="1" si="5"/>
        <v>CLOSED</v>
      </c>
    </row>
    <row r="214" spans="1:14" ht="30">
      <c r="A214" s="64" t="s">
        <v>30</v>
      </c>
      <c r="B214" s="98">
        <f>VLOOKUP([2]!Table27[[#This Row],[Location 
(drop-down)]],'[2]List source'!D$2:E$59,2,FALSE)</f>
        <v>145</v>
      </c>
      <c r="C214" s="99" t="s">
        <v>1369</v>
      </c>
      <c r="D214" s="223" t="str">
        <f t="shared" si="6"/>
        <v>PTO340-145-23</v>
      </c>
      <c r="E214" s="227" t="s">
        <v>1834</v>
      </c>
      <c r="F214" s="165" t="s">
        <v>1833</v>
      </c>
      <c r="G214" s="227" t="s">
        <v>1556</v>
      </c>
      <c r="H214" s="165"/>
      <c r="I214" s="230">
        <v>45413</v>
      </c>
      <c r="J214" s="266" t="s">
        <v>34</v>
      </c>
      <c r="K214" s="269">
        <v>45413</v>
      </c>
      <c r="L214" s="92" t="s">
        <v>1562</v>
      </c>
      <c r="M214" s="191">
        <v>340</v>
      </c>
      <c r="N214" s="2" t="str">
        <f t="shared" ca="1" si="5"/>
        <v>CLOSED</v>
      </c>
    </row>
    <row r="215" spans="1:14" ht="30">
      <c r="A215" s="64" t="s">
        <v>119</v>
      </c>
      <c r="B215" s="98">
        <f>VLOOKUP([2]!Table27[[#This Row],[Location 
(drop-down)]],'[2]List source'!D$2:E$59,2,FALSE)</f>
        <v>132</v>
      </c>
      <c r="C215" s="99" t="s">
        <v>231</v>
      </c>
      <c r="D215" s="223" t="str">
        <f t="shared" si="6"/>
        <v>PTO189-132-23</v>
      </c>
      <c r="E215" s="227" t="s">
        <v>1835</v>
      </c>
      <c r="F215" s="165" t="e" cm="1">
        <f t="array" aca="1" ref="F215" ca="1">MID(LEFT(#REF!, INDEX(_xlfn._xlws.FILTER(ROW(INDIRECT("1:" &amp; LEN(#REF!))), (48 &lt;= CODE(MID(#REF!, ROW(INDIRECT("1:" &amp; LEN(#REF!))), 1))) * (CODE(MID(#REF!, ROW(INDIRECT("1:" &amp; LEN(#REF!))), 1)) &lt;= 57)), 1) - 1), FIND(":",#REF!) + 2, LEN(#REF!))</f>
        <v>#REF!</v>
      </c>
      <c r="G215" s="227" t="e">
        <f>MID(LEFT(#REF!, FIND(",",#REF!) - 1), FIND("{token}", SUBSTITUTE(#REF!, " ", "{token}", 2)) + 1, LEN(#REF!))</f>
        <v>#REF!</v>
      </c>
      <c r="H215" s="165">
        <v>3.04</v>
      </c>
      <c r="I215" s="260">
        <v>45397</v>
      </c>
      <c r="J215" s="266" t="s">
        <v>111</v>
      </c>
      <c r="K215" s="269">
        <v>45414</v>
      </c>
      <c r="L215" s="165"/>
      <c r="M215" s="270">
        <v>189</v>
      </c>
      <c r="N215" s="2" t="str">
        <f t="shared" ca="1" si="5"/>
        <v>CLOSED</v>
      </c>
    </row>
    <row r="216" spans="1:14" ht="30">
      <c r="A216" s="64" t="s">
        <v>125</v>
      </c>
      <c r="B216" s="98">
        <f>VLOOKUP([2]!Table27[[#This Row],[Location 
(drop-down)]],'[2]List source'!D$2:E$59,2,FALSE)</f>
        <v>170</v>
      </c>
      <c r="C216" s="99" t="s">
        <v>854</v>
      </c>
      <c r="D216" s="223" t="str">
        <f t="shared" si="6"/>
        <v>PTO336-170-23</v>
      </c>
      <c r="E216" s="227" t="s">
        <v>1836</v>
      </c>
      <c r="F216" s="165" t="s">
        <v>1833</v>
      </c>
      <c r="G216" s="227" t="e">
        <f>MID(LEFT(#REF!, FIND(",",#REF!) - 1), FIND("{token}", SUBSTITUTE(#REF!, " ", "{token}", 2)) + 1, LEN(#REF!))</f>
        <v>#REF!</v>
      </c>
      <c r="H216" s="165">
        <v>-16.440000000000001</v>
      </c>
      <c r="I216" s="230">
        <v>45413</v>
      </c>
      <c r="J216" s="266" t="s">
        <v>34</v>
      </c>
      <c r="K216" s="269">
        <v>45414</v>
      </c>
      <c r="L216" s="92" t="s">
        <v>1837</v>
      </c>
      <c r="M216" s="191">
        <v>336</v>
      </c>
      <c r="N216" s="2" t="str">
        <f t="shared" ref="N216:N279" ca="1" si="7">IF(ISBLANK(K216), TODAY()-(I216), "CLOSED")</f>
        <v>CLOSED</v>
      </c>
    </row>
    <row r="217" spans="1:14" ht="30">
      <c r="A217" s="64" t="s">
        <v>125</v>
      </c>
      <c r="B217" s="98">
        <f>VLOOKUP([2]!Table27[[#This Row],[Location 
(drop-down)]],'[2]List source'!D$2:E$59,2,FALSE)</f>
        <v>180</v>
      </c>
      <c r="C217" s="99" t="s">
        <v>872</v>
      </c>
      <c r="D217" s="223" t="str">
        <f t="shared" si="6"/>
        <v>PTO337-180-23</v>
      </c>
      <c r="E217" s="227" t="s">
        <v>1838</v>
      </c>
      <c r="F217" s="165" t="s">
        <v>1833</v>
      </c>
      <c r="G217" s="227" t="e">
        <f>MID(LEFT(#REF!, FIND(",",#REF!) - 1), FIND("{token}", SUBSTITUTE(#REF!, " ", "{token}", 2)) + 1, LEN(#REF!))</f>
        <v>#REF!</v>
      </c>
      <c r="H217" s="165">
        <v>8.36</v>
      </c>
      <c r="I217" s="230">
        <v>45413</v>
      </c>
      <c r="J217" s="266" t="s">
        <v>34</v>
      </c>
      <c r="K217" s="269">
        <v>45414</v>
      </c>
      <c r="L217" s="92" t="s">
        <v>1505</v>
      </c>
      <c r="M217" s="191">
        <v>337</v>
      </c>
      <c r="N217" s="2" t="str">
        <f t="shared" ca="1" si="7"/>
        <v>CLOSED</v>
      </c>
    </row>
    <row r="218" spans="1:14" ht="30">
      <c r="A218" s="64" t="s">
        <v>114</v>
      </c>
      <c r="B218" s="98">
        <f>VLOOKUP([2]!Table27[[#This Row],[Location 
(drop-down)]],'[2]List source'!D$2:E$59,2,FALSE)</f>
        <v>180</v>
      </c>
      <c r="C218" s="99" t="s">
        <v>829</v>
      </c>
      <c r="D218" s="223" t="str">
        <f t="shared" si="6"/>
        <v>PTO343-180-23</v>
      </c>
      <c r="E218" s="227" t="s">
        <v>1839</v>
      </c>
      <c r="F218" s="165" t="s">
        <v>1840</v>
      </c>
      <c r="G218" s="227" t="e">
        <f>MID(LEFT(#REF!, FIND(",",#REF!) - 1), FIND("{token}", SUBSTITUTE(#REF!, " ", "{token}", 2)) + 1, LEN(#REF!))</f>
        <v>#REF!</v>
      </c>
      <c r="H218" s="165">
        <v>2.08</v>
      </c>
      <c r="I218" s="230">
        <v>45415</v>
      </c>
      <c r="J218" s="266" t="s">
        <v>34</v>
      </c>
      <c r="K218" s="269">
        <v>45415</v>
      </c>
      <c r="L218" s="165" t="s">
        <v>1562</v>
      </c>
      <c r="M218" s="270">
        <v>343</v>
      </c>
      <c r="N218" s="2" t="str">
        <f t="shared" ca="1" si="7"/>
        <v>CLOSED</v>
      </c>
    </row>
    <row r="219" spans="1:14" ht="30">
      <c r="A219" s="64" t="s">
        <v>495</v>
      </c>
      <c r="B219" s="98">
        <f>VLOOKUP([2]!Table27[[#This Row],[Location 
(drop-down)]],'[2]List source'!D$2:E$59,2,FALSE)</f>
        <v>180</v>
      </c>
      <c r="C219" s="99" t="s">
        <v>831</v>
      </c>
      <c r="D219" s="223" t="str">
        <f t="shared" si="6"/>
        <v>PTO344-180-23</v>
      </c>
      <c r="E219" s="227" t="s">
        <v>1841</v>
      </c>
      <c r="F219" s="165" t="s">
        <v>1840</v>
      </c>
      <c r="G219" s="227" t="e">
        <f>MID(LEFT(#REF!, FIND(",",#REF!) - 1), FIND("{token}", SUBSTITUTE(#REF!, " ", "{token}", 2)) + 1, LEN(#REF!))</f>
        <v>#REF!</v>
      </c>
      <c r="H219" s="236" t="s">
        <v>1842</v>
      </c>
      <c r="I219" s="230">
        <v>45415</v>
      </c>
      <c r="J219" s="266" t="s">
        <v>34</v>
      </c>
      <c r="K219" s="269">
        <v>45415</v>
      </c>
      <c r="L219" s="165" t="s">
        <v>1505</v>
      </c>
      <c r="M219" s="270">
        <v>344</v>
      </c>
      <c r="N219" s="2" t="str">
        <f t="shared" ca="1" si="7"/>
        <v>CLOSED</v>
      </c>
    </row>
    <row r="220" spans="1:14" ht="18.75">
      <c r="A220" s="64" t="s">
        <v>15</v>
      </c>
      <c r="B220" s="98">
        <f>VLOOKUP([2]!Table27[[#This Row],[Location 
(drop-down)]],'[2]List source'!D$2:E$59,2,FALSE)</f>
        <v>210</v>
      </c>
      <c r="C220" s="99" t="s">
        <v>838</v>
      </c>
      <c r="D220" s="223" t="str">
        <f t="shared" si="6"/>
        <v>PTO345-210-23</v>
      </c>
      <c r="E220" s="227" t="s">
        <v>1843</v>
      </c>
      <c r="F220" s="165" t="s">
        <v>1840</v>
      </c>
      <c r="G220" s="190" t="e">
        <f>MID(LEFT(#REF!, FIND(",",#REF!) - 1), FIND("{token}", SUBSTITUTE(#REF!, " ", "{token}", 2)) + 1, LEN(#REF!))</f>
        <v>#REF!</v>
      </c>
      <c r="H220" s="165" t="s">
        <v>1844</v>
      </c>
      <c r="I220" s="230">
        <v>45415</v>
      </c>
      <c r="J220" s="266" t="s">
        <v>34</v>
      </c>
      <c r="K220" s="269">
        <v>45415</v>
      </c>
      <c r="L220" s="165" t="s">
        <v>1562</v>
      </c>
      <c r="M220" s="270">
        <v>345</v>
      </c>
      <c r="N220" s="2" t="str">
        <f t="shared" ca="1" si="7"/>
        <v>CLOSED</v>
      </c>
    </row>
    <row r="221" spans="1:14" ht="18.75">
      <c r="A221" s="64" t="s">
        <v>15</v>
      </c>
      <c r="B221" s="98">
        <f>VLOOKUP([2]!Table27[[#This Row],[Location 
(drop-down)]],'[2]List source'!D$2:E$59,2,FALSE)</f>
        <v>160</v>
      </c>
      <c r="C221" s="99" t="s">
        <v>835</v>
      </c>
      <c r="D221" s="223" t="str">
        <f t="shared" si="6"/>
        <v>PTO346-160-23</v>
      </c>
      <c r="E221" s="227" t="s">
        <v>1845</v>
      </c>
      <c r="F221" s="165" t="s">
        <v>1840</v>
      </c>
      <c r="G221" s="227" t="e">
        <f>MID(LEFT(#REF!, FIND(",",#REF!) - 1), FIND("{token}", SUBSTITUTE(#REF!, " ", "{token}", 2)) + 1, LEN(#REF!))</f>
        <v>#REF!</v>
      </c>
      <c r="H221" s="236" t="s">
        <v>1846</v>
      </c>
      <c r="I221" s="230">
        <v>45415</v>
      </c>
      <c r="J221" s="230" t="s">
        <v>34</v>
      </c>
      <c r="K221" s="226">
        <v>45415</v>
      </c>
      <c r="L221" s="165" t="s">
        <v>1562</v>
      </c>
      <c r="M221" s="222">
        <v>346</v>
      </c>
      <c r="N221" s="2" t="str">
        <f t="shared" ca="1" si="7"/>
        <v>CLOSED</v>
      </c>
    </row>
    <row r="222" spans="1:14" ht="18.75">
      <c r="A222" s="64" t="s">
        <v>15</v>
      </c>
      <c r="B222" s="98">
        <f>VLOOKUP([2]!Table27[[#This Row],[Location 
(drop-down)]],'[2]List source'!D$2:E$59,2,FALSE)</f>
        <v>125</v>
      </c>
      <c r="C222" s="99" t="s">
        <v>1126</v>
      </c>
      <c r="D222" s="223" t="str">
        <f t="shared" si="6"/>
        <v>PTO348-125-23</v>
      </c>
      <c r="E222" s="227" t="s">
        <v>1847</v>
      </c>
      <c r="F222" s="165" t="s">
        <v>1840</v>
      </c>
      <c r="G222" s="227" t="s">
        <v>1528</v>
      </c>
      <c r="H222" s="236" t="s">
        <v>1764</v>
      </c>
      <c r="I222" s="230">
        <v>45415</v>
      </c>
      <c r="J222" s="230" t="s">
        <v>34</v>
      </c>
      <c r="K222" s="226">
        <v>45415</v>
      </c>
      <c r="L222" s="165" t="s">
        <v>1562</v>
      </c>
      <c r="M222" s="222">
        <v>348</v>
      </c>
      <c r="N222" s="2" t="str">
        <f t="shared" ca="1" si="7"/>
        <v>CLOSED</v>
      </c>
    </row>
    <row r="223" spans="1:14" ht="30">
      <c r="A223" s="64" t="s">
        <v>399</v>
      </c>
      <c r="B223" s="98">
        <f>VLOOKUP([2]!Table27[[#This Row],[Location 
(drop-down)]],'[2]List source'!D$2:E$59,2,FALSE)</f>
        <v>131</v>
      </c>
      <c r="C223" s="99" t="s">
        <v>1130</v>
      </c>
      <c r="D223" s="223" t="str">
        <f t="shared" si="6"/>
        <v>PTO350-131-23</v>
      </c>
      <c r="E223" s="123" t="s">
        <v>1848</v>
      </c>
      <c r="F223" s="18" t="s">
        <v>1840</v>
      </c>
      <c r="G223" s="123" t="s">
        <v>1525</v>
      </c>
      <c r="H223" s="18">
        <v>2.17</v>
      </c>
      <c r="I223" s="230">
        <v>45415</v>
      </c>
      <c r="J223" s="230" t="s">
        <v>34</v>
      </c>
      <c r="K223" s="226">
        <v>45415</v>
      </c>
      <c r="L223" s="165" t="s">
        <v>1562</v>
      </c>
      <c r="M223" s="191">
        <v>350</v>
      </c>
      <c r="N223" s="2" t="str">
        <f t="shared" ca="1" si="7"/>
        <v>CLOSED</v>
      </c>
    </row>
    <row r="224" spans="1:14" ht="18.75">
      <c r="A224" s="64" t="s">
        <v>15</v>
      </c>
      <c r="B224" s="98">
        <f>VLOOKUP([2]!Table27[[#This Row],[Location 
(drop-down)]],'[2]List source'!D$2:E$59,2,FALSE)</f>
        <v>132</v>
      </c>
      <c r="C224" s="99" t="s">
        <v>1132</v>
      </c>
      <c r="D224" s="223" t="str">
        <f t="shared" si="6"/>
        <v>PTO351-132-23</v>
      </c>
      <c r="E224" s="123" t="s">
        <v>1849</v>
      </c>
      <c r="F224" s="18" t="s">
        <v>1850</v>
      </c>
      <c r="G224" s="123" t="e">
        <f>MID(LEFT(#REF!, FIND(",",#REF!) - 1), FIND("{token}", SUBSTITUTE(#REF!, " ", "{token}", 2)) + 1, LEN(#REF!))</f>
        <v>#REF!</v>
      </c>
      <c r="H224" s="293" t="s">
        <v>1762</v>
      </c>
      <c r="I224" s="230">
        <v>45415</v>
      </c>
      <c r="J224" s="230" t="s">
        <v>34</v>
      </c>
      <c r="K224" s="226">
        <v>45415</v>
      </c>
      <c r="L224" s="165" t="s">
        <v>1562</v>
      </c>
      <c r="M224" s="191">
        <v>351</v>
      </c>
      <c r="N224" s="2" t="str">
        <f t="shared" ca="1" si="7"/>
        <v>CLOSED</v>
      </c>
    </row>
    <row r="225" spans="1:14" ht="30">
      <c r="A225" s="64" t="s">
        <v>399</v>
      </c>
      <c r="B225" s="98">
        <f>VLOOKUP([2]!Table27[[#This Row],[Location 
(drop-down)]],'[2]List source'!D$2:E$59,2,FALSE)</f>
        <v>115</v>
      </c>
      <c r="C225" s="99" t="s">
        <v>861</v>
      </c>
      <c r="D225" s="223" t="str">
        <f t="shared" si="6"/>
        <v>PTO354-115-23</v>
      </c>
      <c r="E225" s="123" t="s">
        <v>1851</v>
      </c>
      <c r="F225" s="18" t="s">
        <v>1850</v>
      </c>
      <c r="G225" s="123" t="s">
        <v>1852</v>
      </c>
      <c r="H225" s="18">
        <v>2.36</v>
      </c>
      <c r="I225" s="230">
        <v>45415</v>
      </c>
      <c r="J225" s="230" t="s">
        <v>34</v>
      </c>
      <c r="K225" s="226">
        <v>45415</v>
      </c>
      <c r="L225" s="165" t="s">
        <v>1562</v>
      </c>
      <c r="M225" s="222">
        <v>354</v>
      </c>
      <c r="N225" s="2" t="str">
        <f t="shared" ca="1" si="7"/>
        <v>CLOSED</v>
      </c>
    </row>
    <row r="226" spans="1:14" ht="18.75">
      <c r="A226" s="64" t="s">
        <v>462</v>
      </c>
      <c r="B226" s="98">
        <f>VLOOKUP([2]!Table27[[#This Row],[Location 
(drop-down)]],'[2]List source'!D$2:E$59,2,FALSE)</f>
        <v>146</v>
      </c>
      <c r="C226" s="99" t="s">
        <v>638</v>
      </c>
      <c r="D226" s="223" t="str">
        <f t="shared" si="6"/>
        <v>PTO029-146-23</v>
      </c>
      <c r="E226" s="227" t="s">
        <v>1853</v>
      </c>
      <c r="F226" s="165" t="e" cm="1">
        <f t="array" aca="1" ref="F226" ca="1">MID(LEFT(#REF!, INDEX(_xlfn._xlws.FILTER(ROW(INDIRECT("1:" &amp; LEN(#REF!))), (48 &lt;= CODE(MID(#REF!, ROW(INDIRECT("1:" &amp; LEN(#REF!))), 1))) * (CODE(MID(#REF!, ROW(INDIRECT("1:" &amp; LEN(#REF!))), 1)) &lt;= 57)), 1) - 1), FIND(":",#REF!) + 2, LEN(#REF!))</f>
        <v>#REF!</v>
      </c>
      <c r="G226" s="227" t="e">
        <f>MID(LEFT(#REF!, FIND(",",#REF!) - 1), FIND("{token}", SUBSTITUTE(#REF!, " ", "{token}", 2)) + 1, LEN(#REF!))</f>
        <v>#REF!</v>
      </c>
      <c r="H226" s="165">
        <v>2.14</v>
      </c>
      <c r="I226" s="230">
        <v>45306</v>
      </c>
      <c r="J226" s="230" t="s">
        <v>108</v>
      </c>
      <c r="K226" s="294">
        <v>45418</v>
      </c>
      <c r="L226" s="165"/>
      <c r="M226" s="191">
        <v>29</v>
      </c>
      <c r="N226" s="2" t="str">
        <f t="shared" ca="1" si="7"/>
        <v>CLOSED</v>
      </c>
    </row>
    <row r="227" spans="1:14" ht="30">
      <c r="A227" s="64" t="s">
        <v>294</v>
      </c>
      <c r="B227" s="98">
        <f>VLOOKUP([2]!Table27[[#This Row],[Location 
(drop-down)]],'[2]List source'!D$2:E$59,2,FALSE)</f>
        <v>191</v>
      </c>
      <c r="C227" s="99" t="s">
        <v>944</v>
      </c>
      <c r="D227" s="223" t="str">
        <f t="shared" si="6"/>
        <v>PTO172-191-23</v>
      </c>
      <c r="E227" s="227" t="s">
        <v>1854</v>
      </c>
      <c r="F227" s="165" t="e" cm="1">
        <f t="array" aca="1" ref="F227" ca="1">MID(LEFT(#REF!, INDEX(_xlfn._xlws.FILTER(ROW(INDIRECT("1:" &amp; LEN(#REF!))), (48 &lt;= CODE(MID(#REF!, ROW(INDIRECT("1:" &amp; LEN(#REF!))), 1))) * (CODE(MID(#REF!, ROW(INDIRECT("1:" &amp; LEN(#REF!))), 1)) &lt;= 57)), 1) - 1), FIND(":",#REF!) + 2, LEN(#REF!))</f>
        <v>#REF!</v>
      </c>
      <c r="G227" s="227" t="e">
        <f>MID(LEFT(#REF!, FIND(",",#REF!) - 1), FIND("{token}", SUBSTITUTE(#REF!, " ", "{token}", 2)) + 1, LEN(#REF!))</f>
        <v>#REF!</v>
      </c>
      <c r="H227" s="236" t="s">
        <v>1855</v>
      </c>
      <c r="I227" s="260">
        <v>45387</v>
      </c>
      <c r="J227" s="230" t="s">
        <v>327</v>
      </c>
      <c r="K227" s="294">
        <v>45418</v>
      </c>
      <c r="L227" s="295"/>
      <c r="M227" s="191">
        <v>172</v>
      </c>
      <c r="N227" s="2" t="str">
        <f t="shared" ca="1" si="7"/>
        <v>CLOSED</v>
      </c>
    </row>
    <row r="228" spans="1:14" ht="30">
      <c r="A228" s="64" t="s">
        <v>39</v>
      </c>
      <c r="B228" s="98">
        <f>VLOOKUP([2]!Table27[[#This Row],[Location 
(drop-down)]],'[2]List source'!D$2:E$59,2,FALSE)</f>
        <v>140</v>
      </c>
      <c r="C228" s="99" t="s">
        <v>945</v>
      </c>
      <c r="D228" s="223" t="str">
        <f t="shared" si="6"/>
        <v>PTO356-140-23</v>
      </c>
      <c r="E228" s="227" t="s">
        <v>1856</v>
      </c>
      <c r="F228" s="165" t="e" cm="1">
        <f t="array" aca="1" ref="F228" ca="1">MID(LEFT(#REF!, INDEX(_xlfn._xlws.FILTER(ROW(INDIRECT("1:" &amp; LEN(#REF!))), (48 &lt;= CODE(MID(#REF!, ROW(INDIRECT("1:" &amp; LEN(#REF!))), 1))) * (CODE(MID(#REF!, ROW(INDIRECT("1:" &amp; LEN(#REF!))), 1)) &lt;= 57)), 1) - 1), FIND(":",#REF!) + 2, LEN(#REF!))</f>
        <v>#REF!</v>
      </c>
      <c r="G228" s="227" t="e">
        <f>MID(LEFT(#REF!, FIND(",",#REF!) - 1), FIND("{token}", SUBSTITUTE(#REF!, " ", "{token}", 2)) + 1, LEN(#REF!))</f>
        <v>#REF!</v>
      </c>
      <c r="H228" s="165">
        <v>-2.2999999999999998</v>
      </c>
      <c r="I228" s="230">
        <v>45418</v>
      </c>
      <c r="J228" s="230" t="s">
        <v>34</v>
      </c>
      <c r="K228" s="226">
        <v>45418</v>
      </c>
      <c r="L228" s="165" t="s">
        <v>1505</v>
      </c>
      <c r="M228" s="218">
        <v>356</v>
      </c>
      <c r="N228" s="2" t="str">
        <f t="shared" ca="1" si="7"/>
        <v>CLOSED</v>
      </c>
    </row>
    <row r="229" spans="1:14" ht="18.75">
      <c r="A229" s="64" t="s">
        <v>462</v>
      </c>
      <c r="B229" s="98">
        <f>VLOOKUP([2]!Table27[[#This Row],[Location 
(drop-down)]],'[2]List source'!D$2:E$59,2,FALSE)</f>
        <v>140</v>
      </c>
      <c r="C229" s="99" t="s">
        <v>440</v>
      </c>
      <c r="D229" s="223" t="str">
        <f t="shared" si="6"/>
        <v>PTO357-140-23</v>
      </c>
      <c r="E229" s="227" t="s">
        <v>1857</v>
      </c>
      <c r="F229" s="165" t="e" cm="1">
        <f t="array" aca="1" ref="F229" ca="1">MID(LEFT(#REF!, INDEX(_xlfn._xlws.FILTER(ROW(INDIRECT("1:" &amp; LEN(#REF!))), (48 &lt;= CODE(MID(#REF!, ROW(INDIRECT("1:" &amp; LEN(#REF!))), 1))) * (CODE(MID(#REF!, ROW(INDIRECT("1:" &amp; LEN(#REF!))), 1)) &lt;= 57)), 1) - 1), FIND(":",#REF!) + 2, LEN(#REF!))</f>
        <v>#REF!</v>
      </c>
      <c r="G229" s="227" t="e">
        <f>MID(LEFT(#REF!, FIND(",",#REF!) - 1), FIND("{token}", SUBSTITUTE(#REF!, " ", "{token}", 2)) + 1, LEN(#REF!))</f>
        <v>#REF!</v>
      </c>
      <c r="H229" s="165">
        <v>2.41</v>
      </c>
      <c r="I229" s="230">
        <v>45418</v>
      </c>
      <c r="J229" s="230" t="s">
        <v>34</v>
      </c>
      <c r="K229" s="226">
        <v>45418</v>
      </c>
      <c r="L229" s="92" t="s">
        <v>1562</v>
      </c>
      <c r="M229" s="191">
        <v>357</v>
      </c>
      <c r="N229" s="2" t="str">
        <f t="shared" ca="1" si="7"/>
        <v>CLOSED</v>
      </c>
    </row>
    <row r="230" spans="1:14" ht="30">
      <c r="A230" s="64" t="s">
        <v>125</v>
      </c>
      <c r="B230" s="98">
        <f>VLOOKUP([2]!Table27[[#This Row],[Location 
(drop-down)]],'[2]List source'!D$2:E$59,2,FALSE)</f>
        <v>158</v>
      </c>
      <c r="C230" s="99" t="s">
        <v>891</v>
      </c>
      <c r="D230" s="223" t="str">
        <f t="shared" si="6"/>
        <v>PTO359-158-23</v>
      </c>
      <c r="E230" s="123" t="s">
        <v>1858</v>
      </c>
      <c r="F230" s="18" t="e" cm="1">
        <f t="array" aca="1" ref="F230" ca="1">MID(LEFT(#REF!, INDEX(_xlfn._xlws.FILTER(ROW(INDIRECT("1:" &amp; LEN(#REF!))), (48 &lt;= CODE(MID(#REF!, ROW(INDIRECT("1:" &amp; LEN(#REF!))), 1))) * (CODE(MID(#REF!, ROW(INDIRECT("1:" &amp; LEN(#REF!))), 1)) &lt;= 57)), 1) - 1), FIND(":",#REF!) + 2, LEN(#REF!))</f>
        <v>#REF!</v>
      </c>
      <c r="G230" s="123" t="e">
        <f>MID(LEFT(#REF!, FIND(",",#REF!) - 1), FIND("{token}", SUBSTITUTE(#REF!, " ", "{token}", 2)) + 1, LEN(#REF!))</f>
        <v>#REF!</v>
      </c>
      <c r="H230" s="18">
        <v>2.1800000000000002</v>
      </c>
      <c r="I230" s="230">
        <v>45418</v>
      </c>
      <c r="J230" s="230" t="s">
        <v>34</v>
      </c>
      <c r="K230" s="226">
        <v>45418</v>
      </c>
      <c r="L230" s="165" t="s">
        <v>1562</v>
      </c>
      <c r="M230" s="222">
        <v>359</v>
      </c>
      <c r="N230" s="2" t="str">
        <f t="shared" ca="1" si="7"/>
        <v>CLOSED</v>
      </c>
    </row>
    <row r="231" spans="1:14" ht="30">
      <c r="A231" s="64" t="s">
        <v>125</v>
      </c>
      <c r="B231" s="98">
        <f>VLOOKUP([2]!Table27[[#This Row],[Location 
(drop-down)]],'[2]List source'!D$2:E$59,2,FALSE)</f>
        <v>158</v>
      </c>
      <c r="C231" s="99" t="s">
        <v>803</v>
      </c>
      <c r="D231" s="223" t="str">
        <f t="shared" si="6"/>
        <v>PTO361-158-23</v>
      </c>
      <c r="E231" s="227" t="s">
        <v>1859</v>
      </c>
      <c r="F231" s="165" t="e" cm="1">
        <f t="array" aca="1" ref="F231" ca="1">MID(LEFT(#REF!, INDEX(_xlfn._xlws.FILTER(ROW(INDIRECT("1:" &amp; LEN(#REF!))), (48 &lt;= CODE(MID(#REF!, ROW(INDIRECT("1:" &amp; LEN(#REF!))), 1))) * (CODE(MID(#REF!, ROW(INDIRECT("1:" &amp; LEN(#REF!))), 1)) &lt;= 57)), 1) - 1), FIND(":",#REF!) + 2, LEN(#REF!))</f>
        <v>#REF!</v>
      </c>
      <c r="G231" s="227" t="e">
        <f>MID(LEFT(#REF!, FIND(",",#REF!) - 1), FIND("{token}", SUBSTITUTE(#REF!, " ", "{token}", 2)) + 1, LEN(#REF!))</f>
        <v>#REF!</v>
      </c>
      <c r="H231" s="165" t="s">
        <v>1860</v>
      </c>
      <c r="I231" s="230">
        <v>45418</v>
      </c>
      <c r="J231" s="230" t="s">
        <v>34</v>
      </c>
      <c r="K231" s="226">
        <v>45418</v>
      </c>
      <c r="L231" s="165" t="s">
        <v>1505</v>
      </c>
      <c r="M231" s="222">
        <v>361</v>
      </c>
      <c r="N231" s="2" t="str">
        <f t="shared" ca="1" si="7"/>
        <v>CLOSED</v>
      </c>
    </row>
    <row r="232" spans="1:14" ht="30">
      <c r="A232" s="64" t="s">
        <v>119</v>
      </c>
      <c r="B232" s="98">
        <f>VLOOKUP([2]!Table27[[#This Row],[Location 
(drop-down)]],'[2]List source'!D$2:E$59,2,FALSE)</f>
        <v>132</v>
      </c>
      <c r="C232" s="99" t="s">
        <v>806</v>
      </c>
      <c r="D232" s="223" t="str">
        <f t="shared" si="6"/>
        <v>PTO362-132-23</v>
      </c>
      <c r="E232" s="227" t="s">
        <v>1858</v>
      </c>
      <c r="F232" s="165" t="e" cm="1">
        <f t="array" aca="1" ref="F232" ca="1">MID(LEFT(#REF!, INDEX(_xlfn._xlws.FILTER(ROW(INDIRECT("1:" &amp; LEN(#REF!))), (48 &lt;= CODE(MID(#REF!, ROW(INDIRECT("1:" &amp; LEN(#REF!))), 1))) * (CODE(MID(#REF!, ROW(INDIRECT("1:" &amp; LEN(#REF!))), 1)) &lt;= 57)), 1) - 1), FIND(":",#REF!) + 2, LEN(#REF!))</f>
        <v>#REF!</v>
      </c>
      <c r="G232" s="227" t="e">
        <f>MID(LEFT(#REF!, FIND(",",#REF!) - 1), FIND("{token}", SUBSTITUTE(#REF!, " ", "{token}", 2)) + 1, LEN(#REF!))</f>
        <v>#REF!</v>
      </c>
      <c r="H232" s="165">
        <v>2.1800000000000002</v>
      </c>
      <c r="I232" s="230">
        <v>45418</v>
      </c>
      <c r="J232" s="230" t="s">
        <v>34</v>
      </c>
      <c r="K232" s="226">
        <v>45418</v>
      </c>
      <c r="L232" s="165" t="s">
        <v>1562</v>
      </c>
      <c r="M232" s="222">
        <v>362</v>
      </c>
      <c r="N232" s="2" t="str">
        <f t="shared" ca="1" si="7"/>
        <v>CLOSED</v>
      </c>
    </row>
    <row r="233" spans="1:14" ht="30">
      <c r="A233" s="64" t="s">
        <v>30</v>
      </c>
      <c r="B233" s="98">
        <f>VLOOKUP([2]!Table27[[#This Row],[Location 
(drop-down)]],'[2]List source'!D$2:E$59,2,FALSE)</f>
        <v>115</v>
      </c>
      <c r="C233" s="99" t="s">
        <v>1433</v>
      </c>
      <c r="D233" s="223" t="str">
        <f t="shared" si="6"/>
        <v>PTO364-115-23</v>
      </c>
      <c r="E233" s="227" t="s">
        <v>1861</v>
      </c>
      <c r="F233" s="165" t="e" cm="1">
        <f t="array" aca="1" ref="F233" ca="1">MID(LEFT(#REF!, INDEX(_xlfn._xlws.FILTER(ROW(INDIRECT("1:" &amp; LEN(#REF!))), (48 &lt;= CODE(MID(#REF!, ROW(INDIRECT("1:" &amp; LEN(#REF!))), 1))) * (CODE(MID(#REF!, ROW(INDIRECT("1:" &amp; LEN(#REF!))), 1)) &lt;= 57)), 1) - 1), FIND(":",#REF!) + 2, LEN(#REF!))</f>
        <v>#REF!</v>
      </c>
      <c r="G233" s="227" t="e">
        <f>MID(LEFT(#REF!, FIND(",",#REF!) - 1), FIND("{token}", SUBSTITUTE(#REF!, " ", "{token}", 2)) + 1, LEN(#REF!))</f>
        <v>#REF!</v>
      </c>
      <c r="H233" s="165">
        <v>2.5299999999999998</v>
      </c>
      <c r="I233" s="230">
        <v>45418</v>
      </c>
      <c r="J233" s="230" t="s">
        <v>34</v>
      </c>
      <c r="K233" s="226">
        <v>45418</v>
      </c>
      <c r="L233" s="165" t="s">
        <v>1562</v>
      </c>
      <c r="M233" s="191">
        <v>364</v>
      </c>
      <c r="N233" s="2" t="str">
        <f t="shared" ca="1" si="7"/>
        <v>CLOSED</v>
      </c>
    </row>
    <row r="234" spans="1:14" ht="18.75">
      <c r="A234" s="64" t="s">
        <v>311</v>
      </c>
      <c r="B234" s="98">
        <f>VLOOKUP([2]!Table27[[#This Row],[Location 
(drop-down)]],'[2]List source'!D$2:E$59,2,FALSE)</f>
        <v>136</v>
      </c>
      <c r="C234" s="99" t="s">
        <v>37</v>
      </c>
      <c r="D234" s="223" t="str">
        <f t="shared" si="6"/>
        <v>PTO368-136-23</v>
      </c>
      <c r="E234" s="227" t="s">
        <v>1862</v>
      </c>
      <c r="F234" s="165" t="e" cm="1">
        <f t="array" aca="1" ref="F234" ca="1">MID(LEFT(#REF!, INDEX(_xlfn._xlws.FILTER(ROW(INDIRECT("1:" &amp; LEN(#REF!))), (48 &lt;= CODE(MID(#REF!, ROW(INDIRECT("1:" &amp; LEN(#REF!))), 1))) * (CODE(MID(#REF!, ROW(INDIRECT("1:" &amp; LEN(#REF!))), 1)) &lt;= 57)), 1) - 1), FIND(":",#REF!) + 2, LEN(#REF!))</f>
        <v>#REF!</v>
      </c>
      <c r="G234" s="227" t="e">
        <f>MID(LEFT(#REF!, FIND(",",#REF!) - 1), FIND("{token}", SUBSTITUTE(#REF!, " ", "{token}", 2)) + 1, LEN(#REF!))</f>
        <v>#REF!</v>
      </c>
      <c r="H234" s="165">
        <v>2.6</v>
      </c>
      <c r="I234" s="230">
        <v>45418</v>
      </c>
      <c r="J234" s="230" t="s">
        <v>34</v>
      </c>
      <c r="K234" s="226">
        <v>45418</v>
      </c>
      <c r="L234" s="165" t="s">
        <v>1562</v>
      </c>
      <c r="M234" s="222">
        <v>368</v>
      </c>
      <c r="N234" s="2" t="str">
        <f t="shared" ca="1" si="7"/>
        <v>CLOSED</v>
      </c>
    </row>
    <row r="235" spans="1:14" ht="18.75">
      <c r="A235" s="64" t="s">
        <v>311</v>
      </c>
      <c r="B235" s="98">
        <f>VLOOKUP([2]!Table27[[#This Row],[Location 
(drop-down)]],'[2]List source'!D$2:E$59,2,FALSE)</f>
        <v>191</v>
      </c>
      <c r="C235" s="99" t="s">
        <v>1085</v>
      </c>
      <c r="D235" s="223" t="str">
        <f t="shared" si="6"/>
        <v>PTO369-191-23</v>
      </c>
      <c r="E235" s="227" t="s">
        <v>1863</v>
      </c>
      <c r="F235" s="165" t="e" cm="1">
        <f t="array" aca="1" ref="F235" ca="1">MID(LEFT(#REF!, INDEX(_xlfn._xlws.FILTER(ROW(INDIRECT("1:" &amp; LEN(#REF!))), (48 &lt;= CODE(MID(#REF!, ROW(INDIRECT("1:" &amp; LEN(#REF!))), 1))) * (CODE(MID(#REF!, ROW(INDIRECT("1:" &amp; LEN(#REF!))), 1)) &lt;= 57)), 1) - 1), FIND(":",#REF!) + 2, LEN(#REF!))</f>
        <v>#REF!</v>
      </c>
      <c r="G235" s="227" t="e">
        <f>MID(LEFT(#REF!, FIND(",",#REF!) - 1), FIND("{token}", SUBSTITUTE(#REF!, " ", "{token}", 2)) + 1, LEN(#REF!))</f>
        <v>#REF!</v>
      </c>
      <c r="H235" s="165">
        <v>2.12</v>
      </c>
      <c r="I235" s="230">
        <v>45418</v>
      </c>
      <c r="J235" s="230" t="s">
        <v>34</v>
      </c>
      <c r="K235" s="226">
        <v>45418</v>
      </c>
      <c r="L235" s="165" t="s">
        <v>1562</v>
      </c>
      <c r="M235" s="191">
        <v>369</v>
      </c>
      <c r="N235" s="2" t="str">
        <f t="shared" ca="1" si="7"/>
        <v>CLOSED</v>
      </c>
    </row>
    <row r="236" spans="1:14" ht="18.75">
      <c r="A236" s="64" t="s">
        <v>311</v>
      </c>
      <c r="B236" s="98">
        <f>VLOOKUP([2]!Table27[[#This Row],[Location 
(drop-down)]],'[2]List source'!D$2:E$59,2,FALSE)</f>
        <v>191</v>
      </c>
      <c r="C236" s="99" t="s">
        <v>948</v>
      </c>
      <c r="D236" s="223" t="str">
        <f t="shared" si="6"/>
        <v>PTO371-191-23</v>
      </c>
      <c r="E236" s="284" t="s">
        <v>1864</v>
      </c>
      <c r="F236" s="296" t="e" cm="1">
        <f t="array" aca="1" ref="F236" ca="1">MID(LEFT(#REF!, INDEX(_xlfn._xlws.FILTER(ROW(INDIRECT("1:" &amp; LEN(#REF!))), (48 &lt;= CODE(MID(#REF!, ROW(INDIRECT("1:" &amp; LEN(#REF!))), 1))) * (CODE(MID(#REF!, ROW(INDIRECT("1:" &amp; LEN(#REF!))), 1)) &lt;= 57)), 1) - 1), FIND(":",#REF!) + 2, LEN(#REF!))</f>
        <v>#REF!</v>
      </c>
      <c r="G236" s="284" t="e">
        <f>MID(LEFT(#REF!, FIND(",",#REF!) - 1), FIND("{token}", SUBSTITUTE(#REF!, " ", "{token}", 2)) + 1, LEN(#REF!))</f>
        <v>#REF!</v>
      </c>
      <c r="H236" s="296">
        <v>74.17</v>
      </c>
      <c r="I236" s="230">
        <v>45418</v>
      </c>
      <c r="J236" s="230" t="s">
        <v>34</v>
      </c>
      <c r="K236" s="226">
        <v>45418</v>
      </c>
      <c r="L236" s="165" t="s">
        <v>1505</v>
      </c>
      <c r="M236" s="222">
        <v>371</v>
      </c>
      <c r="N236" s="2" t="str">
        <f t="shared" ca="1" si="7"/>
        <v>CLOSED</v>
      </c>
    </row>
    <row r="237" spans="1:14" ht="18.75">
      <c r="A237" s="64" t="s">
        <v>213</v>
      </c>
      <c r="B237" s="98">
        <f>VLOOKUP([2]!Table27[[#This Row],[Location 
(drop-down)]],'[2]List source'!D$2:E$59,2,FALSE)</f>
        <v>110</v>
      </c>
      <c r="C237" s="99" t="s">
        <v>1366</v>
      </c>
      <c r="D237" s="223" t="str">
        <f t="shared" si="6"/>
        <v>PTO372-110-23</v>
      </c>
      <c r="E237" s="227" t="s">
        <v>1865</v>
      </c>
      <c r="F237" s="165" t="e" cm="1">
        <f t="array" aca="1" ref="F237" ca="1">MID(LEFT(#REF!, INDEX(_xlfn._xlws.FILTER(ROW(INDIRECT("1:" &amp; LEN(#REF!))), (48 &lt;= CODE(MID(#REF!, ROW(INDIRECT("1:" &amp; LEN(#REF!))), 1))) * (CODE(MID(#REF!, ROW(INDIRECT("1:" &amp; LEN(#REF!))), 1)) &lt;= 57)), 1) - 1), FIND(":",#REF!) + 2, LEN(#REF!))</f>
        <v>#REF!</v>
      </c>
      <c r="G237" s="227" t="e">
        <f>MID(LEFT(#REF!, FIND(",",#REF!) - 1), FIND("{token}", SUBSTITUTE(#REF!, " ", "{token}", 2)) + 1, LEN(#REF!))</f>
        <v>#REF!</v>
      </c>
      <c r="H237" s="165">
        <v>-2.27</v>
      </c>
      <c r="I237" s="230">
        <v>45418</v>
      </c>
      <c r="J237" s="230" t="s">
        <v>34</v>
      </c>
      <c r="K237" s="226">
        <v>45418</v>
      </c>
      <c r="L237" s="92" t="s">
        <v>1562</v>
      </c>
      <c r="M237" s="191">
        <v>372</v>
      </c>
      <c r="N237" s="2" t="str">
        <f t="shared" ca="1" si="7"/>
        <v>CLOSED</v>
      </c>
    </row>
    <row r="238" spans="1:14" ht="30">
      <c r="A238" s="64" t="s">
        <v>294</v>
      </c>
      <c r="B238" s="98">
        <f>VLOOKUP([2]!Table27[[#This Row],[Location 
(drop-down)]],'[2]List source'!D$2:E$59,2,FALSE)</f>
        <v>127</v>
      </c>
      <c r="C238" s="99" t="s">
        <v>1038</v>
      </c>
      <c r="D238" s="223" t="str">
        <f t="shared" si="6"/>
        <v>PTO374-127-23</v>
      </c>
      <c r="E238" s="227" t="s">
        <v>1866</v>
      </c>
      <c r="F238" s="165" t="e" cm="1">
        <f t="array" aca="1" ref="F238" ca="1">MID(LEFT(#REF!, INDEX(_xlfn._xlws.FILTER(ROW(INDIRECT("1:" &amp; LEN(#REF!))), (48 &lt;= CODE(MID(#REF!, ROW(INDIRECT("1:" &amp; LEN(#REF!))), 1))) * (CODE(MID(#REF!, ROW(INDIRECT("1:" &amp; LEN(#REF!))), 1)) &lt;= 57)), 1) - 1), FIND(":",#REF!) + 2, LEN(#REF!))</f>
        <v>#REF!</v>
      </c>
      <c r="G238" s="227" t="e">
        <f>MID(LEFT(#REF!, FIND(",",#REF!) - 1), FIND("{token}", SUBSTITUTE(#REF!, " ", "{token}", 2)) + 1, LEN(#REF!))</f>
        <v>#REF!</v>
      </c>
      <c r="H238" s="165">
        <v>-2.0299999999999998</v>
      </c>
      <c r="I238" s="230">
        <v>45418</v>
      </c>
      <c r="J238" s="230" t="s">
        <v>34</v>
      </c>
      <c r="K238" s="226">
        <v>45418</v>
      </c>
      <c r="L238" s="165" t="s">
        <v>1562</v>
      </c>
      <c r="M238" s="222">
        <v>374</v>
      </c>
      <c r="N238" s="2" t="str">
        <f t="shared" ca="1" si="7"/>
        <v>CLOSED</v>
      </c>
    </row>
    <row r="239" spans="1:14" ht="30">
      <c r="A239" s="64" t="s">
        <v>485</v>
      </c>
      <c r="B239" s="98">
        <f>VLOOKUP([2]!Table27[[#This Row],[Location 
(drop-down)]],'[2]List source'!D$2:E$59,2,FALSE)</f>
        <v>141</v>
      </c>
      <c r="C239" s="99" t="s">
        <v>987</v>
      </c>
      <c r="D239" s="223" t="str">
        <f t="shared" si="6"/>
        <v>PTO376-141-23</v>
      </c>
      <c r="E239" s="227" t="s">
        <v>1867</v>
      </c>
      <c r="F239" s="165" t="e" cm="1">
        <f t="array" aca="1" ref="F239" ca="1">MID(LEFT(#REF!, INDEX(_xlfn._xlws.FILTER(ROW(INDIRECT("1:" &amp; LEN(#REF!))), (48 &lt;= CODE(MID(#REF!, ROW(INDIRECT("1:" &amp; LEN(#REF!))), 1))) * (CODE(MID(#REF!, ROW(INDIRECT("1:" &amp; LEN(#REF!))), 1)) &lt;= 57)), 1) - 1), FIND(":",#REF!) + 2, LEN(#REF!))</f>
        <v>#REF!</v>
      </c>
      <c r="G239" s="227" t="e">
        <f>MID(LEFT(#REF!, FIND(",",#REF!) - 1), FIND("{token}", SUBSTITUTE(#REF!, " ", "{token}", 2)) + 1, LEN(#REF!))</f>
        <v>#REF!</v>
      </c>
      <c r="H239" s="165">
        <v>-2.56</v>
      </c>
      <c r="I239" s="230">
        <v>45418</v>
      </c>
      <c r="J239" s="230" t="s">
        <v>34</v>
      </c>
      <c r="K239" s="226">
        <v>45418</v>
      </c>
      <c r="L239" s="274" t="s">
        <v>1562</v>
      </c>
      <c r="M239" s="297">
        <v>376</v>
      </c>
      <c r="N239" s="2" t="str">
        <f t="shared" ca="1" si="7"/>
        <v>CLOSED</v>
      </c>
    </row>
    <row r="240" spans="1:14" ht="30">
      <c r="A240" s="64" t="s">
        <v>500</v>
      </c>
      <c r="B240" s="98">
        <f>VLOOKUP([2]!Table27[[#This Row],[Location 
(drop-down)]],'[2]List source'!D$2:E$59,2,FALSE)</f>
        <v>185</v>
      </c>
      <c r="C240" s="99" t="s">
        <v>886</v>
      </c>
      <c r="D240" s="223" t="str">
        <f t="shared" si="6"/>
        <v>PTO378-185-23</v>
      </c>
      <c r="E240" s="227" t="s">
        <v>1868</v>
      </c>
      <c r="F240" s="165" t="e" cm="1">
        <f t="array" aca="1" ref="F240" ca="1">MID(LEFT(#REF!, INDEX(_xlfn._xlws.FILTER(ROW(INDIRECT("1:" &amp; LEN(#REF!))), (48 &lt;= CODE(MID(#REF!, ROW(INDIRECT("1:" &amp; LEN(#REF!))), 1))) * (CODE(MID(#REF!, ROW(INDIRECT("1:" &amp; LEN(#REF!))), 1)) &lt;= 57)), 1) - 1), FIND(":",#REF!) + 2, LEN(#REF!))</f>
        <v>#REF!</v>
      </c>
      <c r="G240" s="227" t="e">
        <f>MID(LEFT(#REF!, FIND(",",#REF!) - 1), FIND("{token}", SUBSTITUTE(#REF!, " ", "{token}", 2)) + 1, LEN(#REF!))</f>
        <v>#REF!</v>
      </c>
      <c r="H240" s="165" t="s">
        <v>1869</v>
      </c>
      <c r="I240" s="230">
        <v>45418</v>
      </c>
      <c r="J240" s="230" t="s">
        <v>34</v>
      </c>
      <c r="K240" s="294">
        <v>45418</v>
      </c>
      <c r="L240" s="275" t="s">
        <v>1562</v>
      </c>
      <c r="M240" s="191">
        <v>378</v>
      </c>
      <c r="N240" s="2" t="str">
        <f t="shared" ca="1" si="7"/>
        <v>CLOSED</v>
      </c>
    </row>
    <row r="241" spans="1:14" ht="18.75">
      <c r="A241" s="64" t="s">
        <v>139</v>
      </c>
      <c r="B241" s="98">
        <f>VLOOKUP([2]!Table27[[#This Row],[Location 
(drop-down)]],'[2]List source'!D$2:E$59,2,FALSE)</f>
        <v>120</v>
      </c>
      <c r="C241" s="99" t="s">
        <v>955</v>
      </c>
      <c r="D241" s="223" t="str">
        <f t="shared" si="6"/>
        <v>PTO384-120-23</v>
      </c>
      <c r="E241" s="227" t="s">
        <v>1870</v>
      </c>
      <c r="F241" s="165" t="e" cm="1">
        <f t="array" aca="1" ref="F241" ca="1">MID(LEFT(#REF!, INDEX(_xlfn._xlws.FILTER(ROW(INDIRECT("1:" &amp; LEN(#REF!))), (48 &lt;= CODE(MID(#REF!, ROW(INDIRECT("1:" &amp; LEN(#REF!))), 1))) * (CODE(MID(#REF!, ROW(INDIRECT("1:" &amp; LEN(#REF!))), 1)) &lt;= 57)), 1) - 1), FIND(":",#REF!) + 2, LEN(#REF!))</f>
        <v>#REF!</v>
      </c>
      <c r="G241" s="227" t="e">
        <f>MID(LEFT(#REF!, FIND(",",#REF!) - 1), FIND("{token}", SUBSTITUTE(#REF!, " ", "{token}", 2)) + 1, LEN(#REF!))</f>
        <v>#REF!</v>
      </c>
      <c r="H241" s="165">
        <v>2.34</v>
      </c>
      <c r="I241" s="230">
        <v>45418</v>
      </c>
      <c r="J241" s="230" t="s">
        <v>34</v>
      </c>
      <c r="K241" s="226">
        <v>45418</v>
      </c>
      <c r="L241" s="92" t="s">
        <v>1562</v>
      </c>
      <c r="M241" s="191">
        <v>384</v>
      </c>
      <c r="N241" s="2" t="str">
        <f t="shared" ca="1" si="7"/>
        <v>CLOSED</v>
      </c>
    </row>
    <row r="242" spans="1:14" ht="18.75">
      <c r="A242" s="64" t="s">
        <v>23</v>
      </c>
      <c r="B242" s="98">
        <f>VLOOKUP([2]!Table27[[#This Row],[Location 
(drop-down)]],'[2]List source'!D$2:E$59,2,FALSE)</f>
        <v>150</v>
      </c>
      <c r="C242" s="99" t="s">
        <v>437</v>
      </c>
      <c r="D242" s="223" t="str">
        <f t="shared" si="6"/>
        <v>PTO385-150-23</v>
      </c>
      <c r="E242" s="227" t="s">
        <v>1871</v>
      </c>
      <c r="F242" s="165" t="e" cm="1">
        <f t="array" aca="1" ref="F242" ca="1">MID(LEFT(#REF!, INDEX(_xlfn._xlws.FILTER(ROW(INDIRECT("1:" &amp; LEN(#REF!))), (48 &lt;= CODE(MID(#REF!, ROW(INDIRECT("1:" &amp; LEN(#REF!))), 1))) * (CODE(MID(#REF!, ROW(INDIRECT("1:" &amp; LEN(#REF!))), 1)) &lt;= 57)), 1) - 1), FIND(":",#REF!) + 2, LEN(#REF!))</f>
        <v>#REF!</v>
      </c>
      <c r="G242" s="227" t="e">
        <f>MID(LEFT(#REF!, FIND(",",#REF!) - 1), FIND("{token}", SUBSTITUTE(#REF!, " ", "{token}", 2)) + 1, LEN(#REF!))</f>
        <v>#REF!</v>
      </c>
      <c r="H242" s="236" t="s">
        <v>1872</v>
      </c>
      <c r="I242" s="230">
        <v>45418</v>
      </c>
      <c r="J242" s="230" t="s">
        <v>34</v>
      </c>
      <c r="K242" s="294">
        <v>45418</v>
      </c>
      <c r="L242" s="275" t="s">
        <v>1562</v>
      </c>
      <c r="M242" s="191">
        <v>385</v>
      </c>
      <c r="N242" s="2" t="str">
        <f t="shared" ca="1" si="7"/>
        <v>CLOSED</v>
      </c>
    </row>
    <row r="243" spans="1:14" ht="18.75">
      <c r="A243" s="64" t="s">
        <v>43</v>
      </c>
      <c r="B243" s="98">
        <f>VLOOKUP([2]!Table27[[#This Row],[Location 
(drop-down)]],'[2]List source'!D$2:E$59,2,FALSE)</f>
        <v>131</v>
      </c>
      <c r="C243" s="99" t="s">
        <v>1028</v>
      </c>
      <c r="D243" s="223" t="str">
        <f t="shared" si="6"/>
        <v>PTO387-131-23</v>
      </c>
      <c r="E243" s="227" t="s">
        <v>1870</v>
      </c>
      <c r="F243" s="165" t="e" cm="1">
        <f t="array" aca="1" ref="F243" ca="1">MID(LEFT(#REF!, INDEX(_xlfn._xlws.FILTER(ROW(INDIRECT("1:" &amp; LEN(#REF!))), (48 &lt;= CODE(MID(#REF!, ROW(INDIRECT("1:" &amp; LEN(#REF!))), 1))) * (CODE(MID(#REF!, ROW(INDIRECT("1:" &amp; LEN(#REF!))), 1)) &lt;= 57)), 1) - 1), FIND(":",#REF!) + 2, LEN(#REF!))</f>
        <v>#REF!</v>
      </c>
      <c r="G243" s="227" t="e">
        <f>MID(LEFT(#REF!, FIND(",",#REF!) - 1), FIND("{token}", SUBSTITUTE(#REF!, " ", "{token}", 2)) + 1, LEN(#REF!))</f>
        <v>#REF!</v>
      </c>
      <c r="H243" s="236" t="s">
        <v>1808</v>
      </c>
      <c r="I243" s="230">
        <v>45418</v>
      </c>
      <c r="J243" s="230" t="s">
        <v>34</v>
      </c>
      <c r="K243" s="226">
        <v>45418</v>
      </c>
      <c r="L243" s="92" t="s">
        <v>1562</v>
      </c>
      <c r="M243" s="191">
        <v>387</v>
      </c>
      <c r="N243" s="2" t="str">
        <f t="shared" ca="1" si="7"/>
        <v>CLOSED</v>
      </c>
    </row>
    <row r="244" spans="1:14" ht="30">
      <c r="A244" s="64" t="s">
        <v>714</v>
      </c>
      <c r="B244" s="98">
        <f>VLOOKUP([2]!Table27[[#This Row],[Location 
(drop-down)]],'[2]List source'!D$2:E$59,2,FALSE)</f>
        <v>132</v>
      </c>
      <c r="C244" s="99" t="s">
        <v>1046</v>
      </c>
      <c r="D244" s="223" t="str">
        <f t="shared" si="6"/>
        <v>PTO388-132-23</v>
      </c>
      <c r="E244" s="227" t="s">
        <v>1873</v>
      </c>
      <c r="F244" s="165" t="e" cm="1">
        <f t="array" aca="1" ref="F244" ca="1">MID(LEFT(#REF!, INDEX(_xlfn._xlws.FILTER(ROW(INDIRECT("1:" &amp; LEN(#REF!))), (48 &lt;= CODE(MID(#REF!, ROW(INDIRECT("1:" &amp; LEN(#REF!))), 1))) * (CODE(MID(#REF!, ROW(INDIRECT("1:" &amp; LEN(#REF!))), 1)) &lt;= 57)), 1) - 1), FIND(":",#REF!) + 2, LEN(#REF!))</f>
        <v>#REF!</v>
      </c>
      <c r="G244" s="227" t="e">
        <f>MID(LEFT(#REF!, FIND(",",#REF!) - 1), FIND("{token}", SUBSTITUTE(#REF!, " ", "{token}", 2)) + 1, LEN(#REF!))</f>
        <v>#REF!</v>
      </c>
      <c r="H244" s="236" t="s">
        <v>1874</v>
      </c>
      <c r="I244" s="230">
        <v>45418</v>
      </c>
      <c r="J244" s="230" t="s">
        <v>34</v>
      </c>
      <c r="K244" s="294">
        <v>45418</v>
      </c>
      <c r="L244" s="275" t="s">
        <v>1562</v>
      </c>
      <c r="M244" s="191">
        <v>388</v>
      </c>
      <c r="N244" s="2" t="str">
        <f t="shared" ca="1" si="7"/>
        <v>CLOSED</v>
      </c>
    </row>
    <row r="245" spans="1:14" ht="30">
      <c r="A245" s="64" t="s">
        <v>160</v>
      </c>
      <c r="B245" s="98">
        <f>VLOOKUP([2]!Table27[[#This Row],[Location 
(drop-down)]],'[2]List source'!D$2:E$59,2,FALSE)</f>
        <v>141</v>
      </c>
      <c r="C245" s="99" t="s">
        <v>1348</v>
      </c>
      <c r="D245" s="223" t="str">
        <f t="shared" si="6"/>
        <v>PTO392-141-23</v>
      </c>
      <c r="E245" s="227" t="s">
        <v>1875</v>
      </c>
      <c r="F245" s="165" t="s">
        <v>1566</v>
      </c>
      <c r="G245" s="227" t="e">
        <f>MID(LEFT(#REF!, FIND(",",#REF!) - 1), FIND("{token}", SUBSTITUTE(#REF!, " ", "{token}", 2)) + 1, LEN(#REF!))</f>
        <v>#REF!</v>
      </c>
      <c r="H245" s="165">
        <v>-36.409999999999997</v>
      </c>
      <c r="I245" s="230">
        <v>45418</v>
      </c>
      <c r="J245" s="230" t="s">
        <v>34</v>
      </c>
      <c r="K245" s="294">
        <v>45418</v>
      </c>
      <c r="L245" s="275" t="s">
        <v>1505</v>
      </c>
      <c r="M245" s="191">
        <v>392</v>
      </c>
      <c r="N245" s="2" t="str">
        <f t="shared" ca="1" si="7"/>
        <v>CLOSED</v>
      </c>
    </row>
    <row r="246" spans="1:14" ht="18.75">
      <c r="A246" s="64" t="s">
        <v>314</v>
      </c>
      <c r="B246" s="98">
        <f>VLOOKUP([2]!Table27[[#This Row],[Location 
(drop-down)]],'[2]List source'!D$2:E$59,2,FALSE)</f>
        <v>150</v>
      </c>
      <c r="C246" s="99" t="s">
        <v>1064</v>
      </c>
      <c r="D246" s="223" t="str">
        <f t="shared" si="6"/>
        <v>PTO400-150-23</v>
      </c>
      <c r="E246" s="227" t="s">
        <v>1876</v>
      </c>
      <c r="F246" s="165" t="s">
        <v>1566</v>
      </c>
      <c r="G246" s="227" t="e">
        <f>MID(LEFT(#REF!, FIND(",",#REF!) - 1), FIND("{token}", SUBSTITUTE(#REF!, " ", "{token}", 2)) + 1, LEN(#REF!))</f>
        <v>#REF!</v>
      </c>
      <c r="H246" s="236" t="s">
        <v>1877</v>
      </c>
      <c r="I246" s="230">
        <v>45418</v>
      </c>
      <c r="J246" s="230" t="s">
        <v>34</v>
      </c>
      <c r="K246" s="226">
        <v>45418</v>
      </c>
      <c r="L246" s="165" t="s">
        <v>1562</v>
      </c>
      <c r="M246" s="191">
        <v>400</v>
      </c>
      <c r="N246" s="2" t="str">
        <f t="shared" ca="1" si="7"/>
        <v>CLOSED</v>
      </c>
    </row>
    <row r="247" spans="1:14" ht="18.75">
      <c r="A247" s="64" t="s">
        <v>53</v>
      </c>
      <c r="B247" s="98">
        <f>VLOOKUP([2]!Table27[[#This Row],[Location 
(drop-down)]],'[2]List source'!D$2:E$59,2,FALSE)</f>
        <v>155</v>
      </c>
      <c r="C247" s="99" t="s">
        <v>1088</v>
      </c>
      <c r="D247" s="223" t="str">
        <f t="shared" si="6"/>
        <v>PTO403-155-23</v>
      </c>
      <c r="E247" s="227" t="s">
        <v>1876</v>
      </c>
      <c r="F247" s="165" t="s">
        <v>1566</v>
      </c>
      <c r="G247" s="227" t="e">
        <f>MID(LEFT(#REF!, FIND(",",#REF!) - 1), FIND("{token}", SUBSTITUTE(#REF!, " ", "{token}", 2)) + 1, LEN(#REF!))</f>
        <v>#REF!</v>
      </c>
      <c r="H247" s="236" t="s">
        <v>1878</v>
      </c>
      <c r="I247" s="230">
        <v>45418</v>
      </c>
      <c r="J247" s="230" t="s">
        <v>34</v>
      </c>
      <c r="K247" s="226">
        <v>45418</v>
      </c>
      <c r="L247" s="275" t="s">
        <v>1562</v>
      </c>
      <c r="M247" s="191">
        <v>403</v>
      </c>
      <c r="N247" s="2" t="str">
        <f t="shared" ca="1" si="7"/>
        <v>CLOSED</v>
      </c>
    </row>
    <row r="248" spans="1:14" ht="30">
      <c r="A248" s="64" t="s">
        <v>485</v>
      </c>
      <c r="B248" s="98">
        <f>VLOOKUP([2]!Table27[[#This Row],[Location 
(drop-down)]],'[2]List source'!D$2:E$59,2,FALSE)</f>
        <v>170</v>
      </c>
      <c r="C248" s="99" t="s">
        <v>369</v>
      </c>
      <c r="D248" s="223" t="str">
        <f t="shared" si="6"/>
        <v>PTO404-170-23</v>
      </c>
      <c r="E248" s="227" t="s">
        <v>1879</v>
      </c>
      <c r="F248" s="165" t="s">
        <v>1566</v>
      </c>
      <c r="G248" s="227" t="s">
        <v>1538</v>
      </c>
      <c r="H248" s="236" t="s">
        <v>1880</v>
      </c>
      <c r="I248" s="230">
        <v>45418</v>
      </c>
      <c r="J248" s="230" t="s">
        <v>34</v>
      </c>
      <c r="K248" s="226">
        <v>45418</v>
      </c>
      <c r="L248" s="165" t="s">
        <v>1562</v>
      </c>
      <c r="M248" s="222">
        <v>404</v>
      </c>
      <c r="N248" s="2" t="str">
        <f t="shared" ca="1" si="7"/>
        <v>CLOSED</v>
      </c>
    </row>
    <row r="249" spans="1:14" ht="30">
      <c r="A249" s="64" t="s">
        <v>500</v>
      </c>
      <c r="B249" s="98">
        <f>VLOOKUP([2]!Table27[[#This Row],[Location 
(drop-down)]],'[2]List source'!D$2:E$59,2,FALSE)</f>
        <v>180</v>
      </c>
      <c r="C249" s="99" t="s">
        <v>203</v>
      </c>
      <c r="D249" s="223" t="str">
        <f t="shared" si="6"/>
        <v>PTO405-180-23</v>
      </c>
      <c r="E249" s="227" t="s">
        <v>1881</v>
      </c>
      <c r="F249" s="165" t="s">
        <v>1566</v>
      </c>
      <c r="G249" s="227" t="e">
        <f>MID(LEFT(#REF!, FIND(",",#REF!) - 1), FIND("{token}", SUBSTITUTE(#REF!, " ", "{token}", 2)) + 1, LEN(#REF!))</f>
        <v>#REF!</v>
      </c>
      <c r="H249" s="165">
        <v>2.2200000000000002</v>
      </c>
      <c r="I249" s="230">
        <v>45418</v>
      </c>
      <c r="J249" s="230" t="s">
        <v>34</v>
      </c>
      <c r="K249" s="226">
        <v>45418</v>
      </c>
      <c r="L249" s="92" t="s">
        <v>1562</v>
      </c>
      <c r="M249" s="191">
        <v>405</v>
      </c>
      <c r="N249" s="2" t="str">
        <f t="shared" ca="1" si="7"/>
        <v>CLOSED</v>
      </c>
    </row>
    <row r="250" spans="1:14" ht="30">
      <c r="A250" s="64" t="s">
        <v>358</v>
      </c>
      <c r="B250" s="98">
        <f>VLOOKUP([2]!Table27[[#This Row],[Location 
(drop-down)]],'[2]List source'!D$2:E$59,2,FALSE)</f>
        <v>194</v>
      </c>
      <c r="C250" s="99" t="s">
        <v>1059</v>
      </c>
      <c r="D250" s="223" t="str">
        <f t="shared" si="6"/>
        <v>PTO410-194-23</v>
      </c>
      <c r="E250" s="227" t="s">
        <v>1882</v>
      </c>
      <c r="F250" s="165" t="s">
        <v>1566</v>
      </c>
      <c r="G250" s="227" t="e">
        <f>MID(LEFT(#REF!, FIND(",",#REF!) - 1), FIND("{token}", SUBSTITUTE(#REF!, " ", "{token}", 2)) + 1, LEN(#REF!))</f>
        <v>#REF!</v>
      </c>
      <c r="H250" s="236" t="s">
        <v>1883</v>
      </c>
      <c r="I250" s="230">
        <v>45418</v>
      </c>
      <c r="J250" s="230" t="s">
        <v>34</v>
      </c>
      <c r="K250" s="226">
        <v>45418</v>
      </c>
      <c r="L250" s="165" t="s">
        <v>1562</v>
      </c>
      <c r="M250" s="222">
        <v>410</v>
      </c>
      <c r="N250" s="2" t="str">
        <f t="shared" ca="1" si="7"/>
        <v>CLOSED</v>
      </c>
    </row>
    <row r="251" spans="1:14" ht="18.75">
      <c r="A251" s="64" t="s">
        <v>139</v>
      </c>
      <c r="B251" s="98">
        <f>VLOOKUP([2]!Table27[[#This Row],[Location 
(drop-down)]],'[2]List source'!D$2:E$59,2,FALSE)</f>
        <v>146</v>
      </c>
      <c r="C251" s="99" t="s">
        <v>1022</v>
      </c>
      <c r="D251" s="223" t="str">
        <f t="shared" si="6"/>
        <v>PTO411-146-23</v>
      </c>
      <c r="E251" s="227" t="s">
        <v>1884</v>
      </c>
      <c r="F251" s="165" t="s">
        <v>1566</v>
      </c>
      <c r="G251" s="227" t="e">
        <f>MID(LEFT(#REF!, FIND(",",#REF!) - 1), FIND("{token}", SUBSTITUTE(#REF!, " ", "{token}", 2)) + 1, LEN(#REF!))</f>
        <v>#REF!</v>
      </c>
      <c r="H251" s="165">
        <v>2.31</v>
      </c>
      <c r="I251" s="230">
        <v>45418</v>
      </c>
      <c r="J251" s="230" t="s">
        <v>34</v>
      </c>
      <c r="K251" s="226">
        <v>45418</v>
      </c>
      <c r="L251" s="275" t="s">
        <v>1562</v>
      </c>
      <c r="M251" s="191">
        <v>411</v>
      </c>
      <c r="N251" s="2" t="str">
        <f t="shared" ca="1" si="7"/>
        <v>CLOSED</v>
      </c>
    </row>
    <row r="252" spans="1:14" ht="18.75">
      <c r="A252" s="64" t="s">
        <v>15</v>
      </c>
      <c r="B252" s="98">
        <f>VLOOKUP([2]!Table27[[#This Row],[Location 
(drop-down)]],'[2]List source'!D$2:E$59,2,FALSE)</f>
        <v>146</v>
      </c>
      <c r="C252" s="99" t="s">
        <v>1142</v>
      </c>
      <c r="D252" s="223" t="str">
        <f t="shared" si="6"/>
        <v>PTO416-146-23</v>
      </c>
      <c r="E252" s="227" t="s">
        <v>1884</v>
      </c>
      <c r="F252" s="165" t="s">
        <v>1566</v>
      </c>
      <c r="G252" s="227" t="e">
        <f>MID(LEFT(#REF!, FIND(",",#REF!) - 1), FIND("{token}", SUBSTITUTE(#REF!, " ", "{token}", 2)) + 1, LEN(#REF!))</f>
        <v>#REF!</v>
      </c>
      <c r="H252" s="165">
        <v>2.78</v>
      </c>
      <c r="I252" s="230">
        <v>45418</v>
      </c>
      <c r="J252" s="230" t="s">
        <v>34</v>
      </c>
      <c r="K252" s="226">
        <v>45418</v>
      </c>
      <c r="L252" s="165" t="s">
        <v>1562</v>
      </c>
      <c r="M252" s="222">
        <v>416</v>
      </c>
      <c r="N252" s="2" t="str">
        <f t="shared" ca="1" si="7"/>
        <v>CLOSED</v>
      </c>
    </row>
    <row r="253" spans="1:14" ht="18.75">
      <c r="A253" s="64" t="s">
        <v>311</v>
      </c>
      <c r="B253" s="98">
        <f>VLOOKUP([2]!Table27[[#This Row],[Location 
(drop-down)]],'[2]List source'!D$2:E$59,2,FALSE)</f>
        <v>191</v>
      </c>
      <c r="C253" s="99" t="s">
        <v>699</v>
      </c>
      <c r="D253" s="223" t="str">
        <f t="shared" si="6"/>
        <v>PTO280-191-23</v>
      </c>
      <c r="E253" s="227" t="s">
        <v>1885</v>
      </c>
      <c r="F253" s="165" t="e" cm="1">
        <f t="array" aca="1" ref="F253" ca="1">MID(LEFT(#REF!, INDEX(_xlfn._xlws.FILTER(ROW(INDIRECT("1:" &amp; LEN(#REF!))), (48 &lt;= CODE(MID(#REF!, ROW(INDIRECT("1:" &amp; LEN(#REF!))), 1))) * (CODE(MID(#REF!, ROW(INDIRECT("1:" &amp; LEN(#REF!))), 1)) &lt;= 57)), 1) - 1), FIND(":",#REF!) + 2, LEN(#REF!))</f>
        <v>#REF!</v>
      </c>
      <c r="G253" s="227" t="e">
        <f>MID(LEFT(#REF!, FIND(",",#REF!) - 1), FIND("{token}", SUBSTITUTE(#REF!, " ", "{token}", 2)) + 1, LEN(#REF!))</f>
        <v>#REF!</v>
      </c>
      <c r="H253" s="236" t="s">
        <v>1886</v>
      </c>
      <c r="I253" s="230">
        <v>45412</v>
      </c>
      <c r="J253" s="230" t="s">
        <v>34</v>
      </c>
      <c r="K253" s="226">
        <v>45419</v>
      </c>
      <c r="L253" s="298" t="s">
        <v>1505</v>
      </c>
      <c r="M253" s="191">
        <v>280</v>
      </c>
      <c r="N253" s="2" t="str">
        <f t="shared" ca="1" si="7"/>
        <v>CLOSED</v>
      </c>
    </row>
    <row r="254" spans="1:14" ht="18.75">
      <c r="A254" s="64" t="s">
        <v>311</v>
      </c>
      <c r="B254" s="98">
        <f>VLOOKUP([2]!Table27[[#This Row],[Location 
(drop-down)]],'[2]List source'!D$2:E$59,2,FALSE)</f>
        <v>215</v>
      </c>
      <c r="C254" s="99" t="s">
        <v>1266</v>
      </c>
      <c r="D254" s="223" t="str">
        <f t="shared" si="6"/>
        <v>PTO281-215-23</v>
      </c>
      <c r="E254" s="227" t="s">
        <v>1887</v>
      </c>
      <c r="F254" s="165" t="e" cm="1">
        <f t="array" aca="1" ref="F254" ca="1">MID(LEFT(#REF!, INDEX(_xlfn._xlws.FILTER(ROW(INDIRECT("1:" &amp; LEN(#REF!))), (48 &lt;= CODE(MID(#REF!, ROW(INDIRECT("1:" &amp; LEN(#REF!))), 1))) * (CODE(MID(#REF!, ROW(INDIRECT("1:" &amp; LEN(#REF!))), 1)) &lt;= 57)), 1) - 1), FIND(":",#REF!) + 2, LEN(#REF!))</f>
        <v>#REF!</v>
      </c>
      <c r="G254" s="227" t="e">
        <f>MID(LEFT(#REF!, FIND(",",#REF!) - 1), FIND("{token}", SUBSTITUTE(#REF!, " ", "{token}", 2)) + 1, LEN(#REF!))</f>
        <v>#REF!</v>
      </c>
      <c r="H254" s="236">
        <v>89.4</v>
      </c>
      <c r="I254" s="230">
        <v>45412</v>
      </c>
      <c r="J254" s="230" t="s">
        <v>34</v>
      </c>
      <c r="K254" s="226">
        <v>45419</v>
      </c>
      <c r="L254" s="165" t="s">
        <v>1505</v>
      </c>
      <c r="M254" s="222">
        <v>281</v>
      </c>
      <c r="N254" s="2" t="str">
        <f t="shared" ca="1" si="7"/>
        <v>CLOSED</v>
      </c>
    </row>
    <row r="255" spans="1:14" ht="18.75">
      <c r="A255" s="64" t="s">
        <v>15</v>
      </c>
      <c r="B255" s="98">
        <f>VLOOKUP([2]!Table27[[#This Row],[Location 
(drop-down)]],'[2]List source'!D$2:E$59,2,FALSE)</f>
        <v>215</v>
      </c>
      <c r="C255" s="99" t="s">
        <v>1066</v>
      </c>
      <c r="D255" s="223" t="str">
        <f t="shared" si="6"/>
        <v>PTO347-215-23</v>
      </c>
      <c r="E255" s="227" t="s">
        <v>1888</v>
      </c>
      <c r="F255" s="165" t="s">
        <v>1840</v>
      </c>
      <c r="G255" s="227" t="e">
        <f>MID(LEFT(#REF!, FIND(",",#REF!) - 1), FIND("{token}", SUBSTITUTE(#REF!, " ", "{token}", 2)) + 1, LEN(#REF!))</f>
        <v>#REF!</v>
      </c>
      <c r="H255" s="236" t="s">
        <v>1889</v>
      </c>
      <c r="I255" s="230">
        <v>45415</v>
      </c>
      <c r="J255" s="230" t="s">
        <v>34</v>
      </c>
      <c r="K255" s="226">
        <v>45419</v>
      </c>
      <c r="L255" s="165" t="s">
        <v>1505</v>
      </c>
      <c r="M255" s="222">
        <v>347</v>
      </c>
      <c r="N255" s="2" t="str">
        <f t="shared" ca="1" si="7"/>
        <v>CLOSED</v>
      </c>
    </row>
    <row r="256" spans="1:14" ht="30">
      <c r="A256" s="64" t="s">
        <v>39</v>
      </c>
      <c r="B256" s="98">
        <f>VLOOKUP([2]!Table27[[#This Row],[Location 
(drop-down)]],'[2]List source'!D$2:E$59,2,FALSE)</f>
        <v>159</v>
      </c>
      <c r="C256" s="99" t="s">
        <v>998</v>
      </c>
      <c r="D256" s="223" t="str">
        <f t="shared" si="6"/>
        <v>PTO390-159-23</v>
      </c>
      <c r="E256" s="227" t="s">
        <v>1890</v>
      </c>
      <c r="F256" s="165" t="s">
        <v>1566</v>
      </c>
      <c r="G256" s="227" t="e">
        <f>MID(LEFT(#REF!, FIND(",",#REF!) - 1), FIND("{token}", SUBSTITUTE(#REF!, " ", "{token}", 2)) + 1, LEN(#REF!))</f>
        <v>#REF!</v>
      </c>
      <c r="H256" s="236" t="s">
        <v>1891</v>
      </c>
      <c r="I256" s="230">
        <v>45418</v>
      </c>
      <c r="J256" s="230" t="s">
        <v>34</v>
      </c>
      <c r="K256" s="226">
        <v>45419</v>
      </c>
      <c r="L256" s="165" t="s">
        <v>1505</v>
      </c>
      <c r="M256" s="222">
        <v>390</v>
      </c>
      <c r="N256" s="2" t="str">
        <f t="shared" ca="1" si="7"/>
        <v>CLOSED</v>
      </c>
    </row>
    <row r="257" spans="1:14" ht="30">
      <c r="A257" s="64" t="s">
        <v>185</v>
      </c>
      <c r="B257" s="98">
        <f>VLOOKUP([2]!Table27[[#This Row],[Location 
(drop-down)]],'[2]List source'!D$2:E$59,2,FALSE)</f>
        <v>144</v>
      </c>
      <c r="C257" s="99" t="s">
        <v>739</v>
      </c>
      <c r="D257" s="223" t="str">
        <f t="shared" si="6"/>
        <v>PTO397-144-23</v>
      </c>
      <c r="E257" s="227" t="s">
        <v>1892</v>
      </c>
      <c r="F257" s="165" t="s">
        <v>1566</v>
      </c>
      <c r="G257" s="227" t="e">
        <f>MID(LEFT(#REF!, FIND(",",#REF!) - 1), FIND("{token}", SUBSTITUTE(#REF!, " ", "{token}", 2)) + 1, LEN(#REF!))</f>
        <v>#REF!</v>
      </c>
      <c r="H257" s="165">
        <v>2.29</v>
      </c>
      <c r="I257" s="230">
        <v>45418</v>
      </c>
      <c r="J257" s="230" t="s">
        <v>34</v>
      </c>
      <c r="K257" s="226">
        <v>45419</v>
      </c>
      <c r="L257" s="275" t="s">
        <v>1505</v>
      </c>
      <c r="M257" s="191">
        <v>397</v>
      </c>
      <c r="N257" s="2" t="str">
        <f t="shared" ca="1" si="7"/>
        <v>CLOSED</v>
      </c>
    </row>
    <row r="258" spans="1:14" ht="18.75">
      <c r="A258" s="64" t="s">
        <v>15</v>
      </c>
      <c r="B258" s="98">
        <f>VLOOKUP([2]!Table27[[#This Row],[Location 
(drop-down)]],'[2]List source'!D$2:E$59,2,FALSE)</f>
        <v>180</v>
      </c>
      <c r="C258" s="99" t="s">
        <v>24</v>
      </c>
      <c r="D258" s="223" t="str">
        <f t="shared" ref="D258:D321" si="8">"PTO" &amp; C258 &amp; "-" &amp; B258 &amp; "-" &amp; "23"</f>
        <v>PTO415-180-23</v>
      </c>
      <c r="E258" s="227" t="s">
        <v>1893</v>
      </c>
      <c r="F258" s="165" t="s">
        <v>1566</v>
      </c>
      <c r="G258" s="227" t="e">
        <f>MID(LEFT(#REF!, FIND(",",#REF!) - 1), FIND("{token}", SUBSTITUTE(#REF!, " ", "{token}", 2)) + 1, LEN(#REF!))</f>
        <v>#REF!</v>
      </c>
      <c r="H258" s="165">
        <v>2.58</v>
      </c>
      <c r="I258" s="230">
        <v>45418</v>
      </c>
      <c r="J258" s="230" t="s">
        <v>34</v>
      </c>
      <c r="K258" s="226">
        <v>45419</v>
      </c>
      <c r="L258" s="92" t="s">
        <v>1505</v>
      </c>
      <c r="M258" s="222">
        <v>415</v>
      </c>
      <c r="N258" s="2" t="str">
        <f t="shared" ca="1" si="7"/>
        <v>CLOSED</v>
      </c>
    </row>
    <row r="259" spans="1:14" ht="30">
      <c r="A259" s="64" t="s">
        <v>399</v>
      </c>
      <c r="B259" s="98">
        <f>VLOOKUP([2]!Table27[[#This Row],[Location 
(drop-down)]],'[2]List source'!D$2:E$59,2,FALSE)</f>
        <v>180</v>
      </c>
      <c r="C259" s="99" t="s">
        <v>921</v>
      </c>
      <c r="D259" s="223" t="str">
        <f t="shared" si="8"/>
        <v>PTO353-180-23</v>
      </c>
      <c r="E259" s="123" t="s">
        <v>1894</v>
      </c>
      <c r="F259" s="18" t="s">
        <v>1850</v>
      </c>
      <c r="G259" s="123" t="e">
        <f>MID(LEFT(#REF!, FIND(",",#REF!) - 1), FIND("{token}", SUBSTITUTE(#REF!, " ", "{token}", 2)) + 1, LEN(#REF!))</f>
        <v>#REF!</v>
      </c>
      <c r="H259" s="18">
        <v>2.5499999999999998</v>
      </c>
      <c r="I259" s="230">
        <v>45415</v>
      </c>
      <c r="J259" s="230" t="s">
        <v>34</v>
      </c>
      <c r="K259" s="226">
        <v>45420</v>
      </c>
      <c r="L259" s="165" t="s">
        <v>1505</v>
      </c>
      <c r="M259" s="222">
        <v>353</v>
      </c>
      <c r="N259" s="2" t="str">
        <f t="shared" ca="1" si="7"/>
        <v>CLOSED</v>
      </c>
    </row>
    <row r="260" spans="1:14" ht="30">
      <c r="A260" s="64" t="s">
        <v>125</v>
      </c>
      <c r="B260" s="98">
        <f>VLOOKUP([2]!Table27[[#This Row],[Location 
(drop-down)]],'[2]List source'!D$2:E$59,2,FALSE)</f>
        <v>197</v>
      </c>
      <c r="C260" s="99" t="s">
        <v>893</v>
      </c>
      <c r="D260" s="223" t="str">
        <f t="shared" si="8"/>
        <v>PTO360-197-23</v>
      </c>
      <c r="E260" s="123" t="s">
        <v>1895</v>
      </c>
      <c r="F260" s="18" t="e" cm="1">
        <f t="array" aca="1" ref="F260" ca="1">MID(LEFT(#REF!, INDEX(_xlfn._xlws.FILTER(ROW(INDIRECT("1:" &amp; LEN(#REF!))), (48 &lt;= CODE(MID(#REF!, ROW(INDIRECT("1:" &amp; LEN(#REF!))), 1))) * (CODE(MID(#REF!, ROW(INDIRECT("1:" &amp; LEN(#REF!))), 1)) &lt;= 57)), 1) - 1), FIND(":",#REF!) + 2, LEN(#REF!))</f>
        <v>#REF!</v>
      </c>
      <c r="G260" s="123" t="e">
        <f>MID(LEFT(#REF!, FIND(",",#REF!) - 1), FIND("{token}", SUBSTITUTE(#REF!, " ", "{token}", 2)) + 1, LEN(#REF!))</f>
        <v>#REF!</v>
      </c>
      <c r="H260" s="18">
        <v>4.41</v>
      </c>
      <c r="I260" s="230">
        <v>45418</v>
      </c>
      <c r="J260" s="230" t="s">
        <v>34</v>
      </c>
      <c r="K260" s="226">
        <v>45420</v>
      </c>
      <c r="L260" s="165" t="s">
        <v>1505</v>
      </c>
      <c r="M260" s="222">
        <v>360</v>
      </c>
      <c r="N260" s="2" t="str">
        <f t="shared" ca="1" si="7"/>
        <v>CLOSED</v>
      </c>
    </row>
    <row r="261" spans="1:14" ht="30">
      <c r="A261" s="64" t="s">
        <v>591</v>
      </c>
      <c r="B261" s="98">
        <f>VLOOKUP([2]!Table27[[#This Row],[Location 
(drop-down)]],'[2]List source'!D$2:E$59,2,FALSE)</f>
        <v>197</v>
      </c>
      <c r="C261" s="99" t="s">
        <v>970</v>
      </c>
      <c r="D261" s="223" t="str">
        <f t="shared" si="8"/>
        <v>PTO423-197-23</v>
      </c>
      <c r="E261" s="227" t="s">
        <v>1896</v>
      </c>
      <c r="F261" s="165" t="e" cm="1">
        <f t="array" aca="1" ref="F261" ca="1">MID(LEFT(#REF!, INDEX(_xlfn._xlws.FILTER(ROW(INDIRECT("1:" &amp; LEN(#REF!))), (48 &lt;= CODE(MID(#REF!, ROW(INDIRECT("1:" &amp; LEN(#REF!))), 1))) * (CODE(MID(#REF!, ROW(INDIRECT("1:" &amp; LEN(#REF!))), 1)) &lt;= 57)), 1) - 1), FIND(":",#REF!) + 2, LEN(#REF!))</f>
        <v>#REF!</v>
      </c>
      <c r="G261" s="227" t="e">
        <f>MID(LEFT(#REF!, FIND(",",#REF!) - 1), FIND("{token}", SUBSTITUTE(#REF!, " ", "{token}", 2)) + 1, LEN(#REF!))</f>
        <v>#REF!</v>
      </c>
      <c r="H261" s="165">
        <v>2.11</v>
      </c>
      <c r="I261" s="230">
        <v>45420</v>
      </c>
      <c r="J261" s="230" t="s">
        <v>34</v>
      </c>
      <c r="K261" s="226">
        <v>45420</v>
      </c>
      <c r="L261" s="165" t="s">
        <v>1562</v>
      </c>
      <c r="M261" s="222">
        <v>423</v>
      </c>
      <c r="N261" s="2" t="str">
        <f t="shared" ca="1" si="7"/>
        <v>CLOSED</v>
      </c>
    </row>
    <row r="262" spans="1:14" ht="30">
      <c r="A262" s="64" t="s">
        <v>591</v>
      </c>
      <c r="B262" s="98">
        <f>VLOOKUP([2]!Table27[[#This Row],[Location 
(drop-down)]],'[2]List source'!D$2:E$59,2,FALSE)</f>
        <v>115</v>
      </c>
      <c r="C262" s="99" t="s">
        <v>972</v>
      </c>
      <c r="D262" s="223" t="str">
        <f t="shared" si="8"/>
        <v>PTO424-115-23</v>
      </c>
      <c r="E262" s="227" t="s">
        <v>1897</v>
      </c>
      <c r="F262" s="165" t="e" cm="1">
        <f t="array" aca="1" ref="F262" ca="1">MID(LEFT(#REF!, INDEX(_xlfn._xlws.FILTER(ROW(INDIRECT("1:" &amp; LEN(#REF!))), (48 &lt;= CODE(MID(#REF!, ROW(INDIRECT("1:" &amp; LEN(#REF!))), 1))) * (CODE(MID(#REF!, ROW(INDIRECT("1:" &amp; LEN(#REF!))), 1)) &lt;= 57)), 1) - 1), FIND(":",#REF!) + 2, LEN(#REF!))</f>
        <v>#REF!</v>
      </c>
      <c r="G262" s="227" t="e">
        <f>MID(LEFT(#REF!, FIND(",",#REF!) - 1), FIND("{token}", SUBSTITUTE(#REF!, " ", "{token}", 2)) + 1, LEN(#REF!))</f>
        <v>#REF!</v>
      </c>
      <c r="H262" s="165">
        <v>2.3199999999999998</v>
      </c>
      <c r="I262" s="230">
        <v>45420</v>
      </c>
      <c r="J262" s="230" t="s">
        <v>34</v>
      </c>
      <c r="K262" s="226">
        <v>45420</v>
      </c>
      <c r="L262" s="165" t="s">
        <v>1562</v>
      </c>
      <c r="M262" s="222">
        <v>424</v>
      </c>
      <c r="N262" s="2" t="str">
        <f t="shared" ca="1" si="7"/>
        <v>CLOSED</v>
      </c>
    </row>
    <row r="263" spans="1:14" ht="30">
      <c r="A263" s="64" t="s">
        <v>125</v>
      </c>
      <c r="B263" s="98">
        <f>VLOOKUP([2]!Table27[[#This Row],[Location 
(drop-down)]],'[2]List source'!D$2:E$59,2,FALSE)</f>
        <v>125</v>
      </c>
      <c r="C263" s="99" t="s">
        <v>1898</v>
      </c>
      <c r="D263" s="223" t="str">
        <f t="shared" si="8"/>
        <v>PTO427-125-23</v>
      </c>
      <c r="E263" s="227" t="s">
        <v>1899</v>
      </c>
      <c r="F263" s="165" t="e" cm="1">
        <f t="array" aca="1" ref="F263" ca="1">MID(LEFT(#REF!, INDEX(_xlfn._xlws.FILTER(ROW(INDIRECT("1:" &amp; LEN(#REF!))), (48 &lt;= CODE(MID(#REF!, ROW(INDIRECT("1:" &amp; LEN(#REF!))), 1))) * (CODE(MID(#REF!, ROW(INDIRECT("1:" &amp; LEN(#REF!))), 1)) &lt;= 57)), 1) - 1), FIND(":",#REF!) + 2, LEN(#REF!))</f>
        <v>#REF!</v>
      </c>
      <c r="G263" s="227" t="e">
        <f>MID(LEFT(#REF!, FIND(",",#REF!) - 1), FIND("{token}", SUBSTITUTE(#REF!, " ", "{token}", 2)) + 1, LEN(#REF!))</f>
        <v>#REF!</v>
      </c>
      <c r="H263" s="165">
        <v>6.95</v>
      </c>
      <c r="I263" s="230">
        <v>45420</v>
      </c>
      <c r="J263" s="230" t="s">
        <v>34</v>
      </c>
      <c r="K263" s="226">
        <v>45420</v>
      </c>
      <c r="L263" s="92" t="s">
        <v>1505</v>
      </c>
      <c r="M263" s="191">
        <v>427</v>
      </c>
      <c r="N263" s="2" t="str">
        <f t="shared" ca="1" si="7"/>
        <v>CLOSED</v>
      </c>
    </row>
    <row r="264" spans="1:14" ht="30">
      <c r="A264" s="64" t="s">
        <v>185</v>
      </c>
      <c r="B264" s="98">
        <f>VLOOKUP([2]!Table27[[#This Row],[Location 
(drop-down)]],'[2]List source'!D$2:E$59,2,FALSE)</f>
        <v>126</v>
      </c>
      <c r="C264" s="99" t="s">
        <v>1095</v>
      </c>
      <c r="D264" s="223" t="str">
        <f t="shared" si="8"/>
        <v>PTO429-126-23</v>
      </c>
      <c r="E264" s="227" t="s">
        <v>1896</v>
      </c>
      <c r="F264" s="165" t="e" cm="1">
        <f t="array" aca="1" ref="F264" ca="1">MID(LEFT(#REF!, INDEX(_xlfn._xlws.FILTER(ROW(INDIRECT("1:" &amp; LEN(#REF!))), (48 &lt;= CODE(MID(#REF!, ROW(INDIRECT("1:" &amp; LEN(#REF!))), 1))) * (CODE(MID(#REF!, ROW(INDIRECT("1:" &amp; LEN(#REF!))), 1)) &lt;= 57)), 1) - 1), FIND(":",#REF!) + 2, LEN(#REF!))</f>
        <v>#REF!</v>
      </c>
      <c r="G264" s="227" t="e">
        <f>MID(LEFT(#REF!, FIND(",",#REF!) - 1), FIND("{token}", SUBSTITUTE(#REF!, " ", "{token}", 2)) + 1, LEN(#REF!))</f>
        <v>#REF!</v>
      </c>
      <c r="H264" s="165">
        <v>2.86</v>
      </c>
      <c r="I264" s="230">
        <v>45420</v>
      </c>
      <c r="J264" s="230" t="s">
        <v>34</v>
      </c>
      <c r="K264" s="226">
        <v>45420</v>
      </c>
      <c r="L264" s="165" t="s">
        <v>1562</v>
      </c>
      <c r="M264" s="222">
        <v>429</v>
      </c>
      <c r="N264" s="2" t="str">
        <f t="shared" ca="1" si="7"/>
        <v>CLOSED</v>
      </c>
    </row>
    <row r="265" spans="1:14" ht="30">
      <c r="A265" s="64" t="s">
        <v>518</v>
      </c>
      <c r="B265" s="98">
        <f>VLOOKUP([2]!Table27[[#This Row],[Location 
(drop-down)]],'[2]List source'!D$2:E$59,2,FALSE)</f>
        <v>130</v>
      </c>
      <c r="C265" s="99" t="s">
        <v>1113</v>
      </c>
      <c r="D265" s="223" t="str">
        <f t="shared" si="8"/>
        <v>PTO430-130-23</v>
      </c>
      <c r="E265" s="115" t="s">
        <v>1900</v>
      </c>
      <c r="F265" s="18" t="e" cm="1">
        <f t="array" aca="1" ref="F265" ca="1">MID(LEFT(#REF!, INDEX(_xlfn._xlws.FILTER(ROW(INDIRECT("1:" &amp; LEN(#REF!))), (48 &lt;= CODE(MID(#REF!, ROW(INDIRECT("1:" &amp; LEN(#REF!))), 1))) * (CODE(MID(#REF!, ROW(INDIRECT("1:" &amp; LEN(#REF!))), 1)) &lt;= 57)), 1) - 1), FIND(":",#REF!) + 2, LEN(#REF!))</f>
        <v>#REF!</v>
      </c>
      <c r="G265" s="115" t="e">
        <f>MID(LEFT(#REF!, FIND(",",#REF!) - 1), FIND("{token}", SUBSTITUTE(#REF!, " ", "{token}", 2)) + 1, LEN(#REF!))</f>
        <v>#REF!</v>
      </c>
      <c r="H265" s="293" t="s">
        <v>1754</v>
      </c>
      <c r="I265" s="230">
        <v>45420</v>
      </c>
      <c r="J265" s="230" t="s">
        <v>34</v>
      </c>
      <c r="K265" s="226">
        <v>45420</v>
      </c>
      <c r="L265" s="165" t="s">
        <v>1562</v>
      </c>
      <c r="M265" s="222">
        <v>430</v>
      </c>
      <c r="N265" s="2" t="str">
        <f t="shared" ca="1" si="7"/>
        <v>CLOSED</v>
      </c>
    </row>
    <row r="266" spans="1:14" ht="18.75">
      <c r="A266" s="64" t="s">
        <v>15</v>
      </c>
      <c r="B266" s="98">
        <f>VLOOKUP([2]!Table27[[#This Row],[Location 
(drop-down)]],'[2]List source'!D$2:E$59,2,FALSE)</f>
        <v>131</v>
      </c>
      <c r="C266" s="99" t="s">
        <v>1115</v>
      </c>
      <c r="D266" s="223" t="str">
        <f t="shared" si="8"/>
        <v>PTO431-131-23</v>
      </c>
      <c r="E266" s="227" t="s">
        <v>1901</v>
      </c>
      <c r="F266" s="165" t="e" cm="1">
        <f t="array" aca="1" ref="F266" ca="1">MID(LEFT(#REF!, INDEX(_xlfn._xlws.FILTER(ROW(INDIRECT("1:" &amp; LEN(#REF!))), (48 &lt;= CODE(MID(#REF!, ROW(INDIRECT("1:" &amp; LEN(#REF!))), 1))) * (CODE(MID(#REF!, ROW(INDIRECT("1:" &amp; LEN(#REF!))), 1)) &lt;= 57)), 1) - 1), FIND(":",#REF!) + 2, LEN(#REF!))</f>
        <v>#REF!</v>
      </c>
      <c r="G266" s="227" t="e">
        <f>MID(LEFT(#REF!, FIND(",",#REF!) - 1), FIND("{token}", SUBSTITUTE(#REF!, " ", "{token}", 2)) + 1, LEN(#REF!))</f>
        <v>#REF!</v>
      </c>
      <c r="H266" s="165">
        <v>7.39</v>
      </c>
      <c r="I266" s="230">
        <v>45420</v>
      </c>
      <c r="J266" s="230" t="s">
        <v>34</v>
      </c>
      <c r="K266" s="226">
        <v>45420</v>
      </c>
      <c r="L266" s="165" t="s">
        <v>1505</v>
      </c>
      <c r="M266" s="222">
        <v>431</v>
      </c>
      <c r="N266" s="2" t="str">
        <f t="shared" ca="1" si="7"/>
        <v>CLOSED</v>
      </c>
    </row>
    <row r="267" spans="1:14" ht="30">
      <c r="A267" s="64" t="s">
        <v>500</v>
      </c>
      <c r="B267" s="98">
        <f>VLOOKUP([2]!Table27[[#This Row],[Location 
(drop-down)]],'[2]List source'!D$2:E$59,2,FALSE)</f>
        <v>132</v>
      </c>
      <c r="C267" s="99" t="s">
        <v>1040</v>
      </c>
      <c r="D267" s="223" t="str">
        <f t="shared" si="8"/>
        <v>PTO256-132-23</v>
      </c>
      <c r="E267" s="227" t="s">
        <v>1902</v>
      </c>
      <c r="F267" s="165" t="s">
        <v>1769</v>
      </c>
      <c r="G267" s="227" t="e">
        <f>MID(LEFT(#REF!, FIND(",",#REF!) - 1), FIND("{token}", SUBSTITUTE(#REF!, " ", "{token}", 2)) + 1, LEN(#REF!))</f>
        <v>#REF!</v>
      </c>
      <c r="H267" s="236" t="s">
        <v>1903</v>
      </c>
      <c r="I267" s="230">
        <v>45411</v>
      </c>
      <c r="J267" s="230" t="s">
        <v>34</v>
      </c>
      <c r="K267" s="226">
        <v>45421</v>
      </c>
      <c r="L267" s="92" t="s">
        <v>1505</v>
      </c>
      <c r="M267" s="191">
        <v>256</v>
      </c>
      <c r="N267" s="2" t="str">
        <f t="shared" ca="1" si="7"/>
        <v>CLOSED</v>
      </c>
    </row>
    <row r="268" spans="1:14" ht="18.75">
      <c r="A268" s="64" t="s">
        <v>156</v>
      </c>
      <c r="B268" s="98">
        <f>VLOOKUP([2]!Table27[[#This Row],[Location 
(drop-down)]],'[2]List source'!D$2:E$59,2,FALSE)</f>
        <v>140</v>
      </c>
      <c r="C268" s="99" t="s">
        <v>996</v>
      </c>
      <c r="D268" s="223" t="str">
        <f t="shared" si="8"/>
        <v>PTO389-140-23</v>
      </c>
      <c r="E268" s="227" t="s">
        <v>1904</v>
      </c>
      <c r="F268" s="165" t="s">
        <v>1566</v>
      </c>
      <c r="G268" s="227" t="e">
        <f>MID(LEFT(#REF!, FIND(",",#REF!) - 1), FIND("{token}", SUBSTITUTE(#REF!, " ", "{token}", 2)) + 1, LEN(#REF!))</f>
        <v>#REF!</v>
      </c>
      <c r="H268" s="165">
        <v>46.57</v>
      </c>
      <c r="I268" s="230">
        <v>45418</v>
      </c>
      <c r="J268" s="230" t="s">
        <v>34</v>
      </c>
      <c r="K268" s="226">
        <v>45421</v>
      </c>
      <c r="L268" s="165" t="s">
        <v>1505</v>
      </c>
      <c r="M268" s="222">
        <v>389</v>
      </c>
      <c r="N268" s="2" t="str">
        <f t="shared" ca="1" si="7"/>
        <v>CLOSED</v>
      </c>
    </row>
    <row r="269" spans="1:14" ht="18.75">
      <c r="A269" s="64" t="s">
        <v>156</v>
      </c>
      <c r="B269" s="98">
        <f>VLOOKUP([2]!Table27[[#This Row],[Location 
(drop-down)]],'[2]List source'!D$2:E$59,2,FALSE)</f>
        <v>140</v>
      </c>
      <c r="C269" s="99" t="s">
        <v>1061</v>
      </c>
      <c r="D269" s="223" t="str">
        <f t="shared" si="8"/>
        <v>PTO414-140-23</v>
      </c>
      <c r="E269" s="190" t="s">
        <v>1905</v>
      </c>
      <c r="F269" s="165" t="e" cm="1">
        <f t="array" aca="1" ref="F269" ca="1">MID(LEFT(#REF!, INDEX(_xlfn._xlws.FILTER(ROW(INDIRECT("1:" &amp; LEN(#REF!))), (48 &lt;= CODE(MID(#REF!, ROW(INDIRECT("1:" &amp; LEN(#REF!))), 1))) * (CODE(MID(#REF!, ROW(INDIRECT("1:" &amp; LEN(#REF!))), 1)) &lt;= 57)), 1) - 1), FIND(":",#REF!) + 2, LEN(#REF!))</f>
        <v>#REF!</v>
      </c>
      <c r="G269" s="227" t="e">
        <f>MID(LEFT(#REF!, FIND(",",#REF!) - 1), FIND("{token}", SUBSTITUTE(#REF!, " ", "{token}", 2)) + 1, LEN(#REF!))</f>
        <v>#REF!</v>
      </c>
      <c r="H269" s="165">
        <v>8.4499999999999993</v>
      </c>
      <c r="I269" s="230">
        <v>45420</v>
      </c>
      <c r="J269" s="230" t="s">
        <v>34</v>
      </c>
      <c r="K269" s="226">
        <v>45421</v>
      </c>
      <c r="L269" s="165" t="s">
        <v>1505</v>
      </c>
      <c r="M269" s="222">
        <v>414</v>
      </c>
      <c r="N269" s="2" t="str">
        <f t="shared" ca="1" si="7"/>
        <v>CLOSED</v>
      </c>
    </row>
    <row r="270" spans="1:14" ht="18.75">
      <c r="A270" s="64" t="s">
        <v>139</v>
      </c>
      <c r="B270" s="98">
        <f>VLOOKUP([2]!Table27[[#This Row],[Location 
(drop-down)]],'[2]List source'!D$2:E$59,2,FALSE)</f>
        <v>155</v>
      </c>
      <c r="C270" s="99" t="s">
        <v>322</v>
      </c>
      <c r="D270" s="223" t="str">
        <f t="shared" si="8"/>
        <v>PTO011-155-23</v>
      </c>
      <c r="E270" s="228" t="s">
        <v>1906</v>
      </c>
      <c r="F270" s="229" t="e" cm="1">
        <f t="array" aca="1" ref="F270" ca="1">MID(LEFT(#REF!, INDEX(_xlfn._xlws.FILTER(ROW(INDIRECT("1:" &amp; LEN(#REF!))), (48 &lt;= CODE(MID(#REF!, ROW(INDIRECT("1:" &amp; LEN(#REF!))), 1))) * (CODE(MID(#REF!, ROW(INDIRECT("1:" &amp; LEN(#REF!))), 1)) &lt;= 57)), 1) - 1), FIND(":",#REF!) + 2, LEN(#REF!))</f>
        <v>#REF!</v>
      </c>
      <c r="G270" s="228" t="e">
        <f>MID(LEFT(#REF!, FIND(",",#REF!) - 1), FIND("{token}", SUBSTITUTE(#REF!, " ", "{token}", 2)) + 1, LEN(#REF!))</f>
        <v>#REF!</v>
      </c>
      <c r="H270" s="229">
        <v>2.4500000000000002</v>
      </c>
      <c r="I270" s="230">
        <v>45301</v>
      </c>
      <c r="J270" s="230" t="s">
        <v>1619</v>
      </c>
      <c r="K270" s="226">
        <v>45422</v>
      </c>
      <c r="L270" s="165"/>
      <c r="M270" s="222">
        <v>11</v>
      </c>
      <c r="N270" s="2" t="str">
        <f t="shared" ca="1" si="7"/>
        <v>CLOSED</v>
      </c>
    </row>
    <row r="271" spans="1:14" ht="18.75">
      <c r="A271" s="64" t="s">
        <v>103</v>
      </c>
      <c r="B271" s="98">
        <f>VLOOKUP([2]!Table27[[#This Row],[Location 
(drop-down)]],'[2]List source'!D$2:E$59,2,FALSE)</f>
        <v>165</v>
      </c>
      <c r="C271" s="99" t="s">
        <v>517</v>
      </c>
      <c r="D271" s="223" t="str">
        <f t="shared" si="8"/>
        <v>PTO166-165-23</v>
      </c>
      <c r="E271" s="240" t="s">
        <v>1907</v>
      </c>
      <c r="F271" s="2" t="e" cm="1">
        <f t="array" aca="1" ref="F271" ca="1">MID(LEFT(#REF!, INDEX(_xlfn._xlws.FILTER(ROW(INDIRECT("1:" &amp; LEN(#REF!))), (48 &lt;= CODE(MID(#REF!, ROW(INDIRECT("1:" &amp; LEN(#REF!))), 1))) * (CODE(MID(#REF!, ROW(INDIRECT("1:" &amp; LEN(#REF!))), 1)) &lt;= 57)), 1) - 1), FIND(":",#REF!) + 2, LEN(#REF!))</f>
        <v>#REF!</v>
      </c>
      <c r="G271" s="240" t="e">
        <f>MID(LEFT(#REF!, FIND(",",#REF!) - 1), FIND("{token}", SUBSTITUTE(#REF!, " ", "{token}", 2)) + 1, LEN(#REF!))</f>
        <v>#REF!</v>
      </c>
      <c r="H271" s="2">
        <v>2.0299999999999998</v>
      </c>
      <c r="I271" s="260">
        <v>45387</v>
      </c>
      <c r="J271" s="230" t="s">
        <v>1619</v>
      </c>
      <c r="K271" s="226">
        <v>45422</v>
      </c>
      <c r="L271" s="165"/>
      <c r="M271" s="222">
        <v>166</v>
      </c>
      <c r="N271" s="2" t="str">
        <f t="shared" ca="1" si="7"/>
        <v>CLOSED</v>
      </c>
    </row>
    <row r="272" spans="1:14" ht="30">
      <c r="A272" s="64" t="s">
        <v>495</v>
      </c>
      <c r="B272" s="98">
        <f>VLOOKUP([2]!Table27[[#This Row],[Location 
(drop-down)]],'[2]List source'!D$2:E$59,2,FALSE)</f>
        <v>170</v>
      </c>
      <c r="C272" s="99" t="s">
        <v>1117</v>
      </c>
      <c r="D272" s="223" t="str">
        <f t="shared" si="8"/>
        <v>PTO432-170-23</v>
      </c>
      <c r="E272" s="227" t="s">
        <v>1908</v>
      </c>
      <c r="F272" s="165" t="s">
        <v>1909</v>
      </c>
      <c r="G272" s="227" t="e">
        <f>MID(LEFT(#REF!, FIND(",",#REF!) - 1), FIND("{token}", SUBSTITUTE(#REF!, " ", "{token}", 2)) + 1, LEN(#REF!))</f>
        <v>#REF!</v>
      </c>
      <c r="H272" s="236" t="s">
        <v>1653</v>
      </c>
      <c r="I272" s="230">
        <v>45422</v>
      </c>
      <c r="J272" s="230" t="s">
        <v>34</v>
      </c>
      <c r="K272" s="226">
        <v>45422</v>
      </c>
      <c r="L272" s="165" t="s">
        <v>1562</v>
      </c>
      <c r="M272" s="222">
        <v>432</v>
      </c>
      <c r="N272" s="2" t="str">
        <f t="shared" ca="1" si="7"/>
        <v>CLOSED</v>
      </c>
    </row>
    <row r="273" spans="1:14" ht="30">
      <c r="A273" s="64" t="s">
        <v>495</v>
      </c>
      <c r="B273" s="98">
        <f>VLOOKUP([2]!Table27[[#This Row],[Location 
(drop-down)]],'[2]List source'!D$2:E$59,2,FALSE)</f>
        <v>180</v>
      </c>
      <c r="C273" s="99" t="s">
        <v>1069</v>
      </c>
      <c r="D273" s="223" t="str">
        <f t="shared" si="8"/>
        <v>PTO433-180-23</v>
      </c>
      <c r="E273" s="227" t="s">
        <v>1910</v>
      </c>
      <c r="F273" s="165" t="s">
        <v>1909</v>
      </c>
      <c r="G273" s="227" t="e">
        <f>MID(LEFT(#REF!, FIND(",",#REF!) - 1), FIND("{token}", SUBSTITUTE(#REF!, " ", "{token}", 2)) + 1, LEN(#REF!))</f>
        <v>#REF!</v>
      </c>
      <c r="H273" s="165">
        <v>-2.36</v>
      </c>
      <c r="I273" s="230">
        <v>45422</v>
      </c>
      <c r="J273" s="230" t="s">
        <v>34</v>
      </c>
      <c r="K273" s="226">
        <v>45422</v>
      </c>
      <c r="L273" s="165" t="s">
        <v>1562</v>
      </c>
      <c r="M273" s="222">
        <v>433</v>
      </c>
      <c r="N273" s="2" t="str">
        <f t="shared" ca="1" si="7"/>
        <v>CLOSED</v>
      </c>
    </row>
    <row r="274" spans="1:14" ht="30">
      <c r="A274" s="64" t="s">
        <v>495</v>
      </c>
      <c r="B274" s="98">
        <f>VLOOKUP([2]!Table27[[#This Row],[Location 
(drop-down)]],'[2]List source'!D$2:E$59,2,FALSE)</f>
        <v>191</v>
      </c>
      <c r="C274" s="99" t="s">
        <v>1100</v>
      </c>
      <c r="D274" s="223" t="str">
        <f t="shared" si="8"/>
        <v>PTO434-191-23</v>
      </c>
      <c r="E274" s="227" t="s">
        <v>1911</v>
      </c>
      <c r="F274" s="165" t="s">
        <v>1909</v>
      </c>
      <c r="G274" s="227" t="e">
        <f>MID(LEFT(#REF!, FIND(",",#REF!) - 1), FIND("{token}", SUBSTITUTE(#REF!, " ", "{token}", 2)) + 1, LEN(#REF!))</f>
        <v>#REF!</v>
      </c>
      <c r="H274" s="165">
        <v>21.64</v>
      </c>
      <c r="I274" s="230">
        <v>45422</v>
      </c>
      <c r="J274" s="230" t="s">
        <v>34</v>
      </c>
      <c r="K274" s="226">
        <v>45422</v>
      </c>
      <c r="L274" s="165" t="s">
        <v>1562</v>
      </c>
      <c r="M274" s="222">
        <v>434</v>
      </c>
      <c r="N274" s="2" t="str">
        <f t="shared" ca="1" si="7"/>
        <v>CLOSED</v>
      </c>
    </row>
    <row r="275" spans="1:14" ht="30">
      <c r="A275" s="64" t="s">
        <v>114</v>
      </c>
      <c r="B275" s="98">
        <f>VLOOKUP([2]!Table27[[#This Row],[Location 
(drop-down)]],'[2]List source'!D$2:E$59,2,FALSE)</f>
        <v>191</v>
      </c>
      <c r="C275" s="99" t="s">
        <v>94</v>
      </c>
      <c r="D275" s="223" t="str">
        <f t="shared" si="8"/>
        <v>PTO436-191-23</v>
      </c>
      <c r="E275" s="227" t="s">
        <v>1912</v>
      </c>
      <c r="F275" s="165" t="s">
        <v>1913</v>
      </c>
      <c r="G275" s="227" t="e">
        <f>MID(LEFT(#REF!, FIND(",",#REF!) - 1), FIND("{token}", SUBSTITUTE(#REF!, " ", "{token}", 2)) + 1, LEN(#REF!))</f>
        <v>#REF!</v>
      </c>
      <c r="H275" s="165">
        <v>2.4</v>
      </c>
      <c r="I275" s="230">
        <v>45422</v>
      </c>
      <c r="J275" s="230" t="s">
        <v>34</v>
      </c>
      <c r="K275" s="226">
        <v>45422</v>
      </c>
      <c r="L275" s="92" t="s">
        <v>1562</v>
      </c>
      <c r="M275" s="191">
        <v>436</v>
      </c>
      <c r="N275" s="2" t="str">
        <f t="shared" ca="1" si="7"/>
        <v>CLOSED</v>
      </c>
    </row>
    <row r="276" spans="1:14" ht="30">
      <c r="A276" s="64" t="s">
        <v>495</v>
      </c>
      <c r="B276" s="98">
        <f>VLOOKUP([2]!Table27[[#This Row],[Location 
(drop-down)]],'[2]List source'!D$2:E$59,2,FALSE)</f>
        <v>210</v>
      </c>
      <c r="C276" s="99" t="s">
        <v>97</v>
      </c>
      <c r="D276" s="223" t="str">
        <f t="shared" si="8"/>
        <v>PTO438-210-23</v>
      </c>
      <c r="E276" s="227" t="s">
        <v>1914</v>
      </c>
      <c r="F276" s="198" t="s">
        <v>1913</v>
      </c>
      <c r="G276" s="227" t="e">
        <f>MID(LEFT(#REF!, FIND(",",#REF!) - 1), FIND("{token}", SUBSTITUTE(#REF!, " ", "{token}", 2)) + 1, LEN(#REF!))</f>
        <v>#REF!</v>
      </c>
      <c r="H276" s="236" t="s">
        <v>1915</v>
      </c>
      <c r="I276" s="230">
        <v>45422</v>
      </c>
      <c r="J276" s="230" t="s">
        <v>34</v>
      </c>
      <c r="K276" s="226">
        <v>45422</v>
      </c>
      <c r="L276" s="165" t="s">
        <v>1562</v>
      </c>
      <c r="M276" s="222">
        <v>438</v>
      </c>
      <c r="N276" s="2" t="str">
        <f t="shared" ca="1" si="7"/>
        <v>CLOSED</v>
      </c>
    </row>
    <row r="277" spans="1:14" ht="18.75">
      <c r="A277" s="64" t="s">
        <v>15</v>
      </c>
      <c r="B277" s="98">
        <f>VLOOKUP([2]!Table27[[#This Row],[Location 
(drop-down)]],'[2]List source'!D$2:E$59,2,FALSE)</f>
        <v>210</v>
      </c>
      <c r="C277" s="99" t="s">
        <v>88</v>
      </c>
      <c r="D277" s="223" t="str">
        <f t="shared" si="8"/>
        <v>PTO439-210-23</v>
      </c>
      <c r="E277" s="227" t="s">
        <v>1916</v>
      </c>
      <c r="F277" s="198" t="s">
        <v>1913</v>
      </c>
      <c r="G277" s="227" t="e">
        <f>MID(LEFT(#REF!, FIND(",",#REF!) - 1), FIND("{token}", SUBSTITUTE(#REF!, " ", "{token}", 2)) + 1, LEN(#REF!))</f>
        <v>#REF!</v>
      </c>
      <c r="H277" s="165" t="s">
        <v>1917</v>
      </c>
      <c r="I277" s="230">
        <v>45422</v>
      </c>
      <c r="J277" s="230" t="s">
        <v>34</v>
      </c>
      <c r="K277" s="226">
        <v>45422</v>
      </c>
      <c r="L277" s="165" t="s">
        <v>1562</v>
      </c>
      <c r="M277" s="222">
        <v>439</v>
      </c>
      <c r="N277" s="2" t="str">
        <f t="shared" ca="1" si="7"/>
        <v>CLOSED</v>
      </c>
    </row>
    <row r="278" spans="1:14" ht="30">
      <c r="A278" s="64" t="s">
        <v>485</v>
      </c>
      <c r="B278" s="98">
        <f>VLOOKUP([2]!Table27[[#This Row],[Location 
(drop-down)]],'[2]List source'!D$2:E$59,2,FALSE)</f>
        <v>131</v>
      </c>
      <c r="C278" s="99" t="s">
        <v>498</v>
      </c>
      <c r="D278" s="223" t="str">
        <f t="shared" si="8"/>
        <v>PTO178-131-23</v>
      </c>
      <c r="E278" s="227" t="s">
        <v>1918</v>
      </c>
      <c r="F278" s="165" t="e" cm="1">
        <f t="array" aca="1" ref="F278" ca="1">MID(LEFT(#REF!, INDEX(_xlfn._xlws.FILTER(ROW(INDIRECT("1:" &amp; LEN(#REF!))), (48 &lt;= CODE(MID(#REF!, ROW(INDIRECT("1:" &amp; LEN(#REF!))), 1))) * (CODE(MID(#REF!, ROW(INDIRECT("1:" &amp; LEN(#REF!))), 1)) &lt;= 57)), 1) - 1), FIND(":",#REF!) + 2, LEN(#REF!))</f>
        <v>#REF!</v>
      </c>
      <c r="G278" s="227" t="e">
        <f>MID(LEFT(#REF!, FIND(",",#REF!) - 1), FIND("{token}", SUBSTITUTE(#REF!, " ", "{token}", 2)) + 1, LEN(#REF!))</f>
        <v>#REF!</v>
      </c>
      <c r="H278" s="165">
        <v>6.19</v>
      </c>
      <c r="I278" s="260">
        <v>45387</v>
      </c>
      <c r="J278" s="230" t="s">
        <v>34</v>
      </c>
      <c r="K278" s="226">
        <v>45425</v>
      </c>
      <c r="L278" s="165" t="s">
        <v>1919</v>
      </c>
      <c r="M278" s="222">
        <v>178</v>
      </c>
      <c r="N278" s="2" t="str">
        <f t="shared" ca="1" si="7"/>
        <v>CLOSED</v>
      </c>
    </row>
    <row r="279" spans="1:14" ht="30">
      <c r="A279" s="64" t="s">
        <v>500</v>
      </c>
      <c r="B279" s="98">
        <f>VLOOKUP([2]!Table27[[#This Row],[Location 
(drop-down)]],'[2]List source'!D$2:E$59,2,FALSE)</f>
        <v>130</v>
      </c>
      <c r="C279" s="99" t="s">
        <v>951</v>
      </c>
      <c r="D279" s="223" t="str">
        <f t="shared" si="8"/>
        <v>PTO382-130-23</v>
      </c>
      <c r="E279" s="227" t="s">
        <v>1920</v>
      </c>
      <c r="F279" s="165" t="e" cm="1">
        <f t="array" aca="1" ref="F279" ca="1">MID(LEFT(#REF!, INDEX(_xlfn._xlws.FILTER(ROW(INDIRECT("1:" &amp; LEN(#REF!))), (48 &lt;= CODE(MID(#REF!, ROW(INDIRECT("1:" &amp; LEN(#REF!))), 1))) * (CODE(MID(#REF!, ROW(INDIRECT("1:" &amp; LEN(#REF!))), 1)) &lt;= 57)), 1) - 1), FIND(":",#REF!) + 2, LEN(#REF!))</f>
        <v>#REF!</v>
      </c>
      <c r="G279" s="227" t="e">
        <f>MID(LEFT(#REF!, FIND(",",#REF!) - 1), FIND("{token}", SUBSTITUTE(#REF!, " ", "{token}", 2)) + 1, LEN(#REF!))</f>
        <v>#REF!</v>
      </c>
      <c r="H279" s="165">
        <v>101.41</v>
      </c>
      <c r="I279" s="230">
        <v>45418</v>
      </c>
      <c r="J279" s="230" t="s">
        <v>34</v>
      </c>
      <c r="K279" s="226">
        <v>45426</v>
      </c>
      <c r="L279" s="165" t="s">
        <v>1505</v>
      </c>
      <c r="M279" s="222">
        <v>382</v>
      </c>
      <c r="N279" s="2" t="str">
        <f t="shared" ca="1" si="7"/>
        <v>CLOSED</v>
      </c>
    </row>
    <row r="280" spans="1:14" ht="18.75">
      <c r="A280" s="64" t="s">
        <v>1253</v>
      </c>
      <c r="B280" s="98">
        <f>VLOOKUP([2]!Table27[[#This Row],[Location 
(drop-down)]],'[2]List source'!D$2:E$59,2,FALSE)</f>
        <v>130</v>
      </c>
      <c r="C280" s="99" t="s">
        <v>394</v>
      </c>
      <c r="D280" s="223" t="str">
        <f t="shared" si="8"/>
        <v>PTO444-130-23</v>
      </c>
      <c r="E280" s="227" t="s">
        <v>1921</v>
      </c>
      <c r="F280" s="165" t="s">
        <v>1520</v>
      </c>
      <c r="G280" s="227" t="e">
        <f>MID(LEFT(#REF!, FIND(",",#REF!) - 1), FIND("{token}", SUBSTITUTE(#REF!, " ", "{token}", 2)) + 1, LEN(#REF!))</f>
        <v>#REF!</v>
      </c>
      <c r="H280" s="165">
        <v>2.34</v>
      </c>
      <c r="I280" s="230">
        <v>45426</v>
      </c>
      <c r="J280" s="230" t="s">
        <v>34</v>
      </c>
      <c r="K280" s="226">
        <v>45426</v>
      </c>
      <c r="L280" s="165" t="s">
        <v>1562</v>
      </c>
      <c r="M280" s="222">
        <v>444</v>
      </c>
      <c r="N280" s="2" t="str">
        <f t="shared" ref="N280:N343" ca="1" si="9">IF(ISBLANK(K280), TODAY()-(I280), "CLOSED")</f>
        <v>CLOSED</v>
      </c>
    </row>
    <row r="281" spans="1:14" ht="18.75">
      <c r="A281" s="64" t="s">
        <v>1253</v>
      </c>
      <c r="B281" s="98">
        <f>VLOOKUP([2]!Table27[[#This Row],[Location 
(drop-down)]],'[2]List source'!D$2:E$59,2,FALSE)</f>
        <v>120</v>
      </c>
      <c r="C281" s="99" t="s">
        <v>168</v>
      </c>
      <c r="D281" s="223" t="str">
        <f t="shared" si="8"/>
        <v>PTO445-120-23</v>
      </c>
      <c r="E281" s="190" t="s">
        <v>1922</v>
      </c>
      <c r="F281" s="238" t="s">
        <v>1520</v>
      </c>
      <c r="G281" s="227" t="e">
        <f>MID(LEFT(#REF!, FIND(",",#REF!) - 1), FIND("{token}", SUBSTITUTE(#REF!, " ", "{token}", 2)) + 1, LEN(#REF!))</f>
        <v>#REF!</v>
      </c>
      <c r="H281" s="238">
        <v>2.0699999999999998</v>
      </c>
      <c r="I281" s="289">
        <v>45426</v>
      </c>
      <c r="J281" s="230" t="s">
        <v>34</v>
      </c>
      <c r="K281" s="226">
        <v>45426</v>
      </c>
      <c r="L281" s="92" t="s">
        <v>1562</v>
      </c>
      <c r="M281" s="191">
        <v>445</v>
      </c>
      <c r="N281" s="2" t="str">
        <f t="shared" ca="1" si="9"/>
        <v>CLOSED</v>
      </c>
    </row>
    <row r="282" spans="1:14" ht="30">
      <c r="A282" s="64" t="s">
        <v>125</v>
      </c>
      <c r="B282" s="98">
        <f>VLOOKUP([2]!Table27[[#This Row],[Location 
(drop-down)]],'[2]List source'!D$2:E$59,2,FALSE)</f>
        <v>125</v>
      </c>
      <c r="C282" s="99" t="s">
        <v>171</v>
      </c>
      <c r="D282" s="223" t="str">
        <f t="shared" si="8"/>
        <v>PTO449-125-23</v>
      </c>
      <c r="E282" s="227" t="s">
        <v>1923</v>
      </c>
      <c r="F282" s="165" t="s">
        <v>1520</v>
      </c>
      <c r="G282" s="227" t="e">
        <f>MID(LEFT(#REF!, FIND(",",#REF!) - 1), FIND("{token}", SUBSTITUTE(#REF!, " ", "{token}", 2)) + 1, LEN(#REF!))</f>
        <v>#REF!</v>
      </c>
      <c r="H282" s="165" t="s">
        <v>1924</v>
      </c>
      <c r="I282" s="230">
        <v>45426</v>
      </c>
      <c r="J282" s="230" t="s">
        <v>34</v>
      </c>
      <c r="K282" s="226">
        <v>45426</v>
      </c>
      <c r="L282" s="165" t="s">
        <v>1562</v>
      </c>
      <c r="M282" s="222">
        <v>449</v>
      </c>
      <c r="N282" s="2" t="str">
        <f t="shared" ca="1" si="9"/>
        <v>CLOSED</v>
      </c>
    </row>
    <row r="283" spans="1:14" ht="18.75">
      <c r="A283" s="64" t="s">
        <v>103</v>
      </c>
      <c r="B283" s="98">
        <f>VLOOKUP([2]!Table27[[#This Row],[Location 
(drop-down)]],'[2]List source'!D$2:E$59,2,FALSE)</f>
        <v>127</v>
      </c>
      <c r="C283" s="99" t="s">
        <v>1404</v>
      </c>
      <c r="D283" s="223" t="str">
        <f t="shared" si="8"/>
        <v>PTO453-127-23</v>
      </c>
      <c r="E283" s="247" t="s">
        <v>1925</v>
      </c>
      <c r="F283" s="238" t="s">
        <v>1520</v>
      </c>
      <c r="G283" s="299" t="e">
        <f>MID(LEFT(#REF!, FIND(",",#REF!) - 1), FIND("{token}", SUBSTITUTE(#REF!, " ", "{token}", 2)) + 1, LEN(#REF!))</f>
        <v>#REF!</v>
      </c>
      <c r="H283" s="300" t="s">
        <v>1926</v>
      </c>
      <c r="I283" s="230">
        <v>45426</v>
      </c>
      <c r="J283" s="230" t="s">
        <v>34</v>
      </c>
      <c r="K283" s="226">
        <v>45426</v>
      </c>
      <c r="L283" s="165" t="s">
        <v>1773</v>
      </c>
      <c r="M283" s="222">
        <v>453</v>
      </c>
      <c r="N283" s="2" t="str">
        <f t="shared" ca="1" si="9"/>
        <v>CLOSED</v>
      </c>
    </row>
    <row r="284" spans="1:14" ht="30">
      <c r="A284" s="64" t="s">
        <v>185</v>
      </c>
      <c r="B284" s="98">
        <f>VLOOKUP([2]!Table27[[#This Row],[Location 
(drop-down)]],'[2]List source'!D$2:E$59,2,FALSE)</f>
        <v>131</v>
      </c>
      <c r="C284" s="99" t="s">
        <v>1049</v>
      </c>
      <c r="D284" s="223" t="str">
        <f t="shared" si="8"/>
        <v>PTO456-131-23</v>
      </c>
      <c r="E284" s="227" t="s">
        <v>1927</v>
      </c>
      <c r="F284" s="165" t="s">
        <v>1520</v>
      </c>
      <c r="G284" s="227" t="e">
        <f>MID(LEFT(#REF!, FIND(",",#REF!) - 1), FIND("{token}", SUBSTITUTE(#REF!, " ", "{token}", 2)) + 1, LEN(#REF!))</f>
        <v>#REF!</v>
      </c>
      <c r="H284" s="165" t="s">
        <v>1928</v>
      </c>
      <c r="I284" s="230">
        <v>45426</v>
      </c>
      <c r="J284" s="230" t="s">
        <v>34</v>
      </c>
      <c r="K284" s="226">
        <v>45426</v>
      </c>
      <c r="L284" s="165" t="s">
        <v>1562</v>
      </c>
      <c r="M284" s="222">
        <v>456</v>
      </c>
      <c r="N284" s="2" t="str">
        <f t="shared" ca="1" si="9"/>
        <v>CLOSED</v>
      </c>
    </row>
    <row r="285" spans="1:14" ht="18.75">
      <c r="A285" s="64" t="s">
        <v>314</v>
      </c>
      <c r="B285" s="98">
        <f>VLOOKUP([2]!Table27[[#This Row],[Location 
(drop-down)]],'[2]List source'!D$2:E$59,2,FALSE)</f>
        <v>139</v>
      </c>
      <c r="C285" s="99" t="s">
        <v>1051</v>
      </c>
      <c r="D285" s="223" t="str">
        <f t="shared" si="8"/>
        <v>PTO457-139-23</v>
      </c>
      <c r="E285" s="227" t="s">
        <v>1923</v>
      </c>
      <c r="F285" s="165" t="s">
        <v>1520</v>
      </c>
      <c r="G285" s="227" t="e">
        <f>MID(LEFT(#REF!, FIND(",",#REF!) - 1), FIND("{token}", SUBSTITUTE(#REF!, " ", "{token}", 2)) + 1, LEN(#REF!))</f>
        <v>#REF!</v>
      </c>
      <c r="H285" s="165" t="s">
        <v>1929</v>
      </c>
      <c r="I285" s="230">
        <v>45426</v>
      </c>
      <c r="J285" s="230" t="s">
        <v>34</v>
      </c>
      <c r="K285" s="226">
        <v>45426</v>
      </c>
      <c r="L285" s="165" t="s">
        <v>1562</v>
      </c>
      <c r="M285" s="222">
        <v>457</v>
      </c>
      <c r="N285" s="2" t="str">
        <f t="shared" ca="1" si="9"/>
        <v>CLOSED</v>
      </c>
    </row>
    <row r="286" spans="1:14" ht="30">
      <c r="A286" s="64" t="s">
        <v>485</v>
      </c>
      <c r="B286" s="98">
        <f>VLOOKUP([2]!Table27[[#This Row],[Location 
(drop-down)]],'[2]List source'!D$2:E$59,2,FALSE)</f>
        <v>141</v>
      </c>
      <c r="C286" s="99" t="s">
        <v>1109</v>
      </c>
      <c r="D286" s="223" t="str">
        <f t="shared" si="8"/>
        <v>PTO463-141-23</v>
      </c>
      <c r="E286" s="227" t="s">
        <v>1930</v>
      </c>
      <c r="F286" s="165" t="s">
        <v>1520</v>
      </c>
      <c r="G286" s="227" t="e">
        <f>MID(LEFT(#REF!, FIND(",",#REF!) - 1), FIND("{token}", SUBSTITUTE(#REF!, " ", "{token}", 2)) + 1, LEN(#REF!))</f>
        <v>#REF!</v>
      </c>
      <c r="H286" s="165">
        <v>9.8800000000000008</v>
      </c>
      <c r="I286" s="230">
        <v>45426</v>
      </c>
      <c r="J286" s="230" t="s">
        <v>34</v>
      </c>
      <c r="K286" s="226">
        <v>45426</v>
      </c>
      <c r="L286" s="165" t="s">
        <v>1505</v>
      </c>
      <c r="M286" s="222">
        <v>463</v>
      </c>
      <c r="N286" s="2" t="str">
        <f t="shared" ca="1" si="9"/>
        <v>CLOSED</v>
      </c>
    </row>
    <row r="287" spans="1:14" ht="30">
      <c r="A287" s="64" t="s">
        <v>358</v>
      </c>
      <c r="B287" s="98">
        <f>VLOOKUP([2]!Table27[[#This Row],[Location 
(drop-down)]],'[2]List source'!D$2:E$59,2,FALSE)</f>
        <v>145</v>
      </c>
      <c r="C287" s="99" t="s">
        <v>126</v>
      </c>
      <c r="D287" s="223" t="str">
        <f t="shared" si="8"/>
        <v>PTO469-145-23</v>
      </c>
      <c r="E287" s="227" t="s">
        <v>1931</v>
      </c>
      <c r="F287" s="165" t="s">
        <v>1520</v>
      </c>
      <c r="G287" s="227" t="e">
        <f>MID(LEFT(#REF!, FIND(",",#REF!) - 1), FIND("{token}", SUBSTITUTE(#REF!, " ", "{token}", 2)) + 1, LEN(#REF!))</f>
        <v>#REF!</v>
      </c>
      <c r="H287" s="165">
        <v>9.31</v>
      </c>
      <c r="I287" s="230">
        <v>45426</v>
      </c>
      <c r="J287" s="230" t="s">
        <v>34</v>
      </c>
      <c r="K287" s="226">
        <v>45426</v>
      </c>
      <c r="L287" s="165" t="s">
        <v>1505</v>
      </c>
      <c r="M287" s="222">
        <v>469</v>
      </c>
      <c r="N287" s="2" t="str">
        <f t="shared" ca="1" si="9"/>
        <v>CLOSED</v>
      </c>
    </row>
    <row r="288" spans="1:14" ht="30">
      <c r="A288" s="64" t="s">
        <v>358</v>
      </c>
      <c r="B288" s="98">
        <f>VLOOKUP([2]!Table27[[#This Row],[Location 
(drop-down)]],'[2]List source'!D$2:E$59,2,FALSE)</f>
        <v>146</v>
      </c>
      <c r="C288" s="99" t="s">
        <v>548</v>
      </c>
      <c r="D288" s="223" t="str">
        <f t="shared" si="8"/>
        <v>PTO470-146-23</v>
      </c>
      <c r="E288" s="227" t="s">
        <v>1932</v>
      </c>
      <c r="F288" s="165" t="s">
        <v>1520</v>
      </c>
      <c r="G288" s="227" t="e">
        <f>MID(LEFT(#REF!, FIND(",",#REF!) - 1), FIND("{token}", SUBSTITUTE(#REF!, " ", "{token}", 2)) + 1, LEN(#REF!))</f>
        <v>#REF!</v>
      </c>
      <c r="H288" s="165">
        <v>2.87</v>
      </c>
      <c r="I288" s="230">
        <v>45426</v>
      </c>
      <c r="J288" s="230" t="s">
        <v>34</v>
      </c>
      <c r="K288" s="226">
        <v>45426</v>
      </c>
      <c r="L288" s="165" t="s">
        <v>1562</v>
      </c>
      <c r="M288" s="222">
        <v>470</v>
      </c>
      <c r="N288" s="2" t="str">
        <f t="shared" ca="1" si="9"/>
        <v>CLOSED</v>
      </c>
    </row>
    <row r="289" spans="1:14" ht="30">
      <c r="A289" s="64" t="s">
        <v>714</v>
      </c>
      <c r="B289" s="98">
        <f>VLOOKUP([2]!Table27[[#This Row],[Location 
(drop-down)]],'[2]List source'!D$2:E$59,2,FALSE)</f>
        <v>170</v>
      </c>
      <c r="C289" s="99" t="s">
        <v>228</v>
      </c>
      <c r="D289" s="223" t="str">
        <f t="shared" si="8"/>
        <v>PTO476-170-23</v>
      </c>
      <c r="E289" s="227" t="s">
        <v>1921</v>
      </c>
      <c r="F289" s="165" t="s">
        <v>1520</v>
      </c>
      <c r="G289" s="227" t="e">
        <f>MID(LEFT(#REF!, FIND(",",#REF!) - 1), FIND("{token}", SUBSTITUTE(#REF!, " ", "{token}", 2)) + 1, LEN(#REF!))</f>
        <v>#REF!</v>
      </c>
      <c r="H289" s="165">
        <v>2.1</v>
      </c>
      <c r="I289" s="230">
        <v>45426</v>
      </c>
      <c r="J289" s="230" t="s">
        <v>34</v>
      </c>
      <c r="K289" s="226">
        <v>45426</v>
      </c>
      <c r="L289" s="92" t="s">
        <v>1562</v>
      </c>
      <c r="M289" s="191">
        <v>476</v>
      </c>
      <c r="N289" s="2" t="str">
        <f t="shared" ca="1" si="9"/>
        <v>CLOSED</v>
      </c>
    </row>
    <row r="290" spans="1:14" ht="30">
      <c r="A290" s="64" t="s">
        <v>125</v>
      </c>
      <c r="B290" s="98">
        <f>VLOOKUP([2]!Table27[[#This Row],[Location 
(drop-down)]],'[2]List source'!D$2:E$59,2,FALSE)</f>
        <v>170</v>
      </c>
      <c r="C290" s="99" t="s">
        <v>1017</v>
      </c>
      <c r="D290" s="223" t="str">
        <f t="shared" si="8"/>
        <v>PTO484-170-23</v>
      </c>
      <c r="E290" s="227" t="s">
        <v>1933</v>
      </c>
      <c r="F290" s="165" t="s">
        <v>1934</v>
      </c>
      <c r="G290" s="190" t="s">
        <v>1935</v>
      </c>
      <c r="H290" s="165">
        <v>2.25</v>
      </c>
      <c r="I290" s="230">
        <v>45427</v>
      </c>
      <c r="J290" s="230" t="s">
        <v>34</v>
      </c>
      <c r="K290" s="226">
        <v>45426</v>
      </c>
      <c r="L290" s="165" t="s">
        <v>1562</v>
      </c>
      <c r="M290" s="222">
        <v>484</v>
      </c>
      <c r="N290" s="2" t="str">
        <f t="shared" ca="1" si="9"/>
        <v>CLOSED</v>
      </c>
    </row>
    <row r="291" spans="1:14" ht="30">
      <c r="A291" s="64" t="s">
        <v>591</v>
      </c>
      <c r="B291" s="98">
        <f>VLOOKUP([2]!Table27[[#This Row],[Location 
(drop-down)]],'[2]List source'!D$2:E$59,2,FALSE)</f>
        <v>180</v>
      </c>
      <c r="C291" s="99" t="s">
        <v>936</v>
      </c>
      <c r="D291" s="223" t="str">
        <f t="shared" si="8"/>
        <v>PTO216-180-23</v>
      </c>
      <c r="E291" s="227" t="s">
        <v>1936</v>
      </c>
      <c r="F291" s="165" t="e" cm="1">
        <f t="array" aca="1" ref="F291" ca="1">MID(LEFT(#REF!, INDEX(_xlfn._xlws.FILTER(ROW(INDIRECT("1:" &amp; LEN(#REF!))), (48 &lt;= CODE(MID(#REF!, ROW(INDIRECT("1:" &amp; LEN(#REF!))), 1))) * (CODE(MID(#REF!, ROW(INDIRECT("1:" &amp; LEN(#REF!))), 1)) &lt;= 57)), 1) - 1), FIND(":",#REF!) + 2, LEN(#REF!))</f>
        <v>#REF!</v>
      </c>
      <c r="G291" s="227" t="e">
        <f>MID(LEFT(#REF!, FIND(",",#REF!) - 1), FIND("{token}", SUBSTITUTE(#REF!, " ", "{token}", 2)) + 1, LEN(#REF!))</f>
        <v>#REF!</v>
      </c>
      <c r="H291" s="236" t="s">
        <v>1653</v>
      </c>
      <c r="I291" s="260">
        <v>45406</v>
      </c>
      <c r="J291" s="230" t="s">
        <v>1512</v>
      </c>
      <c r="K291" s="226">
        <v>45427</v>
      </c>
      <c r="L291" s="165"/>
      <c r="M291" s="222">
        <v>216</v>
      </c>
      <c r="N291" s="2" t="str">
        <f t="shared" ca="1" si="9"/>
        <v>CLOSED</v>
      </c>
    </row>
    <row r="292" spans="1:14" ht="18.75">
      <c r="A292" s="64" t="s">
        <v>264</v>
      </c>
      <c r="B292" s="98">
        <f>VLOOKUP([2]!Table27[[#This Row],[Location 
(drop-down)]],'[2]List source'!D$2:E$59,2,FALSE)</f>
        <v>194</v>
      </c>
      <c r="C292" s="99" t="s">
        <v>115</v>
      </c>
      <c r="D292" s="223" t="str">
        <f t="shared" si="8"/>
        <v>PTO454-194-23</v>
      </c>
      <c r="E292" s="227" t="s">
        <v>1937</v>
      </c>
      <c r="F292" s="165" t="s">
        <v>1520</v>
      </c>
      <c r="G292" s="227" t="e">
        <f>MID(LEFT(#REF!, FIND(",",#REF!) - 1), FIND("{token}", SUBSTITUTE(#REF!, " ", "{token}", 2)) + 1, LEN(#REF!))</f>
        <v>#REF!</v>
      </c>
      <c r="H292" s="236" t="s">
        <v>1938</v>
      </c>
      <c r="I292" s="230">
        <v>45426</v>
      </c>
      <c r="J292" s="230" t="s">
        <v>34</v>
      </c>
      <c r="K292" s="226">
        <v>45427</v>
      </c>
      <c r="L292" s="165" t="s">
        <v>1505</v>
      </c>
      <c r="M292" s="222">
        <v>454</v>
      </c>
      <c r="N292" s="2" t="str">
        <f t="shared" ca="1" si="9"/>
        <v>CLOSED</v>
      </c>
    </row>
    <row r="293" spans="1:14" ht="30">
      <c r="A293" s="64" t="s">
        <v>714</v>
      </c>
      <c r="B293" s="98">
        <f>VLOOKUP([2]!Table27[[#This Row],[Location 
(drop-down)]],'[2]List source'!D$2:E$59,2,FALSE)</f>
        <v>194</v>
      </c>
      <c r="C293" s="99" t="s">
        <v>143</v>
      </c>
      <c r="D293" s="223" t="str">
        <f t="shared" si="8"/>
        <v>PTO478-194-23</v>
      </c>
      <c r="E293" s="227" t="s">
        <v>1939</v>
      </c>
      <c r="F293" s="165" t="s">
        <v>1520</v>
      </c>
      <c r="G293" s="227" t="e">
        <f>MID(LEFT(#REF!, FIND(",",#REF!) - 1), FIND("{token}", SUBSTITUTE(#REF!, " ", "{token}", 2)) + 1, LEN(#REF!))</f>
        <v>#REF!</v>
      </c>
      <c r="H293" s="165">
        <v>594.52</v>
      </c>
      <c r="I293" s="230">
        <v>45426</v>
      </c>
      <c r="J293" s="230" t="s">
        <v>34</v>
      </c>
      <c r="K293" s="226">
        <v>45427</v>
      </c>
      <c r="L293" s="92" t="s">
        <v>1505</v>
      </c>
      <c r="M293" s="191">
        <v>478</v>
      </c>
      <c r="N293" s="2" t="str">
        <f t="shared" ca="1" si="9"/>
        <v>CLOSED</v>
      </c>
    </row>
    <row r="294" spans="1:14" ht="30">
      <c r="A294" s="64" t="s">
        <v>185</v>
      </c>
      <c r="B294" s="98">
        <f>VLOOKUP([2]!Table27[[#This Row],[Location 
(drop-down)]],'[2]List source'!D$2:E$59,2,FALSE)</f>
        <v>110</v>
      </c>
      <c r="C294" s="99" t="s">
        <v>679</v>
      </c>
      <c r="D294" s="223" t="str">
        <f t="shared" si="8"/>
        <v>PTO485-110-23</v>
      </c>
      <c r="E294" s="227" t="s">
        <v>1940</v>
      </c>
      <c r="F294" s="165" t="s">
        <v>1941</v>
      </c>
      <c r="G294" s="227" t="s">
        <v>1942</v>
      </c>
      <c r="H294" s="236" t="s">
        <v>1762</v>
      </c>
      <c r="I294" s="230">
        <v>45427</v>
      </c>
      <c r="J294" s="230" t="s">
        <v>34</v>
      </c>
      <c r="K294" s="226">
        <v>45427</v>
      </c>
      <c r="L294" s="165" t="s">
        <v>1562</v>
      </c>
      <c r="M294" s="222">
        <v>485</v>
      </c>
      <c r="N294" s="2" t="str">
        <f t="shared" ca="1" si="9"/>
        <v>CLOSED</v>
      </c>
    </row>
    <row r="295" spans="1:14" ht="30">
      <c r="A295" s="64" t="s">
        <v>518</v>
      </c>
      <c r="B295" s="98">
        <f>VLOOKUP([2]!Table27[[#This Row],[Location 
(drop-down)]],'[2]List source'!D$2:E$59,2,FALSE)</f>
        <v>110</v>
      </c>
      <c r="C295" s="99" t="s">
        <v>601</v>
      </c>
      <c r="D295" s="223" t="str">
        <f t="shared" si="8"/>
        <v>PTO486-110-23</v>
      </c>
      <c r="E295" s="227" t="s">
        <v>1943</v>
      </c>
      <c r="F295" s="165" t="s">
        <v>1941</v>
      </c>
      <c r="G295" s="227" t="s">
        <v>1944</v>
      </c>
      <c r="H295" s="236" t="s">
        <v>1653</v>
      </c>
      <c r="I295" s="230">
        <v>45427</v>
      </c>
      <c r="J295" s="230" t="s">
        <v>34</v>
      </c>
      <c r="K295" s="226">
        <v>45427</v>
      </c>
      <c r="L295" s="165" t="s">
        <v>1562</v>
      </c>
      <c r="M295" s="222">
        <v>486</v>
      </c>
      <c r="N295" s="2" t="str">
        <f t="shared" ca="1" si="9"/>
        <v>CLOSED</v>
      </c>
    </row>
    <row r="296" spans="1:14" ht="30">
      <c r="A296" s="64" t="s">
        <v>518</v>
      </c>
      <c r="B296" s="98">
        <f>VLOOKUP([2]!Table27[[#This Row],[Location 
(drop-down)]],'[2]List source'!D$2:E$59,2,FALSE)</f>
        <v>132</v>
      </c>
      <c r="C296" s="99" t="s">
        <v>930</v>
      </c>
      <c r="D296" s="223" t="str">
        <f t="shared" si="8"/>
        <v>PTO487-132-23</v>
      </c>
      <c r="E296" s="227" t="s">
        <v>1945</v>
      </c>
      <c r="F296" s="165" t="s">
        <v>1941</v>
      </c>
      <c r="G296" s="227" t="e">
        <f>MID(LEFT(#REF!, FIND(",",#REF!) - 1), FIND("{token}", SUBSTITUTE(#REF!, " ", "{token}", 2)) + 1, LEN(#REF!))</f>
        <v>#REF!</v>
      </c>
      <c r="H296" s="165">
        <v>2.5</v>
      </c>
      <c r="I296" s="230">
        <v>45427</v>
      </c>
      <c r="J296" s="230" t="s">
        <v>34</v>
      </c>
      <c r="K296" s="226">
        <v>45427</v>
      </c>
      <c r="L296" s="165" t="s">
        <v>1562</v>
      </c>
      <c r="M296" s="222">
        <v>487</v>
      </c>
      <c r="N296" s="2" t="str">
        <f t="shared" ca="1" si="9"/>
        <v>CLOSED</v>
      </c>
    </row>
    <row r="297" spans="1:14" ht="30">
      <c r="A297" s="64" t="s">
        <v>591</v>
      </c>
      <c r="B297" s="98">
        <f>VLOOKUP([2]!Table27[[#This Row],[Location 
(drop-down)]],'[2]List source'!D$2:E$59,2,FALSE)</f>
        <v>158</v>
      </c>
      <c r="C297" s="99" t="s">
        <v>1303</v>
      </c>
      <c r="D297" s="223" t="str">
        <f t="shared" si="8"/>
        <v>PTO495-158-23</v>
      </c>
      <c r="E297" s="227" t="s">
        <v>1946</v>
      </c>
      <c r="F297" s="165" t="s">
        <v>1566</v>
      </c>
      <c r="G297" s="227" t="e">
        <f>MID(LEFT(#REF!, FIND(",",#REF!) - 1), FIND("{token}", SUBSTITUTE(#REF!, " ", "{token}", 2)) + 1, LEN(#REF!))</f>
        <v>#REF!</v>
      </c>
      <c r="H297" s="236" t="s">
        <v>1947</v>
      </c>
      <c r="I297" s="230">
        <v>45427</v>
      </c>
      <c r="J297" s="230" t="s">
        <v>34</v>
      </c>
      <c r="K297" s="226">
        <v>45427</v>
      </c>
      <c r="L297" s="165" t="s">
        <v>1562</v>
      </c>
      <c r="M297" s="222">
        <v>495</v>
      </c>
      <c r="N297" s="2" t="str">
        <f t="shared" ca="1" si="9"/>
        <v>CLOSED</v>
      </c>
    </row>
    <row r="298" spans="1:14" ht="18.75">
      <c r="A298" s="64" t="s">
        <v>103</v>
      </c>
      <c r="B298" s="98">
        <f>VLOOKUP([2]!Table27[[#This Row],[Location 
(drop-down)]],'[2]List source'!D$2:E$59,2,FALSE)</f>
        <v>120</v>
      </c>
      <c r="C298" s="99" t="s">
        <v>525</v>
      </c>
      <c r="D298" s="223" t="str">
        <f t="shared" si="8"/>
        <v>PTO500-120-23</v>
      </c>
      <c r="E298" s="227" t="s">
        <v>1948</v>
      </c>
      <c r="F298" s="165" t="s">
        <v>1566</v>
      </c>
      <c r="G298" s="227" t="e">
        <f>MID(LEFT(#REF!, FIND(",",#REF!) - 1), FIND("{token}", SUBSTITUTE(#REF!, " ", "{token}", 2)) + 1, LEN(#REF!))</f>
        <v>#REF!</v>
      </c>
      <c r="H298" s="236" t="s">
        <v>1872</v>
      </c>
      <c r="I298" s="230">
        <v>45427</v>
      </c>
      <c r="J298" s="230" t="s">
        <v>34</v>
      </c>
      <c r="K298" s="226">
        <v>45427</v>
      </c>
      <c r="L298" s="165" t="s">
        <v>1562</v>
      </c>
      <c r="M298" s="222">
        <v>500</v>
      </c>
      <c r="N298" s="2" t="str">
        <f t="shared" ca="1" si="9"/>
        <v>CLOSED</v>
      </c>
    </row>
    <row r="299" spans="1:14" ht="18.75">
      <c r="A299" s="64" t="s">
        <v>1162</v>
      </c>
      <c r="B299" s="98">
        <f>VLOOKUP([2]!Table27[[#This Row],[Location 
(drop-down)]],'[2]List source'!D$2:E$59,2,FALSE)</f>
        <v>159</v>
      </c>
      <c r="C299" s="99" t="s">
        <v>640</v>
      </c>
      <c r="D299" s="223" t="str">
        <f t="shared" si="8"/>
        <v>PTO501-159-23</v>
      </c>
      <c r="E299" s="301" t="s">
        <v>1946</v>
      </c>
      <c r="F299" s="165" t="s">
        <v>1566</v>
      </c>
      <c r="G299" s="227" t="e">
        <f>MID(LEFT(#REF!, FIND(",",#REF!) - 1), FIND("{token}", SUBSTITUTE(#REF!, " ", "{token}", 2)) + 1, LEN(#REF!))</f>
        <v>#REF!</v>
      </c>
      <c r="H299" s="236" t="s">
        <v>1949</v>
      </c>
      <c r="I299" s="230">
        <v>45427</v>
      </c>
      <c r="J299" s="230" t="s">
        <v>34</v>
      </c>
      <c r="K299" s="226">
        <v>45427</v>
      </c>
      <c r="L299" s="165" t="s">
        <v>1562</v>
      </c>
      <c r="M299" s="222">
        <v>501</v>
      </c>
      <c r="N299" s="2" t="str">
        <f t="shared" ca="1" si="9"/>
        <v>CLOSED</v>
      </c>
    </row>
    <row r="300" spans="1:14" ht="18.75">
      <c r="A300" s="64" t="s">
        <v>311</v>
      </c>
      <c r="B300" s="98">
        <f>VLOOKUP([2]!Table27[[#This Row],[Location 
(drop-down)]],'[2]List source'!D$2:E$59,2,FALSE)</f>
        <v>127</v>
      </c>
      <c r="C300" s="99" t="s">
        <v>1294</v>
      </c>
      <c r="D300" s="223" t="str">
        <f t="shared" si="8"/>
        <v>PTO502-127-23</v>
      </c>
      <c r="E300" s="227" t="s">
        <v>1950</v>
      </c>
      <c r="F300" s="165" t="s">
        <v>1566</v>
      </c>
      <c r="G300" s="227" t="e">
        <f>MID(LEFT(#REF!, FIND(",",#REF!) - 1), FIND("{token}", SUBSTITUTE(#REF!, " ", "{token}", 2)) + 1, LEN(#REF!))</f>
        <v>#REF!</v>
      </c>
      <c r="H300" s="165">
        <v>-2.17</v>
      </c>
      <c r="I300" s="230">
        <v>45427</v>
      </c>
      <c r="J300" s="230" t="s">
        <v>34</v>
      </c>
      <c r="K300" s="226">
        <v>45427</v>
      </c>
      <c r="L300" s="92" t="s">
        <v>1562</v>
      </c>
      <c r="M300" s="191">
        <v>502</v>
      </c>
      <c r="N300" s="2" t="str">
        <f t="shared" ca="1" si="9"/>
        <v>CLOSED</v>
      </c>
    </row>
    <row r="301" spans="1:14" ht="18.75">
      <c r="A301" s="64" t="s">
        <v>311</v>
      </c>
      <c r="B301" s="98">
        <f>VLOOKUP([2]!Table27[[#This Row],[Location 
(drop-down)]],'[2]List source'!D$2:E$59,2,FALSE)</f>
        <v>127</v>
      </c>
      <c r="C301" s="99" t="s">
        <v>214</v>
      </c>
      <c r="D301" s="223" t="str">
        <f t="shared" si="8"/>
        <v>PTO503-127-23</v>
      </c>
      <c r="E301" s="227" t="s">
        <v>1946</v>
      </c>
      <c r="F301" s="165" t="s">
        <v>1566</v>
      </c>
      <c r="G301" s="227" t="e">
        <f>MID(LEFT(#REF!, FIND(",",#REF!) - 1), FIND("{token}", SUBSTITUTE(#REF!, " ", "{token}", 2)) + 1, LEN(#REF!))</f>
        <v>#REF!</v>
      </c>
      <c r="H301" s="165">
        <v>2.73</v>
      </c>
      <c r="I301" s="230">
        <v>45427</v>
      </c>
      <c r="J301" s="230" t="s">
        <v>34</v>
      </c>
      <c r="K301" s="226">
        <v>45427</v>
      </c>
      <c r="L301" s="92" t="s">
        <v>1562</v>
      </c>
      <c r="M301" s="191">
        <v>503</v>
      </c>
      <c r="N301" s="2" t="str">
        <f t="shared" ca="1" si="9"/>
        <v>CLOSED</v>
      </c>
    </row>
    <row r="302" spans="1:14" ht="18.75">
      <c r="A302" s="64" t="s">
        <v>311</v>
      </c>
      <c r="B302" s="98">
        <f>VLOOKUP([2]!Table27[[#This Row],[Location 
(drop-down)]],'[2]List source'!D$2:E$59,2,FALSE)</f>
        <v>131</v>
      </c>
      <c r="C302" s="99" t="s">
        <v>123</v>
      </c>
      <c r="D302" s="223" t="str">
        <f t="shared" si="8"/>
        <v>PTO504-131-23</v>
      </c>
      <c r="E302" s="227" t="s">
        <v>1951</v>
      </c>
      <c r="F302" s="165" t="s">
        <v>1566</v>
      </c>
      <c r="G302" s="227" t="e">
        <f>MID(LEFT(#REF!, FIND(",",#REF!) - 1), FIND("{token}", SUBSTITUTE(#REF!, " ", "{token}", 2)) + 1, LEN(#REF!))</f>
        <v>#REF!</v>
      </c>
      <c r="H302" s="165">
        <v>2.63</v>
      </c>
      <c r="I302" s="230">
        <v>45427</v>
      </c>
      <c r="J302" s="230" t="s">
        <v>34</v>
      </c>
      <c r="K302" s="226">
        <v>45427</v>
      </c>
      <c r="L302" s="165" t="s">
        <v>1562</v>
      </c>
      <c r="M302" s="222">
        <v>504</v>
      </c>
      <c r="N302" s="2" t="str">
        <f t="shared" ca="1" si="9"/>
        <v>CLOSED</v>
      </c>
    </row>
    <row r="303" spans="1:14" ht="30">
      <c r="A303" s="64" t="s">
        <v>185</v>
      </c>
      <c r="B303" s="98">
        <f>VLOOKUP([2]!Table27[[#This Row],[Location 
(drop-down)]],'[2]List source'!D$2:E$59,2,FALSE)</f>
        <v>132</v>
      </c>
      <c r="C303" s="99" t="s">
        <v>44</v>
      </c>
      <c r="D303" s="223" t="str">
        <f t="shared" si="8"/>
        <v>PTO506-132-23</v>
      </c>
      <c r="E303" s="227" t="s">
        <v>1946</v>
      </c>
      <c r="F303" s="165" t="s">
        <v>1566</v>
      </c>
      <c r="G303" s="227" t="e">
        <f>MID(LEFT(#REF!, FIND(",",#REF!) - 1), FIND("{token}", SUBSTITUTE(#REF!, " ", "{token}", 2)) + 1, LEN(#REF!))</f>
        <v>#REF!</v>
      </c>
      <c r="H303" s="165">
        <v>2.09</v>
      </c>
      <c r="I303" s="230">
        <v>45427</v>
      </c>
      <c r="J303" s="230" t="s">
        <v>34</v>
      </c>
      <c r="K303" s="226">
        <v>45427</v>
      </c>
      <c r="L303" s="92" t="s">
        <v>1562</v>
      </c>
      <c r="M303" s="191">
        <v>506</v>
      </c>
      <c r="N303" s="2" t="str">
        <f t="shared" ca="1" si="9"/>
        <v>CLOSED</v>
      </c>
    </row>
    <row r="304" spans="1:14" ht="18.75">
      <c r="A304" s="64" t="s">
        <v>167</v>
      </c>
      <c r="B304" s="98">
        <f>VLOOKUP([2]!Table27[[#This Row],[Location 
(drop-down)]],'[2]List source'!D$2:E$59,2,FALSE)</f>
        <v>132</v>
      </c>
      <c r="C304" s="99" t="s">
        <v>907</v>
      </c>
      <c r="D304" s="223" t="str">
        <f t="shared" si="8"/>
        <v>PTO507-132-23</v>
      </c>
      <c r="E304" s="227" t="s">
        <v>1952</v>
      </c>
      <c r="F304" s="165" t="s">
        <v>1566</v>
      </c>
      <c r="G304" s="227" t="e">
        <f>MID(LEFT(#REF!, FIND(",",#REF!) - 1), FIND("{token}", SUBSTITUTE(#REF!, " ", "{token}", 2)) + 1, LEN(#REF!))</f>
        <v>#REF!</v>
      </c>
      <c r="H304" s="165">
        <v>2.02</v>
      </c>
      <c r="I304" s="230">
        <v>45427</v>
      </c>
      <c r="J304" s="230" t="s">
        <v>34</v>
      </c>
      <c r="K304" s="226">
        <v>45427</v>
      </c>
      <c r="L304" s="165" t="s">
        <v>1562</v>
      </c>
      <c r="M304" s="222">
        <v>507</v>
      </c>
      <c r="N304" s="2" t="str">
        <f t="shared" ca="1" si="9"/>
        <v>CLOSED</v>
      </c>
    </row>
    <row r="305" spans="1:14" ht="30">
      <c r="A305" s="124" t="s">
        <v>294</v>
      </c>
      <c r="B305" s="98">
        <f>VLOOKUP([2]!Table27[[#This Row],[Location 
(drop-down)]],'[2]List source'!D$2:E$59,2,FALSE)</f>
        <v>132</v>
      </c>
      <c r="C305" s="211" t="s">
        <v>910</v>
      </c>
      <c r="D305" s="302" t="str">
        <f t="shared" si="8"/>
        <v>PTO508-132-23</v>
      </c>
      <c r="E305" s="251" t="s">
        <v>1952</v>
      </c>
      <c r="F305" s="274" t="s">
        <v>1566</v>
      </c>
      <c r="G305" s="251" t="e">
        <f>MID(LEFT(#REF!, FIND(",",#REF!) - 1), FIND("{token}", SUBSTITUTE(#REF!, " ", "{token}", 2)) + 1, LEN(#REF!))</f>
        <v>#REF!</v>
      </c>
      <c r="H305" s="303" t="s">
        <v>1953</v>
      </c>
      <c r="I305" s="304">
        <v>45427</v>
      </c>
      <c r="J305" s="230" t="s">
        <v>34</v>
      </c>
      <c r="K305" s="226">
        <v>45427</v>
      </c>
      <c r="L305" s="165" t="s">
        <v>1562</v>
      </c>
      <c r="M305" s="222">
        <v>508</v>
      </c>
      <c r="N305" s="2" t="str">
        <f t="shared" ca="1" si="9"/>
        <v>CLOSED</v>
      </c>
    </row>
    <row r="306" spans="1:14" ht="30">
      <c r="A306" s="64" t="s">
        <v>500</v>
      </c>
      <c r="B306" s="98">
        <f>VLOOKUP([2]!Table27[[#This Row],[Location 
(drop-down)]],'[2]List source'!D$2:E$59,2,FALSE)</f>
        <v>136</v>
      </c>
      <c r="C306" s="99" t="s">
        <v>1175</v>
      </c>
      <c r="D306" s="223" t="str">
        <f t="shared" si="8"/>
        <v>PTO513-136-23</v>
      </c>
      <c r="E306" s="227" t="s">
        <v>1950</v>
      </c>
      <c r="F306" s="165" t="s">
        <v>1566</v>
      </c>
      <c r="G306" s="227" t="e">
        <f>MID(LEFT(#REF!, FIND(",",#REF!) - 1), FIND("{token}", SUBSTITUTE(#REF!, " ", "{token}", 2)) + 1, LEN(#REF!))</f>
        <v>#REF!</v>
      </c>
      <c r="H306" s="165">
        <v>-2.17</v>
      </c>
      <c r="I306" s="230">
        <v>45427</v>
      </c>
      <c r="J306" s="230" t="s">
        <v>34</v>
      </c>
      <c r="K306" s="226">
        <v>45427</v>
      </c>
      <c r="L306" s="92" t="s">
        <v>1562</v>
      </c>
      <c r="M306" s="191">
        <v>513</v>
      </c>
      <c r="N306" s="2" t="str">
        <f t="shared" ca="1" si="9"/>
        <v>CLOSED</v>
      </c>
    </row>
    <row r="307" spans="1:14" ht="30">
      <c r="A307" s="64" t="s">
        <v>500</v>
      </c>
      <c r="B307" s="98">
        <f>VLOOKUP([2]!Table27[[#This Row],[Location 
(drop-down)]],'[2]List source'!D$2:E$59,2,FALSE)</f>
        <v>150</v>
      </c>
      <c r="C307" s="99" t="s">
        <v>195</v>
      </c>
      <c r="D307" s="223" t="str">
        <f t="shared" si="8"/>
        <v>PTO514-150-23</v>
      </c>
      <c r="E307" s="227" t="s">
        <v>1946</v>
      </c>
      <c r="F307" s="165" t="s">
        <v>1566</v>
      </c>
      <c r="G307" s="227" t="e">
        <f>MID(LEFT(#REF!, FIND(",",#REF!) - 1), FIND("{token}", SUBSTITUTE(#REF!, " ", "{token}", 2)) + 1, LEN(#REF!))</f>
        <v>#REF!</v>
      </c>
      <c r="H307" s="165">
        <v>2.73</v>
      </c>
      <c r="I307" s="230">
        <v>45427</v>
      </c>
      <c r="J307" s="230" t="s">
        <v>34</v>
      </c>
      <c r="K307" s="226">
        <v>45427</v>
      </c>
      <c r="L307" s="165" t="s">
        <v>1562</v>
      </c>
      <c r="M307" s="222">
        <v>514</v>
      </c>
      <c r="N307" s="2" t="str">
        <f t="shared" ca="1" si="9"/>
        <v>CLOSED</v>
      </c>
    </row>
    <row r="308" spans="1:14" ht="30">
      <c r="A308" s="64" t="s">
        <v>500</v>
      </c>
      <c r="B308" s="98">
        <f>VLOOKUP([2]!Table27[[#This Row],[Location 
(drop-down)]],'[2]List source'!D$2:E$59,2,FALSE)</f>
        <v>160</v>
      </c>
      <c r="C308" s="99" t="s">
        <v>136</v>
      </c>
      <c r="D308" s="223" t="str">
        <f t="shared" si="8"/>
        <v>PTO515-160-23</v>
      </c>
      <c r="E308" s="227" t="s">
        <v>1951</v>
      </c>
      <c r="F308" s="165" t="s">
        <v>1566</v>
      </c>
      <c r="G308" s="227" t="e">
        <f>MID(LEFT(#REF!, FIND(",",#REF!) - 1), FIND("{token}", SUBSTITUTE(#REF!, " ", "{token}", 2)) + 1, LEN(#REF!))</f>
        <v>#REF!</v>
      </c>
      <c r="H308" s="165">
        <v>2.63</v>
      </c>
      <c r="I308" s="230">
        <v>45427</v>
      </c>
      <c r="J308" s="230" t="s">
        <v>34</v>
      </c>
      <c r="K308" s="226">
        <v>45427</v>
      </c>
      <c r="L308" s="165" t="s">
        <v>1562</v>
      </c>
      <c r="M308" s="222">
        <v>515</v>
      </c>
      <c r="N308" s="2" t="str">
        <f t="shared" ca="1" si="9"/>
        <v>CLOSED</v>
      </c>
    </row>
    <row r="309" spans="1:14" ht="30">
      <c r="A309" s="64" t="s">
        <v>518</v>
      </c>
      <c r="B309" s="98">
        <f>VLOOKUP([2]!Table27[[#This Row],[Location 
(drop-down)]],'[2]List source'!D$2:E$59,2,FALSE)</f>
        <v>165</v>
      </c>
      <c r="C309" s="99" t="s">
        <v>574</v>
      </c>
      <c r="D309" s="223" t="str">
        <f t="shared" si="8"/>
        <v>PTO518-165-23</v>
      </c>
      <c r="E309" s="227" t="s">
        <v>1954</v>
      </c>
      <c r="F309" s="165" t="s">
        <v>1566</v>
      </c>
      <c r="G309" s="227" t="e">
        <f>MID(LEFT(#REF!, FIND(",",#REF!) - 1), FIND("{token}", SUBSTITUTE(#REF!, " ", "{token}", 2)) + 1, LEN(#REF!))</f>
        <v>#REF!</v>
      </c>
      <c r="H309" s="165">
        <v>2.5</v>
      </c>
      <c r="I309" s="230">
        <v>45427</v>
      </c>
      <c r="J309" s="230" t="s">
        <v>34</v>
      </c>
      <c r="K309" s="226">
        <v>45427</v>
      </c>
      <c r="L309" s="165" t="s">
        <v>1562</v>
      </c>
      <c r="M309" s="222">
        <v>518</v>
      </c>
      <c r="N309" s="2" t="str">
        <f t="shared" ca="1" si="9"/>
        <v>CLOSED</v>
      </c>
    </row>
    <row r="310" spans="1:14" ht="30">
      <c r="A310" s="64" t="s">
        <v>714</v>
      </c>
      <c r="B310" s="98">
        <f>VLOOKUP([2]!Table27[[#This Row],[Location 
(drop-down)]],'[2]List source'!D$2:E$59,2,FALSE)</f>
        <v>210</v>
      </c>
      <c r="C310" s="99" t="s">
        <v>1356</v>
      </c>
      <c r="D310" s="223" t="str">
        <f t="shared" si="8"/>
        <v>PTO526-210-23</v>
      </c>
      <c r="E310" s="227" t="s">
        <v>1955</v>
      </c>
      <c r="F310" s="165" t="s">
        <v>1566</v>
      </c>
      <c r="G310" s="227" t="e">
        <f>MID(LEFT(#REF!, FIND(",",#REF!) - 1), FIND("{token}", SUBSTITUTE(#REF!, " ", "{token}", 2)) + 1, LEN(#REF!))</f>
        <v>#REF!</v>
      </c>
      <c r="H310" s="165">
        <v>2.1800000000000002</v>
      </c>
      <c r="I310" s="230">
        <v>45427</v>
      </c>
      <c r="J310" s="230" t="s">
        <v>34</v>
      </c>
      <c r="K310" s="226">
        <v>45427</v>
      </c>
      <c r="L310" s="165" t="s">
        <v>1562</v>
      </c>
      <c r="M310" s="222">
        <v>526</v>
      </c>
      <c r="N310" s="2" t="str">
        <f t="shared" ca="1" si="9"/>
        <v>CLOSED</v>
      </c>
    </row>
    <row r="311" spans="1:14" ht="18.75">
      <c r="A311" s="64" t="s">
        <v>139</v>
      </c>
      <c r="B311" s="98">
        <f>VLOOKUP([2]!Table27[[#This Row],[Location 
(drop-down)]],'[2]List source'!D$2:E$59,2,FALSE)</f>
        <v>156</v>
      </c>
      <c r="C311" s="99" t="s">
        <v>1137</v>
      </c>
      <c r="D311" s="223" t="str">
        <f t="shared" si="8"/>
        <v>PTO136-156-23</v>
      </c>
      <c r="E311" s="227" t="s">
        <v>1956</v>
      </c>
      <c r="F311" s="165" t="e" cm="1">
        <f t="array" aca="1" ref="F311" ca="1">MID(LEFT(#REF!, INDEX(_xlfn._xlws.FILTER(ROW(INDIRECT("1:" &amp; LEN(#REF!))), (48 &lt;= CODE(MID(#REF!, ROW(INDIRECT("1:" &amp; LEN(#REF!))), 1))) * (CODE(MID(#REF!, ROW(INDIRECT("1:" &amp; LEN(#REF!))), 1)) &lt;= 57)), 1) - 1), FIND(":",#REF!) + 2, LEN(#REF!))</f>
        <v>#REF!</v>
      </c>
      <c r="G311" s="227" t="e">
        <f>MID(LEFT(#REF!, FIND(",",#REF!) - 1), FIND("{token}", SUBSTITUTE(#REF!, " ", "{token}", 2)) + 1, LEN(#REF!))</f>
        <v>#REF!</v>
      </c>
      <c r="H311" s="165">
        <v>3.16</v>
      </c>
      <c r="I311" s="230">
        <v>45376</v>
      </c>
      <c r="J311" s="230" t="s">
        <v>1619</v>
      </c>
      <c r="K311" s="226">
        <v>45428</v>
      </c>
      <c r="L311" s="165"/>
      <c r="M311" s="222">
        <v>136</v>
      </c>
      <c r="N311" s="2" t="str">
        <f t="shared" ca="1" si="9"/>
        <v>CLOSED</v>
      </c>
    </row>
    <row r="312" spans="1:14" ht="18.75">
      <c r="A312" s="64" t="s">
        <v>167</v>
      </c>
      <c r="B312" s="98">
        <f>VLOOKUP([2]!Table27[[#This Row],[Location 
(drop-down)]],'[2]List source'!D$2:E$59,2,FALSE)</f>
        <v>165</v>
      </c>
      <c r="C312" s="99" t="s">
        <v>1124</v>
      </c>
      <c r="D312" s="223" t="str">
        <f t="shared" si="8"/>
        <v>PTO194-165-23</v>
      </c>
      <c r="E312" s="227" t="s">
        <v>1957</v>
      </c>
      <c r="F312" s="165" t="e" cm="1">
        <f t="array" aca="1" ref="F312" ca="1">MID(LEFT(#REF!, INDEX(_xlfn._xlws.FILTER(ROW(INDIRECT("1:" &amp; LEN(#REF!))), (48 &lt;= CODE(MID(#REF!, ROW(INDIRECT("1:" &amp; LEN(#REF!))), 1))) * (CODE(MID(#REF!, ROW(INDIRECT("1:" &amp; LEN(#REF!))), 1)) &lt;= 57)), 1) - 1), FIND(":",#REF!) + 2, LEN(#REF!))</f>
        <v>#REF!</v>
      </c>
      <c r="G312" s="227" t="e">
        <f>MID(LEFT(#REF!, FIND(",",#REF!) - 1), FIND("{token}", SUBSTITUTE(#REF!, " ", "{token}", 2)) + 1, LEN(#REF!))</f>
        <v>#REF!</v>
      </c>
      <c r="H312" s="165">
        <v>-2.1800000000000002</v>
      </c>
      <c r="I312" s="260">
        <v>45397</v>
      </c>
      <c r="J312" s="230" t="s">
        <v>1619</v>
      </c>
      <c r="K312" s="226">
        <v>45428</v>
      </c>
      <c r="L312" s="204"/>
      <c r="M312" s="222">
        <v>194</v>
      </c>
      <c r="N312" s="2" t="str">
        <f t="shared" ca="1" si="9"/>
        <v>CLOSED</v>
      </c>
    </row>
    <row r="313" spans="1:14" ht="18.75">
      <c r="A313" s="64" t="s">
        <v>103</v>
      </c>
      <c r="B313" s="98">
        <f>VLOOKUP([2]!Table27[[#This Row],[Location 
(drop-down)]],'[2]List source'!D$2:E$59,2,FALSE)</f>
        <v>170</v>
      </c>
      <c r="C313" s="99" t="s">
        <v>904</v>
      </c>
      <c r="D313" s="223" t="str">
        <f t="shared" si="8"/>
        <v>PTO395-170-23</v>
      </c>
      <c r="E313" s="227" t="s">
        <v>1958</v>
      </c>
      <c r="F313" s="165" t="s">
        <v>1566</v>
      </c>
      <c r="G313" s="227" t="e">
        <f>MID(LEFT(#REF!, FIND(",",#REF!) - 1), FIND("{token}", SUBSTITUTE(#REF!, " ", "{token}", 2)) + 1, LEN(#REF!))</f>
        <v>#REF!</v>
      </c>
      <c r="H313" s="165">
        <v>-2.27</v>
      </c>
      <c r="I313" s="230">
        <v>45418</v>
      </c>
      <c r="J313" s="230" t="s">
        <v>1619</v>
      </c>
      <c r="K313" s="226">
        <v>45428</v>
      </c>
      <c r="L313" s="165"/>
      <c r="M313" s="222">
        <v>395</v>
      </c>
      <c r="N313" s="2" t="str">
        <f t="shared" ca="1" si="9"/>
        <v>CLOSED</v>
      </c>
    </row>
    <row r="314" spans="1:14" ht="18.75">
      <c r="A314" s="64" t="s">
        <v>103</v>
      </c>
      <c r="B314" s="98">
        <f>VLOOKUP([2]!Table27[[#This Row],[Location 
(drop-down)]],'[2]List source'!D$2:E$59,2,FALSE)</f>
        <v>190</v>
      </c>
      <c r="C314" s="99" t="s">
        <v>1235</v>
      </c>
      <c r="D314" s="223" t="str">
        <f t="shared" si="8"/>
        <v>PTO396-190-23</v>
      </c>
      <c r="E314" s="227" t="s">
        <v>1959</v>
      </c>
      <c r="F314" s="165" t="s">
        <v>1566</v>
      </c>
      <c r="G314" s="227" t="e">
        <f>MID(LEFT(#REF!, FIND(",",#REF!) - 1), FIND("{token}", SUBSTITUTE(#REF!, " ", "{token}", 2)) + 1, LEN(#REF!))</f>
        <v>#REF!</v>
      </c>
      <c r="H314" s="165">
        <v>6.58</v>
      </c>
      <c r="I314" s="230">
        <v>45418</v>
      </c>
      <c r="J314" s="230" t="s">
        <v>1619</v>
      </c>
      <c r="K314" s="226">
        <v>45428</v>
      </c>
      <c r="L314" s="165"/>
      <c r="M314" s="222">
        <v>396</v>
      </c>
      <c r="N314" s="2" t="str">
        <f t="shared" ca="1" si="9"/>
        <v>CLOSED</v>
      </c>
    </row>
    <row r="315" spans="1:14" ht="18.75">
      <c r="A315" s="64" t="s">
        <v>139</v>
      </c>
      <c r="B315" s="98">
        <f>VLOOKUP([2]!Table27[[#This Row],[Location 
(drop-down)]],'[2]List source'!D$2:E$59,2,FALSE)</f>
        <v>190</v>
      </c>
      <c r="C315" s="99" t="s">
        <v>1025</v>
      </c>
      <c r="D315" s="223" t="str">
        <f t="shared" si="8"/>
        <v>PTO412-190-23</v>
      </c>
      <c r="E315" s="227" t="s">
        <v>1960</v>
      </c>
      <c r="F315" s="165" t="s">
        <v>1566</v>
      </c>
      <c r="G315" s="227" t="e">
        <f>MID(LEFT(#REF!, FIND(",",#REF!) - 1), FIND("{token}", SUBSTITUTE(#REF!, " ", "{token}", 2)) + 1, LEN(#REF!))</f>
        <v>#REF!</v>
      </c>
      <c r="H315" s="165">
        <v>-2.6</v>
      </c>
      <c r="I315" s="230">
        <v>45418</v>
      </c>
      <c r="J315" s="230" t="s">
        <v>34</v>
      </c>
      <c r="K315" s="226">
        <v>45428</v>
      </c>
      <c r="L315" s="165" t="s">
        <v>1505</v>
      </c>
      <c r="M315" s="222">
        <v>412</v>
      </c>
      <c r="N315" s="2" t="str">
        <f t="shared" ca="1" si="9"/>
        <v>CLOSED</v>
      </c>
    </row>
    <row r="316" spans="1:14" ht="30">
      <c r="A316" s="64" t="s">
        <v>185</v>
      </c>
      <c r="B316" s="98">
        <f>VLOOKUP([2]!Table27[[#This Row],[Location 
(drop-down)]],'[2]List source'!D$2:E$59,2,FALSE)</f>
        <v>191</v>
      </c>
      <c r="C316" s="99" t="s">
        <v>225</v>
      </c>
      <c r="D316" s="223" t="str">
        <f t="shared" si="8"/>
        <v>PTO455-191-23</v>
      </c>
      <c r="E316" s="227" t="s">
        <v>1961</v>
      </c>
      <c r="F316" s="165" t="s">
        <v>1520</v>
      </c>
      <c r="G316" s="227" t="e">
        <f>MID(LEFT(#REF!, FIND(",",#REF!) - 1), FIND("{token}", SUBSTITUTE(#REF!, " ", "{token}", 2)) + 1, LEN(#REF!))</f>
        <v>#REF!</v>
      </c>
      <c r="H316" s="236" t="s">
        <v>1962</v>
      </c>
      <c r="I316" s="230">
        <v>45426</v>
      </c>
      <c r="J316" s="230" t="s">
        <v>34</v>
      </c>
      <c r="K316" s="226">
        <v>45428</v>
      </c>
      <c r="L316" s="165" t="s">
        <v>1505</v>
      </c>
      <c r="M316" s="222">
        <v>455</v>
      </c>
      <c r="N316" s="2" t="str">
        <f t="shared" ca="1" si="9"/>
        <v>CLOSED</v>
      </c>
    </row>
    <row r="317" spans="1:14" ht="30">
      <c r="A317" s="64" t="s">
        <v>39</v>
      </c>
      <c r="B317" s="98">
        <f>VLOOKUP([2]!Table27[[#This Row],[Location 
(drop-down)]],'[2]List source'!D$2:E$59,2,FALSE)</f>
        <v>139</v>
      </c>
      <c r="C317" s="99" t="s">
        <v>1963</v>
      </c>
      <c r="D317" s="223" t="str">
        <f t="shared" si="8"/>
        <v>PTO530-139-23</v>
      </c>
      <c r="E317" s="227" t="s">
        <v>1964</v>
      </c>
      <c r="F317" s="165" t="s">
        <v>1524</v>
      </c>
      <c r="G317" s="227" t="e">
        <f>MID(LEFT(#REF!, FIND(",",#REF!) - 1), FIND("{token}", SUBSTITUTE(#REF!, " ", "{token}", 2)) + 1, LEN(#REF!))</f>
        <v>#REF!</v>
      </c>
      <c r="H317" s="236" t="s">
        <v>1965</v>
      </c>
      <c r="I317" s="230">
        <v>45428</v>
      </c>
      <c r="J317" s="230" t="s">
        <v>34</v>
      </c>
      <c r="K317" s="226">
        <v>45428</v>
      </c>
      <c r="L317" s="165" t="s">
        <v>1562</v>
      </c>
      <c r="M317" s="222">
        <v>530</v>
      </c>
      <c r="N317" s="2" t="str">
        <f t="shared" ca="1" si="9"/>
        <v>CLOSED</v>
      </c>
    </row>
    <row r="318" spans="1:14" ht="30">
      <c r="A318" s="64" t="s">
        <v>73</v>
      </c>
      <c r="B318" s="98">
        <f>VLOOKUP([2]!Table27[[#This Row],[Location 
(drop-down)]],'[2]List source'!D$2:E$59,2,FALSE)</f>
        <v>146</v>
      </c>
      <c r="C318" s="99" t="s">
        <v>1966</v>
      </c>
      <c r="D318" s="223" t="str">
        <f t="shared" si="8"/>
        <v>PTO536-146-23</v>
      </c>
      <c r="E318" s="227" t="s">
        <v>1967</v>
      </c>
      <c r="F318" s="165" t="s">
        <v>1524</v>
      </c>
      <c r="G318" s="227" t="e">
        <f>MID(LEFT(#REF!, FIND(",",#REF!) - 1), FIND("{token}", SUBSTITUTE(#REF!, " ", "{token}", 2)) + 1, LEN(#REF!))</f>
        <v>#REF!</v>
      </c>
      <c r="H318" s="236" t="s">
        <v>1764</v>
      </c>
      <c r="I318" s="230">
        <v>45428</v>
      </c>
      <c r="J318" s="230" t="s">
        <v>34</v>
      </c>
      <c r="K318" s="226">
        <v>45428</v>
      </c>
      <c r="L318" s="165" t="s">
        <v>1562</v>
      </c>
      <c r="M318" s="222">
        <v>536</v>
      </c>
      <c r="N318" s="2" t="str">
        <f t="shared" ca="1" si="9"/>
        <v>CLOSED</v>
      </c>
    </row>
    <row r="319" spans="1:14" ht="30">
      <c r="A319" s="64" t="s">
        <v>500</v>
      </c>
      <c r="B319" s="98">
        <f>VLOOKUP([2]!Table27[[#This Row],[Location 
(drop-down)]],'[2]List source'!D$2:E$59,2,FALSE)</f>
        <v>150</v>
      </c>
      <c r="C319" s="99" t="s">
        <v>1968</v>
      </c>
      <c r="D319" s="223" t="str">
        <f t="shared" si="8"/>
        <v>PTO537-150-23</v>
      </c>
      <c r="E319" s="227" t="s">
        <v>1969</v>
      </c>
      <c r="F319" s="165" t="s">
        <v>1524</v>
      </c>
      <c r="G319" s="227" t="s">
        <v>1970</v>
      </c>
      <c r="H319" s="236" t="s">
        <v>1971</v>
      </c>
      <c r="I319" s="230">
        <v>45428</v>
      </c>
      <c r="J319" s="230" t="s">
        <v>34</v>
      </c>
      <c r="K319" s="226">
        <v>45428</v>
      </c>
      <c r="L319" s="165" t="s">
        <v>1562</v>
      </c>
      <c r="M319" s="222">
        <v>537</v>
      </c>
      <c r="N319" s="2" t="str">
        <f t="shared" ca="1" si="9"/>
        <v>CLOSED</v>
      </c>
    </row>
    <row r="320" spans="1:14" ht="30">
      <c r="A320" s="64" t="s">
        <v>500</v>
      </c>
      <c r="B320" s="98">
        <f>VLOOKUP([2]!Table27[[#This Row],[Location 
(drop-down)]],'[2]List source'!D$2:E$59,2,FALSE)</f>
        <v>132</v>
      </c>
      <c r="C320" s="99" t="s">
        <v>1972</v>
      </c>
      <c r="D320" s="223" t="str">
        <f t="shared" si="8"/>
        <v>PTO538-132-23</v>
      </c>
      <c r="E320" s="227" t="s">
        <v>1973</v>
      </c>
      <c r="F320" s="165" t="s">
        <v>1524</v>
      </c>
      <c r="G320" s="227" t="e">
        <f>MID(LEFT(#REF!, FIND(",",#REF!) - 1), FIND("{token}", SUBSTITUTE(#REF!, " ", "{token}", 2)) + 1, LEN(#REF!))</f>
        <v>#REF!</v>
      </c>
      <c r="H320" s="165">
        <v>2.46</v>
      </c>
      <c r="I320" s="230">
        <v>45428</v>
      </c>
      <c r="J320" s="230" t="s">
        <v>34</v>
      </c>
      <c r="K320" s="226">
        <v>45428</v>
      </c>
      <c r="L320" s="165" t="s">
        <v>1562</v>
      </c>
      <c r="M320" s="222">
        <v>538</v>
      </c>
      <c r="N320" s="2" t="str">
        <f t="shared" ca="1" si="9"/>
        <v>CLOSED</v>
      </c>
    </row>
    <row r="321" spans="1:14" ht="18.75">
      <c r="A321" s="64" t="s">
        <v>43</v>
      </c>
      <c r="B321" s="98">
        <f>VLOOKUP([2]!Table27[[#This Row],[Location 
(drop-down)]],'[2]List source'!D$2:E$59,2,FALSE)</f>
        <v>136</v>
      </c>
      <c r="C321" s="99" t="s">
        <v>445</v>
      </c>
      <c r="D321" s="223" t="str">
        <f t="shared" si="8"/>
        <v>PTO079-136-23</v>
      </c>
      <c r="E321" s="242" t="s">
        <v>1974</v>
      </c>
      <c r="F321" s="245" t="e" cm="1">
        <f t="array" aca="1" ref="F321" ca="1">MID(LEFT(#REF!, INDEX(_xlfn._xlws.FILTER(ROW(INDIRECT("1:" &amp; LEN(#REF!))), (48 &lt;= CODE(MID(#REF!, ROW(INDIRECT("1:" &amp; LEN(#REF!))), 1))) * (CODE(MID(#REF!, ROW(INDIRECT("1:" &amp; LEN(#REF!))), 1)) &lt;= 57)), 1) - 1), FIND(":",#REF!) + 2, LEN(#REF!))</f>
        <v>#REF!</v>
      </c>
      <c r="G321" s="201" t="e">
        <f>MID(LEFT(#REF!, FIND(",",#REF!) - 1), FIND("{token}", SUBSTITUTE(#REF!, " ", "{token}", 2)) + 1, LEN(#REF!))</f>
        <v>#REF!</v>
      </c>
      <c r="H321" s="204">
        <v>-24.94</v>
      </c>
      <c r="I321" s="230">
        <v>45307</v>
      </c>
      <c r="J321" s="235" t="s">
        <v>1512</v>
      </c>
      <c r="K321" s="226">
        <v>45432</v>
      </c>
      <c r="L321" s="165"/>
      <c r="M321" s="222">
        <v>79</v>
      </c>
      <c r="N321" s="2" t="str">
        <f t="shared" ca="1" si="9"/>
        <v>CLOSED</v>
      </c>
    </row>
    <row r="322" spans="1:14" ht="18.75">
      <c r="A322" s="64" t="s">
        <v>43</v>
      </c>
      <c r="B322" s="98">
        <f>VLOOKUP([2]!Table27[[#This Row],[Location 
(drop-down)]],'[2]List source'!D$2:E$59,2,FALSE)</f>
        <v>110</v>
      </c>
      <c r="C322" s="99" t="s">
        <v>363</v>
      </c>
      <c r="D322" s="223" t="str">
        <f t="shared" ref="D322:D385" si="10">"PTO" &amp; C322 &amp; "-" &amp; B322 &amp; "-" &amp; "23"</f>
        <v>PTO108-110-23</v>
      </c>
      <c r="E322" s="227" t="s">
        <v>1975</v>
      </c>
      <c r="F322" s="165" t="e" cm="1">
        <f t="array" aca="1" ref="F322" ca="1">MID(LEFT(#REF!, INDEX(_xlfn._xlws.FILTER(ROW(INDIRECT("1:" &amp; LEN(#REF!))), (48 &lt;= CODE(MID(#REF!, ROW(INDIRECT("1:" &amp; LEN(#REF!))), 1))) * (CODE(MID(#REF!, ROW(INDIRECT("1:" &amp; LEN(#REF!))), 1)) &lt;= 57)), 1) - 1), FIND(":",#REF!) + 2, LEN(#REF!))</f>
        <v>#REF!</v>
      </c>
      <c r="G322" s="227" t="e">
        <f>MID(LEFT(#REF!, FIND(",",#REF!) - 1), FIND("{token}", SUBSTITUTE(#REF!, " ", "{token}", 2)) + 1, LEN(#REF!))</f>
        <v>#REF!</v>
      </c>
      <c r="H322" s="165">
        <v>-4.43</v>
      </c>
      <c r="I322" s="230">
        <v>45327</v>
      </c>
      <c r="J322" s="230" t="s">
        <v>29</v>
      </c>
      <c r="K322" s="226">
        <v>45432</v>
      </c>
      <c r="L322" s="165"/>
      <c r="M322" s="222">
        <v>108</v>
      </c>
      <c r="N322" s="2" t="str">
        <f t="shared" ca="1" si="9"/>
        <v>CLOSED</v>
      </c>
    </row>
    <row r="323" spans="1:14" ht="18.75">
      <c r="A323" s="64" t="s">
        <v>43</v>
      </c>
      <c r="B323" s="98">
        <f>VLOOKUP([2]!Table27[[#This Row],[Location 
(drop-down)]],'[2]List source'!D$2:E$59,2,FALSE)</f>
        <v>120</v>
      </c>
      <c r="C323" s="99" t="s">
        <v>1102</v>
      </c>
      <c r="D323" s="223" t="str">
        <f t="shared" si="10"/>
        <v>PTO147-120-23</v>
      </c>
      <c r="E323" s="240" t="s">
        <v>1976</v>
      </c>
      <c r="F323" s="2" t="e" cm="1">
        <f t="array" aca="1" ref="F323" ca="1">MID(LEFT(#REF!, INDEX(_xlfn._xlws.FILTER(ROW(INDIRECT("1:" &amp; LEN(#REF!))), (48 &lt;= CODE(MID(#REF!, ROW(INDIRECT("1:" &amp; LEN(#REF!))), 1))) * (CODE(MID(#REF!, ROW(INDIRECT("1:" &amp; LEN(#REF!))), 1)) &lt;= 57)), 1) - 1), FIND(":",#REF!) + 2, LEN(#REF!))</f>
        <v>#REF!</v>
      </c>
      <c r="G323" s="240" t="e">
        <f>MID(LEFT(#REF!, FIND(",",#REF!) - 1), FIND("{token}", SUBSTITUTE(#REF!, " ", "{token}", 2)) + 1, LEN(#REF!))</f>
        <v>#REF!</v>
      </c>
      <c r="H323" s="254" t="s">
        <v>1977</v>
      </c>
      <c r="I323" s="230">
        <v>45376</v>
      </c>
      <c r="J323" s="230" t="s">
        <v>29</v>
      </c>
      <c r="K323" s="226">
        <v>45432</v>
      </c>
      <c r="L323" s="279"/>
      <c r="M323" s="222">
        <v>147</v>
      </c>
      <c r="N323" s="2" t="str">
        <f t="shared" ca="1" si="9"/>
        <v>CLOSED</v>
      </c>
    </row>
    <row r="324" spans="1:14" ht="30">
      <c r="A324" s="64" t="s">
        <v>432</v>
      </c>
      <c r="B324" s="98">
        <f>VLOOKUP([2]!Table27[[#This Row],[Location 
(drop-down)]],'[2]List source'!D$2:E$59,2,FALSE)</f>
        <v>158</v>
      </c>
      <c r="C324" s="99" t="s">
        <v>334</v>
      </c>
      <c r="D324" s="223" t="str">
        <f t="shared" si="10"/>
        <v>PTO448-158-23</v>
      </c>
      <c r="E324" s="227" t="s">
        <v>1978</v>
      </c>
      <c r="F324" s="165" t="s">
        <v>1520</v>
      </c>
      <c r="G324" s="227" t="e">
        <f>MID(LEFT(#REF!, FIND(",",#REF!) - 1), FIND("{token}", SUBSTITUTE(#REF!, " ", "{token}", 2)) + 1, LEN(#REF!))</f>
        <v>#REF!</v>
      </c>
      <c r="H324" s="236" t="s">
        <v>1979</v>
      </c>
      <c r="I324" s="230">
        <v>45426</v>
      </c>
      <c r="J324" s="230" t="s">
        <v>34</v>
      </c>
      <c r="K324" s="230">
        <v>45432</v>
      </c>
      <c r="L324" s="165" t="s">
        <v>1505</v>
      </c>
      <c r="M324" s="222">
        <v>448</v>
      </c>
      <c r="N324" s="2" t="str">
        <f t="shared" ca="1" si="9"/>
        <v>CLOSED</v>
      </c>
    </row>
    <row r="325" spans="1:14" ht="30">
      <c r="A325" s="64" t="s">
        <v>500</v>
      </c>
      <c r="B325" s="98">
        <f>VLOOKUP([2]!Table27[[#This Row],[Location 
(drop-down)]],'[2]List source'!D$2:E$59,2,FALSE)</f>
        <v>150</v>
      </c>
      <c r="C325" s="99" t="s">
        <v>482</v>
      </c>
      <c r="D325" s="223" t="str">
        <f t="shared" si="10"/>
        <v>PTO467-150-23</v>
      </c>
      <c r="E325" s="227" t="s">
        <v>1980</v>
      </c>
      <c r="F325" s="165" t="s">
        <v>1520</v>
      </c>
      <c r="G325" s="227" t="e">
        <f>MID(LEFT(#REF!, FIND(",",#REF!) - 1), FIND("{token}", SUBSTITUTE(#REF!, " ", "{token}", 2)) + 1, LEN(#REF!))</f>
        <v>#REF!</v>
      </c>
      <c r="H325" s="236" t="s">
        <v>1981</v>
      </c>
      <c r="I325" s="230">
        <v>45426</v>
      </c>
      <c r="J325" s="230" t="s">
        <v>34</v>
      </c>
      <c r="K325" s="226">
        <v>45432</v>
      </c>
      <c r="L325" s="165" t="s">
        <v>1505</v>
      </c>
      <c r="M325" s="222">
        <v>467</v>
      </c>
      <c r="N325" s="2" t="str">
        <f t="shared" ca="1" si="9"/>
        <v>CLOSED</v>
      </c>
    </row>
    <row r="326" spans="1:14" ht="18.75">
      <c r="A326" s="64" t="s">
        <v>43</v>
      </c>
      <c r="B326" s="98">
        <f>VLOOKUP([2]!Table27[[#This Row],[Location 
(drop-down)]],'[2]List source'!D$2:E$59,2,FALSE)</f>
        <v>158</v>
      </c>
      <c r="C326" s="99" t="s">
        <v>658</v>
      </c>
      <c r="D326" s="223" t="str">
        <f t="shared" si="10"/>
        <v>PTO214-158-23</v>
      </c>
      <c r="E326" s="305" t="s">
        <v>1982</v>
      </c>
      <c r="F326" s="165" t="e" cm="1">
        <f t="array" aca="1" ref="F326" ca="1">MID(LEFT(#REF!, INDEX(_xlfn._xlws.FILTER(ROW(INDIRECT("1:" &amp; LEN(#REF!))), (48 &lt;= CODE(MID(#REF!, ROW(INDIRECT("1:" &amp; LEN(#REF!))), 1))) * (CODE(MID(#REF!, ROW(INDIRECT("1:" &amp; LEN(#REF!))), 1)) &lt;= 57)), 1) - 1), FIND(":",#REF!) + 2, LEN(#REF!))</f>
        <v>#REF!</v>
      </c>
      <c r="G326" s="305" t="e">
        <f>MID(LEFT(#REF!, FIND(",",#REF!) - 1), FIND("{token}", SUBSTITUTE(#REF!, " ", "{token}", 2)) + 1, LEN(#REF!))</f>
        <v>#REF!</v>
      </c>
      <c r="H326" s="165">
        <v>-2.81</v>
      </c>
      <c r="I326" s="260">
        <v>45397</v>
      </c>
      <c r="J326" s="230" t="s">
        <v>29</v>
      </c>
      <c r="K326" s="226">
        <v>45433</v>
      </c>
      <c r="L326" s="204"/>
      <c r="M326" s="222">
        <v>214</v>
      </c>
      <c r="N326" s="2" t="str">
        <f t="shared" ca="1" si="9"/>
        <v>CLOSED</v>
      </c>
    </row>
    <row r="327" spans="1:14" ht="18.75">
      <c r="A327" s="64" t="s">
        <v>156</v>
      </c>
      <c r="B327" s="98">
        <f>VLOOKUP([2]!Table27[[#This Row],[Location 
(drop-down)]],'[2]List source'!D$2:E$59,2,FALSE)</f>
        <v>130</v>
      </c>
      <c r="C327" s="99" t="s">
        <v>1211</v>
      </c>
      <c r="D327" s="223" t="str">
        <f t="shared" si="10"/>
        <v>PTO488-130-23</v>
      </c>
      <c r="E327" s="227" t="s">
        <v>1983</v>
      </c>
      <c r="F327" s="165" t="s">
        <v>1566</v>
      </c>
      <c r="G327" s="227" t="e">
        <f>MID(LEFT(#REF!, FIND(",",#REF!) - 1), FIND("{token}", SUBSTITUTE(#REF!, " ", "{token}", 2)) + 1, LEN(#REF!))</f>
        <v>#REF!</v>
      </c>
      <c r="H327" s="165">
        <v>30.75</v>
      </c>
      <c r="I327" s="230">
        <v>45427</v>
      </c>
      <c r="J327" s="230" t="s">
        <v>34</v>
      </c>
      <c r="K327" s="226">
        <v>45434</v>
      </c>
      <c r="L327" s="165" t="s">
        <v>1505</v>
      </c>
      <c r="M327" s="222">
        <v>488</v>
      </c>
      <c r="N327" s="2" t="str">
        <f t="shared" ca="1" si="9"/>
        <v>CLOSED</v>
      </c>
    </row>
    <row r="328" spans="1:14" ht="18.75">
      <c r="A328" s="64" t="s">
        <v>156</v>
      </c>
      <c r="B328" s="98">
        <f>VLOOKUP([2]!Table27[[#This Row],[Location 
(drop-down)]],'[2]List source'!D$2:E$59,2,FALSE)</f>
        <v>130</v>
      </c>
      <c r="C328" s="99" t="s">
        <v>1160</v>
      </c>
      <c r="D328" s="223" t="str">
        <f t="shared" si="10"/>
        <v>PTO489-130-23</v>
      </c>
      <c r="E328" s="227" t="s">
        <v>1984</v>
      </c>
      <c r="F328" s="165" t="s">
        <v>1566</v>
      </c>
      <c r="G328" s="227" t="e">
        <f>MID(LEFT(#REF!, FIND(",",#REF!) - 1), FIND("{token}", SUBSTITUTE(#REF!, " ", "{token}", 2)) + 1, LEN(#REF!))</f>
        <v>#REF!</v>
      </c>
      <c r="H328" s="165">
        <v>2.6</v>
      </c>
      <c r="I328" s="230">
        <v>45427</v>
      </c>
      <c r="J328" s="230" t="s">
        <v>34</v>
      </c>
      <c r="K328" s="226">
        <v>45434</v>
      </c>
      <c r="L328" s="165" t="s">
        <v>1505</v>
      </c>
      <c r="M328" s="222">
        <v>489</v>
      </c>
      <c r="N328" s="2" t="str">
        <f t="shared" ca="1" si="9"/>
        <v>CLOSED</v>
      </c>
    </row>
    <row r="329" spans="1:14" ht="18.75">
      <c r="A329" s="64" t="s">
        <v>156</v>
      </c>
      <c r="B329" s="98">
        <f>VLOOKUP([2]!Table27[[#This Row],[Location 
(drop-down)]],'[2]List source'!D$2:E$59,2,FALSE)</f>
        <v>132</v>
      </c>
      <c r="C329" s="99" t="s">
        <v>1254</v>
      </c>
      <c r="D329" s="223" t="str">
        <f t="shared" si="10"/>
        <v>PTO490-132-23</v>
      </c>
      <c r="E329" s="227" t="s">
        <v>1985</v>
      </c>
      <c r="F329" s="165" t="s">
        <v>1566</v>
      </c>
      <c r="G329" s="227" t="e">
        <f>MID(LEFT(#REF!, FIND(",",#REF!) - 1), FIND("{token}", SUBSTITUTE(#REF!, " ", "{token}", 2)) + 1, LEN(#REF!))</f>
        <v>#REF!</v>
      </c>
      <c r="H329" s="165">
        <v>2.21</v>
      </c>
      <c r="I329" s="230">
        <v>45427</v>
      </c>
      <c r="J329" s="230" t="s">
        <v>34</v>
      </c>
      <c r="K329" s="226">
        <v>45434</v>
      </c>
      <c r="L329" s="165" t="s">
        <v>1505</v>
      </c>
      <c r="M329" s="222">
        <v>490</v>
      </c>
      <c r="N329" s="2" t="str">
        <f t="shared" ca="1" si="9"/>
        <v>CLOSED</v>
      </c>
    </row>
    <row r="330" spans="1:14" ht="30">
      <c r="A330" s="64" t="s">
        <v>114</v>
      </c>
      <c r="B330" s="98">
        <f>VLOOKUP([2]!Table27[[#This Row],[Location 
(drop-down)]],'[2]List source'!D$2:E$59,2,FALSE)</f>
        <v>125</v>
      </c>
      <c r="C330" s="99" t="s">
        <v>1986</v>
      </c>
      <c r="D330" s="223" t="str">
        <f t="shared" si="10"/>
        <v>PTO539-125-23</v>
      </c>
      <c r="E330" s="227" t="s">
        <v>1987</v>
      </c>
      <c r="F330" s="165" t="s">
        <v>1988</v>
      </c>
      <c r="G330" s="227" t="e">
        <f>MID(LEFT(#REF!, FIND(",",#REF!) - 1), FIND("{token}", SUBSTITUTE(#REF!, " ", "{token}", 2)) + 1, LEN(#REF!))</f>
        <v>#REF!</v>
      </c>
      <c r="H330" s="165">
        <v>2.17</v>
      </c>
      <c r="I330" s="230">
        <v>45434</v>
      </c>
      <c r="J330" s="230" t="s">
        <v>34</v>
      </c>
      <c r="K330" s="226">
        <v>45434</v>
      </c>
      <c r="L330" s="165" t="s">
        <v>1562</v>
      </c>
      <c r="M330" s="222">
        <v>539</v>
      </c>
      <c r="N330" s="2" t="str">
        <f t="shared" ca="1" si="9"/>
        <v>CLOSED</v>
      </c>
    </row>
    <row r="331" spans="1:14" ht="18.75">
      <c r="A331" s="64" t="s">
        <v>15</v>
      </c>
      <c r="B331" s="98">
        <f>VLOOKUP([2]!Table27[[#This Row],[Location 
(drop-down)]],'[2]List source'!D$2:E$59,2,FALSE)</f>
        <v>192</v>
      </c>
      <c r="C331" s="99" t="s">
        <v>1989</v>
      </c>
      <c r="D331" s="223" t="str">
        <f t="shared" si="10"/>
        <v>PTO540-192-23</v>
      </c>
      <c r="E331" s="227" t="s">
        <v>1990</v>
      </c>
      <c r="F331" s="165" t="s">
        <v>1988</v>
      </c>
      <c r="G331" s="227" t="e">
        <f>MID(LEFT(#REF!, FIND(",",#REF!) - 1), FIND("{token}", SUBSTITUTE(#REF!, " ", "{token}", 2)) + 1, LEN(#REF!))</f>
        <v>#REF!</v>
      </c>
      <c r="H331" s="236" t="s">
        <v>1991</v>
      </c>
      <c r="I331" s="230">
        <v>45434</v>
      </c>
      <c r="J331" s="230" t="s">
        <v>34</v>
      </c>
      <c r="K331" s="226">
        <v>45434</v>
      </c>
      <c r="L331" s="165" t="s">
        <v>1562</v>
      </c>
      <c r="M331" s="222">
        <v>540</v>
      </c>
      <c r="N331" s="2" t="str">
        <f t="shared" ca="1" si="9"/>
        <v>CLOSED</v>
      </c>
    </row>
    <row r="332" spans="1:14" ht="18.75">
      <c r="A332" s="64" t="s">
        <v>890</v>
      </c>
      <c r="B332" s="98">
        <f>VLOOKUP([2]!Table27[[#This Row],[Location 
(drop-down)]],'[2]List source'!D$2:E$59,2,FALSE)</f>
        <v>192</v>
      </c>
      <c r="C332" s="99" t="s">
        <v>407</v>
      </c>
      <c r="D332" s="223" t="str">
        <f t="shared" si="10"/>
        <v>PTO492-192-23</v>
      </c>
      <c r="E332" s="227" t="s">
        <v>1992</v>
      </c>
      <c r="F332" s="165" t="s">
        <v>1566</v>
      </c>
      <c r="G332" s="227" t="e">
        <f>MID(LEFT(#REF!, FIND(",",#REF!) - 1), FIND("{token}", SUBSTITUTE(#REF!, " ", "{token}", 2)) + 1, LEN(#REF!))</f>
        <v>#REF!</v>
      </c>
      <c r="H332" s="165">
        <v>5.16</v>
      </c>
      <c r="I332" s="230">
        <v>45427</v>
      </c>
      <c r="J332" s="230" t="s">
        <v>34</v>
      </c>
      <c r="K332" s="226">
        <v>45435</v>
      </c>
      <c r="L332" s="165" t="s">
        <v>1505</v>
      </c>
      <c r="M332" s="222">
        <v>492</v>
      </c>
      <c r="N332" s="2" t="str">
        <f t="shared" ca="1" si="9"/>
        <v>CLOSED</v>
      </c>
    </row>
    <row r="333" spans="1:14" ht="30">
      <c r="A333" s="64" t="s">
        <v>432</v>
      </c>
      <c r="B333" s="98">
        <f>VLOOKUP([2]!Table27[[#This Row],[Location 
(drop-down)]],'[2]List source'!D$2:E$59,2,FALSE)</f>
        <v>198</v>
      </c>
      <c r="C333" s="99" t="s">
        <v>1993</v>
      </c>
      <c r="D333" s="223" t="str">
        <f t="shared" si="10"/>
        <v>PTO542-198-23</v>
      </c>
      <c r="E333" s="227" t="s">
        <v>1994</v>
      </c>
      <c r="F333" s="165" t="e" cm="1">
        <f t="array" aca="1" ref="F333" ca="1">MID(LEFT(#REF!, INDEX(_xlfn._xlws.FILTER(ROW(INDIRECT("1:" &amp; LEN(#REF!))), (48 &lt;= CODE(MID(#REF!, ROW(INDIRECT("1:" &amp; LEN(#REF!))), 1))) * (CODE(MID(#REF!, ROW(INDIRECT("1:" &amp; LEN(#REF!))), 1)) &lt;= 57)), 1) - 1), FIND(":",#REF!) + 2, LEN(#REF!))</f>
        <v>#REF!</v>
      </c>
      <c r="G333" s="227" t="e">
        <f>MID(LEFT(#REF!, FIND(",",#REF!) - 1), FIND("{token}", SUBSTITUTE(#REF!, " ", "{token}", 2)) + 1, LEN(#REF!))</f>
        <v>#REF!</v>
      </c>
      <c r="H333" s="165">
        <v>2.67</v>
      </c>
      <c r="I333" s="230">
        <v>45435</v>
      </c>
      <c r="J333" s="230" t="s">
        <v>34</v>
      </c>
      <c r="K333" s="226">
        <v>45435</v>
      </c>
      <c r="L333" s="165" t="s">
        <v>1562</v>
      </c>
      <c r="M333" s="222">
        <v>542</v>
      </c>
      <c r="N333" s="2" t="str">
        <f t="shared" ca="1" si="9"/>
        <v>CLOSED</v>
      </c>
    </row>
    <row r="334" spans="1:14" ht="30">
      <c r="A334" s="64" t="s">
        <v>432</v>
      </c>
      <c r="B334" s="98">
        <f>VLOOKUP([2]!Table27[[#This Row],[Location 
(drop-down)]],'[2]List source'!D$2:E$59,2,FALSE)</f>
        <v>191</v>
      </c>
      <c r="C334" s="99" t="s">
        <v>1995</v>
      </c>
      <c r="D334" s="223" t="str">
        <f t="shared" si="10"/>
        <v>PTO543-191-23</v>
      </c>
      <c r="E334" s="227" t="s">
        <v>1996</v>
      </c>
      <c r="F334" s="165" t="e" cm="1">
        <f t="array" aca="1" ref="F334" ca="1">MID(LEFT(#REF!, INDEX(_xlfn._xlws.FILTER(ROW(INDIRECT("1:" &amp; LEN(#REF!))), (48 &lt;= CODE(MID(#REF!, ROW(INDIRECT("1:" &amp; LEN(#REF!))), 1))) * (CODE(MID(#REF!, ROW(INDIRECT("1:" &amp; LEN(#REF!))), 1)) &lt;= 57)), 1) - 1), FIND(":",#REF!) + 2, LEN(#REF!))</f>
        <v>#REF!</v>
      </c>
      <c r="G334" s="227" t="e">
        <f>MID(LEFT(#REF!, FIND(",",#REF!) - 1), FIND("{token}", SUBSTITUTE(#REF!, " ", "{token}", 2)) + 1, LEN(#REF!))</f>
        <v>#REF!</v>
      </c>
      <c r="H334" s="165">
        <v>-2.14</v>
      </c>
      <c r="I334" s="230">
        <v>45435</v>
      </c>
      <c r="J334" s="230" t="s">
        <v>34</v>
      </c>
      <c r="K334" s="226">
        <v>45435</v>
      </c>
      <c r="L334" s="165" t="s">
        <v>1562</v>
      </c>
      <c r="M334" s="222">
        <v>543</v>
      </c>
      <c r="N334" s="2" t="str">
        <f t="shared" ca="1" si="9"/>
        <v>CLOSED</v>
      </c>
    </row>
    <row r="335" spans="1:14" ht="30">
      <c r="A335" s="64" t="s">
        <v>125</v>
      </c>
      <c r="B335" s="98">
        <f>VLOOKUP([2]!Table27[[#This Row],[Location 
(drop-down)]],'[2]List source'!D$2:E$59,2,FALSE)</f>
        <v>150</v>
      </c>
      <c r="C335" s="99" t="s">
        <v>1997</v>
      </c>
      <c r="D335" s="223" t="str">
        <f t="shared" si="10"/>
        <v>PTO547-150-23</v>
      </c>
      <c r="E335" s="227" t="s">
        <v>1998</v>
      </c>
      <c r="F335" s="165" t="e" cm="1">
        <f t="array" aca="1" ref="F335" ca="1">MID(LEFT(#REF!, INDEX(_xlfn._xlws.FILTER(ROW(INDIRECT("1:" &amp; LEN(#REF!))), (48 &lt;= CODE(MID(#REF!, ROW(INDIRECT("1:" &amp; LEN(#REF!))), 1))) * (CODE(MID(#REF!, ROW(INDIRECT("1:" &amp; LEN(#REF!))), 1)) &lt;= 57)), 1) - 1), FIND(":",#REF!) + 2, LEN(#REF!))</f>
        <v>#REF!</v>
      </c>
      <c r="G335" s="227" t="e">
        <f>MID(LEFT(#REF!, FIND(",",#REF!) - 1), FIND("{token}", SUBSTITUTE(#REF!, " ", "{token}", 2)) + 1, LEN(#REF!))</f>
        <v>#REF!</v>
      </c>
      <c r="H335" s="165">
        <v>2.44</v>
      </c>
      <c r="I335" s="230">
        <v>45435</v>
      </c>
      <c r="J335" s="230" t="s">
        <v>34</v>
      </c>
      <c r="K335" s="226">
        <v>45435</v>
      </c>
      <c r="L335" s="165" t="s">
        <v>1562</v>
      </c>
      <c r="M335" s="222">
        <v>547</v>
      </c>
      <c r="N335" s="2" t="str">
        <f t="shared" ca="1" si="9"/>
        <v>CLOSED</v>
      </c>
    </row>
    <row r="336" spans="1:14" ht="18.75">
      <c r="A336" s="64" t="s">
        <v>103</v>
      </c>
      <c r="B336" s="98" t="e">
        <f>VLOOKUP([2]!Table27[[#This Row],[Location 
(drop-down)]],'[2]List source'!D$2:E$59,2,FALSE)</f>
        <v>#N/A</v>
      </c>
      <c r="C336" s="99" t="s">
        <v>1999</v>
      </c>
      <c r="D336" s="223" t="e">
        <f t="shared" si="10"/>
        <v>#N/A</v>
      </c>
      <c r="E336" s="227" t="s">
        <v>2000</v>
      </c>
      <c r="F336" s="165" t="e" cm="1">
        <f t="array" aca="1" ref="F336" ca="1">MID(LEFT(#REF!, INDEX(_xlfn._xlws.FILTER(ROW(INDIRECT("1:" &amp; LEN(#REF!))), (48 &lt;= CODE(MID(#REF!, ROW(INDIRECT("1:" &amp; LEN(#REF!))), 1))) * (CODE(MID(#REF!, ROW(INDIRECT("1:" &amp; LEN(#REF!))), 1)) &lt;= 57)), 1) - 1), FIND(":",#REF!) + 2, LEN(#REF!))</f>
        <v>#REF!</v>
      </c>
      <c r="G336" s="227" t="e">
        <f>MID(LEFT(#REF!, FIND(",",#REF!) - 1), FIND("{token}", SUBSTITUTE(#REF!, " ", "{token}", 2)) + 1, LEN(#REF!))</f>
        <v>#REF!</v>
      </c>
      <c r="H336" s="165" t="s">
        <v>2001</v>
      </c>
      <c r="I336" s="230">
        <v>45435</v>
      </c>
      <c r="J336" s="230" t="s">
        <v>34</v>
      </c>
      <c r="K336" s="226">
        <v>45435</v>
      </c>
      <c r="L336" s="165" t="s">
        <v>1562</v>
      </c>
      <c r="M336" s="222">
        <v>549</v>
      </c>
      <c r="N336" s="2" t="str">
        <f t="shared" ca="1" si="9"/>
        <v>CLOSED</v>
      </c>
    </row>
    <row r="337" spans="1:14" ht="18.75">
      <c r="A337" s="64" t="s">
        <v>311</v>
      </c>
      <c r="B337" s="98" t="e">
        <f>VLOOKUP([2]!Table27[[#This Row],[Location 
(drop-down)]],'[2]List source'!D$2:E$59,2,FALSE)</f>
        <v>#N/A</v>
      </c>
      <c r="C337" s="99" t="s">
        <v>2002</v>
      </c>
      <c r="D337" s="223" t="e">
        <f t="shared" si="10"/>
        <v>#N/A</v>
      </c>
      <c r="E337" s="227" t="s">
        <v>2003</v>
      </c>
      <c r="F337" s="165" t="e" cm="1">
        <f t="array" aca="1" ref="F337" ca="1">MID(LEFT(#REF!, INDEX(_xlfn._xlws.FILTER(ROW(INDIRECT("1:" &amp; LEN(#REF!))), (48 &lt;= CODE(MID(#REF!, ROW(INDIRECT("1:" &amp; LEN(#REF!))), 1))) * (CODE(MID(#REF!, ROW(INDIRECT("1:" &amp; LEN(#REF!))), 1)) &lt;= 57)), 1) - 1), FIND(":",#REF!) + 2, LEN(#REF!))</f>
        <v>#REF!</v>
      </c>
      <c r="G337" s="227" t="e">
        <f>MID(LEFT(#REF!, FIND(",",#REF!) - 1), FIND("{token}", SUBSTITUTE(#REF!, " ", "{token}", 2)) + 1, LEN(#REF!))</f>
        <v>#REF!</v>
      </c>
      <c r="H337" s="236" t="s">
        <v>2004</v>
      </c>
      <c r="I337" s="230">
        <v>45435</v>
      </c>
      <c r="J337" s="230" t="s">
        <v>34</v>
      </c>
      <c r="K337" s="226">
        <v>45435</v>
      </c>
      <c r="L337" s="165" t="s">
        <v>1562</v>
      </c>
      <c r="M337" s="222">
        <v>552</v>
      </c>
      <c r="N337" s="2" t="str">
        <f t="shared" ca="1" si="9"/>
        <v>CLOSED</v>
      </c>
    </row>
    <row r="338" spans="1:14" ht="18.75">
      <c r="A338" s="64" t="s">
        <v>213</v>
      </c>
      <c r="B338" s="98" t="e">
        <f>VLOOKUP([2]!Table27[[#This Row],[Location 
(drop-down)]],'[2]List source'!D$2:E$59,2,FALSE)</f>
        <v>#N/A</v>
      </c>
      <c r="C338" s="99" t="s">
        <v>2005</v>
      </c>
      <c r="D338" s="223" t="e">
        <f t="shared" si="10"/>
        <v>#N/A</v>
      </c>
      <c r="E338" s="227" t="s">
        <v>2006</v>
      </c>
      <c r="F338" s="165" t="e" cm="1">
        <f t="array" aca="1" ref="F338" ca="1">MID(LEFT(#REF!, INDEX(_xlfn._xlws.FILTER(ROW(INDIRECT("1:" &amp; LEN(#REF!))), (48 &lt;= CODE(MID(#REF!, ROW(INDIRECT("1:" &amp; LEN(#REF!))), 1))) * (CODE(MID(#REF!, ROW(INDIRECT("1:" &amp; LEN(#REF!))), 1)) &lt;= 57)), 1) - 1), FIND(":",#REF!) + 2, LEN(#REF!))</f>
        <v>#REF!</v>
      </c>
      <c r="G338" s="227" t="e">
        <f>MID(LEFT(#REF!, FIND(",",#REF!) - 1), FIND("{token}", SUBSTITUTE(#REF!, " ", "{token}", 2)) + 1, LEN(#REF!))</f>
        <v>#REF!</v>
      </c>
      <c r="H338" s="165">
        <v>2.0699999999999998</v>
      </c>
      <c r="I338" s="230">
        <v>45435</v>
      </c>
      <c r="J338" s="230" t="s">
        <v>34</v>
      </c>
      <c r="K338" s="226">
        <v>45435</v>
      </c>
      <c r="L338" s="165" t="s">
        <v>1562</v>
      </c>
      <c r="M338" s="222">
        <v>556</v>
      </c>
      <c r="N338" s="2" t="str">
        <f t="shared" ca="1" si="9"/>
        <v>CLOSED</v>
      </c>
    </row>
    <row r="339" spans="1:14" ht="18.75">
      <c r="A339" s="64" t="s">
        <v>264</v>
      </c>
      <c r="B339" s="98" t="e">
        <f>VLOOKUP([2]!Table27[[#This Row],[Location 
(drop-down)]],'[2]List source'!D$2:E$59,2,FALSE)</f>
        <v>#N/A</v>
      </c>
      <c r="C339" s="99" t="s">
        <v>2007</v>
      </c>
      <c r="D339" s="223" t="e">
        <f t="shared" si="10"/>
        <v>#N/A</v>
      </c>
      <c r="E339" s="227" t="s">
        <v>2008</v>
      </c>
      <c r="F339" s="165" t="e" cm="1">
        <f t="array" aca="1" ref="F339" ca="1">MID(LEFT(#REF!, INDEX(_xlfn._xlws.FILTER(ROW(INDIRECT("1:" &amp; LEN(#REF!))), (48 &lt;= CODE(MID(#REF!, ROW(INDIRECT("1:" &amp; LEN(#REF!))), 1))) * (CODE(MID(#REF!, ROW(INDIRECT("1:" &amp; LEN(#REF!))), 1)) &lt;= 57)), 1) - 1), FIND(":",#REF!) + 2, LEN(#REF!))</f>
        <v>#REF!</v>
      </c>
      <c r="G339" s="227" t="e">
        <f>MID(LEFT(#REF!, FIND(",",#REF!) - 1), FIND("{token}", SUBSTITUTE(#REF!, " ", "{token}", 2)) + 1, LEN(#REF!))</f>
        <v>#REF!</v>
      </c>
      <c r="H339" s="236" t="s">
        <v>2009</v>
      </c>
      <c r="I339" s="230">
        <v>45435</v>
      </c>
      <c r="J339" s="230" t="s">
        <v>34</v>
      </c>
      <c r="K339" s="226">
        <v>45435</v>
      </c>
      <c r="L339" s="165" t="s">
        <v>1562</v>
      </c>
      <c r="M339" s="222">
        <v>557</v>
      </c>
      <c r="N339" s="2" t="str">
        <f t="shared" ca="1" si="9"/>
        <v>CLOSED</v>
      </c>
    </row>
    <row r="340" spans="1:14" ht="18.75">
      <c r="A340" s="64" t="s">
        <v>167</v>
      </c>
      <c r="B340" s="98" t="e">
        <f>VLOOKUP([2]!Table27[[#This Row],[Location 
(drop-down)]],'[2]List source'!D$2:E$59,2,FALSE)</f>
        <v>#N/A</v>
      </c>
      <c r="C340" s="99" t="s">
        <v>2010</v>
      </c>
      <c r="D340" s="223" t="e">
        <f t="shared" si="10"/>
        <v>#N/A</v>
      </c>
      <c r="E340" s="227" t="s">
        <v>2011</v>
      </c>
      <c r="F340" s="165" t="e" cm="1">
        <f t="array" aca="1" ref="F340" ca="1">MID(LEFT(#REF!, INDEX(_xlfn._xlws.FILTER(ROW(INDIRECT("1:" &amp; LEN(#REF!))), (48 &lt;= CODE(MID(#REF!, ROW(INDIRECT("1:" &amp; LEN(#REF!))), 1))) * (CODE(MID(#REF!, ROW(INDIRECT("1:" &amp; LEN(#REF!))), 1)) &lt;= 57)), 1) - 1), FIND(":",#REF!) + 2, LEN(#REF!))</f>
        <v>#REF!</v>
      </c>
      <c r="G340" s="227" t="e">
        <f>MID(LEFT(#REF!, FIND(",",#REF!) - 1), FIND("{token}", SUBSTITUTE(#REF!, " ", "{token}", 2)) + 1, LEN(#REF!))</f>
        <v>#REF!</v>
      </c>
      <c r="H340" s="236" t="s">
        <v>2012</v>
      </c>
      <c r="I340" s="230">
        <v>45435</v>
      </c>
      <c r="J340" s="230" t="s">
        <v>34</v>
      </c>
      <c r="K340" s="226">
        <v>45435</v>
      </c>
      <c r="L340" s="165" t="s">
        <v>1562</v>
      </c>
      <c r="M340" s="222">
        <v>559</v>
      </c>
      <c r="N340" s="2" t="str">
        <f t="shared" ca="1" si="9"/>
        <v>CLOSED</v>
      </c>
    </row>
    <row r="341" spans="1:14" ht="18.75">
      <c r="A341" s="64" t="s">
        <v>314</v>
      </c>
      <c r="B341" s="98" t="e">
        <f>VLOOKUP([2]!Table27[[#This Row],[Location 
(drop-down)]],'[2]List source'!D$2:E$59,2,FALSE)</f>
        <v>#N/A</v>
      </c>
      <c r="C341" s="99" t="s">
        <v>2013</v>
      </c>
      <c r="D341" s="223" t="e">
        <f t="shared" si="10"/>
        <v>#N/A</v>
      </c>
      <c r="E341" s="227" t="s">
        <v>2014</v>
      </c>
      <c r="F341" s="165" t="e" cm="1">
        <f t="array" aca="1" ref="F341" ca="1">MID(LEFT(#REF!, INDEX(_xlfn._xlws.FILTER(ROW(INDIRECT("1:" &amp; LEN(#REF!))), (48 &lt;= CODE(MID(#REF!, ROW(INDIRECT("1:" &amp; LEN(#REF!))), 1))) * (CODE(MID(#REF!, ROW(INDIRECT("1:" &amp; LEN(#REF!))), 1)) &lt;= 57)), 1) - 1), FIND(":",#REF!) + 2, LEN(#REF!))</f>
        <v>#REF!</v>
      </c>
      <c r="G341" s="227" t="e">
        <f>MID(LEFT(#REF!, FIND(",",#REF!) - 1), FIND("{token}", SUBSTITUTE(#REF!, " ", "{token}", 2)) + 1, LEN(#REF!))</f>
        <v>#REF!</v>
      </c>
      <c r="H341" s="165">
        <v>2.25</v>
      </c>
      <c r="I341" s="230">
        <v>45435</v>
      </c>
      <c r="J341" s="230" t="s">
        <v>34</v>
      </c>
      <c r="K341" s="226">
        <v>45435</v>
      </c>
      <c r="L341" s="165" t="s">
        <v>1562</v>
      </c>
      <c r="M341" s="222">
        <v>560</v>
      </c>
      <c r="N341" s="2" t="str">
        <f t="shared" ca="1" si="9"/>
        <v>CLOSED</v>
      </c>
    </row>
    <row r="342" spans="1:14" ht="30">
      <c r="A342" s="64" t="s">
        <v>294</v>
      </c>
      <c r="B342" s="98" t="e">
        <f>VLOOKUP([2]!Table27[[#This Row],[Location 
(drop-down)]],'[2]List source'!D$2:E$59,2,FALSE)</f>
        <v>#N/A</v>
      </c>
      <c r="C342" s="99" t="s">
        <v>2015</v>
      </c>
      <c r="D342" s="223" t="e">
        <f t="shared" si="10"/>
        <v>#N/A</v>
      </c>
      <c r="E342" s="306" t="s">
        <v>2016</v>
      </c>
      <c r="F342" s="307" t="e" cm="1">
        <f t="array" aca="1" ref="F342" ca="1">MID(LEFT(#REF!, INDEX(_xlfn._xlws.FILTER(ROW(INDIRECT("1:" &amp; LEN(#REF!))), (48 &lt;= CODE(MID(#REF!, ROW(INDIRECT("1:" &amp; LEN(#REF!))), 1))) * (CODE(MID(#REF!, ROW(INDIRECT("1:" &amp; LEN(#REF!))), 1)) &lt;= 57)), 1) - 1), FIND(":",#REF!) + 2, LEN(#REF!))</f>
        <v>#REF!</v>
      </c>
      <c r="G342" s="306" t="e">
        <f>MID(LEFT(#REF!, FIND(",",#REF!) - 1), FIND("{token}", SUBSTITUTE(#REF!, " ", "{token}", 2)) + 1, LEN(#REF!))</f>
        <v>#REF!</v>
      </c>
      <c r="H342" s="308" t="s">
        <v>2017</v>
      </c>
      <c r="I342" s="230">
        <v>45435</v>
      </c>
      <c r="J342" s="230" t="s">
        <v>34</v>
      </c>
      <c r="K342" s="226">
        <v>45435</v>
      </c>
      <c r="L342" s="165" t="s">
        <v>1562</v>
      </c>
      <c r="M342" s="222">
        <v>562</v>
      </c>
      <c r="N342" s="2" t="str">
        <f t="shared" ca="1" si="9"/>
        <v>CLOSED</v>
      </c>
    </row>
    <row r="343" spans="1:14" ht="30">
      <c r="A343" s="64" t="s">
        <v>294</v>
      </c>
      <c r="B343" s="98" t="e">
        <f>VLOOKUP([2]!Table27[[#This Row],[Location 
(drop-down)]],'[2]List source'!D$2:E$59,2,FALSE)</f>
        <v>#N/A</v>
      </c>
      <c r="C343" s="99" t="s">
        <v>2018</v>
      </c>
      <c r="D343" s="223" t="e">
        <f t="shared" si="10"/>
        <v>#N/A</v>
      </c>
      <c r="E343" s="215" t="s">
        <v>2019</v>
      </c>
      <c r="F343" s="214" t="e" cm="1">
        <f t="array" aca="1" ref="F343" ca="1">MID(LEFT(#REF!, INDEX(_xlfn._xlws.FILTER(ROW(INDIRECT("1:" &amp; LEN(#REF!))), (48 &lt;= CODE(MID(#REF!, ROW(INDIRECT("1:" &amp; LEN(#REF!))), 1))) * (CODE(MID(#REF!, ROW(INDIRECT("1:" &amp; LEN(#REF!))), 1)) &lt;= 57)), 1) - 1), FIND(":",#REF!) + 2, LEN(#REF!))</f>
        <v>#REF!</v>
      </c>
      <c r="G343" s="215" t="e">
        <f>MID(LEFT(#REF!, FIND(",",#REF!) - 1), FIND("{token}", SUBSTITUTE(#REF!, " ", "{token}", 2)) + 1, LEN(#REF!))</f>
        <v>#REF!</v>
      </c>
      <c r="H343" s="214" t="s">
        <v>2020</v>
      </c>
      <c r="I343" s="230">
        <v>45435</v>
      </c>
      <c r="J343" s="230" t="s">
        <v>34</v>
      </c>
      <c r="K343" s="226">
        <v>45435</v>
      </c>
      <c r="L343" s="165" t="s">
        <v>1505</v>
      </c>
      <c r="M343" s="222">
        <v>564</v>
      </c>
      <c r="N343" s="2" t="str">
        <f t="shared" ca="1" si="9"/>
        <v>CLOSED</v>
      </c>
    </row>
    <row r="344" spans="1:14" ht="30">
      <c r="A344" s="64" t="s">
        <v>485</v>
      </c>
      <c r="B344" s="98" t="e">
        <f>VLOOKUP([2]!Table27[[#This Row],[Location 
(drop-down)]],'[2]List source'!D$2:E$59,2,FALSE)</f>
        <v>#N/A</v>
      </c>
      <c r="C344" s="99" t="s">
        <v>2021</v>
      </c>
      <c r="D344" s="223" t="e">
        <f t="shared" si="10"/>
        <v>#N/A</v>
      </c>
      <c r="E344" s="227" t="s">
        <v>2014</v>
      </c>
      <c r="F344" s="165" t="e" cm="1">
        <f t="array" aca="1" ref="F344" ca="1">MID(LEFT(#REF!, INDEX(_xlfn._xlws.FILTER(ROW(INDIRECT("1:" &amp; LEN(#REF!))), (48 &lt;= CODE(MID(#REF!, ROW(INDIRECT("1:" &amp; LEN(#REF!))), 1))) * (CODE(MID(#REF!, ROW(INDIRECT("1:" &amp; LEN(#REF!))), 1)) &lt;= 57)), 1) - 1), FIND(":",#REF!) + 2, LEN(#REF!))</f>
        <v>#REF!</v>
      </c>
      <c r="G344" s="227" t="e">
        <f>MID(LEFT(#REF!, FIND(",",#REF!) - 1), FIND("{token}", SUBSTITUTE(#REF!, " ", "{token}", 2)) + 1, LEN(#REF!))</f>
        <v>#REF!</v>
      </c>
      <c r="H344" s="165">
        <v>2.11</v>
      </c>
      <c r="I344" s="230">
        <v>45435</v>
      </c>
      <c r="J344" s="230" t="s">
        <v>34</v>
      </c>
      <c r="K344" s="226">
        <v>45435</v>
      </c>
      <c r="L344" s="165" t="s">
        <v>1562</v>
      </c>
      <c r="M344" s="222">
        <v>568</v>
      </c>
      <c r="N344" s="2" t="str">
        <f t="shared" ref="N344:N407" ca="1" si="11">IF(ISBLANK(K344), TODAY()-(I344), "CLOSED")</f>
        <v>CLOSED</v>
      </c>
    </row>
    <row r="345" spans="1:14" ht="30">
      <c r="A345" s="64" t="s">
        <v>500</v>
      </c>
      <c r="B345" s="98" t="e">
        <f>VLOOKUP([2]!Table27[[#This Row],[Location 
(drop-down)]],'[2]List source'!D$2:E$59,2,FALSE)</f>
        <v>#N/A</v>
      </c>
      <c r="C345" s="99" t="s">
        <v>2022</v>
      </c>
      <c r="D345" s="223" t="e">
        <f t="shared" si="10"/>
        <v>#N/A</v>
      </c>
      <c r="E345" s="227" t="s">
        <v>2023</v>
      </c>
      <c r="F345" s="165" t="e" cm="1">
        <f t="array" aca="1" ref="F345" ca="1">MID(LEFT(#REF!, INDEX(_xlfn._xlws.FILTER(ROW(INDIRECT("1:" &amp; LEN(#REF!))), (48 &lt;= CODE(MID(#REF!, ROW(INDIRECT("1:" &amp; LEN(#REF!))), 1))) * (CODE(MID(#REF!, ROW(INDIRECT("1:" &amp; LEN(#REF!))), 1)) &lt;= 57)), 1) - 1), FIND(":",#REF!) + 2, LEN(#REF!))</f>
        <v>#REF!</v>
      </c>
      <c r="G345" s="227" t="e">
        <f>MID(LEFT(#REF!, FIND(",",#REF!) - 1), FIND("{token}", SUBSTITUTE(#REF!, " ", "{token}", 2)) + 1, LEN(#REF!))</f>
        <v>#REF!</v>
      </c>
      <c r="H345" s="165" t="s">
        <v>2024</v>
      </c>
      <c r="I345" s="230">
        <v>45435</v>
      </c>
      <c r="J345" s="230" t="s">
        <v>34</v>
      </c>
      <c r="K345" s="226">
        <v>45435</v>
      </c>
      <c r="L345" s="165" t="s">
        <v>1562</v>
      </c>
      <c r="M345" s="222">
        <v>572</v>
      </c>
      <c r="N345" s="2" t="str">
        <f t="shared" ca="1" si="11"/>
        <v>CLOSED</v>
      </c>
    </row>
    <row r="346" spans="1:14" ht="30">
      <c r="A346" s="64" t="s">
        <v>518</v>
      </c>
      <c r="B346" s="98" t="e">
        <f>VLOOKUP([2]!Table27[[#This Row],[Location 
(drop-down)]],'[2]List source'!D$2:E$59,2,FALSE)</f>
        <v>#N/A</v>
      </c>
      <c r="C346" s="99" t="s">
        <v>2025</v>
      </c>
      <c r="D346" s="223" t="e">
        <f t="shared" si="10"/>
        <v>#N/A</v>
      </c>
      <c r="E346" s="227" t="s">
        <v>2026</v>
      </c>
      <c r="F346" s="165" t="e" cm="1">
        <f t="array" aca="1" ref="F346" ca="1">MID(LEFT(#REF!, INDEX(_xlfn._xlws.FILTER(ROW(INDIRECT("1:" &amp; LEN(#REF!))), (48 &lt;= CODE(MID(#REF!, ROW(INDIRECT("1:" &amp; LEN(#REF!))), 1))) * (CODE(MID(#REF!, ROW(INDIRECT("1:" &amp; LEN(#REF!))), 1)) &lt;= 57)), 1) - 1), FIND(":",#REF!) + 2, LEN(#REF!))</f>
        <v>#REF!</v>
      </c>
      <c r="G346" s="227" t="e">
        <f>MID(LEFT(#REF!, FIND(",",#REF!) - 1), FIND("{token}", SUBSTITUTE(#REF!, " ", "{token}", 2)) + 1, LEN(#REF!))</f>
        <v>#REF!</v>
      </c>
      <c r="H346" s="236" t="s">
        <v>2027</v>
      </c>
      <c r="I346" s="230">
        <v>45435</v>
      </c>
      <c r="J346" s="230" t="s">
        <v>34</v>
      </c>
      <c r="K346" s="226">
        <v>45435</v>
      </c>
      <c r="L346" s="165" t="s">
        <v>1562</v>
      </c>
      <c r="M346" s="222">
        <v>574</v>
      </c>
      <c r="N346" s="2" t="str">
        <f t="shared" ca="1" si="11"/>
        <v>CLOSED</v>
      </c>
    </row>
    <row r="347" spans="1:14" ht="18.75">
      <c r="A347" s="64" t="s">
        <v>23</v>
      </c>
      <c r="B347" s="98" t="e">
        <f>VLOOKUP([2]!Table27[[#This Row],[Location 
(drop-down)]],'[2]List source'!D$2:E$59,2,FALSE)</f>
        <v>#N/A</v>
      </c>
      <c r="C347" s="99" t="s">
        <v>2028</v>
      </c>
      <c r="D347" s="223" t="e">
        <f t="shared" si="10"/>
        <v>#N/A</v>
      </c>
      <c r="E347" s="227" t="s">
        <v>2029</v>
      </c>
      <c r="F347" s="165" t="e" cm="1">
        <f t="array" aca="1" ref="F347" ca="1">MID(LEFT(#REF!, INDEX(_xlfn._xlws.FILTER(ROW(INDIRECT("1:" &amp; LEN(#REF!))), (48 &lt;= CODE(MID(#REF!, ROW(INDIRECT("1:" &amp; LEN(#REF!))), 1))) * (CODE(MID(#REF!, ROW(INDIRECT("1:" &amp; LEN(#REF!))), 1)) &lt;= 57)), 1) - 1), FIND(":",#REF!) + 2, LEN(#REF!))</f>
        <v>#REF!</v>
      </c>
      <c r="G347" s="227" t="e">
        <f>MID(LEFT(#REF!, FIND(",",#REF!) - 1), FIND("{token}", SUBSTITUTE(#REF!, " ", "{token}", 2)) + 1, LEN(#REF!))</f>
        <v>#REF!</v>
      </c>
      <c r="H347" s="165">
        <v>4.84</v>
      </c>
      <c r="I347" s="230">
        <v>45435</v>
      </c>
      <c r="J347" s="230" t="s">
        <v>34</v>
      </c>
      <c r="K347" s="226">
        <v>45435</v>
      </c>
      <c r="L347" s="165" t="s">
        <v>1505</v>
      </c>
      <c r="M347" s="222">
        <v>576</v>
      </c>
      <c r="N347" s="2" t="str">
        <f t="shared" ca="1" si="11"/>
        <v>CLOSED</v>
      </c>
    </row>
    <row r="348" spans="1:14" ht="18.75">
      <c r="A348" s="64" t="s">
        <v>462</v>
      </c>
      <c r="B348" s="98" t="e">
        <f>VLOOKUP([2]!Table27[[#This Row],[Location 
(drop-down)]],'[2]List source'!D$2:E$59,2,FALSE)</f>
        <v>#N/A</v>
      </c>
      <c r="C348" s="99" t="s">
        <v>2030</v>
      </c>
      <c r="D348" s="223" t="e">
        <f t="shared" si="10"/>
        <v>#N/A</v>
      </c>
      <c r="E348" s="227" t="s">
        <v>2031</v>
      </c>
      <c r="F348" s="165" t="e" cm="1">
        <f t="array" aca="1" ref="F348" ca="1">MID(LEFT(#REF!, INDEX(_xlfn._xlws.FILTER(ROW(INDIRECT("1:" &amp; LEN(#REF!))), (48 &lt;= CODE(MID(#REF!, ROW(INDIRECT("1:" &amp; LEN(#REF!))), 1))) * (CODE(MID(#REF!, ROW(INDIRECT("1:" &amp; LEN(#REF!))), 1)) &lt;= 57)), 1) - 1), FIND(":",#REF!) + 2, LEN(#REF!))</f>
        <v>#REF!</v>
      </c>
      <c r="G348" s="227" t="e">
        <f>MID(LEFT(#REF!, FIND(",",#REF!) - 1), FIND("{token}", SUBSTITUTE(#REF!, " ", "{token}", 2)) + 1, LEN(#REF!))</f>
        <v>#REF!</v>
      </c>
      <c r="H348" s="165">
        <v>2.02</v>
      </c>
      <c r="I348" s="230">
        <v>45435</v>
      </c>
      <c r="J348" s="230" t="s">
        <v>34</v>
      </c>
      <c r="K348" s="226">
        <v>45435</v>
      </c>
      <c r="L348" s="165" t="s">
        <v>1562</v>
      </c>
      <c r="M348" s="222">
        <v>578</v>
      </c>
      <c r="N348" s="2" t="str">
        <f t="shared" ca="1" si="11"/>
        <v>CLOSED</v>
      </c>
    </row>
    <row r="349" spans="1:14" ht="30">
      <c r="A349" s="64" t="s">
        <v>125</v>
      </c>
      <c r="B349" s="98" t="e">
        <f>VLOOKUP([2]!Table27[[#This Row],[Location 
(drop-down)]],'[2]List source'!D$2:E$59,2,FALSE)</f>
        <v>#N/A</v>
      </c>
      <c r="C349" s="99" t="s">
        <v>2032</v>
      </c>
      <c r="D349" s="223" t="e">
        <f t="shared" si="10"/>
        <v>#N/A</v>
      </c>
      <c r="E349" s="227" t="s">
        <v>2033</v>
      </c>
      <c r="F349" s="165" t="e" cm="1">
        <f t="array" aca="1" ref="F349" ca="1">MID(LEFT(#REF!, INDEX(_xlfn._xlws.FILTER(ROW(INDIRECT("1:" &amp; LEN(#REF!))), (48 &lt;= CODE(MID(#REF!, ROW(INDIRECT("1:" &amp; LEN(#REF!))), 1))) * (CODE(MID(#REF!, ROW(INDIRECT("1:" &amp; LEN(#REF!))), 1)) &lt;= 57)), 1) - 1), FIND(":",#REF!) + 2, LEN(#REF!))</f>
        <v>#REF!</v>
      </c>
      <c r="G349" s="227" t="e">
        <f>MID(LEFT(#REF!, FIND(",",#REF!) - 1), FIND("{token}", SUBSTITUTE(#REF!, " ", "{token}", 2)) + 1, LEN(#REF!))</f>
        <v>#REF!</v>
      </c>
      <c r="H349" s="165">
        <v>2.0499999999999998</v>
      </c>
      <c r="I349" s="230">
        <v>45435</v>
      </c>
      <c r="J349" s="230" t="s">
        <v>34</v>
      </c>
      <c r="K349" s="226">
        <v>45435</v>
      </c>
      <c r="L349" s="165" t="s">
        <v>1562</v>
      </c>
      <c r="M349" s="222">
        <v>581</v>
      </c>
      <c r="N349" s="2" t="str">
        <f t="shared" ca="1" si="11"/>
        <v>CLOSED</v>
      </c>
    </row>
    <row r="350" spans="1:14" ht="30">
      <c r="A350" s="64" t="s">
        <v>125</v>
      </c>
      <c r="B350" s="98" t="e">
        <f>VLOOKUP([2]!Table27[[#This Row],[Location 
(drop-down)]],'[2]List source'!D$2:E$59,2,FALSE)</f>
        <v>#N/A</v>
      </c>
      <c r="C350" s="99" t="s">
        <v>2034</v>
      </c>
      <c r="D350" s="223" t="e">
        <f t="shared" si="10"/>
        <v>#N/A</v>
      </c>
      <c r="E350" s="227" t="s">
        <v>2035</v>
      </c>
      <c r="F350" s="165" t="e" cm="1">
        <f t="array" aca="1" ref="F350" ca="1">MID(LEFT(#REF!, INDEX(_xlfn._xlws.FILTER(ROW(INDIRECT("1:" &amp; LEN(#REF!))), (48 &lt;= CODE(MID(#REF!, ROW(INDIRECT("1:" &amp; LEN(#REF!))), 1))) * (CODE(MID(#REF!, ROW(INDIRECT("1:" &amp; LEN(#REF!))), 1)) &lt;= 57)), 1) - 1), FIND(":",#REF!) + 2, LEN(#REF!))</f>
        <v>#REF!</v>
      </c>
      <c r="G350" s="227" t="e">
        <f>MID(LEFT(#REF!, FIND(",",#REF!) - 1), FIND("{token}", SUBSTITUTE(#REF!, " ", "{token}", 2)) + 1, LEN(#REF!))</f>
        <v>#REF!</v>
      </c>
      <c r="H350" s="165">
        <v>2.4</v>
      </c>
      <c r="I350" s="230">
        <v>45435</v>
      </c>
      <c r="J350" s="230" t="s">
        <v>34</v>
      </c>
      <c r="K350" s="226">
        <v>45435</v>
      </c>
      <c r="L350" s="165" t="s">
        <v>1562</v>
      </c>
      <c r="M350" s="222">
        <v>583</v>
      </c>
      <c r="N350" s="2" t="str">
        <f t="shared" ca="1" si="11"/>
        <v>CLOSED</v>
      </c>
    </row>
    <row r="351" spans="1:14" ht="30">
      <c r="A351" s="64" t="s">
        <v>30</v>
      </c>
      <c r="B351" s="98" t="e">
        <f>VLOOKUP([2]!Table27[[#This Row],[Location 
(drop-down)]],'[2]List source'!D$2:E$59,2,FALSE)</f>
        <v>#N/A</v>
      </c>
      <c r="C351" s="99" t="s">
        <v>2036</v>
      </c>
      <c r="D351" s="223" t="e">
        <f t="shared" si="10"/>
        <v>#N/A</v>
      </c>
      <c r="E351" s="227" t="s">
        <v>2033</v>
      </c>
      <c r="F351" s="165" t="e" cm="1">
        <f t="array" aca="1" ref="F351" ca="1">MID(LEFT(#REF!, INDEX(_xlfn._xlws.FILTER(ROW(INDIRECT("1:" &amp; LEN(#REF!))), (48 &lt;= CODE(MID(#REF!, ROW(INDIRECT("1:" &amp; LEN(#REF!))), 1))) * (CODE(MID(#REF!, ROW(INDIRECT("1:" &amp; LEN(#REF!))), 1)) &lt;= 57)), 1) - 1), FIND(":",#REF!) + 2, LEN(#REF!))</f>
        <v>#REF!</v>
      </c>
      <c r="G351" s="227" t="e">
        <f>MID(LEFT(#REF!, FIND(",",#REF!) - 1), FIND("{token}", SUBSTITUTE(#REF!, " ", "{token}", 2)) + 1, LEN(#REF!))</f>
        <v>#REF!</v>
      </c>
      <c r="H351" s="165">
        <v>2.4</v>
      </c>
      <c r="I351" s="230">
        <v>45435</v>
      </c>
      <c r="J351" s="230" t="s">
        <v>34</v>
      </c>
      <c r="K351" s="226">
        <v>45435</v>
      </c>
      <c r="L351" s="165" t="s">
        <v>1562</v>
      </c>
      <c r="M351" s="222">
        <v>585</v>
      </c>
      <c r="N351" s="2" t="str">
        <f t="shared" ca="1" si="11"/>
        <v>CLOSED</v>
      </c>
    </row>
    <row r="352" spans="1:14" ht="18.75">
      <c r="A352" s="64" t="s">
        <v>311</v>
      </c>
      <c r="B352" s="98" t="e">
        <f>VLOOKUP([2]!Table27[[#This Row],[Location 
(drop-down)]],'[2]List source'!D$2:E$59,2,FALSE)</f>
        <v>#N/A</v>
      </c>
      <c r="C352" s="99" t="s">
        <v>2037</v>
      </c>
      <c r="D352" s="223" t="e">
        <f t="shared" si="10"/>
        <v>#N/A</v>
      </c>
      <c r="E352" s="227" t="s">
        <v>2038</v>
      </c>
      <c r="F352" s="165" t="e" cm="1">
        <f t="array" aca="1" ref="F352" ca="1">MID(LEFT(#REF!, INDEX(_xlfn._xlws.FILTER(ROW(INDIRECT("1:" &amp; LEN(#REF!))), (48 &lt;= CODE(MID(#REF!, ROW(INDIRECT("1:" &amp; LEN(#REF!))), 1))) * (CODE(MID(#REF!, ROW(INDIRECT("1:" &amp; LEN(#REF!))), 1)) &lt;= 57)), 1) - 1), FIND(":",#REF!) + 2, LEN(#REF!))</f>
        <v>#REF!</v>
      </c>
      <c r="G352" s="227" t="e">
        <f>MID(LEFT(#REF!, FIND(",",#REF!) - 1), FIND("{token}", SUBSTITUTE(#REF!, " ", "{token}", 2)) + 1, LEN(#REF!))</f>
        <v>#REF!</v>
      </c>
      <c r="H352" s="165" t="s">
        <v>2039</v>
      </c>
      <c r="I352" s="230">
        <v>45435</v>
      </c>
      <c r="J352" s="230" t="s">
        <v>34</v>
      </c>
      <c r="K352" s="226">
        <v>45435</v>
      </c>
      <c r="L352" s="165" t="s">
        <v>1562</v>
      </c>
      <c r="M352" s="222">
        <v>589</v>
      </c>
      <c r="N352" s="2" t="str">
        <f t="shared" ca="1" si="11"/>
        <v>CLOSED</v>
      </c>
    </row>
    <row r="353" spans="1:14" ht="18.75">
      <c r="A353" s="64" t="s">
        <v>213</v>
      </c>
      <c r="B353" s="98" t="e">
        <f>VLOOKUP([2]!Table27[[#This Row],[Location 
(drop-down)]],'[2]List source'!D$2:E$59,2,FALSE)</f>
        <v>#N/A</v>
      </c>
      <c r="C353" s="99" t="s">
        <v>2040</v>
      </c>
      <c r="D353" s="223" t="e">
        <f t="shared" si="10"/>
        <v>#N/A</v>
      </c>
      <c r="E353" s="227" t="s">
        <v>2041</v>
      </c>
      <c r="F353" s="165" t="e" cm="1">
        <f t="array" aca="1" ref="F353" ca="1">MID(LEFT(#REF!, INDEX(_xlfn._xlws.FILTER(ROW(INDIRECT("1:" &amp; LEN(#REF!))), (48 &lt;= CODE(MID(#REF!, ROW(INDIRECT("1:" &amp; LEN(#REF!))), 1))) * (CODE(MID(#REF!, ROW(INDIRECT("1:" &amp; LEN(#REF!))), 1)) &lt;= 57)), 1) - 1), FIND(":",#REF!) + 2, LEN(#REF!))</f>
        <v>#REF!</v>
      </c>
      <c r="G353" s="227" t="e">
        <f>MID(LEFT(#REF!, FIND(",",#REF!) - 1), FIND("{token}", SUBSTITUTE(#REF!, " ", "{token}", 2)) + 1, LEN(#REF!))</f>
        <v>#REF!</v>
      </c>
      <c r="H353" s="236" t="s">
        <v>2042</v>
      </c>
      <c r="I353" s="230">
        <v>45435</v>
      </c>
      <c r="J353" s="230" t="s">
        <v>34</v>
      </c>
      <c r="K353" s="226">
        <v>45435</v>
      </c>
      <c r="L353" s="165" t="s">
        <v>1562</v>
      </c>
      <c r="M353" s="222">
        <v>593</v>
      </c>
      <c r="N353" s="2" t="str">
        <f t="shared" ca="1" si="11"/>
        <v>CLOSED</v>
      </c>
    </row>
    <row r="354" spans="1:14" ht="18.75">
      <c r="A354" s="64" t="s">
        <v>264</v>
      </c>
      <c r="B354" s="98" t="e">
        <f>VLOOKUP([2]!Table27[[#This Row],[Location 
(drop-down)]],'[2]List source'!D$2:E$59,2,FALSE)</f>
        <v>#N/A</v>
      </c>
      <c r="C354" s="99" t="s">
        <v>2043</v>
      </c>
      <c r="D354" s="223" t="e">
        <f t="shared" si="10"/>
        <v>#N/A</v>
      </c>
      <c r="E354" s="227" t="s">
        <v>2044</v>
      </c>
      <c r="F354" s="165" t="e" cm="1">
        <f t="array" aca="1" ref="F354" ca="1">MID(LEFT(#REF!, INDEX(_xlfn._xlws.FILTER(ROW(INDIRECT("1:" &amp; LEN(#REF!))), (48 &lt;= CODE(MID(#REF!, ROW(INDIRECT("1:" &amp; LEN(#REF!))), 1))) * (CODE(MID(#REF!, ROW(INDIRECT("1:" &amp; LEN(#REF!))), 1)) &lt;= 57)), 1) - 1), FIND(":",#REF!) + 2, LEN(#REF!))</f>
        <v>#REF!</v>
      </c>
      <c r="G354" s="227" t="e">
        <f>MID(LEFT(#REF!, FIND(",",#REF!) - 1), FIND("{token}", SUBSTITUTE(#REF!, " ", "{token}", 2)) + 1, LEN(#REF!))</f>
        <v>#REF!</v>
      </c>
      <c r="H354" s="165">
        <v>2.2599999999999998</v>
      </c>
      <c r="I354" s="230">
        <v>45435</v>
      </c>
      <c r="J354" s="230" t="s">
        <v>34</v>
      </c>
      <c r="K354" s="226">
        <v>45435</v>
      </c>
      <c r="L354" s="165" t="s">
        <v>1505</v>
      </c>
      <c r="M354" s="222">
        <v>594</v>
      </c>
      <c r="N354" s="2" t="str">
        <f t="shared" ca="1" si="11"/>
        <v>CLOSED</v>
      </c>
    </row>
    <row r="355" spans="1:14" ht="30">
      <c r="A355" s="64" t="s">
        <v>185</v>
      </c>
      <c r="B355" s="98" t="e">
        <f>VLOOKUP([2]!Table27[[#This Row],[Location 
(drop-down)]],'[2]List source'!D$2:E$59,2,FALSE)</f>
        <v>#N/A</v>
      </c>
      <c r="C355" s="99" t="s">
        <v>2045</v>
      </c>
      <c r="D355" s="223" t="e">
        <f t="shared" si="10"/>
        <v>#N/A</v>
      </c>
      <c r="E355" s="227" t="s">
        <v>2046</v>
      </c>
      <c r="F355" s="165" t="e" cm="1">
        <f t="array" aca="1" ref="F355" ca="1">MID(LEFT(#REF!, INDEX(_xlfn._xlws.FILTER(ROW(INDIRECT("1:" &amp; LEN(#REF!))), (48 &lt;= CODE(MID(#REF!, ROW(INDIRECT("1:" &amp; LEN(#REF!))), 1))) * (CODE(MID(#REF!, ROW(INDIRECT("1:" &amp; LEN(#REF!))), 1)) &lt;= 57)), 1) - 1), FIND(":",#REF!) + 2, LEN(#REF!))</f>
        <v>#REF!</v>
      </c>
      <c r="G355" s="227" t="e">
        <f>MID(LEFT(#REF!, FIND(",",#REF!) - 1), FIND("{token}", SUBSTITUTE(#REF!, " ", "{token}", 2)) + 1, LEN(#REF!))</f>
        <v>#REF!</v>
      </c>
      <c r="H355" s="236" t="s">
        <v>2047</v>
      </c>
      <c r="I355" s="230">
        <v>45435</v>
      </c>
      <c r="J355" s="230" t="s">
        <v>34</v>
      </c>
      <c r="K355" s="226">
        <v>45435</v>
      </c>
      <c r="L355" s="165" t="s">
        <v>1562</v>
      </c>
      <c r="M355" s="222">
        <v>595</v>
      </c>
      <c r="N355" s="2" t="str">
        <f t="shared" ca="1" si="11"/>
        <v>CLOSED</v>
      </c>
    </row>
    <row r="356" spans="1:14" ht="30">
      <c r="A356" s="64" t="s">
        <v>294</v>
      </c>
      <c r="B356" s="98" t="e">
        <f>VLOOKUP([2]!Table27[[#This Row],[Location 
(drop-down)]],'[2]List source'!D$2:E$59,2,FALSE)</f>
        <v>#N/A</v>
      </c>
      <c r="C356" s="99" t="s">
        <v>2048</v>
      </c>
      <c r="D356" s="223" t="e">
        <f t="shared" si="10"/>
        <v>#N/A</v>
      </c>
      <c r="E356" s="227" t="s">
        <v>2049</v>
      </c>
      <c r="F356" s="165" t="e" cm="1">
        <f t="array" aca="1" ref="F356" ca="1">MID(LEFT(#REF!, INDEX(_xlfn._xlws.FILTER(ROW(INDIRECT("1:" &amp; LEN(#REF!))), (48 &lt;= CODE(MID(#REF!, ROW(INDIRECT("1:" &amp; LEN(#REF!))), 1))) * (CODE(MID(#REF!, ROW(INDIRECT("1:" &amp; LEN(#REF!))), 1)) &lt;= 57)), 1) - 1), FIND(":",#REF!) + 2, LEN(#REF!))</f>
        <v>#REF!</v>
      </c>
      <c r="G356" s="227" t="e">
        <f>MID(LEFT(#REF!, FIND(",",#REF!) - 1), FIND("{token}", SUBSTITUTE(#REF!, " ", "{token}", 2)) + 1, LEN(#REF!))</f>
        <v>#REF!</v>
      </c>
      <c r="H356" s="236" t="s">
        <v>2050</v>
      </c>
      <c r="I356" s="230">
        <v>45435</v>
      </c>
      <c r="J356" s="230" t="s">
        <v>34</v>
      </c>
      <c r="K356" s="226">
        <v>45435</v>
      </c>
      <c r="L356" s="165" t="s">
        <v>1505</v>
      </c>
      <c r="M356" s="222">
        <v>597</v>
      </c>
      <c r="N356" s="2" t="str">
        <f t="shared" ca="1" si="11"/>
        <v>CLOSED</v>
      </c>
    </row>
    <row r="357" spans="1:14" ht="30">
      <c r="A357" s="64" t="s">
        <v>294</v>
      </c>
      <c r="B357" s="98" t="e">
        <f>VLOOKUP([2]!Table27[[#This Row],[Location 
(drop-down)]],'[2]List source'!D$2:E$59,2,FALSE)</f>
        <v>#N/A</v>
      </c>
      <c r="C357" s="99" t="s">
        <v>2051</v>
      </c>
      <c r="D357" s="223" t="e">
        <f t="shared" si="10"/>
        <v>#N/A</v>
      </c>
      <c r="E357" s="227" t="s">
        <v>2035</v>
      </c>
      <c r="F357" s="165" t="e" cm="1">
        <f t="array" aca="1" ref="F357" ca="1">MID(LEFT(#REF!, INDEX(_xlfn._xlws.FILTER(ROW(INDIRECT("1:" &amp; LEN(#REF!))), (48 &lt;= CODE(MID(#REF!, ROW(INDIRECT("1:" &amp; LEN(#REF!))), 1))) * (CODE(MID(#REF!, ROW(INDIRECT("1:" &amp; LEN(#REF!))), 1)) &lt;= 57)), 1) - 1), FIND(":",#REF!) + 2, LEN(#REF!))</f>
        <v>#REF!</v>
      </c>
      <c r="G357" s="227" t="e">
        <f>MID(LEFT(#REF!, FIND(",",#REF!) - 1), FIND("{token}", SUBSTITUTE(#REF!, " ", "{token}", 2)) + 1, LEN(#REF!))</f>
        <v>#REF!</v>
      </c>
      <c r="H357" s="165">
        <v>2.94</v>
      </c>
      <c r="I357" s="230">
        <v>45435</v>
      </c>
      <c r="J357" s="230" t="s">
        <v>34</v>
      </c>
      <c r="K357" s="226">
        <v>45435</v>
      </c>
      <c r="L357" s="165" t="s">
        <v>1562</v>
      </c>
      <c r="M357" s="222">
        <v>598</v>
      </c>
      <c r="N357" s="2" t="str">
        <f t="shared" ca="1" si="11"/>
        <v>CLOSED</v>
      </c>
    </row>
    <row r="358" spans="1:14" ht="30">
      <c r="A358" s="64" t="s">
        <v>73</v>
      </c>
      <c r="B358" s="98" t="e">
        <f>VLOOKUP([2]!Table27[[#This Row],[Location 
(drop-down)]],'[2]List source'!D$2:E$59,2,FALSE)</f>
        <v>#N/A</v>
      </c>
      <c r="C358" s="99" t="s">
        <v>2052</v>
      </c>
      <c r="D358" s="223" t="e">
        <f t="shared" si="10"/>
        <v>#N/A</v>
      </c>
      <c r="E358" s="227" t="s">
        <v>2053</v>
      </c>
      <c r="F358" s="165" t="e" cm="1">
        <f t="array" aca="1" ref="F358" ca="1">MID(LEFT(#REF!, INDEX(_xlfn._xlws.FILTER(ROW(INDIRECT("1:" &amp; LEN(#REF!))), (48 &lt;= CODE(MID(#REF!, ROW(INDIRECT("1:" &amp; LEN(#REF!))), 1))) * (CODE(MID(#REF!, ROW(INDIRECT("1:" &amp; LEN(#REF!))), 1)) &lt;= 57)), 1) - 1), FIND(":",#REF!) + 2, LEN(#REF!))</f>
        <v>#REF!</v>
      </c>
      <c r="G358" s="227" t="s">
        <v>2054</v>
      </c>
      <c r="H358" s="165">
        <v>-2.54</v>
      </c>
      <c r="I358" s="230">
        <v>45435</v>
      </c>
      <c r="J358" s="230" t="s">
        <v>34</v>
      </c>
      <c r="K358" s="226">
        <v>45435</v>
      </c>
      <c r="L358" s="165" t="s">
        <v>1562</v>
      </c>
      <c r="M358" s="222">
        <v>599</v>
      </c>
      <c r="N358" s="2" t="str">
        <f t="shared" ca="1" si="11"/>
        <v>CLOSED</v>
      </c>
    </row>
    <row r="359" spans="1:14" ht="30">
      <c r="A359" s="64" t="s">
        <v>485</v>
      </c>
      <c r="B359" s="98" t="e">
        <f>VLOOKUP([2]!Table27[[#This Row],[Location 
(drop-down)]],'[2]List source'!D$2:E$59,2,FALSE)</f>
        <v>#N/A</v>
      </c>
      <c r="C359" s="99" t="s">
        <v>2055</v>
      </c>
      <c r="D359" s="223" t="e">
        <f t="shared" si="10"/>
        <v>#N/A</v>
      </c>
      <c r="E359" s="227" t="s">
        <v>2056</v>
      </c>
      <c r="F359" s="165" t="e" cm="1">
        <f t="array" aca="1" ref="F359" ca="1">MID(LEFT(#REF!, INDEX(_xlfn._xlws.FILTER(ROW(INDIRECT("1:" &amp; LEN(#REF!))), (48 &lt;= CODE(MID(#REF!, ROW(INDIRECT("1:" &amp; LEN(#REF!))), 1))) * (CODE(MID(#REF!, ROW(INDIRECT("1:" &amp; LEN(#REF!))), 1)) &lt;= 57)), 1) - 1), FIND(":",#REF!) + 2, LEN(#REF!))</f>
        <v>#REF!</v>
      </c>
      <c r="G359" s="227" t="e">
        <f>MID(LEFT(#REF!, FIND(",",#REF!) - 1), FIND("{token}", SUBSTITUTE(#REF!, " ", "{token}", 2)) + 1, LEN(#REF!))</f>
        <v>#REF!</v>
      </c>
      <c r="H359" s="165">
        <v>2.78</v>
      </c>
      <c r="I359" s="230">
        <v>45435</v>
      </c>
      <c r="J359" s="230" t="s">
        <v>34</v>
      </c>
      <c r="K359" s="226">
        <v>45435</v>
      </c>
      <c r="L359" s="165" t="s">
        <v>1562</v>
      </c>
      <c r="M359" s="222">
        <v>600</v>
      </c>
      <c r="N359" s="2" t="str">
        <f t="shared" ca="1" si="11"/>
        <v>CLOSED</v>
      </c>
    </row>
    <row r="360" spans="1:14" ht="30">
      <c r="A360" s="64" t="s">
        <v>500</v>
      </c>
      <c r="B360" s="98" t="e">
        <f>VLOOKUP([2]!Table27[[#This Row],[Location 
(drop-down)]],'[2]List source'!D$2:E$59,2,FALSE)</f>
        <v>#N/A</v>
      </c>
      <c r="C360" s="99" t="s">
        <v>2057</v>
      </c>
      <c r="D360" s="223" t="e">
        <f t="shared" si="10"/>
        <v>#N/A</v>
      </c>
      <c r="E360" s="227" t="s">
        <v>2058</v>
      </c>
      <c r="F360" s="165" t="e" cm="1">
        <f t="array" aca="1" ref="F360" ca="1">MID(LEFT(#REF!, INDEX(_xlfn._xlws.FILTER(ROW(INDIRECT("1:" &amp; LEN(#REF!))), (48 &lt;= CODE(MID(#REF!, ROW(INDIRECT("1:" &amp; LEN(#REF!))), 1))) * (CODE(MID(#REF!, ROW(INDIRECT("1:" &amp; LEN(#REF!))), 1)) &lt;= 57)), 1) - 1), FIND(":",#REF!) + 2, LEN(#REF!))</f>
        <v>#REF!</v>
      </c>
      <c r="G360" s="227" t="e">
        <f>MID(LEFT(#REF!, FIND(",",#REF!) - 1), FIND("{token}", SUBSTITUTE(#REF!, " ", "{token}", 2)) + 1, LEN(#REF!))</f>
        <v>#REF!</v>
      </c>
      <c r="H360" s="165" t="s">
        <v>2059</v>
      </c>
      <c r="I360" s="230">
        <v>45435</v>
      </c>
      <c r="J360" s="230" t="s">
        <v>34</v>
      </c>
      <c r="K360" s="226">
        <v>45435</v>
      </c>
      <c r="L360" s="165" t="s">
        <v>1562</v>
      </c>
      <c r="M360" s="222">
        <v>603</v>
      </c>
      <c r="N360" s="2" t="str">
        <f t="shared" ca="1" si="11"/>
        <v>CLOSED</v>
      </c>
    </row>
    <row r="361" spans="1:14" ht="30">
      <c r="A361" s="64" t="s">
        <v>202</v>
      </c>
      <c r="B361" s="98" t="e">
        <f>VLOOKUP([2]!Table27[[#This Row],[Location 
(drop-down)]],'[2]List source'!D$2:E$59,2,FALSE)</f>
        <v>#N/A</v>
      </c>
      <c r="C361" s="99" t="s">
        <v>2060</v>
      </c>
      <c r="D361" s="223" t="e">
        <f t="shared" si="10"/>
        <v>#N/A</v>
      </c>
      <c r="E361" s="227" t="s">
        <v>2061</v>
      </c>
      <c r="F361" s="165" t="e" cm="1">
        <f t="array" aca="1" ref="F361" ca="1">MID(LEFT(#REF!, INDEX(_xlfn._xlws.FILTER(ROW(INDIRECT("1:" &amp; LEN(#REF!))), (48 &lt;= CODE(MID(#REF!, ROW(INDIRECT("1:" &amp; LEN(#REF!))), 1))) * (CODE(MID(#REF!, ROW(INDIRECT("1:" &amp; LEN(#REF!))), 1)) &lt;= 57)), 1) - 1), FIND(":",#REF!) + 2, LEN(#REF!))</f>
        <v>#REF!</v>
      </c>
      <c r="G361" s="227" t="e">
        <f>MID(LEFT(#REF!, FIND(",",#REF!) - 1), FIND("{token}", SUBSTITUTE(#REF!, " ", "{token}", 2)) + 1, LEN(#REF!))</f>
        <v>#REF!</v>
      </c>
      <c r="H361" s="165" t="s">
        <v>2062</v>
      </c>
      <c r="I361" s="230">
        <v>45435</v>
      </c>
      <c r="J361" s="230" t="s">
        <v>34</v>
      </c>
      <c r="K361" s="226">
        <v>45435</v>
      </c>
      <c r="L361" s="165" t="s">
        <v>1562</v>
      </c>
      <c r="M361" s="222">
        <v>604</v>
      </c>
      <c r="N361" s="2" t="str">
        <f t="shared" ca="1" si="11"/>
        <v>CLOSED</v>
      </c>
    </row>
    <row r="362" spans="1:14" ht="30">
      <c r="A362" s="64" t="s">
        <v>202</v>
      </c>
      <c r="B362" s="98" t="e">
        <f>VLOOKUP([2]!Table27[[#This Row],[Location 
(drop-down)]],'[2]List source'!D$2:E$59,2,FALSE)</f>
        <v>#N/A</v>
      </c>
      <c r="C362" s="99" t="s">
        <v>2063</v>
      </c>
      <c r="D362" s="223" t="e">
        <f t="shared" si="10"/>
        <v>#N/A</v>
      </c>
      <c r="E362" s="227" t="s">
        <v>2035</v>
      </c>
      <c r="F362" s="165" t="e" cm="1">
        <f t="array" aca="1" ref="F362" ca="1">MID(LEFT(#REF!, INDEX(_xlfn._xlws.FILTER(ROW(INDIRECT("1:" &amp; LEN(#REF!))), (48 &lt;= CODE(MID(#REF!, ROW(INDIRECT("1:" &amp; LEN(#REF!))), 1))) * (CODE(MID(#REF!, ROW(INDIRECT("1:" &amp; LEN(#REF!))), 1)) &lt;= 57)), 1) - 1), FIND(":",#REF!) + 2, LEN(#REF!))</f>
        <v>#REF!</v>
      </c>
      <c r="G362" s="227" t="e">
        <f>MID(LEFT(#REF!, FIND(",",#REF!) - 1), FIND("{token}", SUBSTITUTE(#REF!, " ", "{token}", 2)) + 1, LEN(#REF!))</f>
        <v>#REF!</v>
      </c>
      <c r="H362" s="165">
        <v>-2.04</v>
      </c>
      <c r="I362" s="230">
        <v>45435</v>
      </c>
      <c r="J362" s="230" t="s">
        <v>34</v>
      </c>
      <c r="K362" s="226">
        <v>45435</v>
      </c>
      <c r="L362" s="165" t="s">
        <v>1562</v>
      </c>
      <c r="M362" s="222">
        <v>605</v>
      </c>
      <c r="N362" s="2" t="str">
        <f t="shared" ca="1" si="11"/>
        <v>CLOSED</v>
      </c>
    </row>
    <row r="363" spans="1:14" ht="30">
      <c r="A363" s="64" t="s">
        <v>518</v>
      </c>
      <c r="B363" s="98" t="e">
        <f>VLOOKUP([2]!Table27[[#This Row],[Location 
(drop-down)]],'[2]List source'!D$2:E$59,2,FALSE)</f>
        <v>#N/A</v>
      </c>
      <c r="C363" s="99" t="s">
        <v>2064</v>
      </c>
      <c r="D363" s="223" t="e">
        <f t="shared" si="10"/>
        <v>#N/A</v>
      </c>
      <c r="E363" s="227" t="s">
        <v>2065</v>
      </c>
      <c r="F363" s="165" t="e" cm="1">
        <f t="array" aca="1" ref="F363" ca="1">MID(LEFT(#REF!, INDEX(_xlfn._xlws.FILTER(ROW(INDIRECT("1:" &amp; LEN(#REF!))), (48 &lt;= CODE(MID(#REF!, ROW(INDIRECT("1:" &amp; LEN(#REF!))), 1))) * (CODE(MID(#REF!, ROW(INDIRECT("1:" &amp; LEN(#REF!))), 1)) &lt;= 57)), 1) - 1), FIND(":",#REF!) + 2, LEN(#REF!))</f>
        <v>#REF!</v>
      </c>
      <c r="G363" s="227" t="e">
        <f>MID(LEFT(#REF!, FIND(",",#REF!) - 1), FIND("{token}", SUBSTITUTE(#REF!, " ", "{token}", 2)) + 1, LEN(#REF!))</f>
        <v>#REF!</v>
      </c>
      <c r="H363" s="236" t="s">
        <v>2066</v>
      </c>
      <c r="I363" s="230">
        <v>45435</v>
      </c>
      <c r="J363" s="230" t="s">
        <v>34</v>
      </c>
      <c r="K363" s="226">
        <v>45435</v>
      </c>
      <c r="L363" s="165" t="s">
        <v>1562</v>
      </c>
      <c r="M363" s="222">
        <v>606</v>
      </c>
      <c r="N363" s="2" t="str">
        <f t="shared" ca="1" si="11"/>
        <v>CLOSED</v>
      </c>
    </row>
    <row r="364" spans="1:14" ht="18.75">
      <c r="A364" s="64" t="s">
        <v>213</v>
      </c>
      <c r="B364" s="98" t="e">
        <f>VLOOKUP([2]!Table27[[#This Row],[Location 
(drop-down)]],'[2]List source'!D$2:E$59,2,FALSE)</f>
        <v>#N/A</v>
      </c>
      <c r="C364" s="99" t="s">
        <v>2067</v>
      </c>
      <c r="D364" s="223" t="e">
        <f t="shared" si="10"/>
        <v>#N/A</v>
      </c>
      <c r="E364" s="227" t="s">
        <v>2068</v>
      </c>
      <c r="F364" s="165" t="e" cm="1">
        <f t="array" aca="1" ref="F364" ca="1">MID(LEFT(#REF!, INDEX(_xlfn._xlws.FILTER(ROW(INDIRECT("1:" &amp; LEN(#REF!))), (48 &lt;= CODE(MID(#REF!, ROW(INDIRECT("1:" &amp; LEN(#REF!))), 1))) * (CODE(MID(#REF!, ROW(INDIRECT("1:" &amp; LEN(#REF!))), 1)) &lt;= 57)), 1) - 1), FIND(":",#REF!) + 2, LEN(#REF!))</f>
        <v>#REF!</v>
      </c>
      <c r="G364" s="227" t="e">
        <f>MID(LEFT(#REF!, FIND(",",#REF!) - 1), FIND("{token}", SUBSTITUTE(#REF!, " ", "{token}", 2)) + 1, LEN(#REF!))</f>
        <v>#REF!</v>
      </c>
      <c r="H364" s="165">
        <v>-2.54</v>
      </c>
      <c r="I364" s="230">
        <v>45435</v>
      </c>
      <c r="J364" s="230" t="s">
        <v>34</v>
      </c>
      <c r="K364" s="226">
        <v>45435</v>
      </c>
      <c r="L364" s="165" t="s">
        <v>1562</v>
      </c>
      <c r="M364" s="222">
        <v>621</v>
      </c>
      <c r="N364" s="2" t="str">
        <f t="shared" ca="1" si="11"/>
        <v>CLOSED</v>
      </c>
    </row>
    <row r="365" spans="1:14" ht="18.75">
      <c r="A365" s="64" t="s">
        <v>213</v>
      </c>
      <c r="B365" s="98" t="e">
        <f>VLOOKUP([2]!Table27[[#This Row],[Location 
(drop-down)]],'[2]List source'!D$2:E$59,2,FALSE)</f>
        <v>#N/A</v>
      </c>
      <c r="C365" s="99" t="s">
        <v>2069</v>
      </c>
      <c r="D365" s="223" t="e">
        <f t="shared" si="10"/>
        <v>#N/A</v>
      </c>
      <c r="E365" s="227" t="s">
        <v>2070</v>
      </c>
      <c r="F365" s="165" t="e" cm="1">
        <f t="array" aca="1" ref="F365" ca="1">MID(LEFT(#REF!, INDEX(_xlfn._xlws.FILTER(ROW(INDIRECT("1:" &amp; LEN(#REF!))), (48 &lt;= CODE(MID(#REF!, ROW(INDIRECT("1:" &amp; LEN(#REF!))), 1))) * (CODE(MID(#REF!, ROW(INDIRECT("1:" &amp; LEN(#REF!))), 1)) &lt;= 57)), 1) - 1), FIND(":",#REF!) + 2, LEN(#REF!))</f>
        <v>#REF!</v>
      </c>
      <c r="G365" s="227" t="e">
        <f>MID(LEFT(#REF!, FIND(",",#REF!) - 1), FIND("{token}", SUBSTITUTE(#REF!, " ", "{token}", 2)) + 1, LEN(#REF!))</f>
        <v>#REF!</v>
      </c>
      <c r="H365" s="165">
        <v>-2.91</v>
      </c>
      <c r="I365" s="230">
        <v>45435</v>
      </c>
      <c r="J365" s="230" t="s">
        <v>34</v>
      </c>
      <c r="K365" s="226">
        <v>45435</v>
      </c>
      <c r="L365" s="165" t="s">
        <v>1562</v>
      </c>
      <c r="M365" s="222">
        <v>622</v>
      </c>
      <c r="N365" s="2" t="str">
        <f t="shared" ca="1" si="11"/>
        <v>CLOSED</v>
      </c>
    </row>
    <row r="366" spans="1:14" ht="30">
      <c r="A366" s="64" t="s">
        <v>185</v>
      </c>
      <c r="B366" s="98" t="e">
        <f>VLOOKUP([2]!Table27[[#This Row],[Location 
(drop-down)]],'[2]List source'!D$2:E$59,2,FALSE)</f>
        <v>#N/A</v>
      </c>
      <c r="C366" s="99" t="s">
        <v>2071</v>
      </c>
      <c r="D366" s="223" t="e">
        <f t="shared" si="10"/>
        <v>#N/A</v>
      </c>
      <c r="E366" s="227" t="s">
        <v>2072</v>
      </c>
      <c r="F366" s="165" t="e" cm="1">
        <f t="array" aca="1" ref="F366" ca="1">MID(LEFT(#REF!, INDEX(_xlfn._xlws.FILTER(ROW(INDIRECT("1:" &amp; LEN(#REF!))), (48 &lt;= CODE(MID(#REF!, ROW(INDIRECT("1:" &amp; LEN(#REF!))), 1))) * (CODE(MID(#REF!, ROW(INDIRECT("1:" &amp; LEN(#REF!))), 1)) &lt;= 57)), 1) - 1), FIND(":",#REF!) + 2, LEN(#REF!))</f>
        <v>#REF!</v>
      </c>
      <c r="G366" s="227" t="e">
        <f>MID(LEFT(#REF!, FIND(",",#REF!) - 1), FIND("{token}", SUBSTITUTE(#REF!, " ", "{token}", 2)) + 1, LEN(#REF!))</f>
        <v>#REF!</v>
      </c>
      <c r="H366" s="165">
        <v>2.19</v>
      </c>
      <c r="I366" s="230">
        <v>45435</v>
      </c>
      <c r="J366" s="230" t="s">
        <v>34</v>
      </c>
      <c r="K366" s="226">
        <v>45435</v>
      </c>
      <c r="L366" s="165" t="s">
        <v>1562</v>
      </c>
      <c r="M366" s="222">
        <v>623</v>
      </c>
      <c r="N366" s="2" t="str">
        <f t="shared" ca="1" si="11"/>
        <v>CLOSED</v>
      </c>
    </row>
    <row r="367" spans="1:14" ht="30">
      <c r="A367" s="64" t="s">
        <v>294</v>
      </c>
      <c r="B367" s="98" t="e">
        <f>VLOOKUP([2]!Table27[[#This Row],[Location 
(drop-down)]],'[2]List source'!D$2:E$59,2,FALSE)</f>
        <v>#N/A</v>
      </c>
      <c r="C367" s="99" t="s">
        <v>2073</v>
      </c>
      <c r="D367" s="223" t="e">
        <f t="shared" si="10"/>
        <v>#N/A</v>
      </c>
      <c r="E367" s="227" t="s">
        <v>2074</v>
      </c>
      <c r="F367" s="165" t="e" cm="1">
        <f t="array" aca="1" ref="F367" ca="1">MID(LEFT(#REF!, INDEX(_xlfn._xlws.FILTER(ROW(INDIRECT("1:" &amp; LEN(#REF!))), (48 &lt;= CODE(MID(#REF!, ROW(INDIRECT("1:" &amp; LEN(#REF!))), 1))) * (CODE(MID(#REF!, ROW(INDIRECT("1:" &amp; LEN(#REF!))), 1)) &lt;= 57)), 1) - 1), FIND(":",#REF!) + 2, LEN(#REF!))</f>
        <v>#REF!</v>
      </c>
      <c r="G367" s="227" t="e">
        <f>MID(LEFT(#REF!, FIND(",",#REF!) - 1), FIND("{token}", SUBSTITUTE(#REF!, " ", "{token}", 2)) + 1, LEN(#REF!))</f>
        <v>#REF!</v>
      </c>
      <c r="H367" s="165">
        <v>2.5</v>
      </c>
      <c r="I367" s="230">
        <v>45435</v>
      </c>
      <c r="J367" s="230" t="s">
        <v>34</v>
      </c>
      <c r="K367" s="226">
        <v>45435</v>
      </c>
      <c r="L367" s="165" t="s">
        <v>1562</v>
      </c>
      <c r="M367" s="222">
        <v>627</v>
      </c>
      <c r="N367" s="2" t="str">
        <f t="shared" ca="1" si="11"/>
        <v>CLOSED</v>
      </c>
    </row>
    <row r="368" spans="1:14" ht="30">
      <c r="A368" s="64" t="s">
        <v>294</v>
      </c>
      <c r="B368" s="98" t="e">
        <f>VLOOKUP([2]!Table27[[#This Row],[Location 
(drop-down)]],'[2]List source'!D$2:E$59,2,FALSE)</f>
        <v>#N/A</v>
      </c>
      <c r="C368" s="99" t="s">
        <v>2075</v>
      </c>
      <c r="D368" s="223" t="e">
        <f t="shared" si="10"/>
        <v>#N/A</v>
      </c>
      <c r="E368" s="227" t="s">
        <v>2076</v>
      </c>
      <c r="F368" s="165" t="e" cm="1">
        <f t="array" aca="1" ref="F368" ca="1">MID(LEFT(#REF!, INDEX(_xlfn._xlws.FILTER(ROW(INDIRECT("1:" &amp; LEN(#REF!))), (48 &lt;= CODE(MID(#REF!, ROW(INDIRECT("1:" &amp; LEN(#REF!))), 1))) * (CODE(MID(#REF!, ROW(INDIRECT("1:" &amp; LEN(#REF!))), 1)) &lt;= 57)), 1) - 1), FIND(":",#REF!) + 2, LEN(#REF!))</f>
        <v>#REF!</v>
      </c>
      <c r="G368" s="227" t="e">
        <f>MID(LEFT(#REF!, FIND(",",#REF!) - 1), FIND("{token}", SUBSTITUTE(#REF!, " ", "{token}", 2)) + 1, LEN(#REF!))</f>
        <v>#REF!</v>
      </c>
      <c r="H368" s="236" t="s">
        <v>2077</v>
      </c>
      <c r="I368" s="230">
        <v>45435</v>
      </c>
      <c r="J368" s="230" t="s">
        <v>34</v>
      </c>
      <c r="K368" s="226">
        <v>45435</v>
      </c>
      <c r="L368" s="165" t="s">
        <v>1505</v>
      </c>
      <c r="M368" s="222">
        <v>628</v>
      </c>
      <c r="N368" s="2" t="str">
        <f t="shared" ca="1" si="11"/>
        <v>CLOSED</v>
      </c>
    </row>
    <row r="369" spans="1:14" ht="30">
      <c r="A369" s="64" t="s">
        <v>500</v>
      </c>
      <c r="B369" s="98" t="e">
        <f>VLOOKUP([2]!Table27[[#This Row],[Location 
(drop-down)]],'[2]List source'!D$2:E$59,2,FALSE)</f>
        <v>#N/A</v>
      </c>
      <c r="C369" s="99" t="s">
        <v>2078</v>
      </c>
      <c r="D369" s="223" t="e">
        <f t="shared" si="10"/>
        <v>#N/A</v>
      </c>
      <c r="E369" s="227" t="s">
        <v>2079</v>
      </c>
      <c r="F369" s="165" t="e" cm="1">
        <f t="array" aca="1" ref="F369" ca="1">MID(LEFT(#REF!, INDEX(_xlfn._xlws.FILTER(ROW(INDIRECT("1:" &amp; LEN(#REF!))), (48 &lt;= CODE(MID(#REF!, ROW(INDIRECT("1:" &amp; LEN(#REF!))), 1))) * (CODE(MID(#REF!, ROW(INDIRECT("1:" &amp; LEN(#REF!))), 1)) &lt;= 57)), 1) - 1), FIND(":",#REF!) + 2, LEN(#REF!))</f>
        <v>#REF!</v>
      </c>
      <c r="G369" s="227" t="e">
        <f>MID(LEFT(#REF!, FIND(",",#REF!) - 1), FIND("{token}", SUBSTITUTE(#REF!, " ", "{token}", 2)) + 1, LEN(#REF!))</f>
        <v>#REF!</v>
      </c>
      <c r="H369" s="165">
        <v>2.2599999999999998</v>
      </c>
      <c r="I369" s="230">
        <v>45435</v>
      </c>
      <c r="J369" s="230" t="s">
        <v>34</v>
      </c>
      <c r="K369" s="226">
        <v>45435</v>
      </c>
      <c r="L369" s="165" t="s">
        <v>1562</v>
      </c>
      <c r="M369" s="222">
        <v>632</v>
      </c>
      <c r="N369" s="2" t="str">
        <f t="shared" ca="1" si="11"/>
        <v>CLOSED</v>
      </c>
    </row>
    <row r="370" spans="1:14" ht="30">
      <c r="A370" s="64" t="s">
        <v>500</v>
      </c>
      <c r="B370" s="98" t="e">
        <f>VLOOKUP([2]!Table27[[#This Row],[Location 
(drop-down)]],'[2]List source'!D$2:E$59,2,FALSE)</f>
        <v>#N/A</v>
      </c>
      <c r="C370" s="99" t="s">
        <v>2080</v>
      </c>
      <c r="D370" s="223" t="e">
        <f t="shared" si="10"/>
        <v>#N/A</v>
      </c>
      <c r="E370" s="227" t="s">
        <v>2081</v>
      </c>
      <c r="F370" s="165" t="e" cm="1">
        <f t="array" aca="1" ref="F370" ca="1">MID(LEFT(#REF!, INDEX(_xlfn._xlws.FILTER(ROW(INDIRECT("1:" &amp; LEN(#REF!))), (48 &lt;= CODE(MID(#REF!, ROW(INDIRECT("1:" &amp; LEN(#REF!))), 1))) * (CODE(MID(#REF!, ROW(INDIRECT("1:" &amp; LEN(#REF!))), 1)) &lt;= 57)), 1) - 1), FIND(":",#REF!) + 2, LEN(#REF!))</f>
        <v>#REF!</v>
      </c>
      <c r="G370" s="227" t="e">
        <f>MID(LEFT(#REF!, FIND(",",#REF!) - 1), FIND("{token}", SUBSTITUTE(#REF!, " ", "{token}", 2)) + 1, LEN(#REF!))</f>
        <v>#REF!</v>
      </c>
      <c r="H370" s="165" t="s">
        <v>2082</v>
      </c>
      <c r="I370" s="230">
        <v>45435</v>
      </c>
      <c r="J370" s="230" t="s">
        <v>34</v>
      </c>
      <c r="K370" s="226">
        <v>45435</v>
      </c>
      <c r="L370" s="165" t="s">
        <v>1562</v>
      </c>
      <c r="M370" s="222">
        <v>633</v>
      </c>
      <c r="N370" s="2" t="str">
        <f t="shared" ca="1" si="11"/>
        <v>CLOSED</v>
      </c>
    </row>
    <row r="371" spans="1:14" ht="30">
      <c r="A371" s="64" t="s">
        <v>202</v>
      </c>
      <c r="B371" s="98" t="e">
        <f>VLOOKUP([2]!Table27[[#This Row],[Location 
(drop-down)]],'[2]List source'!D$2:E$59,2,FALSE)</f>
        <v>#N/A</v>
      </c>
      <c r="C371" s="99" t="s">
        <v>2083</v>
      </c>
      <c r="D371" s="223" t="e">
        <f t="shared" si="10"/>
        <v>#N/A</v>
      </c>
      <c r="E371" s="227" t="s">
        <v>2072</v>
      </c>
      <c r="F371" s="165" t="e" cm="1">
        <f t="array" aca="1" ref="F371" ca="1">MID(LEFT(#REF!, INDEX(_xlfn._xlws.FILTER(ROW(INDIRECT("1:" &amp; LEN(#REF!))), (48 &lt;= CODE(MID(#REF!, ROW(INDIRECT("1:" &amp; LEN(#REF!))), 1))) * (CODE(MID(#REF!, ROW(INDIRECT("1:" &amp; LEN(#REF!))), 1)) &lt;= 57)), 1) - 1), FIND(":",#REF!) + 2, LEN(#REF!))</f>
        <v>#REF!</v>
      </c>
      <c r="G371" s="227" t="e">
        <f>MID(LEFT(#REF!, FIND(",",#REF!) - 1), FIND("{token}", SUBSTITUTE(#REF!, " ", "{token}", 2)) + 1, LEN(#REF!))</f>
        <v>#REF!</v>
      </c>
      <c r="H371" s="165">
        <v>2.19</v>
      </c>
      <c r="I371" s="230">
        <v>45435</v>
      </c>
      <c r="J371" s="230" t="s">
        <v>34</v>
      </c>
      <c r="K371" s="226">
        <v>45435</v>
      </c>
      <c r="L371" s="165" t="s">
        <v>1562</v>
      </c>
      <c r="M371" s="222">
        <v>634</v>
      </c>
      <c r="N371" s="2" t="str">
        <f t="shared" ca="1" si="11"/>
        <v>CLOSED</v>
      </c>
    </row>
    <row r="372" spans="1:14" ht="18.75">
      <c r="A372" s="64" t="s">
        <v>139</v>
      </c>
      <c r="B372" s="98" t="e">
        <f>VLOOKUP([2]!Table27[[#This Row],[Location 
(drop-down)]],'[2]List source'!D$2:E$59,2,FALSE)</f>
        <v>#N/A</v>
      </c>
      <c r="C372" s="99" t="s">
        <v>2084</v>
      </c>
      <c r="D372" s="223" t="e">
        <f t="shared" si="10"/>
        <v>#N/A</v>
      </c>
      <c r="E372" s="227" t="s">
        <v>2085</v>
      </c>
      <c r="F372" s="165" t="e" cm="1">
        <f t="array" aca="1" ref="F372" ca="1">MID(LEFT(#REF!, INDEX(_xlfn._xlws.FILTER(ROW(INDIRECT("1:" &amp; LEN(#REF!))), (48 &lt;= CODE(MID(#REF!, ROW(INDIRECT("1:" &amp; LEN(#REF!))), 1))) * (CODE(MID(#REF!, ROW(INDIRECT("1:" &amp; LEN(#REF!))), 1)) &lt;= 57)), 1) - 1), FIND(":",#REF!) + 2, LEN(#REF!))</f>
        <v>#REF!</v>
      </c>
      <c r="G372" s="227" t="e">
        <f>MID(LEFT(#REF!, FIND(",",#REF!) - 1), FIND("{token}", SUBSTITUTE(#REF!, " ", "{token}", 2)) + 1, LEN(#REF!))</f>
        <v>#REF!</v>
      </c>
      <c r="H372" s="165" t="s">
        <v>2086</v>
      </c>
      <c r="I372" s="230">
        <v>45435</v>
      </c>
      <c r="J372" s="230" t="s">
        <v>34</v>
      </c>
      <c r="K372" s="226">
        <v>45435</v>
      </c>
      <c r="L372" s="165" t="s">
        <v>1505</v>
      </c>
      <c r="M372" s="222">
        <v>636</v>
      </c>
      <c r="N372" s="2" t="str">
        <f t="shared" ca="1" si="11"/>
        <v>CLOSED</v>
      </c>
    </row>
    <row r="373" spans="1:14" ht="30">
      <c r="A373" s="64" t="s">
        <v>714</v>
      </c>
      <c r="B373" s="98" t="e">
        <f>VLOOKUP([2]!Table27[[#This Row],[Location 
(drop-down)]],'[2]List source'!D$2:E$59,2,FALSE)</f>
        <v>#N/A</v>
      </c>
      <c r="C373" s="99" t="s">
        <v>2087</v>
      </c>
      <c r="D373" s="223" t="e">
        <f t="shared" si="10"/>
        <v>#N/A</v>
      </c>
      <c r="E373" s="227" t="s">
        <v>2088</v>
      </c>
      <c r="F373" s="165" t="e" cm="1">
        <f t="array" aca="1" ref="F373" ca="1">MID(LEFT(#REF!, INDEX(_xlfn._xlws.FILTER(ROW(INDIRECT("1:" &amp; LEN(#REF!))), (48 &lt;= CODE(MID(#REF!, ROW(INDIRECT("1:" &amp; LEN(#REF!))), 1))) * (CODE(MID(#REF!, ROW(INDIRECT("1:" &amp; LEN(#REF!))), 1)) &lt;= 57)), 1) - 1), FIND(":",#REF!) + 2, LEN(#REF!))</f>
        <v>#REF!</v>
      </c>
      <c r="G373" s="227" t="e">
        <f>MID(LEFT(#REF!, FIND(",",#REF!) - 1), FIND("{token}", SUBSTITUTE(#REF!, " ", "{token}", 2)) + 1, LEN(#REF!))</f>
        <v>#REF!</v>
      </c>
      <c r="H373" s="165">
        <v>2.29</v>
      </c>
      <c r="I373" s="230">
        <v>45435</v>
      </c>
      <c r="J373" s="230" t="s">
        <v>34</v>
      </c>
      <c r="K373" s="226">
        <v>45435</v>
      </c>
      <c r="L373" s="165" t="s">
        <v>1562</v>
      </c>
      <c r="M373" s="222">
        <v>641</v>
      </c>
      <c r="N373" s="2" t="str">
        <f t="shared" ca="1" si="11"/>
        <v>CLOSED</v>
      </c>
    </row>
    <row r="374" spans="1:14" ht="30">
      <c r="A374" s="64" t="s">
        <v>294</v>
      </c>
      <c r="B374" s="98" t="e">
        <f>VLOOKUP([2]!Table27[[#This Row],[Location 
(drop-down)]],'[2]List source'!D$2:E$59,2,FALSE)</f>
        <v>#N/A</v>
      </c>
      <c r="C374" s="99" t="s">
        <v>2089</v>
      </c>
      <c r="D374" s="223" t="e">
        <f t="shared" si="10"/>
        <v>#N/A</v>
      </c>
      <c r="E374" s="227" t="s">
        <v>2090</v>
      </c>
      <c r="F374" s="165" t="e" cm="1">
        <f t="array" aca="1" ref="F374" ca="1">MID(LEFT(#REF!, INDEX(_xlfn._xlws.FILTER(ROW(INDIRECT("1:" &amp; LEN(#REF!))), (48 &lt;= CODE(MID(#REF!, ROW(INDIRECT("1:" &amp; LEN(#REF!))), 1))) * (CODE(MID(#REF!, ROW(INDIRECT("1:" &amp; LEN(#REF!))), 1)) &lt;= 57)), 1) - 1), FIND(":",#REF!) + 2, LEN(#REF!))</f>
        <v>#REF!</v>
      </c>
      <c r="G374" s="227" t="e">
        <f>MID(LEFT(#REF!, FIND(",",#REF!) - 1), FIND("{token}", SUBSTITUTE(#REF!, " ", "{token}", 2)) + 1, LEN(#REF!))</f>
        <v>#REF!</v>
      </c>
      <c r="H374" s="165">
        <v>77.349999999999994</v>
      </c>
      <c r="I374" s="230">
        <v>45435</v>
      </c>
      <c r="J374" s="230" t="s">
        <v>34</v>
      </c>
      <c r="K374" s="226">
        <v>45435</v>
      </c>
      <c r="L374" s="165" t="s">
        <v>1505</v>
      </c>
      <c r="M374" s="222">
        <v>642</v>
      </c>
      <c r="N374" s="2" t="str">
        <f t="shared" ca="1" si="11"/>
        <v>CLOSED</v>
      </c>
    </row>
    <row r="375" spans="1:14" ht="18.75">
      <c r="A375" s="64" t="s">
        <v>139</v>
      </c>
      <c r="B375" s="98" t="e">
        <f>VLOOKUP([2]!Table27[[#This Row],[Location 
(drop-down)]],'[2]List source'!D$2:E$59,2,FALSE)</f>
        <v>#N/A</v>
      </c>
      <c r="C375" s="99" t="s">
        <v>2091</v>
      </c>
      <c r="D375" s="223" t="e">
        <f t="shared" si="10"/>
        <v>#N/A</v>
      </c>
      <c r="E375" s="227" t="s">
        <v>2092</v>
      </c>
      <c r="F375" s="165" t="e" cm="1">
        <f t="array" aca="1" ref="F375" ca="1">MID(LEFT(#REF!, INDEX(_xlfn._xlws.FILTER(ROW(INDIRECT("1:" &amp; LEN(#REF!))), (48 &lt;= CODE(MID(#REF!, ROW(INDIRECT("1:" &amp; LEN(#REF!))), 1))) * (CODE(MID(#REF!, ROW(INDIRECT("1:" &amp; LEN(#REF!))), 1)) &lt;= 57)), 1) - 1), FIND(":",#REF!) + 2, LEN(#REF!))</f>
        <v>#REF!</v>
      </c>
      <c r="G375" s="227" t="e">
        <f>MID(LEFT(#REF!, FIND(",",#REF!) - 1), FIND("{token}", SUBSTITUTE(#REF!, " ", "{token}", 2)) + 1, LEN(#REF!))</f>
        <v>#REF!</v>
      </c>
      <c r="H375" s="236" t="s">
        <v>2093</v>
      </c>
      <c r="I375" s="230">
        <v>45435</v>
      </c>
      <c r="J375" s="230" t="s">
        <v>34</v>
      </c>
      <c r="K375" s="226">
        <v>45435</v>
      </c>
      <c r="L375" s="165" t="s">
        <v>1505</v>
      </c>
      <c r="M375" s="222">
        <v>647</v>
      </c>
      <c r="N375" s="2" t="str">
        <f t="shared" ca="1" si="11"/>
        <v>CLOSED</v>
      </c>
    </row>
    <row r="376" spans="1:14" ht="30">
      <c r="A376" s="64" t="s">
        <v>39</v>
      </c>
      <c r="B376" s="98" t="e">
        <f>VLOOKUP([2]!Table27[[#This Row],[Location 
(drop-down)]],'[2]List source'!D$2:E$59,2,FALSE)</f>
        <v>#N/A</v>
      </c>
      <c r="C376" s="99" t="s">
        <v>2094</v>
      </c>
      <c r="D376" s="223" t="e">
        <f t="shared" si="10"/>
        <v>#N/A</v>
      </c>
      <c r="E376" s="227" t="s">
        <v>2095</v>
      </c>
      <c r="F376" s="165" t="e" cm="1">
        <f t="array" aca="1" ref="F376" ca="1">MID(LEFT(#REF!, INDEX(_xlfn._xlws.FILTER(ROW(INDIRECT("1:" &amp; LEN(#REF!))), (48 &lt;= CODE(MID(#REF!, ROW(INDIRECT("1:" &amp; LEN(#REF!))), 1))) * (CODE(MID(#REF!, ROW(INDIRECT("1:" &amp; LEN(#REF!))), 1)) &lt;= 57)), 1) - 1), FIND(":",#REF!) + 2, LEN(#REF!))</f>
        <v>#REF!</v>
      </c>
      <c r="G376" s="227" t="e">
        <f>MID(LEFT(#REF!, FIND(",",#REF!) - 1), FIND("{token}", SUBSTITUTE(#REF!, " ", "{token}", 2)) + 1, LEN(#REF!))</f>
        <v>#REF!</v>
      </c>
      <c r="H376" s="165">
        <v>-2.1800000000000002</v>
      </c>
      <c r="I376" s="230">
        <v>45435</v>
      </c>
      <c r="J376" s="230" t="s">
        <v>34</v>
      </c>
      <c r="K376" s="226">
        <v>45435</v>
      </c>
      <c r="L376" s="165" t="s">
        <v>1562</v>
      </c>
      <c r="M376" s="222">
        <v>649</v>
      </c>
      <c r="N376" s="2" t="str">
        <f t="shared" ca="1" si="11"/>
        <v>CLOSED</v>
      </c>
    </row>
    <row r="377" spans="1:14" ht="30">
      <c r="A377" s="64" t="s">
        <v>202</v>
      </c>
      <c r="B377" s="98" t="e">
        <f>VLOOKUP([2]!Table27[[#This Row],[Location 
(drop-down)]],'[2]List source'!D$2:E$59,2,FALSE)</f>
        <v>#N/A</v>
      </c>
      <c r="C377" s="99" t="s">
        <v>2096</v>
      </c>
      <c r="D377" s="223" t="e">
        <f t="shared" si="10"/>
        <v>#N/A</v>
      </c>
      <c r="E377" s="227" t="s">
        <v>2097</v>
      </c>
      <c r="F377" s="165" t="e" cm="1">
        <f t="array" aca="1" ref="F377" ca="1">MID(LEFT(#REF!, INDEX(_xlfn._xlws.FILTER(ROW(INDIRECT("1:" &amp; LEN(#REF!))), (48 &lt;= CODE(MID(#REF!, ROW(INDIRECT("1:" &amp; LEN(#REF!))), 1))) * (CODE(MID(#REF!, ROW(INDIRECT("1:" &amp; LEN(#REF!))), 1)) &lt;= 57)), 1) - 1), FIND(":",#REF!) + 2, LEN(#REF!))</f>
        <v>#REF!</v>
      </c>
      <c r="G377" s="190" t="e">
        <f>MID(LEFT(#REF!, FIND(",",#REF!) - 1), FIND("{token}", SUBSTITUTE(#REF!, " ", "{token}", 2)) + 1, LEN(#REF!))</f>
        <v>#REF!</v>
      </c>
      <c r="H377" s="165">
        <v>-2.63</v>
      </c>
      <c r="I377" s="230">
        <v>45435</v>
      </c>
      <c r="J377" s="230" t="s">
        <v>34</v>
      </c>
      <c r="K377" s="226">
        <v>45435</v>
      </c>
      <c r="L377" s="165" t="s">
        <v>1562</v>
      </c>
      <c r="M377" s="222">
        <v>650</v>
      </c>
      <c r="N377" s="2" t="str">
        <f t="shared" ca="1" si="11"/>
        <v>CLOSED</v>
      </c>
    </row>
    <row r="378" spans="1:14" ht="30">
      <c r="A378" s="64" t="s">
        <v>202</v>
      </c>
      <c r="B378" s="98" t="e">
        <f>VLOOKUP([2]!Table27[[#This Row],[Location 
(drop-down)]],'[2]List source'!D$2:E$59,2,FALSE)</f>
        <v>#N/A</v>
      </c>
      <c r="C378" s="99" t="s">
        <v>2098</v>
      </c>
      <c r="D378" s="223" t="e">
        <f t="shared" si="10"/>
        <v>#N/A</v>
      </c>
      <c r="E378" s="227" t="s">
        <v>2099</v>
      </c>
      <c r="F378" s="165" t="e" cm="1">
        <f t="array" aca="1" ref="F378" ca="1">MID(LEFT(#REF!, INDEX(_xlfn._xlws.FILTER(ROW(INDIRECT("1:" &amp; LEN(#REF!))), (48 &lt;= CODE(MID(#REF!, ROW(INDIRECT("1:" &amp; LEN(#REF!))), 1))) * (CODE(MID(#REF!, ROW(INDIRECT("1:" &amp; LEN(#REF!))), 1)) &lt;= 57)), 1) - 1), FIND(":",#REF!) + 2, LEN(#REF!))</f>
        <v>#REF!</v>
      </c>
      <c r="G378" s="227" t="e">
        <f>MID(LEFT(#REF!, FIND(",",#REF!) - 1), FIND("{token}", SUBSTITUTE(#REF!, " ", "{token}", 2)) + 1, LEN(#REF!))</f>
        <v>#REF!</v>
      </c>
      <c r="H378" s="165" t="s">
        <v>1579</v>
      </c>
      <c r="I378" s="230">
        <v>45435</v>
      </c>
      <c r="J378" s="230" t="s">
        <v>34</v>
      </c>
      <c r="K378" s="226">
        <v>45435</v>
      </c>
      <c r="L378" s="165" t="s">
        <v>1505</v>
      </c>
      <c r="M378" s="222">
        <v>651</v>
      </c>
      <c r="N378" s="2" t="str">
        <f t="shared" ca="1" si="11"/>
        <v>CLOSED</v>
      </c>
    </row>
    <row r="379" spans="1:14" ht="18.75">
      <c r="A379" s="64" t="s">
        <v>156</v>
      </c>
      <c r="B379" s="98" t="e">
        <f>VLOOKUP([2]!Table27[[#This Row],[Location 
(drop-down)]],'[2]List source'!D$2:E$59,2,FALSE)</f>
        <v>#N/A</v>
      </c>
      <c r="C379" s="99" t="s">
        <v>2100</v>
      </c>
      <c r="D379" s="223" t="e">
        <f t="shared" si="10"/>
        <v>#N/A</v>
      </c>
      <c r="E379" s="227" t="s">
        <v>2101</v>
      </c>
      <c r="F379" s="165" t="s">
        <v>1769</v>
      </c>
      <c r="G379" s="227" t="e">
        <f>MID(LEFT(#REF!, FIND(",",#REF!) - 1), FIND("{token}", SUBSTITUTE(#REF!, " ", "{token}", 2)) + 1, LEN(#REF!))</f>
        <v>#REF!</v>
      </c>
      <c r="H379" s="165" t="s">
        <v>2102</v>
      </c>
      <c r="I379" s="230">
        <v>45435</v>
      </c>
      <c r="J379" s="230" t="s">
        <v>34</v>
      </c>
      <c r="K379" s="226">
        <v>45435</v>
      </c>
      <c r="L379" s="165" t="s">
        <v>1562</v>
      </c>
      <c r="M379" s="222">
        <v>652</v>
      </c>
      <c r="N379" s="2" t="str">
        <f t="shared" ca="1" si="11"/>
        <v>CLOSED</v>
      </c>
    </row>
    <row r="380" spans="1:14" ht="30">
      <c r="A380" s="64" t="s">
        <v>1334</v>
      </c>
      <c r="B380" s="98" t="e">
        <f>VLOOKUP([2]!Table27[[#This Row],[Location 
(drop-down)]],'[2]List source'!D$2:E$59,2,FALSE)</f>
        <v>#N/A</v>
      </c>
      <c r="C380" s="99" t="s">
        <v>2103</v>
      </c>
      <c r="D380" s="223" t="e">
        <f t="shared" si="10"/>
        <v>#N/A</v>
      </c>
      <c r="E380" s="227" t="s">
        <v>2104</v>
      </c>
      <c r="F380" s="165" t="s">
        <v>1769</v>
      </c>
      <c r="G380" s="227" t="e">
        <f>MID(LEFT(#REF!, FIND(",",#REF!) - 1), FIND("{token}", SUBSTITUTE(#REF!, " ", "{token}", 2)) + 1, LEN(#REF!))</f>
        <v>#REF!</v>
      </c>
      <c r="H380" s="165">
        <v>2.0499999999999998</v>
      </c>
      <c r="I380" s="230">
        <v>45435</v>
      </c>
      <c r="J380" s="230" t="s">
        <v>34</v>
      </c>
      <c r="K380" s="226">
        <v>45435</v>
      </c>
      <c r="L380" s="165" t="s">
        <v>1505</v>
      </c>
      <c r="M380" s="222">
        <v>653</v>
      </c>
      <c r="N380" s="2" t="str">
        <f t="shared" ca="1" si="11"/>
        <v>CLOSED</v>
      </c>
    </row>
    <row r="381" spans="1:14" ht="30">
      <c r="A381" s="64" t="s">
        <v>80</v>
      </c>
      <c r="B381" s="98" t="e">
        <f>VLOOKUP([2]!Table27[[#This Row],[Location 
(drop-down)]],'[2]List source'!D$2:E$59,2,FALSE)</f>
        <v>#N/A</v>
      </c>
      <c r="C381" s="99" t="s">
        <v>2105</v>
      </c>
      <c r="D381" s="223" t="e">
        <f t="shared" si="10"/>
        <v>#N/A</v>
      </c>
      <c r="E381" s="227" t="s">
        <v>2106</v>
      </c>
      <c r="F381" s="165" t="s">
        <v>1769</v>
      </c>
      <c r="G381" s="227" t="e">
        <f>MID(LEFT(#REF!, FIND(",",#REF!) - 1), FIND("{token}", SUBSTITUTE(#REF!, " ", "{token}", 2)) + 1, LEN(#REF!))</f>
        <v>#REF!</v>
      </c>
      <c r="H381" s="165" t="s">
        <v>2107</v>
      </c>
      <c r="I381" s="230">
        <v>45435</v>
      </c>
      <c r="J381" s="230" t="s">
        <v>34</v>
      </c>
      <c r="K381" s="226">
        <v>45435</v>
      </c>
      <c r="L381" s="259" t="s">
        <v>1671</v>
      </c>
      <c r="M381" s="222">
        <v>654</v>
      </c>
      <c r="N381" s="2" t="str">
        <f t="shared" ca="1" si="11"/>
        <v>CLOSED</v>
      </c>
    </row>
    <row r="382" spans="1:14" ht="18.75">
      <c r="A382" s="64" t="s">
        <v>167</v>
      </c>
      <c r="B382" s="98" t="e">
        <f>VLOOKUP([2]!Table27[[#This Row],[Location 
(drop-down)]],'[2]List source'!D$2:E$59,2,FALSE)</f>
        <v>#N/A</v>
      </c>
      <c r="C382" s="99" t="s">
        <v>2108</v>
      </c>
      <c r="D382" s="223" t="e">
        <f t="shared" si="10"/>
        <v>#N/A</v>
      </c>
      <c r="E382" s="227" t="s">
        <v>2109</v>
      </c>
      <c r="F382" s="165" t="s">
        <v>1769</v>
      </c>
      <c r="G382" s="227" t="s">
        <v>2110</v>
      </c>
      <c r="H382" s="165">
        <v>-2.71</v>
      </c>
      <c r="I382" s="230">
        <v>45435</v>
      </c>
      <c r="J382" s="230" t="s">
        <v>34</v>
      </c>
      <c r="K382" s="226">
        <v>45435</v>
      </c>
      <c r="L382" s="259" t="s">
        <v>1671</v>
      </c>
      <c r="M382" s="222">
        <v>655</v>
      </c>
      <c r="N382" s="2" t="str">
        <f t="shared" ca="1" si="11"/>
        <v>CLOSED</v>
      </c>
    </row>
    <row r="383" spans="1:14" ht="30">
      <c r="A383" s="64" t="s">
        <v>500</v>
      </c>
      <c r="B383" s="98" t="e">
        <f>VLOOKUP([2]!Table27[[#This Row],[Location 
(drop-down)]],'[2]List source'!D$2:E$59,2,FALSE)</f>
        <v>#N/A</v>
      </c>
      <c r="C383" s="99" t="s">
        <v>2111</v>
      </c>
      <c r="D383" s="223" t="e">
        <f t="shared" si="10"/>
        <v>#N/A</v>
      </c>
      <c r="E383" s="227" t="s">
        <v>2112</v>
      </c>
      <c r="F383" s="165" t="s">
        <v>1769</v>
      </c>
      <c r="G383" s="227" t="s">
        <v>2113</v>
      </c>
      <c r="H383" s="165">
        <v>2.35</v>
      </c>
      <c r="I383" s="230">
        <v>45435</v>
      </c>
      <c r="J383" s="230" t="s">
        <v>34</v>
      </c>
      <c r="K383" s="226">
        <v>45435</v>
      </c>
      <c r="L383" s="259" t="s">
        <v>1671</v>
      </c>
      <c r="M383" s="222">
        <v>656</v>
      </c>
      <c r="N383" s="2" t="str">
        <f t="shared" ca="1" si="11"/>
        <v>CLOSED</v>
      </c>
    </row>
    <row r="384" spans="1:14" ht="30">
      <c r="A384" s="64" t="s">
        <v>714</v>
      </c>
      <c r="B384" s="98" t="e">
        <f>VLOOKUP([2]!Table27[[#This Row],[Location 
(drop-down)]],'[2]List source'!D$2:E$59,2,FALSE)</f>
        <v>#N/A</v>
      </c>
      <c r="C384" s="99" t="s">
        <v>974</v>
      </c>
      <c r="D384" s="223" t="e">
        <f t="shared" si="10"/>
        <v>#N/A</v>
      </c>
      <c r="E384" s="240" t="s">
        <v>2114</v>
      </c>
      <c r="F384" s="2" t="e" cm="1">
        <f t="array" aca="1" ref="F384" ca="1">MID(LEFT(#REF!, INDEX(_xlfn._xlws.FILTER(ROW(INDIRECT("1:" &amp; LEN(#REF!))), (48 &lt;= CODE(MID(#REF!, ROW(INDIRECT("1:" &amp; LEN(#REF!))), 1))) * (CODE(MID(#REF!, ROW(INDIRECT("1:" &amp; LEN(#REF!))), 1)) &lt;= 57)), 1) - 1), FIND(":",#REF!) + 2, LEN(#REF!))</f>
        <v>#REF!</v>
      </c>
      <c r="G384" s="240" t="e">
        <f>MID(LEFT(#REF!, FIND(",",#REF!) - 1), FIND("{token}", SUBSTITUTE(#REF!, " ", "{token}", 2)) + 1, LEN(#REF!))</f>
        <v>#REF!</v>
      </c>
      <c r="H384" s="254" t="s">
        <v>2115</v>
      </c>
      <c r="I384" s="260">
        <v>45376</v>
      </c>
      <c r="J384" s="230" t="s">
        <v>108</v>
      </c>
      <c r="K384" s="258">
        <v>45436</v>
      </c>
      <c r="L384" s="165"/>
      <c r="M384" s="222">
        <v>148</v>
      </c>
      <c r="N384" s="2" t="str">
        <f t="shared" ca="1" si="11"/>
        <v>CLOSED</v>
      </c>
    </row>
    <row r="385" spans="1:14" ht="18.75">
      <c r="A385" s="64" t="s">
        <v>43</v>
      </c>
      <c r="B385" s="98" t="e">
        <f>VLOOKUP([2]!Table27[[#This Row],[Location 
(drop-down)]],'[2]List source'!D$2:E$59,2,FALSE)</f>
        <v>#N/A</v>
      </c>
      <c r="C385" s="99" t="s">
        <v>715</v>
      </c>
      <c r="D385" s="223" t="e">
        <f t="shared" si="10"/>
        <v>#N/A</v>
      </c>
      <c r="E385" s="240" t="s">
        <v>2116</v>
      </c>
      <c r="F385" s="2" t="e" cm="1">
        <f t="array" aca="1" ref="F385" ca="1">MID(LEFT(#REF!, INDEX(_xlfn._xlws.FILTER(ROW(INDIRECT("1:" &amp; LEN(#REF!))), (48 &lt;= CODE(MID(#REF!, ROW(INDIRECT("1:" &amp; LEN(#REF!))), 1))) * (CODE(MID(#REF!, ROW(INDIRECT("1:" &amp; LEN(#REF!))), 1)) &lt;= 57)), 1) - 1), FIND(":",#REF!) + 2, LEN(#REF!))</f>
        <v>#REF!</v>
      </c>
      <c r="G385" s="240" t="e">
        <f>MID(LEFT(#REF!, FIND(",",#REF!) - 1), FIND("{token}", SUBSTITUTE(#REF!, " ", "{token}", 2)) + 1, LEN(#REF!))</f>
        <v>#REF!</v>
      </c>
      <c r="H385" s="254" t="s">
        <v>2117</v>
      </c>
      <c r="I385" s="230">
        <v>45376</v>
      </c>
      <c r="J385" s="230" t="s">
        <v>29</v>
      </c>
      <c r="K385" s="226">
        <v>45441</v>
      </c>
      <c r="L385" s="165"/>
      <c r="M385" s="222">
        <v>145</v>
      </c>
      <c r="N385" s="2" t="str">
        <f t="shared" ca="1" si="11"/>
        <v>CLOSED</v>
      </c>
    </row>
    <row r="386" spans="1:14" ht="18.75">
      <c r="A386" s="64" t="s">
        <v>43</v>
      </c>
      <c r="B386" s="98" t="e">
        <f>VLOOKUP([2]!Table27[[#This Row],[Location 
(drop-down)]],'[2]List source'!D$2:E$59,2,FALSE)</f>
        <v>#N/A</v>
      </c>
      <c r="C386" s="99" t="s">
        <v>717</v>
      </c>
      <c r="D386" s="223" t="e">
        <f t="shared" ref="D386:D449" si="12">"PTO" &amp; C386 &amp; "-" &amp; B386 &amp; "-" &amp; "23"</f>
        <v>#N/A</v>
      </c>
      <c r="E386" s="240" t="s">
        <v>2118</v>
      </c>
      <c r="F386" s="2" t="e" cm="1">
        <f t="array" aca="1" ref="F386" ca="1">MID(LEFT(#REF!, INDEX(_xlfn._xlws.FILTER(ROW(INDIRECT("1:" &amp; LEN(#REF!))), (48 &lt;= CODE(MID(#REF!, ROW(INDIRECT("1:" &amp; LEN(#REF!))), 1))) * (CODE(MID(#REF!, ROW(INDIRECT("1:" &amp; LEN(#REF!))), 1)) &lt;= 57)), 1) - 1), FIND(":",#REF!) + 2, LEN(#REF!))</f>
        <v>#REF!</v>
      </c>
      <c r="G386" s="240" t="e">
        <f>MID(LEFT(#REF!, FIND(",",#REF!) - 1), FIND("{token}", SUBSTITUTE(#REF!, " ", "{token}", 2)) + 1, LEN(#REF!))</f>
        <v>#REF!</v>
      </c>
      <c r="H386" s="254" t="s">
        <v>2119</v>
      </c>
      <c r="I386" s="230">
        <v>45376</v>
      </c>
      <c r="J386" s="230" t="s">
        <v>29</v>
      </c>
      <c r="K386" s="226">
        <v>45441</v>
      </c>
      <c r="L386" s="165"/>
      <c r="M386" s="222">
        <v>146</v>
      </c>
      <c r="N386" s="2" t="str">
        <f t="shared" ca="1" si="11"/>
        <v>CLOSED</v>
      </c>
    </row>
    <row r="387" spans="1:14" ht="30">
      <c r="A387" s="64" t="s">
        <v>185</v>
      </c>
      <c r="B387" s="98" t="e">
        <f>VLOOKUP([2]!Table27[[#This Row],[Location 
(drop-down)]],'[2]List source'!D$2:E$59,2,FALSE)</f>
        <v>#N/A</v>
      </c>
      <c r="C387" s="99" t="s">
        <v>2120</v>
      </c>
      <c r="D387" s="223" t="e">
        <f t="shared" si="12"/>
        <v>#N/A</v>
      </c>
      <c r="E387" s="227" t="s">
        <v>2121</v>
      </c>
      <c r="F387" s="165" t="e" cm="1">
        <f t="array" aca="1" ref="F387" ca="1">MID(LEFT(#REF!, INDEX(_xlfn._xlws.FILTER(ROW(INDIRECT("1:" &amp; LEN(#REF!))), (48 &lt;= CODE(MID(#REF!, ROW(INDIRECT("1:" &amp; LEN(#REF!))), 1))) * (CODE(MID(#REF!, ROW(INDIRECT("1:" &amp; LEN(#REF!))), 1)) &lt;= 57)), 1) - 1), FIND(":",#REF!) + 2, LEN(#REF!))</f>
        <v>#REF!</v>
      </c>
      <c r="G387" s="227" t="e">
        <f>MID(LEFT(#REF!, FIND(",",#REF!) - 1), FIND("{token}", SUBSTITUTE(#REF!, " ", "{token}", 2)) + 1, LEN(#REF!))</f>
        <v>#REF!</v>
      </c>
      <c r="H387" s="165" t="s">
        <v>2122</v>
      </c>
      <c r="I387" s="230">
        <v>45412</v>
      </c>
      <c r="J387" s="230" t="s">
        <v>29</v>
      </c>
      <c r="K387" s="226">
        <v>45441</v>
      </c>
      <c r="L387" s="165"/>
      <c r="M387" s="222">
        <v>287</v>
      </c>
      <c r="N387" s="2" t="str">
        <f t="shared" ca="1" si="11"/>
        <v>CLOSED</v>
      </c>
    </row>
    <row r="388" spans="1:14" ht="30">
      <c r="A388" s="64" t="s">
        <v>485</v>
      </c>
      <c r="B388" s="98" t="e">
        <f>VLOOKUP([2]!Table27[[#This Row],[Location 
(drop-down)]],'[2]List source'!D$2:E$59,2,FALSE)</f>
        <v>#N/A</v>
      </c>
      <c r="C388" s="99" t="s">
        <v>554</v>
      </c>
      <c r="D388" s="223" t="e">
        <f t="shared" si="12"/>
        <v>#N/A</v>
      </c>
      <c r="E388" s="227" t="s">
        <v>2123</v>
      </c>
      <c r="F388" s="165" t="e" cm="1">
        <f t="array" aca="1" ref="F388" ca="1">MID(LEFT(#REF!, INDEX(_xlfn._xlws.FILTER(ROW(INDIRECT("1:" &amp; LEN(#REF!))), (48 &lt;= CODE(MID(#REF!, ROW(INDIRECT("1:" &amp; LEN(#REF!))), 1))) * (CODE(MID(#REF!, ROW(INDIRECT("1:" &amp; LEN(#REF!))), 1)) &lt;= 57)), 1) - 1), FIND(":",#REF!) + 2, LEN(#REF!))</f>
        <v>#REF!</v>
      </c>
      <c r="G388" s="201" t="e">
        <f>MID(LEFT(#REF!, FIND(",",#REF!) - 1), FIND("{token}", SUBSTITUTE(#REF!, " ", "{token}", 2)) + 1, LEN(#REF!))</f>
        <v>#REF!</v>
      </c>
      <c r="H388" s="165">
        <v>2.17</v>
      </c>
      <c r="I388" s="230">
        <v>45376</v>
      </c>
      <c r="J388" s="230" t="s">
        <v>34</v>
      </c>
      <c r="K388" s="226">
        <v>45450</v>
      </c>
      <c r="L388" s="165" t="s">
        <v>2124</v>
      </c>
      <c r="M388" s="222">
        <v>129</v>
      </c>
      <c r="N388" s="2" t="str">
        <f t="shared" ca="1" si="11"/>
        <v>CLOSED</v>
      </c>
    </row>
    <row r="389" spans="1:14" ht="30">
      <c r="A389" s="64" t="s">
        <v>500</v>
      </c>
      <c r="B389" s="98" t="e">
        <f>VLOOKUP([2]!Table27[[#This Row],[Location 
(drop-down)]],'[2]List source'!D$2:E$59,2,FALSE)</f>
        <v>#N/A</v>
      </c>
      <c r="C389" s="99" t="s">
        <v>1286</v>
      </c>
      <c r="D389" s="223" t="e">
        <f t="shared" si="12"/>
        <v>#N/A</v>
      </c>
      <c r="E389" s="227" t="s">
        <v>2125</v>
      </c>
      <c r="F389" s="165" t="e" cm="1">
        <f t="array" aca="1" ref="F389" ca="1">MID(LEFT(#REF!, INDEX(_xlfn._xlws.FILTER(ROW(INDIRECT("1:" &amp; LEN(#REF!))), (48 &lt;= CODE(MID(#REF!, ROW(INDIRECT("1:" &amp; LEN(#REF!))), 1))) * (CODE(MID(#REF!, ROW(INDIRECT("1:" &amp; LEN(#REF!))), 1)) &lt;= 57)), 1) - 1), FIND(":",#REF!) + 2, LEN(#REF!))</f>
        <v>#REF!</v>
      </c>
      <c r="G389" s="227" t="e">
        <f>MID(LEFT(#REF!, FIND(",",#REF!) - 1), FIND("{token}", SUBSTITUTE(#REF!, " ", "{token}", 2)) + 1, LEN(#REF!))</f>
        <v>#REF!</v>
      </c>
      <c r="H389" s="236" t="s">
        <v>1683</v>
      </c>
      <c r="I389" s="260">
        <v>45397</v>
      </c>
      <c r="J389" s="230" t="s">
        <v>1619</v>
      </c>
      <c r="K389" s="226">
        <v>45450</v>
      </c>
      <c r="L389" s="165"/>
      <c r="M389" s="222">
        <v>207</v>
      </c>
      <c r="N389" s="2" t="str">
        <f t="shared" ca="1" si="11"/>
        <v>CLOSED</v>
      </c>
    </row>
    <row r="390" spans="1:14" ht="30">
      <c r="A390" s="64" t="s">
        <v>500</v>
      </c>
      <c r="B390" s="98" t="e">
        <f>VLOOKUP([2]!Table27[[#This Row],[Location 
(drop-down)]],'[2]List source'!D$2:E$59,2,FALSE)</f>
        <v>#N/A</v>
      </c>
      <c r="C390" s="99" t="s">
        <v>786</v>
      </c>
      <c r="D390" s="223" t="e">
        <f t="shared" si="12"/>
        <v>#N/A</v>
      </c>
      <c r="E390" s="227" t="s">
        <v>2126</v>
      </c>
      <c r="F390" s="165" t="s">
        <v>1769</v>
      </c>
      <c r="G390" s="227" t="e">
        <f>MID(LEFT(#REF!, FIND(",",#REF!) - 1), FIND("{token}", SUBSTITUTE(#REF!, " ", "{token}", 2)) + 1, LEN(#REF!))</f>
        <v>#REF!</v>
      </c>
      <c r="H390" s="165">
        <v>2.04</v>
      </c>
      <c r="I390" s="230">
        <v>45411</v>
      </c>
      <c r="J390" s="230" t="s">
        <v>1619</v>
      </c>
      <c r="K390" s="226">
        <v>45450</v>
      </c>
      <c r="L390" s="165"/>
      <c r="M390" s="222">
        <v>257</v>
      </c>
      <c r="N390" s="2" t="str">
        <f t="shared" ca="1" si="11"/>
        <v>CLOSED</v>
      </c>
    </row>
    <row r="391" spans="1:14" ht="30">
      <c r="A391" s="64" t="s">
        <v>500</v>
      </c>
      <c r="B391" s="98" t="e">
        <f>VLOOKUP([2]!Table27[[#This Row],[Location 
(drop-down)]],'[2]List source'!D$2:E$59,2,FALSE)</f>
        <v>#N/A</v>
      </c>
      <c r="C391" s="99" t="s">
        <v>769</v>
      </c>
      <c r="D391" s="223" t="e">
        <f t="shared" si="12"/>
        <v>#N/A</v>
      </c>
      <c r="E391" s="228" t="s">
        <v>2127</v>
      </c>
      <c r="F391" s="229" t="s">
        <v>1769</v>
      </c>
      <c r="G391" s="228" t="e">
        <f>MID(LEFT(#REF!, FIND(",",#REF!) - 1), FIND("{token}", SUBSTITUTE(#REF!, " ", "{token}", 2)) + 1, LEN(#REF!))</f>
        <v>#REF!</v>
      </c>
      <c r="H391" s="229">
        <v>2.46</v>
      </c>
      <c r="I391" s="230">
        <v>45411</v>
      </c>
      <c r="J391" s="230" t="s">
        <v>1619</v>
      </c>
      <c r="K391" s="226">
        <v>45450</v>
      </c>
      <c r="L391" s="165"/>
      <c r="M391" s="222">
        <v>263</v>
      </c>
      <c r="N391" s="2" t="str">
        <f t="shared" ca="1" si="11"/>
        <v>CLOSED</v>
      </c>
    </row>
    <row r="392" spans="1:14" ht="30">
      <c r="A392" s="64" t="s">
        <v>485</v>
      </c>
      <c r="B392" s="98" t="e">
        <f>VLOOKUP([2]!Table27[[#This Row],[Location 
(drop-down)]],'[2]List source'!D$2:E$59,2,FALSE)</f>
        <v>#N/A</v>
      </c>
      <c r="C392" s="99" t="s">
        <v>895</v>
      </c>
      <c r="D392" s="223" t="e">
        <f t="shared" si="12"/>
        <v>#N/A</v>
      </c>
      <c r="E392" s="227" t="s">
        <v>2128</v>
      </c>
      <c r="F392" s="165" t="e" cm="1">
        <f t="array" aca="1" ref="F392" ca="1">MID(LEFT(#REF!, INDEX(_xlfn._xlws.FILTER(ROW(INDIRECT("1:" &amp; LEN(#REF!))), (48 &lt;= CODE(MID(#REF!, ROW(INDIRECT("1:" &amp; LEN(#REF!))), 1))) * (CODE(MID(#REF!, ROW(INDIRECT("1:" &amp; LEN(#REF!))), 1)) &lt;= 57)), 1) - 1), FIND(":",#REF!) + 2, LEN(#REF!))</f>
        <v>#REF!</v>
      </c>
      <c r="G392" s="227" t="e">
        <f>MID(LEFT(#REF!, FIND(",",#REF!) - 1), FIND("{token}", SUBSTITUTE(#REF!, " ", "{token}", 2)) + 1, LEN(#REF!))</f>
        <v>#REF!</v>
      </c>
      <c r="H392" s="165">
        <v>2.25</v>
      </c>
      <c r="I392" s="230">
        <v>45412</v>
      </c>
      <c r="J392" s="230" t="s">
        <v>34</v>
      </c>
      <c r="K392" s="226">
        <v>45450</v>
      </c>
      <c r="L392" s="165" t="s">
        <v>1919</v>
      </c>
      <c r="M392" s="222">
        <v>294</v>
      </c>
      <c r="N392" s="2" t="str">
        <f t="shared" ca="1" si="11"/>
        <v>CLOSED</v>
      </c>
    </row>
    <row r="393" spans="1:14" ht="30">
      <c r="A393" s="64" t="s">
        <v>500</v>
      </c>
      <c r="B393" s="98" t="e">
        <f>VLOOKUP([2]!Table27[[#This Row],[Location 
(drop-down)]],'[2]List source'!D$2:E$59,2,FALSE)</f>
        <v>#N/A</v>
      </c>
      <c r="C393" s="99" t="s">
        <v>1455</v>
      </c>
      <c r="D393" s="223" t="e">
        <f t="shared" si="12"/>
        <v>#N/A</v>
      </c>
      <c r="E393" s="227" t="s">
        <v>2129</v>
      </c>
      <c r="F393" s="165" t="e" cm="1">
        <f t="array" aca="1" ref="F393" ca="1">MID(LEFT(#REF!, INDEX(_xlfn._xlws.FILTER(ROW(INDIRECT("1:" &amp; LEN(#REF!))), (48 &lt;= CODE(MID(#REF!, ROW(INDIRECT("1:" &amp; LEN(#REF!))), 1))) * (CODE(MID(#REF!, ROW(INDIRECT("1:" &amp; LEN(#REF!))), 1)) &lt;= 57)), 1) - 1), FIND(":",#REF!) + 2, LEN(#REF!))</f>
        <v>#REF!</v>
      </c>
      <c r="G393" s="227" t="e">
        <f>MID(LEFT(#REF!, FIND(",",#REF!) - 1), FIND("{token}", SUBSTITUTE(#REF!, " ", "{token}", 2)) + 1, LEN(#REF!))</f>
        <v>#REF!</v>
      </c>
      <c r="H393" s="165" t="s">
        <v>1579</v>
      </c>
      <c r="I393" s="230">
        <v>45412</v>
      </c>
      <c r="J393" s="230" t="s">
        <v>1619</v>
      </c>
      <c r="K393" s="226">
        <v>45450</v>
      </c>
      <c r="L393" s="165"/>
      <c r="M393" s="222">
        <v>297</v>
      </c>
      <c r="N393" s="2" t="str">
        <f t="shared" ca="1" si="11"/>
        <v>CLOSED</v>
      </c>
    </row>
    <row r="394" spans="1:14" ht="30">
      <c r="A394" s="64" t="s">
        <v>500</v>
      </c>
      <c r="B394" s="98" t="e">
        <f>VLOOKUP([2]!Table27[[#This Row],[Location 
(drop-down)]],'[2]List source'!D$2:E$59,2,FALSE)</f>
        <v>#N/A</v>
      </c>
      <c r="C394" s="99" t="s">
        <v>1119</v>
      </c>
      <c r="D394" s="223" t="e">
        <f t="shared" si="12"/>
        <v>#N/A</v>
      </c>
      <c r="E394" s="227" t="s">
        <v>2130</v>
      </c>
      <c r="F394" s="165" t="s">
        <v>1769</v>
      </c>
      <c r="G394" s="227" t="e">
        <f>MID(LEFT(#REF!, FIND(",",#REF!) - 1), FIND("{token}", SUBSTITUTE(#REF!, " ", "{token}", 2)) + 1, LEN(#REF!))</f>
        <v>#REF!</v>
      </c>
      <c r="H394" s="165">
        <v>3.07</v>
      </c>
      <c r="I394" s="230">
        <v>45412</v>
      </c>
      <c r="J394" s="230" t="s">
        <v>1619</v>
      </c>
      <c r="K394" s="226">
        <v>45450</v>
      </c>
      <c r="L394" s="165"/>
      <c r="M394" s="222">
        <v>304</v>
      </c>
      <c r="N394" s="2" t="str">
        <f t="shared" ca="1" si="11"/>
        <v>CLOSED</v>
      </c>
    </row>
    <row r="395" spans="1:14" ht="18.75">
      <c r="A395" s="64" t="s">
        <v>139</v>
      </c>
      <c r="B395" s="98" t="e">
        <f>VLOOKUP([2]!Table27[[#This Row],[Location 
(drop-down)]],'[2]List source'!D$2:E$59,2,FALSE)</f>
        <v>#N/A</v>
      </c>
      <c r="C395" s="99" t="s">
        <v>1032</v>
      </c>
      <c r="D395" s="223" t="e">
        <f t="shared" si="12"/>
        <v>#N/A</v>
      </c>
      <c r="E395" s="227" t="s">
        <v>1812</v>
      </c>
      <c r="F395" s="165" t="s">
        <v>1769</v>
      </c>
      <c r="G395" s="227" t="e">
        <f>MID(LEFT(#REF!, FIND(",",#REF!) - 1), FIND("{token}", SUBSTITUTE(#REF!, " ", "{token}", 2)) + 1, LEN(#REF!))</f>
        <v>#REF!</v>
      </c>
      <c r="H395" s="165">
        <v>2.08</v>
      </c>
      <c r="I395" s="230">
        <v>45412</v>
      </c>
      <c r="J395" s="230" t="s">
        <v>1619</v>
      </c>
      <c r="K395" s="226">
        <v>45450</v>
      </c>
      <c r="L395" s="165"/>
      <c r="M395" s="222">
        <v>305</v>
      </c>
      <c r="N395" s="2" t="str">
        <f t="shared" ca="1" si="11"/>
        <v>CLOSED</v>
      </c>
    </row>
    <row r="396" spans="1:14" ht="30">
      <c r="A396" s="64" t="s">
        <v>500</v>
      </c>
      <c r="B396" s="98" t="e">
        <f>VLOOKUP([2]!Table27[[#This Row],[Location 
(drop-down)]],'[2]List source'!D$2:E$59,2,FALSE)</f>
        <v>#N/A</v>
      </c>
      <c r="C396" s="99" t="s">
        <v>1269</v>
      </c>
      <c r="D396" s="223" t="e">
        <f t="shared" si="12"/>
        <v>#N/A</v>
      </c>
      <c r="E396" s="227" t="s">
        <v>2131</v>
      </c>
      <c r="F396" s="165" t="s">
        <v>1769</v>
      </c>
      <c r="G396" s="227" t="s">
        <v>1770</v>
      </c>
      <c r="H396" s="236" t="s">
        <v>2132</v>
      </c>
      <c r="I396" s="230">
        <v>45412</v>
      </c>
      <c r="J396" s="230" t="s">
        <v>1619</v>
      </c>
      <c r="K396" s="226">
        <v>45450</v>
      </c>
      <c r="L396" s="165"/>
      <c r="M396" s="222">
        <v>310</v>
      </c>
      <c r="N396" s="2" t="str">
        <f t="shared" ca="1" si="11"/>
        <v>CLOSED</v>
      </c>
    </row>
    <row r="397" spans="1:14" ht="30">
      <c r="A397" s="64" t="s">
        <v>485</v>
      </c>
      <c r="B397" s="98" t="e">
        <f>VLOOKUP([2]!Table27[[#This Row],[Location 
(drop-down)]],'[2]List source'!D$2:E$59,2,FALSE)</f>
        <v>#N/A</v>
      </c>
      <c r="C397" s="99" t="s">
        <v>741</v>
      </c>
      <c r="D397" s="223" t="e">
        <f t="shared" si="12"/>
        <v>#N/A</v>
      </c>
      <c r="E397" s="227" t="s">
        <v>2133</v>
      </c>
      <c r="F397" s="165" t="e" cm="1">
        <f t="array" aca="1" ref="F397" ca="1">MID(LEFT(#REF!, INDEX(_xlfn._xlws.FILTER(ROW(INDIRECT("1:" &amp; LEN(#REF!))), (48 &lt;= CODE(MID(#REF!, ROW(INDIRECT("1:" &amp; LEN(#REF!))), 1))) * (CODE(MID(#REF!, ROW(INDIRECT("1:" &amp; LEN(#REF!))), 1)) &lt;= 57)), 1) - 1), FIND(":",#REF!) + 2, LEN(#REF!))</f>
        <v>#REF!</v>
      </c>
      <c r="G397" s="227" t="e">
        <f>MID(LEFT(#REF!, FIND(",",#REF!) - 1), FIND("{token}", SUBSTITUTE(#REF!, " ", "{token}", 2)) + 1, LEN(#REF!))</f>
        <v>#REF!</v>
      </c>
      <c r="H397" s="236" t="s">
        <v>2134</v>
      </c>
      <c r="I397" s="230">
        <v>45418</v>
      </c>
      <c r="J397" s="230" t="s">
        <v>34</v>
      </c>
      <c r="K397" s="226">
        <v>45450</v>
      </c>
      <c r="L397" s="165" t="s">
        <v>2135</v>
      </c>
      <c r="M397" s="222">
        <v>377</v>
      </c>
      <c r="N397" s="2" t="str">
        <f t="shared" ca="1" si="11"/>
        <v>CLOSED</v>
      </c>
    </row>
    <row r="398" spans="1:14" ht="30">
      <c r="A398" s="64" t="s">
        <v>500</v>
      </c>
      <c r="B398" s="98" t="e">
        <f>VLOOKUP([2]!Table27[[#This Row],[Location 
(drop-down)]],'[2]List source'!D$2:E$59,2,FALSE)</f>
        <v>#N/A</v>
      </c>
      <c r="C398" s="99" t="s">
        <v>918</v>
      </c>
      <c r="D398" s="223" t="e">
        <f t="shared" si="12"/>
        <v>#N/A</v>
      </c>
      <c r="E398" s="227" t="s">
        <v>2136</v>
      </c>
      <c r="F398" s="165" t="e" cm="1">
        <f t="array" aca="1" ref="F398" ca="1">MID(LEFT(#REF!, INDEX(_xlfn._xlws.FILTER(ROW(INDIRECT("1:" &amp; LEN(#REF!))), (48 &lt;= CODE(MID(#REF!, ROW(INDIRECT("1:" &amp; LEN(#REF!))), 1))) * (CODE(MID(#REF!, ROW(INDIRECT("1:" &amp; LEN(#REF!))), 1)) &lt;= 57)), 1) - 1), FIND(":",#REF!) + 2, LEN(#REF!))</f>
        <v>#REF!</v>
      </c>
      <c r="G398" s="227" t="e">
        <f>MID(LEFT(#REF!, FIND(",",#REF!) - 1), FIND("{token}", SUBSTITUTE(#REF!, " ", "{token}", 2)) + 1, LEN(#REF!))</f>
        <v>#REF!</v>
      </c>
      <c r="H398" s="165">
        <v>6.46</v>
      </c>
      <c r="I398" s="230">
        <v>45418</v>
      </c>
      <c r="J398" s="230" t="s">
        <v>1619</v>
      </c>
      <c r="K398" s="226">
        <v>45450</v>
      </c>
      <c r="L398" s="165"/>
      <c r="M398" s="222">
        <v>379</v>
      </c>
      <c r="N398" s="2" t="str">
        <f t="shared" ca="1" si="11"/>
        <v>CLOSED</v>
      </c>
    </row>
    <row r="399" spans="1:14" ht="30">
      <c r="A399" s="64" t="s">
        <v>500</v>
      </c>
      <c r="B399" s="98" t="e">
        <f>VLOOKUP([2]!Table27[[#This Row],[Location 
(drop-down)]],'[2]List source'!D$2:E$59,2,FALSE)</f>
        <v>#N/A</v>
      </c>
      <c r="C399" s="99" t="s">
        <v>16</v>
      </c>
      <c r="D399" s="223" t="e">
        <f t="shared" si="12"/>
        <v>#N/A</v>
      </c>
      <c r="E399" s="227" t="s">
        <v>2137</v>
      </c>
      <c r="F399" s="165" t="e" cm="1">
        <f t="array" aca="1" ref="F399" ca="1">MID(LEFT(#REF!, INDEX(_xlfn._xlws.FILTER(ROW(INDIRECT("1:" &amp; LEN(#REF!))), (48 &lt;= CODE(MID(#REF!, ROW(INDIRECT("1:" &amp; LEN(#REF!))), 1))) * (CODE(MID(#REF!, ROW(INDIRECT("1:" &amp; LEN(#REF!))), 1)) &lt;= 57)), 1) - 1), FIND(":",#REF!) + 2, LEN(#REF!))</f>
        <v>#REF!</v>
      </c>
      <c r="G399" s="227" t="e">
        <f>MID(LEFT(#REF!, FIND(",",#REF!) - 1), FIND("{token}", SUBSTITUTE(#REF!, " ", "{token}", 2)) + 1, LEN(#REF!))</f>
        <v>#REF!</v>
      </c>
      <c r="H399" s="236" t="s">
        <v>2138</v>
      </c>
      <c r="I399" s="230">
        <v>45418</v>
      </c>
      <c r="J399" s="230" t="s">
        <v>1619</v>
      </c>
      <c r="K399" s="226">
        <v>45450</v>
      </c>
      <c r="L399" s="165"/>
      <c r="M399" s="222">
        <v>380</v>
      </c>
      <c r="N399" s="2" t="str">
        <f t="shared" ca="1" si="11"/>
        <v>CLOSED</v>
      </c>
    </row>
    <row r="400" spans="1:14" ht="30">
      <c r="A400" s="64" t="s">
        <v>358</v>
      </c>
      <c r="B400" s="98" t="e">
        <f>VLOOKUP([2]!Table27[[#This Row],[Location 
(drop-down)]],'[2]List source'!D$2:E$59,2,FALSE)</f>
        <v>#N/A</v>
      </c>
      <c r="C400" s="99" t="s">
        <v>1057</v>
      </c>
      <c r="D400" s="223" t="e">
        <f t="shared" si="12"/>
        <v>#N/A</v>
      </c>
      <c r="E400" s="227" t="s">
        <v>2139</v>
      </c>
      <c r="F400" s="165" t="s">
        <v>1566</v>
      </c>
      <c r="G400" s="227" t="e">
        <f>MID(LEFT(#REF!, FIND(",",#REF!) - 1), FIND("{token}", SUBSTITUTE(#REF!, " ", "{token}", 2)) + 1, LEN(#REF!))</f>
        <v>#REF!</v>
      </c>
      <c r="H400" s="165">
        <v>4.33</v>
      </c>
      <c r="I400" s="230">
        <v>45418</v>
      </c>
      <c r="J400" s="230" t="s">
        <v>1619</v>
      </c>
      <c r="K400" s="226">
        <v>45450</v>
      </c>
      <c r="L400" s="165"/>
      <c r="M400" s="222">
        <v>409</v>
      </c>
      <c r="N400" s="2" t="str">
        <f t="shared" ca="1" si="11"/>
        <v>CLOSED</v>
      </c>
    </row>
    <row r="401" spans="1:14" ht="30">
      <c r="A401" s="64" t="s">
        <v>358</v>
      </c>
      <c r="B401" s="98" t="e">
        <f>VLOOKUP([2]!Table27[[#This Row],[Location 
(drop-down)]],'[2]List source'!D$2:E$59,2,FALSE)</f>
        <v>#N/A</v>
      </c>
      <c r="C401" s="99" t="s">
        <v>1148</v>
      </c>
      <c r="D401" s="223" t="e">
        <f t="shared" si="12"/>
        <v>#N/A</v>
      </c>
      <c r="E401" s="227" t="s">
        <v>2140</v>
      </c>
      <c r="F401" s="165" t="s">
        <v>1520</v>
      </c>
      <c r="G401" s="227" t="e">
        <f>MID(LEFT(#REF!, FIND(",",#REF!) - 1), FIND("{token}", SUBSTITUTE(#REF!, " ", "{token}", 2)) + 1, LEN(#REF!))</f>
        <v>#REF!</v>
      </c>
      <c r="H401" s="165">
        <v>8.74</v>
      </c>
      <c r="I401" s="230">
        <v>45426</v>
      </c>
      <c r="J401" s="230" t="s">
        <v>1619</v>
      </c>
      <c r="K401" s="226">
        <v>45450</v>
      </c>
      <c r="L401" s="165"/>
      <c r="M401" s="222">
        <v>471</v>
      </c>
      <c r="N401" s="2" t="str">
        <f t="shared" ca="1" si="11"/>
        <v>CLOSED</v>
      </c>
    </row>
    <row r="402" spans="1:14" ht="30">
      <c r="A402" s="64" t="s">
        <v>358</v>
      </c>
      <c r="B402" s="98" t="e">
        <f>VLOOKUP([2]!Table27[[#This Row],[Location 
(drop-down)]],'[2]List source'!D$2:E$59,2,FALSE)</f>
        <v>#N/A</v>
      </c>
      <c r="C402" s="99" t="s">
        <v>563</v>
      </c>
      <c r="D402" s="223" t="e">
        <f t="shared" si="12"/>
        <v>#N/A</v>
      </c>
      <c r="E402" s="227" t="s">
        <v>2141</v>
      </c>
      <c r="F402" s="165" t="s">
        <v>1566</v>
      </c>
      <c r="G402" s="227" t="e">
        <f>MID(LEFT(#REF!, FIND(",",#REF!) - 1), FIND("{token}", SUBSTITUTE(#REF!, " ", "{token}", 2)) + 1, LEN(#REF!))</f>
        <v>#REF!</v>
      </c>
      <c r="H402" s="165">
        <v>2.65</v>
      </c>
      <c r="I402" s="230">
        <v>45427</v>
      </c>
      <c r="J402" s="230" t="s">
        <v>1619</v>
      </c>
      <c r="K402" s="226">
        <v>45450</v>
      </c>
      <c r="L402" s="165"/>
      <c r="M402" s="222">
        <v>519</v>
      </c>
      <c r="N402" s="2" t="str">
        <f t="shared" ca="1" si="11"/>
        <v>CLOSED</v>
      </c>
    </row>
    <row r="403" spans="1:14" ht="30">
      <c r="A403" s="64" t="s">
        <v>1334</v>
      </c>
      <c r="B403" s="98" t="e">
        <f>VLOOKUP([2]!Table27[[#This Row],[Location 
(drop-down)]],'[2]List source'!D$2:E$59,2,FALSE)</f>
        <v>#N/A</v>
      </c>
      <c r="C403" s="99" t="s">
        <v>2142</v>
      </c>
      <c r="D403" s="223" t="e">
        <f t="shared" si="12"/>
        <v>#N/A</v>
      </c>
      <c r="E403" s="227" t="s">
        <v>2143</v>
      </c>
      <c r="F403" s="165" t="s">
        <v>1524</v>
      </c>
      <c r="G403" s="227" t="e">
        <f>MID(LEFT(#REF!, FIND(",",#REF!) - 1), FIND("{token}", SUBSTITUTE(#REF!, " ", "{token}", 2)) + 1, LEN(#REF!))</f>
        <v>#REF!</v>
      </c>
      <c r="H403" s="165" t="s">
        <v>2144</v>
      </c>
      <c r="I403" s="230">
        <v>45428</v>
      </c>
      <c r="J403" s="230" t="s">
        <v>1619</v>
      </c>
      <c r="K403" s="226">
        <v>45450</v>
      </c>
      <c r="L403" s="165"/>
      <c r="M403" s="222">
        <v>533</v>
      </c>
      <c r="N403" s="2" t="str">
        <f t="shared" ca="1" si="11"/>
        <v>CLOSED</v>
      </c>
    </row>
    <row r="404" spans="1:14" ht="18.75">
      <c r="A404" s="64" t="s">
        <v>462</v>
      </c>
      <c r="B404" s="98" t="e">
        <f>VLOOKUP([2]!Table27[[#This Row],[Location 
(drop-down)]],'[2]List source'!D$2:E$59,2,FALSE)</f>
        <v>#N/A</v>
      </c>
      <c r="C404" s="99" t="s">
        <v>2145</v>
      </c>
      <c r="D404" s="223" t="e">
        <f t="shared" si="12"/>
        <v>#N/A</v>
      </c>
      <c r="E404" s="227" t="s">
        <v>2146</v>
      </c>
      <c r="F404" s="165" t="e" cm="1">
        <f t="array" aca="1" ref="F404" ca="1">MID(LEFT(#REF!, INDEX(_xlfn._xlws.FILTER(ROW(INDIRECT("1:" &amp; LEN(#REF!))), (48 &lt;= CODE(MID(#REF!, ROW(INDIRECT("1:" &amp; LEN(#REF!))), 1))) * (CODE(MID(#REF!, ROW(INDIRECT("1:" &amp; LEN(#REF!))), 1)) &lt;= 57)), 1) - 1), FIND(":",#REF!) + 2, LEN(#REF!))</f>
        <v>#REF!</v>
      </c>
      <c r="G404" s="227" t="e">
        <f>MID(LEFT(#REF!, FIND(",",#REF!) - 1), FIND("{token}", SUBSTITUTE(#REF!, " ", "{token}", 2)) + 1, LEN(#REF!))</f>
        <v>#REF!</v>
      </c>
      <c r="H404" s="165">
        <v>35.04</v>
      </c>
      <c r="I404" s="230">
        <v>45435</v>
      </c>
      <c r="J404" s="230" t="s">
        <v>34</v>
      </c>
      <c r="K404" s="226">
        <v>45456</v>
      </c>
      <c r="L404" s="165" t="s">
        <v>1505</v>
      </c>
      <c r="M404" s="222">
        <v>611</v>
      </c>
      <c r="N404" s="2" t="str">
        <f t="shared" ca="1" si="11"/>
        <v>CLOSED</v>
      </c>
    </row>
    <row r="405" spans="1:14" ht="30">
      <c r="A405" s="64" t="s">
        <v>80</v>
      </c>
      <c r="B405" s="98" t="e">
        <f>VLOOKUP([2]!Table27[[#This Row],[Location 
(drop-down)]],'[2]List source'!D$2:E$59,2,FALSE)</f>
        <v>#N/A</v>
      </c>
      <c r="C405" s="99" t="s">
        <v>821</v>
      </c>
      <c r="D405" s="223" t="e">
        <f t="shared" si="12"/>
        <v>#N/A</v>
      </c>
      <c r="E405" s="227" t="s">
        <v>2147</v>
      </c>
      <c r="F405" s="165" t="e" cm="1">
        <f t="array" aca="1" ref="F405" ca="1">MID(LEFT(#REF!, INDEX(_xlfn._xlws.FILTER(ROW(INDIRECT("1:" &amp; LEN(#REF!))), (48 &lt;= CODE(MID(#REF!, ROW(INDIRECT("1:" &amp; LEN(#REF!))), 1))) * (CODE(MID(#REF!, ROW(INDIRECT("1:" &amp; LEN(#REF!))), 1)) &lt;= 57)), 1) - 1), FIND(":",#REF!) + 2, LEN(#REF!))</f>
        <v>#REF!</v>
      </c>
      <c r="G405" s="227" t="e">
        <f>MID(LEFT(#REF!, FIND(",",#REF!) - 1), FIND("{token}", SUBSTITUTE(#REF!, " ", "{token}", 2)) + 1, LEN(#REF!))</f>
        <v>#REF!</v>
      </c>
      <c r="H405" s="165">
        <v>3.79</v>
      </c>
      <c r="I405" s="230">
        <v>45418</v>
      </c>
      <c r="J405" s="230" t="s">
        <v>239</v>
      </c>
      <c r="K405" s="226">
        <v>45462</v>
      </c>
      <c r="L405" s="165"/>
      <c r="M405" s="222">
        <v>373</v>
      </c>
      <c r="N405" s="2" t="str">
        <f t="shared" ca="1" si="11"/>
        <v>CLOSED</v>
      </c>
    </row>
    <row r="406" spans="1:14" ht="30">
      <c r="A406" s="64" t="s">
        <v>185</v>
      </c>
      <c r="B406" s="98" t="e">
        <f>VLOOKUP([2]!Table27[[#This Row],[Location 
(drop-down)]],'[2]List source'!D$2:E$59,2,FALSE)</f>
        <v>#N/A</v>
      </c>
      <c r="C406" s="99" t="s">
        <v>109</v>
      </c>
      <c r="D406" s="223" t="e">
        <f t="shared" si="12"/>
        <v>#N/A</v>
      </c>
      <c r="E406" s="227" t="s">
        <v>2148</v>
      </c>
      <c r="F406" s="165" t="s">
        <v>1566</v>
      </c>
      <c r="G406" s="227" t="e">
        <f>MID(LEFT(#REF!, FIND(",",#REF!) - 1), FIND("{token}", SUBSTITUTE(#REF!, " ", "{token}", 2)) + 1, LEN(#REF!))</f>
        <v>#REF!</v>
      </c>
      <c r="H406" s="165">
        <v>3.33</v>
      </c>
      <c r="I406" s="230">
        <v>45427</v>
      </c>
      <c r="J406" s="230" t="s">
        <v>29</v>
      </c>
      <c r="K406" s="226">
        <v>45463</v>
      </c>
      <c r="L406" s="165"/>
      <c r="M406" s="222">
        <v>505</v>
      </c>
      <c r="N406" s="2" t="str">
        <f t="shared" ca="1" si="11"/>
        <v>CLOSED</v>
      </c>
    </row>
    <row r="407" spans="1:14" ht="30">
      <c r="A407" s="64" t="s">
        <v>202</v>
      </c>
      <c r="B407" s="98" t="e">
        <f>VLOOKUP([2]!Table27[[#This Row],[Location 
(drop-down)]],'[2]List source'!D$2:E$59,2,FALSE)</f>
        <v>#N/A</v>
      </c>
      <c r="C407" s="99" t="s">
        <v>2149</v>
      </c>
      <c r="D407" s="223" t="e">
        <f t="shared" si="12"/>
        <v>#N/A</v>
      </c>
      <c r="E407" s="227" t="s">
        <v>2150</v>
      </c>
      <c r="F407" s="165" t="e" cm="1">
        <f t="array" aca="1" ref="F407" ca="1">MID(LEFT(#REF!, INDEX(_xlfn._xlws.FILTER(ROW(INDIRECT("1:" &amp; LEN(#REF!))), (48 &lt;= CODE(MID(#REF!, ROW(INDIRECT("1:" &amp; LEN(#REF!))), 1))) * (CODE(MID(#REF!, ROW(INDIRECT("1:" &amp; LEN(#REF!))), 1)) &lt;= 57)), 1) - 1), FIND(":",#REF!) + 2, LEN(#REF!))</f>
        <v>#REF!</v>
      </c>
      <c r="G407" s="227" t="e">
        <f>MID(LEFT(#REF!, FIND(",",#REF!) - 1), FIND("{token}", SUBSTITUTE(#REF!, " ", "{token}", 2)) + 1, LEN(#REF!))</f>
        <v>#REF!</v>
      </c>
      <c r="H407" s="165">
        <v>22.02</v>
      </c>
      <c r="I407" s="230">
        <v>45464</v>
      </c>
      <c r="J407" s="230" t="s">
        <v>34</v>
      </c>
      <c r="K407" s="226">
        <v>45464</v>
      </c>
      <c r="L407" s="165" t="s">
        <v>1505</v>
      </c>
      <c r="M407" s="222">
        <v>657</v>
      </c>
      <c r="N407" s="2" t="str">
        <f t="shared" ca="1" si="11"/>
        <v>CLOSED</v>
      </c>
    </row>
    <row r="408" spans="1:14" ht="18.75">
      <c r="A408" s="64" t="s">
        <v>43</v>
      </c>
      <c r="B408" s="98" t="e">
        <f>VLOOKUP([2]!Table27[[#This Row],[Location 
(drop-down)]],'[2]List source'!D$2:E$59,2,FALSE)</f>
        <v>#N/A</v>
      </c>
      <c r="C408" s="99" t="s">
        <v>926</v>
      </c>
      <c r="D408" s="223" t="e">
        <f t="shared" si="12"/>
        <v>#N/A</v>
      </c>
      <c r="E408" s="227" t="s">
        <v>2151</v>
      </c>
      <c r="F408" s="165" t="e" cm="1">
        <f t="array" aca="1" ref="F408" ca="1">MID(LEFT(#REF!, INDEX(_xlfn._xlws.FILTER(ROW(INDIRECT("1:" &amp; LEN(#REF!))), (48 &lt;= CODE(MID(#REF!, ROW(INDIRECT("1:" &amp; LEN(#REF!))), 1))) * (CODE(MID(#REF!, ROW(INDIRECT("1:" &amp; LEN(#REF!))), 1)) &lt;= 57)), 1) - 1), FIND(":",#REF!) + 2, LEN(#REF!))</f>
        <v>#REF!</v>
      </c>
      <c r="G408" s="227" t="e">
        <f>MID(LEFT(#REF!, FIND(",",#REF!) - 1), FIND("{token}", SUBSTITUTE(#REF!, " ", "{token}", 2)) + 1, LEN(#REF!))</f>
        <v>#REF!</v>
      </c>
      <c r="H408" s="165">
        <v>-2.5099999999999998</v>
      </c>
      <c r="I408" s="230">
        <v>45306</v>
      </c>
      <c r="J408" s="230" t="s">
        <v>29</v>
      </c>
      <c r="K408" s="226">
        <v>45467</v>
      </c>
      <c r="L408" s="165"/>
      <c r="M408" s="222">
        <v>52</v>
      </c>
      <c r="N408" s="2" t="str">
        <f t="shared" ref="N408:N471" ca="1" si="13">IF(ISBLANK(K408), TODAY()-(I408), "CLOSED")</f>
        <v>CLOSED</v>
      </c>
    </row>
    <row r="409" spans="1:14" ht="18.75">
      <c r="A409" s="64" t="s">
        <v>103</v>
      </c>
      <c r="B409" s="98" t="e">
        <f>VLOOKUP([2]!Table27[[#This Row],[Location 
(drop-down)]],'[2]List source'!D$2:E$59,2,FALSE)</f>
        <v>#N/A</v>
      </c>
      <c r="C409" s="99" t="s">
        <v>1301</v>
      </c>
      <c r="D409" s="223" t="e">
        <f t="shared" si="12"/>
        <v>#N/A</v>
      </c>
      <c r="E409" s="227" t="s">
        <v>2152</v>
      </c>
      <c r="F409" s="165" t="e" cm="1">
        <f t="array" aca="1" ref="F409" ca="1">MID(LEFT(#REF!, INDEX(_xlfn._xlws.FILTER(ROW(INDIRECT("1:" &amp; LEN(#REF!))), (48 &lt;= CODE(MID(#REF!, ROW(INDIRECT("1:" &amp; LEN(#REF!))), 1))) * (CODE(MID(#REF!, ROW(INDIRECT("1:" &amp; LEN(#REF!))), 1)) &lt;= 57)), 1) - 1), FIND(":",#REF!) + 2, LEN(#REF!))</f>
        <v>#REF!</v>
      </c>
      <c r="G409" s="227" t="e">
        <f>MID(LEFT(#REF!, FIND(",",#REF!) - 1), FIND("{token}", SUBSTITUTE(#REF!, " ", "{token}", 2)) + 1, LEN(#REF!))</f>
        <v>#REF!</v>
      </c>
      <c r="H409" s="236" t="s">
        <v>2153</v>
      </c>
      <c r="I409" s="230">
        <v>45376</v>
      </c>
      <c r="J409" s="230" t="s">
        <v>1619</v>
      </c>
      <c r="K409" s="226">
        <v>45468</v>
      </c>
      <c r="L409" s="165"/>
      <c r="M409" s="222">
        <v>126</v>
      </c>
      <c r="N409" s="2" t="str">
        <f t="shared" ca="1" si="13"/>
        <v>CLOSED</v>
      </c>
    </row>
    <row r="410" spans="1:14" ht="30">
      <c r="A410" s="64" t="s">
        <v>500</v>
      </c>
      <c r="B410" s="98" t="e">
        <f>VLOOKUP([2]!Table27[[#This Row],[Location 
(drop-down)]],'[2]List source'!D$2:E$59,2,FALSE)</f>
        <v>#N/A</v>
      </c>
      <c r="C410" s="99" t="s">
        <v>778</v>
      </c>
      <c r="D410" s="223" t="e">
        <f t="shared" si="12"/>
        <v>#N/A</v>
      </c>
      <c r="E410" s="228" t="s">
        <v>2154</v>
      </c>
      <c r="F410" s="229" t="s">
        <v>1769</v>
      </c>
      <c r="G410" s="228" t="e">
        <f>MID(LEFT(#REF!, FIND(",",#REF!) - 1), FIND("{token}", SUBSTITUTE(#REF!, " ", "{token}", 2)) + 1, LEN(#REF!))</f>
        <v>#REF!</v>
      </c>
      <c r="H410" s="229" t="s">
        <v>2155</v>
      </c>
      <c r="I410" s="230">
        <v>45411</v>
      </c>
      <c r="J410" s="230" t="s">
        <v>1619</v>
      </c>
      <c r="K410" s="226">
        <v>45468</v>
      </c>
      <c r="L410" s="165"/>
      <c r="M410" s="222">
        <v>261</v>
      </c>
      <c r="N410" s="2" t="str">
        <f t="shared" ca="1" si="13"/>
        <v>CLOSED</v>
      </c>
    </row>
    <row r="411" spans="1:14" ht="18.75">
      <c r="A411" s="64" t="s">
        <v>103</v>
      </c>
      <c r="B411" s="98" t="e">
        <f>VLOOKUP([2]!Table27[[#This Row],[Location 
(drop-down)]],'[2]List source'!D$2:E$59,2,FALSE)</f>
        <v>#N/A</v>
      </c>
      <c r="C411" s="99" t="s">
        <v>397</v>
      </c>
      <c r="D411" s="223" t="e">
        <f t="shared" si="12"/>
        <v>#N/A</v>
      </c>
      <c r="E411" s="227" t="s">
        <v>2156</v>
      </c>
      <c r="F411" s="165" t="s">
        <v>1769</v>
      </c>
      <c r="G411" s="227" t="e">
        <f>MID(LEFT(#REF!, FIND(",",#REF!) - 1), FIND("{token}", SUBSTITUTE(#REF!, " ", "{token}", 2)) + 1, LEN(#REF!))</f>
        <v>#REF!</v>
      </c>
      <c r="H411" s="236" t="s">
        <v>2157</v>
      </c>
      <c r="I411" s="230">
        <v>45412</v>
      </c>
      <c r="J411" s="230" t="s">
        <v>1619</v>
      </c>
      <c r="K411" s="226">
        <v>45468</v>
      </c>
      <c r="L411" s="165"/>
      <c r="M411" s="222">
        <v>308</v>
      </c>
      <c r="N411" s="2" t="str">
        <f t="shared" ca="1" si="13"/>
        <v>CLOSED</v>
      </c>
    </row>
    <row r="412" spans="1:14" ht="18.75">
      <c r="A412" s="64" t="s">
        <v>15</v>
      </c>
      <c r="B412" s="98" t="e">
        <f>VLOOKUP([2]!Table27[[#This Row],[Location 
(drop-down)]],'[2]List source'!D$2:E$59,2,FALSE)</f>
        <v>#N/A</v>
      </c>
      <c r="C412" s="99" t="s">
        <v>2158</v>
      </c>
      <c r="D412" s="223" t="e">
        <f t="shared" si="12"/>
        <v>#N/A</v>
      </c>
      <c r="E412" s="227" t="s">
        <v>2159</v>
      </c>
      <c r="F412" s="165" t="s">
        <v>2160</v>
      </c>
      <c r="G412" s="227" t="e">
        <f>MID(LEFT(#REF!, FIND(",",#REF!) - 1), FIND("{token}", SUBSTITUTE(#REF!, " ", "{token}", 2)) + 1, LEN(#REF!))</f>
        <v>#REF!</v>
      </c>
      <c r="H412" s="165">
        <v>2.29</v>
      </c>
      <c r="I412" s="230">
        <v>45471</v>
      </c>
      <c r="J412" s="230" t="s">
        <v>34</v>
      </c>
      <c r="K412" s="226">
        <v>45471</v>
      </c>
      <c r="L412" s="259" t="s">
        <v>1671</v>
      </c>
      <c r="M412" s="222">
        <v>659</v>
      </c>
      <c r="N412" s="2" t="str">
        <f t="shared" ca="1" si="13"/>
        <v>CLOSED</v>
      </c>
    </row>
    <row r="413" spans="1:14" ht="18.75">
      <c r="A413" s="64" t="s">
        <v>15</v>
      </c>
      <c r="B413" s="98" t="e">
        <f>VLOOKUP([2]!Table27[[#This Row],[Location 
(drop-down)]],'[2]List source'!D$2:E$59,2,FALSE)</f>
        <v>#N/A</v>
      </c>
      <c r="C413" s="99" t="s">
        <v>2161</v>
      </c>
      <c r="D413" s="223" t="e">
        <f t="shared" si="12"/>
        <v>#N/A</v>
      </c>
      <c r="E413" s="227" t="s">
        <v>2162</v>
      </c>
      <c r="F413" s="165" t="s">
        <v>2160</v>
      </c>
      <c r="G413" s="227" t="e">
        <f>MID(LEFT(#REF!, FIND(",",#REF!) - 1), FIND("{token}", SUBSTITUTE(#REF!, " ", "{token}", 2)) + 1, LEN(#REF!))</f>
        <v>#REF!</v>
      </c>
      <c r="H413" s="165">
        <v>2.12</v>
      </c>
      <c r="I413" s="230">
        <v>45471</v>
      </c>
      <c r="J413" s="230" t="s">
        <v>34</v>
      </c>
      <c r="K413" s="226">
        <v>45471</v>
      </c>
      <c r="L413" s="259" t="s">
        <v>1671</v>
      </c>
      <c r="M413" s="222">
        <v>660</v>
      </c>
      <c r="N413" s="2" t="str">
        <f t="shared" ca="1" si="13"/>
        <v>CLOSED</v>
      </c>
    </row>
    <row r="414" spans="1:14" ht="18.75">
      <c r="A414" s="64" t="s">
        <v>139</v>
      </c>
      <c r="B414" s="98" t="e">
        <f>VLOOKUP([2]!Table27[[#This Row],[Location 
(drop-down)]],'[2]List source'!D$2:E$59,2,FALSE)</f>
        <v>#N/A</v>
      </c>
      <c r="C414" s="99" t="s">
        <v>447</v>
      </c>
      <c r="D414" s="223" t="e">
        <f t="shared" si="12"/>
        <v>#N/A</v>
      </c>
      <c r="E414" s="227" t="s">
        <v>2163</v>
      </c>
      <c r="F414" s="165" t="e" cm="1">
        <f t="array" aca="1" ref="F414" ca="1">MID(LEFT(#REF!, INDEX(_xlfn._xlws.FILTER(ROW(INDIRECT("1:" &amp; LEN(#REF!))), (48 &lt;= CODE(MID(#REF!, ROW(INDIRECT("1:" &amp; LEN(#REF!))), 1))) * (CODE(MID(#REF!, ROW(INDIRECT("1:" &amp; LEN(#REF!))), 1)) &lt;= 57)), 1) - 1), FIND(":",#REF!) + 2, LEN(#REF!))</f>
        <v>#REF!</v>
      </c>
      <c r="G414" s="227" t="e">
        <f>MID(LEFT(#REF!, FIND(",",#REF!) - 1), FIND("{token}", SUBSTITUTE(#REF!, " ", "{token}", 2)) + 1, LEN(#REF!))</f>
        <v>#REF!</v>
      </c>
      <c r="H414" s="206">
        <v>2.17</v>
      </c>
      <c r="I414" s="230">
        <v>45376</v>
      </c>
      <c r="J414" s="230" t="s">
        <v>1619</v>
      </c>
      <c r="K414" s="226">
        <v>45474</v>
      </c>
      <c r="L414" s="165"/>
      <c r="M414" s="222">
        <v>135</v>
      </c>
      <c r="N414" s="2" t="str">
        <f t="shared" ca="1" si="13"/>
        <v>CLOSED</v>
      </c>
    </row>
    <row r="415" spans="1:14" ht="18.75">
      <c r="A415" s="64" t="s">
        <v>43</v>
      </c>
      <c r="B415" s="98" t="e">
        <f>VLOOKUP([2]!Table27[[#This Row],[Location 
(drop-down)]],'[2]List source'!D$2:E$59,2,FALSE)</f>
        <v>#N/A</v>
      </c>
      <c r="C415" s="99" t="s">
        <v>880</v>
      </c>
      <c r="D415" s="223" t="e">
        <f t="shared" si="12"/>
        <v>#N/A</v>
      </c>
      <c r="E415" s="227" t="s">
        <v>2164</v>
      </c>
      <c r="F415" s="165" t="e" cm="1">
        <f t="array" aca="1" ref="F415" ca="1">MID(LEFT(#REF!, INDEX(_xlfn._xlws.FILTER(ROW(INDIRECT("1:" &amp; LEN(#REF!))), (48 &lt;= CODE(MID(#REF!, ROW(INDIRECT("1:" &amp; LEN(#REF!))), 1))) * (CODE(MID(#REF!, ROW(INDIRECT("1:" &amp; LEN(#REF!))), 1)) &lt;= 57)), 1) - 1), FIND(":",#REF!) + 2, LEN(#REF!))</f>
        <v>#REF!</v>
      </c>
      <c r="G415" s="227" t="e">
        <f>MID(LEFT(#REF!, FIND(",",#REF!) - 1), FIND("{token}", SUBSTITUTE(#REF!, " ", "{token}", 2)) + 1, LEN(#REF!))</f>
        <v>#REF!</v>
      </c>
      <c r="H415" s="236" t="s">
        <v>1679</v>
      </c>
      <c r="I415" s="260">
        <v>45407</v>
      </c>
      <c r="J415" s="230" t="s">
        <v>29</v>
      </c>
      <c r="K415" s="226">
        <v>45475</v>
      </c>
      <c r="L415" s="165"/>
      <c r="M415" s="222">
        <v>236</v>
      </c>
      <c r="N415" s="2" t="str">
        <f t="shared" ca="1" si="13"/>
        <v>CLOSED</v>
      </c>
    </row>
    <row r="416" spans="1:14" ht="18.75">
      <c r="A416" s="64" t="s">
        <v>43</v>
      </c>
      <c r="B416" s="98" t="e">
        <f>VLOOKUP([2]!Table27[[#This Row],[Location 
(drop-down)]],'[2]List source'!D$2:E$59,2,FALSE)</f>
        <v>#N/A</v>
      </c>
      <c r="C416" s="99" t="s">
        <v>780</v>
      </c>
      <c r="D416" s="223" t="e">
        <f t="shared" si="12"/>
        <v>#N/A</v>
      </c>
      <c r="E416" s="227" t="s">
        <v>2165</v>
      </c>
      <c r="F416" s="165" t="e" cm="1">
        <f t="array" aca="1" ref="F416" ca="1">MID(LEFT(#REF!, INDEX(_xlfn._xlws.FILTER(ROW(INDIRECT("1:" &amp; LEN(#REF!))), (48 &lt;= CODE(MID(#REF!, ROW(INDIRECT("1:" &amp; LEN(#REF!))), 1))) * (CODE(MID(#REF!, ROW(INDIRECT("1:" &amp; LEN(#REF!))), 1)) &lt;= 57)), 1) - 1), FIND(":",#REF!) + 2, LEN(#REF!))</f>
        <v>#REF!</v>
      </c>
      <c r="G416" s="227" t="e">
        <f>MID(LEFT(#REF!, FIND(",",#REF!) - 1), FIND("{token}", SUBSTITUTE(#REF!, " ", "{token}", 2)) + 1, LEN(#REF!))</f>
        <v>#REF!</v>
      </c>
      <c r="H416" s="165">
        <v>4.67</v>
      </c>
      <c r="I416" s="260">
        <v>45407</v>
      </c>
      <c r="J416" s="230" t="s">
        <v>29</v>
      </c>
      <c r="K416" s="278">
        <v>45475</v>
      </c>
      <c r="L416" s="227"/>
      <c r="M416" s="222">
        <v>243</v>
      </c>
      <c r="N416" s="2" t="str">
        <f t="shared" ca="1" si="13"/>
        <v>CLOSED</v>
      </c>
    </row>
    <row r="417" spans="1:14" ht="18.75">
      <c r="A417" s="64" t="s">
        <v>103</v>
      </c>
      <c r="B417" s="98" t="e">
        <f>VLOOKUP([2]!Table27[[#This Row],[Location 
(drop-down)]],'[2]List source'!D$2:E$59,2,FALSE)</f>
        <v>#N/A</v>
      </c>
      <c r="C417" s="99" t="s">
        <v>630</v>
      </c>
      <c r="D417" s="223" t="e">
        <f t="shared" si="12"/>
        <v>#N/A</v>
      </c>
      <c r="E417" s="227" t="s">
        <v>2166</v>
      </c>
      <c r="F417" s="165" t="e" cm="1">
        <f t="array" aca="1" ref="F417" ca="1">MID(LEFT(#REF!, INDEX(_xlfn._xlws.FILTER(ROW(INDIRECT("1:" &amp; LEN(#REF!))), (48 &lt;= CODE(MID(#REF!, ROW(INDIRECT("1:" &amp; LEN(#REF!))), 1))) * (CODE(MID(#REF!, ROW(INDIRECT("1:" &amp; LEN(#REF!))), 1)) &lt;= 57)), 1) - 1), FIND(":",#REF!) + 2, LEN(#REF!))</f>
        <v>#REF!</v>
      </c>
      <c r="G417" s="227" t="e">
        <f>MID(LEFT(#REF!, FIND(",",#REF!) - 1), FIND("{token}", SUBSTITUTE(#REF!, " ", "{token}", 2)) + 1, LEN(#REF!))</f>
        <v>#REF!</v>
      </c>
      <c r="H417" s="236" t="s">
        <v>2167</v>
      </c>
      <c r="I417" s="230">
        <v>45418</v>
      </c>
      <c r="J417" s="230" t="s">
        <v>1619</v>
      </c>
      <c r="K417" s="226">
        <v>45475</v>
      </c>
      <c r="L417" s="165"/>
      <c r="M417" s="222">
        <v>367</v>
      </c>
      <c r="N417" s="2" t="str">
        <f t="shared" ca="1" si="13"/>
        <v>CLOSED</v>
      </c>
    </row>
    <row r="418" spans="1:14" ht="18.75">
      <c r="A418" s="64" t="s">
        <v>103</v>
      </c>
      <c r="B418" s="98" t="e">
        <f>VLOOKUP([2]!Table27[[#This Row],[Location 
(drop-down)]],'[2]List source'!D$2:E$59,2,FALSE)</f>
        <v>#N/A</v>
      </c>
      <c r="C418" s="99" t="s">
        <v>1093</v>
      </c>
      <c r="D418" s="223" t="e">
        <f t="shared" si="12"/>
        <v>#N/A</v>
      </c>
      <c r="E418" s="227" t="s">
        <v>2168</v>
      </c>
      <c r="F418" s="165" t="e" cm="1">
        <f t="array" aca="1" ref="F418" ca="1">MID(LEFT(#REF!, INDEX(_xlfn._xlws.FILTER(ROW(INDIRECT("1:" &amp; LEN(#REF!))), (48 &lt;= CODE(MID(#REF!, ROW(INDIRECT("1:" &amp; LEN(#REF!))), 1))) * (CODE(MID(#REF!, ROW(INDIRECT("1:" &amp; LEN(#REF!))), 1)) &lt;= 57)), 1) - 1), FIND(":",#REF!) + 2, LEN(#REF!))</f>
        <v>#REF!</v>
      </c>
      <c r="G418" s="227" t="e">
        <f>MID(LEFT(#REF!, FIND(",",#REF!) - 1), FIND("{token}", SUBSTITUTE(#REF!, " ", "{token}", 2)) + 1, LEN(#REF!))</f>
        <v>#REF!</v>
      </c>
      <c r="H418" s="165">
        <v>2.58</v>
      </c>
      <c r="I418" s="230">
        <v>45420</v>
      </c>
      <c r="J418" s="230" t="s">
        <v>1619</v>
      </c>
      <c r="K418" s="226">
        <v>45475</v>
      </c>
      <c r="L418" s="165"/>
      <c r="M418" s="222">
        <v>428</v>
      </c>
      <c r="N418" s="2" t="str">
        <f t="shared" ca="1" si="13"/>
        <v>CLOSED</v>
      </c>
    </row>
    <row r="419" spans="1:14" ht="30">
      <c r="A419" s="64" t="s">
        <v>591</v>
      </c>
      <c r="B419" s="98" t="e">
        <f>VLOOKUP([2]!Table27[[#This Row],[Location 
(drop-down)]],'[2]List source'!D$2:E$59,2,FALSE)</f>
        <v>#N/A</v>
      </c>
      <c r="C419" s="99" t="s">
        <v>2169</v>
      </c>
      <c r="D419" s="223" t="e">
        <f t="shared" si="12"/>
        <v>#N/A</v>
      </c>
      <c r="E419" s="227" t="s">
        <v>2170</v>
      </c>
      <c r="F419" s="165" t="e" cm="1">
        <f t="array" aca="1" ref="F419" ca="1">MID(LEFT(#REF!, INDEX(_xlfn._xlws.FILTER(ROW(INDIRECT("1:" &amp; LEN(#REF!))), (48 &lt;= CODE(MID(#REF!, ROW(INDIRECT("1:" &amp; LEN(#REF!))), 1))) * (CODE(MID(#REF!, ROW(INDIRECT("1:" &amp; LEN(#REF!))), 1)) &lt;= 57)), 1) - 1), FIND(":",#REF!) + 2, LEN(#REF!))</f>
        <v>#REF!</v>
      </c>
      <c r="G419" s="227" t="e">
        <f>MID(LEFT(#REF!, FIND(",",#REF!) - 1), FIND("{token}", SUBSTITUTE(#REF!, " ", "{token}", 2)) + 1, LEN(#REF!))</f>
        <v>#REF!</v>
      </c>
      <c r="H419" s="165">
        <v>6.79</v>
      </c>
      <c r="I419" s="230">
        <v>45435</v>
      </c>
      <c r="J419" s="230" t="s">
        <v>29</v>
      </c>
      <c r="K419" s="226">
        <v>45476</v>
      </c>
      <c r="L419" s="165"/>
      <c r="M419" s="222">
        <v>580</v>
      </c>
      <c r="N419" s="2" t="str">
        <f t="shared" ca="1" si="13"/>
        <v>CLOSED</v>
      </c>
    </row>
    <row r="420" spans="1:14" ht="30">
      <c r="A420" s="64" t="s">
        <v>125</v>
      </c>
      <c r="B420" s="98" t="e">
        <f>VLOOKUP([2]!Table27[[#This Row],[Location 
(drop-down)]],'[2]List source'!D$2:E$59,2,FALSE)</f>
        <v>#N/A</v>
      </c>
      <c r="C420" s="99" t="s">
        <v>883</v>
      </c>
      <c r="D420" s="223" t="e">
        <f t="shared" si="12"/>
        <v>#N/A</v>
      </c>
      <c r="E420" s="227" t="s">
        <v>2171</v>
      </c>
      <c r="F420" s="165" t="e" cm="1">
        <f t="array" aca="1" ref="F420" ca="1">MID(LEFT(#REF!, INDEX(_xlfn._xlws.FILTER(ROW(INDIRECT("1:" &amp; LEN(#REF!))), (48 &lt;= CODE(MID(#REF!, ROW(INDIRECT("1:" &amp; LEN(#REF!))), 1))) * (CODE(MID(#REF!, ROW(INDIRECT("1:" &amp; LEN(#REF!))), 1)) &lt;= 57)), 1) - 1), FIND(":",#REF!) + 2, LEN(#REF!))</f>
        <v>#REF!</v>
      </c>
      <c r="G420" s="227" t="e">
        <f>MID(LEFT(#REF!, FIND(",",#REF!) - 1), FIND("{token}", SUBSTITUTE(#REF!, " ", "{token}", 2)) + 1, LEN(#REF!))</f>
        <v>#REF!</v>
      </c>
      <c r="H420" s="236" t="s">
        <v>2172</v>
      </c>
      <c r="I420" s="260">
        <v>45406</v>
      </c>
      <c r="J420" s="230" t="s">
        <v>111</v>
      </c>
      <c r="K420" s="226">
        <v>45482</v>
      </c>
      <c r="L420" s="204"/>
      <c r="M420" s="222">
        <v>218</v>
      </c>
      <c r="N420" s="2" t="str">
        <f t="shared" ca="1" si="13"/>
        <v>CLOSED</v>
      </c>
    </row>
    <row r="421" spans="1:14" ht="30">
      <c r="A421" s="64" t="s">
        <v>125</v>
      </c>
      <c r="B421" s="98" t="e">
        <f>VLOOKUP([2]!Table27[[#This Row],[Location 
(drop-down)]],'[2]List source'!D$2:E$59,2,FALSE)</f>
        <v>#N/A</v>
      </c>
      <c r="C421" s="99" t="s">
        <v>247</v>
      </c>
      <c r="D421" s="223" t="e">
        <f t="shared" si="12"/>
        <v>#N/A</v>
      </c>
      <c r="E421" s="227" t="s">
        <v>2173</v>
      </c>
      <c r="F421" s="165" t="s">
        <v>1814</v>
      </c>
      <c r="G421" s="227" t="e">
        <f>MID(LEFT(#REF!, FIND(",",#REF!) - 1), FIND("{token}", SUBSTITUTE(#REF!, " ", "{token}", 2)) + 1, LEN(#REF!))</f>
        <v>#REF!</v>
      </c>
      <c r="H421" s="165">
        <v>-2.46</v>
      </c>
      <c r="I421" s="230">
        <v>45413</v>
      </c>
      <c r="J421" s="230" t="s">
        <v>111</v>
      </c>
      <c r="K421" s="226">
        <v>45482</v>
      </c>
      <c r="L421" s="165"/>
      <c r="M421" s="222">
        <v>322</v>
      </c>
      <c r="N421" s="2" t="str">
        <f t="shared" ca="1" si="13"/>
        <v>CLOSED</v>
      </c>
    </row>
    <row r="422" spans="1:14" ht="30">
      <c r="A422" s="64" t="s">
        <v>125</v>
      </c>
      <c r="B422" s="98" t="e">
        <f>VLOOKUP([2]!Table27[[#This Row],[Location 
(drop-down)]],'[2]List source'!D$2:E$59,2,FALSE)</f>
        <v>#N/A</v>
      </c>
      <c r="C422" s="99" t="s">
        <v>662</v>
      </c>
      <c r="D422" s="223" t="e">
        <f t="shared" si="12"/>
        <v>#N/A</v>
      </c>
      <c r="E422" s="227" t="s">
        <v>2174</v>
      </c>
      <c r="F422" s="165" t="e" cm="1">
        <f t="array" aca="1" ref="F422" ca="1">MID(LEFT(#REF!, INDEX(_xlfn._xlws.FILTER(ROW(INDIRECT("1:" &amp; LEN(#REF!))), (48 &lt;= CODE(MID(#REF!, ROW(INDIRECT("1:" &amp; LEN(#REF!))), 1))) * (CODE(MID(#REF!, ROW(INDIRECT("1:" &amp; LEN(#REF!))), 1)) &lt;= 57)), 1) - 1), FIND(":",#REF!) + 2, LEN(#REF!))</f>
        <v>#REF!</v>
      </c>
      <c r="G422" s="227" t="e">
        <f>MID(LEFT(#REF!, FIND(",",#REF!) - 1), FIND("{token}", SUBSTITUTE(#REF!, " ", "{token}", 2)) + 1, LEN(#REF!))</f>
        <v>#REF!</v>
      </c>
      <c r="H422" s="165">
        <v>2.04</v>
      </c>
      <c r="I422" s="260">
        <v>45406</v>
      </c>
      <c r="J422" s="230" t="s">
        <v>111</v>
      </c>
      <c r="K422" s="226">
        <v>45483</v>
      </c>
      <c r="L422" s="204"/>
      <c r="M422" s="222">
        <v>219</v>
      </c>
      <c r="N422" s="2" t="str">
        <f t="shared" ca="1" si="13"/>
        <v>CLOSED</v>
      </c>
    </row>
    <row r="423" spans="1:14" ht="30">
      <c r="A423" s="64" t="s">
        <v>125</v>
      </c>
      <c r="B423" s="98" t="e">
        <f>VLOOKUP([2]!Table27[[#This Row],[Location 
(drop-down)]],'[2]List source'!D$2:E$59,2,FALSE)</f>
        <v>#N/A</v>
      </c>
      <c r="C423" s="99" t="s">
        <v>1350</v>
      </c>
      <c r="D423" s="223" t="e">
        <f t="shared" si="12"/>
        <v>#N/A</v>
      </c>
      <c r="E423" s="227" t="s">
        <v>2175</v>
      </c>
      <c r="F423" s="165" t="s">
        <v>1566</v>
      </c>
      <c r="G423" s="227" t="e">
        <f>MID(LEFT(#REF!, FIND(",",#REF!) - 1), FIND("{token}", SUBSTITUTE(#REF!, " ", "{token}", 2)) + 1, LEN(#REF!))</f>
        <v>#REF!</v>
      </c>
      <c r="H423" s="165">
        <v>-24.01</v>
      </c>
      <c r="I423" s="230">
        <v>45418</v>
      </c>
      <c r="J423" s="230" t="s">
        <v>111</v>
      </c>
      <c r="K423" s="226">
        <v>45483</v>
      </c>
      <c r="L423" s="165"/>
      <c r="M423" s="222">
        <v>393</v>
      </c>
      <c r="N423" s="2" t="str">
        <f t="shared" ca="1" si="13"/>
        <v>CLOSED</v>
      </c>
    </row>
    <row r="424" spans="1:14" ht="30">
      <c r="A424" s="64" t="s">
        <v>518</v>
      </c>
      <c r="B424" s="98" t="e">
        <f>VLOOKUP([2]!Table27[[#This Row],[Location 
(drop-down)]],'[2]List source'!D$2:E$59,2,FALSE)</f>
        <v>#N/A</v>
      </c>
      <c r="C424" s="99" t="s">
        <v>1014</v>
      </c>
      <c r="D424" s="223" t="e">
        <f t="shared" si="12"/>
        <v>#N/A</v>
      </c>
      <c r="E424" s="227" t="s">
        <v>2176</v>
      </c>
      <c r="F424" s="165" t="s">
        <v>1566</v>
      </c>
      <c r="G424" s="227" t="e">
        <f>MID(LEFT(#REF!, FIND(",",#REF!) - 1), FIND("{token}", SUBSTITUTE(#REF!, " ", "{token}", 2)) + 1, LEN(#REF!))</f>
        <v>#REF!</v>
      </c>
      <c r="H424" s="165">
        <v>-2.06</v>
      </c>
      <c r="I424" s="230">
        <v>45418</v>
      </c>
      <c r="J424" s="230" t="s">
        <v>108</v>
      </c>
      <c r="K424" s="226">
        <v>45483</v>
      </c>
      <c r="L424" s="165"/>
      <c r="M424" s="222">
        <v>406</v>
      </c>
      <c r="N424" s="2" t="str">
        <f t="shared" ca="1" si="13"/>
        <v>CLOSED</v>
      </c>
    </row>
    <row r="425" spans="1:14" ht="30">
      <c r="A425" s="64" t="s">
        <v>518</v>
      </c>
      <c r="B425" s="98" t="e">
        <f>VLOOKUP([2]!Table27[[#This Row],[Location 
(drop-down)]],'[2]List source'!D$2:E$59,2,FALSE)</f>
        <v>#N/A</v>
      </c>
      <c r="C425" s="99" t="s">
        <v>1055</v>
      </c>
      <c r="D425" s="223" t="e">
        <f t="shared" si="12"/>
        <v>#N/A</v>
      </c>
      <c r="E425" s="227" t="s">
        <v>2177</v>
      </c>
      <c r="F425" s="165" t="s">
        <v>1566</v>
      </c>
      <c r="G425" s="227" t="e">
        <f>MID(LEFT(#REF!, FIND(",",#REF!) - 1), FIND("{token}", SUBSTITUTE(#REF!, " ", "{token}", 2)) + 1, LEN(#REF!))</f>
        <v>#REF!</v>
      </c>
      <c r="H425" s="165">
        <v>-4.6900000000000004</v>
      </c>
      <c r="I425" s="230">
        <v>45418</v>
      </c>
      <c r="J425" s="230" t="s">
        <v>108</v>
      </c>
      <c r="K425" s="226">
        <v>45483</v>
      </c>
      <c r="L425" s="165"/>
      <c r="M425" s="222">
        <v>408</v>
      </c>
      <c r="N425" s="2" t="str">
        <f t="shared" ca="1" si="13"/>
        <v>CLOSED</v>
      </c>
    </row>
    <row r="426" spans="1:14" ht="18.75">
      <c r="A426" s="64" t="s">
        <v>103</v>
      </c>
      <c r="B426" s="98" t="e">
        <f>VLOOKUP([2]!Table27[[#This Row],[Location 
(drop-down)]],'[2]List source'!D$2:E$59,2,FALSE)</f>
        <v>#N/A</v>
      </c>
      <c r="C426" s="99" t="s">
        <v>984</v>
      </c>
      <c r="D426" s="223" t="e">
        <f t="shared" si="12"/>
        <v>#N/A</v>
      </c>
      <c r="E426" s="255" t="s">
        <v>2178</v>
      </c>
      <c r="F426" s="14" t="e" cm="1">
        <f t="array" aca="1" ref="F426" ca="1">MID(LEFT(#REF!, INDEX(_xlfn._xlws.FILTER(ROW(INDIRECT("1:" &amp; LEN(#REF!))), (48 &lt;= CODE(MID(#REF!, ROW(INDIRECT("1:" &amp; LEN(#REF!))), 1))) * (CODE(MID(#REF!, ROW(INDIRECT("1:" &amp; LEN(#REF!))), 1)) &lt;= 57)), 1) - 1), FIND(":",#REF!) + 2, LEN(#REF!))</f>
        <v>#REF!</v>
      </c>
      <c r="G426" s="255" t="e">
        <f>MID(LEFT(#REF!, FIND(",",#REF!) - 1), FIND("{token}", SUBSTITUTE(#REF!, " ", "{token}", 2)) + 1, LEN(#REF!))</f>
        <v>#REF!</v>
      </c>
      <c r="H426" s="264" t="s">
        <v>2179</v>
      </c>
      <c r="I426" s="256">
        <v>45387</v>
      </c>
      <c r="J426" s="230" t="s">
        <v>1619</v>
      </c>
      <c r="K426" s="262">
        <v>45485</v>
      </c>
      <c r="L426" s="279"/>
      <c r="M426" s="222">
        <v>167</v>
      </c>
      <c r="N426" s="2" t="str">
        <f t="shared" ca="1" si="13"/>
        <v>CLOSED</v>
      </c>
    </row>
    <row r="427" spans="1:14" ht="30">
      <c r="A427" s="64" t="s">
        <v>125</v>
      </c>
      <c r="B427" s="98" t="e">
        <f>VLOOKUP([2]!Table27[[#This Row],[Location 
(drop-down)]],'[2]List source'!D$2:E$59,2,FALSE)</f>
        <v>#N/A</v>
      </c>
      <c r="C427" s="99" t="s">
        <v>262</v>
      </c>
      <c r="D427" s="223" t="e">
        <f t="shared" si="12"/>
        <v>#N/A</v>
      </c>
      <c r="E427" s="227" t="s">
        <v>2180</v>
      </c>
      <c r="F427" s="165" t="s">
        <v>1821</v>
      </c>
      <c r="G427" s="227" t="e">
        <f>MID(LEFT(#REF!, FIND(",",#REF!) - 1), FIND("{token}", SUBSTITUTE(#REF!, " ", "{token}", 2)) + 1, LEN(#REF!))</f>
        <v>#REF!</v>
      </c>
      <c r="H427" s="165">
        <v>21.89</v>
      </c>
      <c r="I427" s="230">
        <v>45413</v>
      </c>
      <c r="J427" s="230" t="s">
        <v>111</v>
      </c>
      <c r="K427" s="226">
        <v>45485</v>
      </c>
      <c r="L427" s="165"/>
      <c r="M427" s="222">
        <v>327</v>
      </c>
      <c r="N427" s="2" t="str">
        <f t="shared" ca="1" si="13"/>
        <v>CLOSED</v>
      </c>
    </row>
    <row r="428" spans="1:14" ht="30">
      <c r="A428" s="64" t="s">
        <v>202</v>
      </c>
      <c r="B428" s="98" t="e">
        <f>VLOOKUP([2]!Table27[[#This Row],[Location 
(drop-down)]],'[2]List source'!D$2:E$59,2,FALSE)</f>
        <v>#N/A</v>
      </c>
      <c r="C428" s="99" t="s">
        <v>571</v>
      </c>
      <c r="D428" s="223" t="e">
        <f t="shared" si="12"/>
        <v>#N/A</v>
      </c>
      <c r="E428" s="227" t="s">
        <v>2181</v>
      </c>
      <c r="F428" s="165" t="s">
        <v>1566</v>
      </c>
      <c r="G428" s="227" t="e">
        <f>MID(LEFT(#REF!, FIND(",",#REF!) - 1), FIND("{token}", SUBSTITUTE(#REF!, " ", "{token}", 2)) + 1, LEN(#REF!))</f>
        <v>#REF!</v>
      </c>
      <c r="H428" s="236" t="s">
        <v>2182</v>
      </c>
      <c r="I428" s="230">
        <v>45427</v>
      </c>
      <c r="J428" s="230" t="s">
        <v>21</v>
      </c>
      <c r="K428" s="226">
        <v>45490</v>
      </c>
      <c r="L428" s="165"/>
      <c r="M428" s="222">
        <v>517</v>
      </c>
      <c r="N428" s="2" t="str">
        <f t="shared" ca="1" si="13"/>
        <v>CLOSED</v>
      </c>
    </row>
    <row r="429" spans="1:14" ht="30">
      <c r="A429" s="64" t="s">
        <v>518</v>
      </c>
      <c r="B429" s="98" t="e">
        <f>VLOOKUP([2]!Table27[[#This Row],[Location 
(drop-down)]],'[2]List source'!D$2:E$59,2,FALSE)</f>
        <v>#N/A</v>
      </c>
      <c r="C429" s="99" t="s">
        <v>953</v>
      </c>
      <c r="D429" s="309" t="e">
        <f t="shared" si="12"/>
        <v>#N/A</v>
      </c>
      <c r="E429" s="227" t="s">
        <v>2183</v>
      </c>
      <c r="F429" s="165" t="e" cm="1">
        <f t="array" aca="1" ref="F429" ca="1">MID(LEFT(#REF!, INDEX(_xlfn._xlws.FILTER(ROW(INDIRECT("1:" &amp; LEN(#REF!))), (48 &lt;= CODE(MID(#REF!, ROW(INDIRECT("1:" &amp; LEN(#REF!))), 1))) * (CODE(MID(#REF!, ROW(INDIRECT("1:" &amp; LEN(#REF!))), 1)) &lt;= 57)), 1) - 1), FIND(":",#REF!) + 2, LEN(#REF!))</f>
        <v>#REF!</v>
      </c>
      <c r="G429" s="227" t="e">
        <f>MID(LEFT(#REF!, FIND(",",#REF!) - 1), FIND("{token}", SUBSTITUTE(#REF!, " ", "{token}", 2)) + 1, LEN(#REF!))</f>
        <v>#REF!</v>
      </c>
      <c r="H429" s="165">
        <v>5.85</v>
      </c>
      <c r="I429" s="230">
        <v>45418</v>
      </c>
      <c r="J429" s="230" t="s">
        <v>108</v>
      </c>
      <c r="K429" s="226">
        <v>45495</v>
      </c>
      <c r="L429" s="165"/>
      <c r="M429" s="222">
        <v>383</v>
      </c>
      <c r="N429" s="2" t="str">
        <f t="shared" ca="1" si="13"/>
        <v>CLOSED</v>
      </c>
    </row>
    <row r="430" spans="1:14" ht="30">
      <c r="A430" s="64" t="s">
        <v>125</v>
      </c>
      <c r="B430" s="98" t="e">
        <f>VLOOKUP([2]!Table27[[#This Row],[Location 
(drop-down)]],'[2]List source'!D$2:E$59,2,FALSE)</f>
        <v>#N/A</v>
      </c>
      <c r="C430" s="99" t="s">
        <v>2184</v>
      </c>
      <c r="D430" s="223" t="e">
        <f t="shared" si="12"/>
        <v>#N/A</v>
      </c>
      <c r="E430" s="227" t="s">
        <v>2185</v>
      </c>
      <c r="F430" s="165" t="e" cm="1">
        <f t="array" aca="1" ref="F430" ca="1">MID(LEFT(#REF!, INDEX(_xlfn._xlws.FILTER(ROW(INDIRECT("1:" &amp; LEN(#REF!))), (48 &lt;= CODE(MID(#REF!, ROW(INDIRECT("1:" &amp; LEN(#REF!))), 1))) * (CODE(MID(#REF!, ROW(INDIRECT("1:" &amp; LEN(#REF!))), 1)) &lt;= 57)), 1) - 1), FIND(":",#REF!) + 2, LEN(#REF!))</f>
        <v>#REF!</v>
      </c>
      <c r="G430" s="227" t="e">
        <f>MID(LEFT(#REF!, FIND(",",#REF!) - 1), FIND("{token}", SUBSTITUTE(#REF!, " ", "{token}", 2)) + 1, LEN(#REF!))</f>
        <v>#REF!</v>
      </c>
      <c r="H430" s="165">
        <v>2.8</v>
      </c>
      <c r="I430" s="230">
        <v>45495</v>
      </c>
      <c r="J430" s="230" t="s">
        <v>34</v>
      </c>
      <c r="K430" s="226">
        <v>45495</v>
      </c>
      <c r="L430" s="165" t="s">
        <v>1562</v>
      </c>
      <c r="M430" s="222">
        <v>666</v>
      </c>
      <c r="N430" s="2" t="str">
        <f t="shared" ca="1" si="13"/>
        <v>CLOSED</v>
      </c>
    </row>
    <row r="431" spans="1:14" ht="30">
      <c r="A431" s="64" t="s">
        <v>125</v>
      </c>
      <c r="B431" s="98" t="e">
        <f>VLOOKUP([2]!Table27[[#This Row],[Location 
(drop-down)]],'[2]List source'!D$2:E$59,2,FALSE)</f>
        <v>#N/A</v>
      </c>
      <c r="C431" s="99" t="s">
        <v>2186</v>
      </c>
      <c r="D431" s="223" t="e">
        <f t="shared" si="12"/>
        <v>#N/A</v>
      </c>
      <c r="E431" s="227" t="s">
        <v>2187</v>
      </c>
      <c r="F431" s="165" t="e" cm="1">
        <f t="array" aca="1" ref="F431" ca="1">MID(LEFT(#REF!, INDEX(_xlfn._xlws.FILTER(ROW(INDIRECT("1:" &amp; LEN(#REF!))), (48 &lt;= CODE(MID(#REF!, ROW(INDIRECT("1:" &amp; LEN(#REF!))), 1))) * (CODE(MID(#REF!, ROW(INDIRECT("1:" &amp; LEN(#REF!))), 1)) &lt;= 57)), 1) - 1), FIND(":",#REF!) + 2, LEN(#REF!))</f>
        <v>#REF!</v>
      </c>
      <c r="G431" s="227" t="e">
        <f>MID(LEFT(#REF!, FIND(",",#REF!) - 1), FIND("{token}", SUBSTITUTE(#REF!, " ", "{token}", 2)) + 1, LEN(#REF!))</f>
        <v>#REF!</v>
      </c>
      <c r="H431" s="165">
        <v>2.37</v>
      </c>
      <c r="I431" s="230">
        <v>45495</v>
      </c>
      <c r="J431" s="230" t="s">
        <v>34</v>
      </c>
      <c r="K431" s="226">
        <v>45495</v>
      </c>
      <c r="L431" s="165" t="s">
        <v>1562</v>
      </c>
      <c r="M431" s="222">
        <v>668</v>
      </c>
      <c r="N431" s="2" t="str">
        <f t="shared" ca="1" si="13"/>
        <v>CLOSED</v>
      </c>
    </row>
    <row r="432" spans="1:14" ht="30">
      <c r="A432" s="64" t="s">
        <v>500</v>
      </c>
      <c r="B432" s="98" t="e">
        <f>VLOOKUP([2]!Table27[[#This Row],[Location 
(drop-down)]],'[2]List source'!D$2:E$59,2,FALSE)</f>
        <v>#N/A</v>
      </c>
      <c r="C432" s="99" t="s">
        <v>2188</v>
      </c>
      <c r="D432" s="223" t="e">
        <f t="shared" si="12"/>
        <v>#N/A</v>
      </c>
      <c r="E432" s="227" t="s">
        <v>2185</v>
      </c>
      <c r="F432" s="165" t="e" cm="1">
        <f t="array" aca="1" ref="F432" ca="1">MID(LEFT(#REF!, INDEX(_xlfn._xlws.FILTER(ROW(INDIRECT("1:" &amp; LEN(#REF!))), (48 &lt;= CODE(MID(#REF!, ROW(INDIRECT("1:" &amp; LEN(#REF!))), 1))) * (CODE(MID(#REF!, ROW(INDIRECT("1:" &amp; LEN(#REF!))), 1)) &lt;= 57)), 1) - 1), FIND(":",#REF!) + 2, LEN(#REF!))</f>
        <v>#REF!</v>
      </c>
      <c r="G432" s="227" t="e">
        <f>MID(LEFT(#REF!, FIND(",",#REF!) - 1), FIND("{token}", SUBSTITUTE(#REF!, " ", "{token}", 2)) + 1, LEN(#REF!))</f>
        <v>#REF!</v>
      </c>
      <c r="H432" s="236" t="s">
        <v>2012</v>
      </c>
      <c r="I432" s="230">
        <v>45495</v>
      </c>
      <c r="J432" s="230" t="s">
        <v>34</v>
      </c>
      <c r="K432" s="226">
        <v>45495</v>
      </c>
      <c r="L432" s="165" t="s">
        <v>1671</v>
      </c>
      <c r="M432" s="222">
        <v>673</v>
      </c>
      <c r="N432" s="2" t="str">
        <f t="shared" ca="1" si="13"/>
        <v>CLOSED</v>
      </c>
    </row>
    <row r="433" spans="1:14" ht="30">
      <c r="A433" s="64" t="s">
        <v>39</v>
      </c>
      <c r="B433" s="98" t="e">
        <f>VLOOKUP([2]!Table27[[#This Row],[Location 
(drop-down)]],'[2]List source'!D$2:E$59,2,FALSE)</f>
        <v>#N/A</v>
      </c>
      <c r="C433" s="99" t="s">
        <v>2189</v>
      </c>
      <c r="D433" s="223" t="e">
        <f t="shared" si="12"/>
        <v>#N/A</v>
      </c>
      <c r="E433" s="227" t="s">
        <v>2190</v>
      </c>
      <c r="F433" s="165" t="e" cm="1">
        <f t="array" aca="1" ref="F433" ca="1">MID(LEFT(#REF!, INDEX(_xlfn._xlws.FILTER(ROW(INDIRECT("1:" &amp; LEN(#REF!))), (48 &lt;= CODE(MID(#REF!, ROW(INDIRECT("1:" &amp; LEN(#REF!))), 1))) * (CODE(MID(#REF!, ROW(INDIRECT("1:" &amp; LEN(#REF!))), 1)) &lt;= 57)), 1) - 1), FIND(":",#REF!) + 2, LEN(#REF!))</f>
        <v>#REF!</v>
      </c>
      <c r="G433" s="227" t="e">
        <f>MID(LEFT(#REF!, FIND(",",#REF!) - 1), FIND("{token}", SUBSTITUTE(#REF!, " ", "{token}", 2)) + 1, LEN(#REF!))</f>
        <v>#REF!</v>
      </c>
      <c r="H433" s="236" t="s">
        <v>1808</v>
      </c>
      <c r="I433" s="230">
        <v>45495</v>
      </c>
      <c r="J433" s="230" t="s">
        <v>34</v>
      </c>
      <c r="K433" s="226">
        <v>45495</v>
      </c>
      <c r="L433" s="165" t="s">
        <v>1671</v>
      </c>
      <c r="M433" s="222">
        <v>676</v>
      </c>
      <c r="N433" s="2" t="str">
        <f t="shared" ca="1" si="13"/>
        <v>CLOSED</v>
      </c>
    </row>
    <row r="434" spans="1:14" ht="30">
      <c r="A434" s="64" t="s">
        <v>125</v>
      </c>
      <c r="B434" s="98" t="e">
        <f>VLOOKUP([2]!Table27[[#This Row],[Location 
(drop-down)]],'[2]List source'!D$2:E$59,2,FALSE)</f>
        <v>#N/A</v>
      </c>
      <c r="C434" s="99" t="s">
        <v>2191</v>
      </c>
      <c r="D434" s="223" t="e">
        <f t="shared" si="12"/>
        <v>#N/A</v>
      </c>
      <c r="E434" s="227" t="s">
        <v>2192</v>
      </c>
      <c r="F434" s="165" t="e" cm="1">
        <f t="array" aca="1" ref="F434" ca="1">MID(LEFT(#REF!, INDEX(_xlfn._xlws.FILTER(ROW(INDIRECT("1:" &amp; LEN(#REF!))), (48 &lt;= CODE(MID(#REF!, ROW(INDIRECT("1:" &amp; LEN(#REF!))), 1))) * (CODE(MID(#REF!, ROW(INDIRECT("1:" &amp; LEN(#REF!))), 1)) &lt;= 57)), 1) - 1), FIND(":",#REF!) + 2, LEN(#REF!))</f>
        <v>#REF!</v>
      </c>
      <c r="G434" s="227" t="e">
        <f>MID(LEFT(#REF!, FIND(",",#REF!) - 1), FIND("{token}", SUBSTITUTE(#REF!, " ", "{token}", 2)) + 1, LEN(#REF!))</f>
        <v>#REF!</v>
      </c>
      <c r="H434" s="165" t="s">
        <v>2193</v>
      </c>
      <c r="I434" s="230">
        <v>45495</v>
      </c>
      <c r="J434" s="230" t="s">
        <v>34</v>
      </c>
      <c r="K434" s="226">
        <v>45495</v>
      </c>
      <c r="L434" s="165" t="s">
        <v>1671</v>
      </c>
      <c r="M434" s="222">
        <v>677</v>
      </c>
      <c r="N434" s="2" t="str">
        <f t="shared" ca="1" si="13"/>
        <v>CLOSED</v>
      </c>
    </row>
    <row r="435" spans="1:14" ht="30">
      <c r="A435" s="64" t="s">
        <v>500</v>
      </c>
      <c r="B435" s="98" t="e">
        <f>VLOOKUP([2]!Table27[[#This Row],[Location 
(drop-down)]],'[2]List source'!D$2:E$59,2,FALSE)</f>
        <v>#N/A</v>
      </c>
      <c r="C435" s="99" t="s">
        <v>1163</v>
      </c>
      <c r="D435" s="223" t="e">
        <f t="shared" si="12"/>
        <v>#N/A</v>
      </c>
      <c r="E435" s="227" t="s">
        <v>2194</v>
      </c>
      <c r="F435" s="165" t="e" cm="1">
        <f t="array" aca="1" ref="F435" ca="1">MID(LEFT(#REF!, INDEX(_xlfn._xlws.FILTER(ROW(INDIRECT("1:" &amp; LEN(#REF!))), (48 &lt;= CODE(MID(#REF!, ROW(INDIRECT("1:" &amp; LEN(#REF!))), 1))) * (CODE(MID(#REF!, ROW(INDIRECT("1:" &amp; LEN(#REF!))), 1)) &lt;= 57)), 1) - 1), FIND(":",#REF!) + 2, LEN(#REF!))</f>
        <v>#REF!</v>
      </c>
      <c r="G435" s="227" t="s">
        <v>1538</v>
      </c>
      <c r="H435" s="165">
        <v>2.09</v>
      </c>
      <c r="I435" s="230">
        <v>45495</v>
      </c>
      <c r="J435" s="230" t="s">
        <v>34</v>
      </c>
      <c r="K435" s="226">
        <v>45495</v>
      </c>
      <c r="L435" s="165" t="s">
        <v>1671</v>
      </c>
      <c r="M435" s="222">
        <v>683</v>
      </c>
      <c r="N435" s="2" t="str">
        <f t="shared" ca="1" si="13"/>
        <v>CLOSED</v>
      </c>
    </row>
    <row r="436" spans="1:14" ht="30">
      <c r="A436" s="64" t="s">
        <v>500</v>
      </c>
      <c r="B436" s="98" t="e">
        <f>VLOOKUP([2]!Table27[[#This Row],[Location 
(drop-down)]],'[2]List source'!D$2:E$59,2,FALSE)</f>
        <v>#N/A</v>
      </c>
      <c r="C436" s="99" t="s">
        <v>1167</v>
      </c>
      <c r="D436" s="223" t="e">
        <f t="shared" si="12"/>
        <v>#N/A</v>
      </c>
      <c r="E436" s="227" t="s">
        <v>2195</v>
      </c>
      <c r="F436" s="165" t="e" cm="1">
        <f t="array" aca="1" ref="F436" ca="1">MID(LEFT(#REF!, INDEX(_xlfn._xlws.FILTER(ROW(INDIRECT("1:" &amp; LEN(#REF!))), (48 &lt;= CODE(MID(#REF!, ROW(INDIRECT("1:" &amp; LEN(#REF!))), 1))) * (CODE(MID(#REF!, ROW(INDIRECT("1:" &amp; LEN(#REF!))), 1)) &lt;= 57)), 1) - 1), FIND(":",#REF!) + 2, LEN(#REF!))</f>
        <v>#REF!</v>
      </c>
      <c r="G436" s="227" t="e">
        <f>MID(LEFT(#REF!, FIND(",",#REF!) - 1), FIND("{token}", SUBSTITUTE(#REF!, " ", "{token}", 2)) + 1, LEN(#REF!))</f>
        <v>#REF!</v>
      </c>
      <c r="H436" s="165" t="s">
        <v>2196</v>
      </c>
      <c r="I436" s="230">
        <v>45495</v>
      </c>
      <c r="J436" s="230" t="s">
        <v>34</v>
      </c>
      <c r="K436" s="226">
        <v>45495</v>
      </c>
      <c r="L436" s="165" t="s">
        <v>1505</v>
      </c>
      <c r="M436" s="222">
        <v>685</v>
      </c>
      <c r="N436" s="2" t="str">
        <f t="shared" ca="1" si="13"/>
        <v>CLOSED</v>
      </c>
    </row>
    <row r="437" spans="1:14" ht="30">
      <c r="A437" s="64" t="s">
        <v>500</v>
      </c>
      <c r="B437" s="98" t="e">
        <f>VLOOKUP([2]!Table27[[#This Row],[Location 
(drop-down)]],'[2]List source'!D$2:E$59,2,FALSE)</f>
        <v>#N/A</v>
      </c>
      <c r="C437" s="99" t="s">
        <v>2197</v>
      </c>
      <c r="D437" s="223" t="e">
        <f t="shared" si="12"/>
        <v>#N/A</v>
      </c>
      <c r="E437" s="227" t="s">
        <v>2198</v>
      </c>
      <c r="F437" s="165" t="e" cm="1">
        <f t="array" aca="1" ref="F437" ca="1">MID(LEFT(#REF!, INDEX(_xlfn._xlws.FILTER(ROW(INDIRECT("1:" &amp; LEN(#REF!))), (48 &lt;= CODE(MID(#REF!, ROW(INDIRECT("1:" &amp; LEN(#REF!))), 1))) * (CODE(MID(#REF!, ROW(INDIRECT("1:" &amp; LEN(#REF!))), 1)) &lt;= 57)), 1) - 1), FIND(":",#REF!) + 2, LEN(#REF!))</f>
        <v>#REF!</v>
      </c>
      <c r="G437" s="227" t="e">
        <f>MID(LEFT(#REF!, FIND(",",#REF!) - 1), FIND("{token}", SUBSTITUTE(#REF!, " ", "{token}", 2)) + 1, LEN(#REF!))</f>
        <v>#REF!</v>
      </c>
      <c r="H437" s="165">
        <v>2.2999999999999998</v>
      </c>
      <c r="I437" s="230">
        <v>45495</v>
      </c>
      <c r="J437" s="230" t="s">
        <v>34</v>
      </c>
      <c r="K437" s="226">
        <v>45495</v>
      </c>
      <c r="L437" s="165" t="s">
        <v>1671</v>
      </c>
      <c r="M437" s="222">
        <v>687</v>
      </c>
      <c r="N437" s="2" t="str">
        <f t="shared" ca="1" si="13"/>
        <v>CLOSED</v>
      </c>
    </row>
    <row r="438" spans="1:14" ht="30">
      <c r="A438" s="64" t="s">
        <v>500</v>
      </c>
      <c r="B438" s="98" t="e">
        <f>VLOOKUP([2]!Table27[[#This Row],[Location 
(drop-down)]],'[2]List source'!D$2:E$59,2,FALSE)</f>
        <v>#N/A</v>
      </c>
      <c r="C438" s="99" t="s">
        <v>867</v>
      </c>
      <c r="D438" s="223" t="e">
        <f t="shared" si="12"/>
        <v>#N/A</v>
      </c>
      <c r="E438" s="227" t="s">
        <v>2199</v>
      </c>
      <c r="F438" s="165" t="e" cm="1">
        <f t="array" aca="1" ref="F438" ca="1">MID(LEFT(#REF!, INDEX(_xlfn._xlws.FILTER(ROW(INDIRECT("1:" &amp; LEN(#REF!))), (48 &lt;= CODE(MID(#REF!, ROW(INDIRECT("1:" &amp; LEN(#REF!))), 1))) * (CODE(MID(#REF!, ROW(INDIRECT("1:" &amp; LEN(#REF!))), 1)) &lt;= 57)), 1) - 1), FIND(":",#REF!) + 2, LEN(#REF!))</f>
        <v>#REF!</v>
      </c>
      <c r="G438" s="227" t="e">
        <f>MID(LEFT(#REF!, FIND(",",#REF!) - 1), FIND("{token}", SUBSTITUTE(#REF!, " ", "{token}", 2)) + 1, LEN(#REF!))</f>
        <v>#REF!</v>
      </c>
      <c r="H438" s="165">
        <v>3.32</v>
      </c>
      <c r="I438" s="260">
        <v>45406</v>
      </c>
      <c r="J438" s="165" t="s">
        <v>310</v>
      </c>
      <c r="K438" s="226">
        <v>45496</v>
      </c>
      <c r="L438" s="165"/>
      <c r="M438" s="222">
        <v>231</v>
      </c>
      <c r="N438" s="2" t="str">
        <f t="shared" ca="1" si="13"/>
        <v>CLOSED</v>
      </c>
    </row>
    <row r="439" spans="1:14" ht="30">
      <c r="A439" s="64" t="s">
        <v>500</v>
      </c>
      <c r="B439" s="98" t="e">
        <f>VLOOKUP([2]!Table27[[#This Row],[Location 
(drop-down)]],'[2]List source'!D$2:E$59,2,FALSE)</f>
        <v>#N/A</v>
      </c>
      <c r="C439" s="99" t="s">
        <v>869</v>
      </c>
      <c r="D439" s="223" t="e">
        <f t="shared" si="12"/>
        <v>#N/A</v>
      </c>
      <c r="E439" s="227" t="s">
        <v>2200</v>
      </c>
      <c r="F439" s="165" t="e" cm="1">
        <f t="array" aca="1" ref="F439" ca="1">MID(LEFT(#REF!, INDEX(_xlfn._xlws.FILTER(ROW(INDIRECT("1:" &amp; LEN(#REF!))), (48 &lt;= CODE(MID(#REF!, ROW(INDIRECT("1:" &amp; LEN(#REF!))), 1))) * (CODE(MID(#REF!, ROW(INDIRECT("1:" &amp; LEN(#REF!))), 1)) &lt;= 57)), 1) - 1), FIND(":",#REF!) + 2, LEN(#REF!))</f>
        <v>#REF!</v>
      </c>
      <c r="G439" s="227" t="e">
        <f>MID(LEFT(#REF!, FIND(",",#REF!) - 1), FIND("{token}", SUBSTITUTE(#REF!, " ", "{token}", 2)) + 1, LEN(#REF!))</f>
        <v>#REF!</v>
      </c>
      <c r="H439" s="165">
        <v>-2.16</v>
      </c>
      <c r="I439" s="260">
        <v>45406</v>
      </c>
      <c r="J439" s="230" t="s">
        <v>310</v>
      </c>
      <c r="K439" s="226">
        <v>45496</v>
      </c>
      <c r="L439" s="165"/>
      <c r="M439" s="222">
        <v>232</v>
      </c>
      <c r="N439" s="2" t="str">
        <f t="shared" ca="1" si="13"/>
        <v>CLOSED</v>
      </c>
    </row>
    <row r="440" spans="1:14" ht="30">
      <c r="A440" s="64" t="s">
        <v>500</v>
      </c>
      <c r="B440" s="98" t="e">
        <f>VLOOKUP([2]!Table27[[#This Row],[Location 
(drop-down)]],'[2]List source'!D$2:E$59,2,FALSE)</f>
        <v>#N/A</v>
      </c>
      <c r="C440" s="99" t="s">
        <v>668</v>
      </c>
      <c r="D440" s="223" t="e">
        <f t="shared" si="12"/>
        <v>#N/A</v>
      </c>
      <c r="E440" s="310" t="s">
        <v>2201</v>
      </c>
      <c r="F440" s="311" t="s">
        <v>1769</v>
      </c>
      <c r="G440" s="310" t="e">
        <f>MID(LEFT(#REF!, FIND(",",#REF!) - 1), FIND("{token}", SUBSTITUTE(#REF!, " ", "{token}", 2)) + 1, LEN(#REF!))</f>
        <v>#REF!</v>
      </c>
      <c r="H440" s="312" t="s">
        <v>2202</v>
      </c>
      <c r="I440" s="230">
        <v>45411</v>
      </c>
      <c r="J440" s="230" t="s">
        <v>310</v>
      </c>
      <c r="K440" s="226">
        <v>45496</v>
      </c>
      <c r="L440" s="165"/>
      <c r="M440" s="222">
        <v>255</v>
      </c>
      <c r="N440" s="2" t="str">
        <f t="shared" ca="1" si="13"/>
        <v>CLOSED</v>
      </c>
    </row>
    <row r="441" spans="1:14" ht="30">
      <c r="A441" s="64" t="s">
        <v>114</v>
      </c>
      <c r="B441" s="98" t="e">
        <f>VLOOKUP([2]!Table27[[#This Row],[Location 
(drop-down)]],'[2]List source'!D$2:E$59,2,FALSE)</f>
        <v>#N/A</v>
      </c>
      <c r="C441" s="99" t="s">
        <v>2203</v>
      </c>
      <c r="D441" s="223" t="e">
        <f t="shared" si="12"/>
        <v>#N/A</v>
      </c>
      <c r="E441" s="227" t="s">
        <v>2204</v>
      </c>
      <c r="F441" s="165" t="e" cm="1">
        <f t="array" aca="1" ref="F441" ca="1">MID(LEFT(#REF!, INDEX(_xlfn._xlws.FILTER(ROW(INDIRECT("1:" &amp; LEN(#REF!))), (48 &lt;= CODE(MID(#REF!, ROW(INDIRECT("1:" &amp; LEN(#REF!))), 1))) * (CODE(MID(#REF!, ROW(INDIRECT("1:" &amp; LEN(#REF!))), 1)) &lt;= 57)), 1) - 1), FIND(":",#REF!) + 2, LEN(#REF!))</f>
        <v>#REF!</v>
      </c>
      <c r="G441" s="227" t="e">
        <f>MID(LEFT(#REF!, FIND(",",#REF!) - 1), FIND("{token}", SUBSTITUTE(#REF!, " ", "{token}", 2)) + 1, LEN(#REF!))</f>
        <v>#REF!</v>
      </c>
      <c r="H441" s="236" t="s">
        <v>2205</v>
      </c>
      <c r="I441" s="230">
        <v>45495</v>
      </c>
      <c r="J441" s="230" t="s">
        <v>34</v>
      </c>
      <c r="K441" s="226">
        <v>45496</v>
      </c>
      <c r="L441" s="165" t="s">
        <v>1505</v>
      </c>
      <c r="M441" s="222">
        <v>688</v>
      </c>
      <c r="N441" s="2" t="str">
        <f t="shared" ca="1" si="13"/>
        <v>CLOSED</v>
      </c>
    </row>
    <row r="442" spans="1:14" ht="30">
      <c r="A442" s="64" t="s">
        <v>30</v>
      </c>
      <c r="B442" s="98" t="e">
        <f>VLOOKUP([2]!Table27[[#This Row],[Location 
(drop-down)]],'[2]List source'!D$2:E$59,2,FALSE)</f>
        <v>#N/A</v>
      </c>
      <c r="C442" s="99" t="s">
        <v>192</v>
      </c>
      <c r="D442" s="223" t="e">
        <f t="shared" si="12"/>
        <v>#N/A</v>
      </c>
      <c r="E442" s="227" t="s">
        <v>2129</v>
      </c>
      <c r="F442" s="165" t="e" cm="1">
        <f t="array" aca="1" ref="F442" ca="1">MID(LEFT(#REF!, INDEX(_xlfn._xlws.FILTER(ROW(INDIRECT("1:" &amp; LEN(#REF!))), (48 &lt;= CODE(MID(#REF!, ROW(INDIRECT("1:" &amp; LEN(#REF!))), 1))) * (CODE(MID(#REF!, ROW(INDIRECT("1:" &amp; LEN(#REF!))), 1)) &lt;= 57)), 1) - 1), FIND(":",#REF!) + 2, LEN(#REF!))</f>
        <v>#REF!</v>
      </c>
      <c r="G442" s="227" t="e">
        <f>MID(LEFT(#REF!, FIND(",",#REF!) - 1), FIND("{token}", SUBSTITUTE(#REF!, " ", "{token}", 2)) + 1, LEN(#REF!))</f>
        <v>#REF!</v>
      </c>
      <c r="H442" s="165" t="s">
        <v>1579</v>
      </c>
      <c r="I442" s="230">
        <v>45412</v>
      </c>
      <c r="J442" s="230" t="s">
        <v>34</v>
      </c>
      <c r="K442" s="226">
        <v>45503</v>
      </c>
      <c r="L442" s="165" t="s">
        <v>1505</v>
      </c>
      <c r="M442" s="222">
        <v>275</v>
      </c>
      <c r="N442" s="2" t="str">
        <f t="shared" ca="1" si="13"/>
        <v>CLOSED</v>
      </c>
    </row>
    <row r="443" spans="1:14" ht="30">
      <c r="A443" s="64" t="s">
        <v>30</v>
      </c>
      <c r="B443" s="98" t="e">
        <f>VLOOKUP([2]!Table27[[#This Row],[Location 
(drop-down)]],'[2]List source'!D$2:E$59,2,FALSE)</f>
        <v>#N/A</v>
      </c>
      <c r="C443" s="99" t="s">
        <v>758</v>
      </c>
      <c r="D443" s="223" t="e">
        <f t="shared" si="12"/>
        <v>#N/A</v>
      </c>
      <c r="E443" s="227" t="s">
        <v>2206</v>
      </c>
      <c r="F443" s="165" t="e" cm="1">
        <f t="array" aca="1" ref="F443" ca="1">MID(LEFT(#REF!, INDEX(_xlfn._xlws.FILTER(ROW(INDIRECT("1:" &amp; LEN(#REF!))), (48 &lt;= CODE(MID(#REF!, ROW(INDIRECT("1:" &amp; LEN(#REF!))), 1))) * (CODE(MID(#REF!, ROW(INDIRECT("1:" &amp; LEN(#REF!))), 1)) &lt;= 57)), 1) - 1), FIND(":",#REF!) + 2, LEN(#REF!))</f>
        <v>#REF!</v>
      </c>
      <c r="G443" s="227" t="e">
        <f>MID(LEFT(#REF!, FIND(",",#REF!) - 1), FIND("{token}", SUBSTITUTE(#REF!, " ", "{token}", 2)) + 1, LEN(#REF!))</f>
        <v>#REF!</v>
      </c>
      <c r="H443" s="165">
        <v>71.349999999999994</v>
      </c>
      <c r="I443" s="230">
        <v>45412</v>
      </c>
      <c r="J443" s="230" t="s">
        <v>34</v>
      </c>
      <c r="K443" s="226">
        <v>45503</v>
      </c>
      <c r="L443" s="204" t="s">
        <v>1505</v>
      </c>
      <c r="M443" s="222">
        <v>277</v>
      </c>
      <c r="N443" s="2" t="str">
        <f t="shared" ca="1" si="13"/>
        <v>CLOSED</v>
      </c>
    </row>
    <row r="444" spans="1:14" ht="30">
      <c r="A444" s="64" t="s">
        <v>30</v>
      </c>
      <c r="B444" s="98" t="e">
        <f>VLOOKUP([2]!Table27[[#This Row],[Location 
(drop-down)]],'[2]List source'!D$2:E$59,2,FALSE)</f>
        <v>#N/A</v>
      </c>
      <c r="C444" s="99" t="s">
        <v>824</v>
      </c>
      <c r="D444" s="223" t="e">
        <f t="shared" si="12"/>
        <v>#N/A</v>
      </c>
      <c r="E444" s="227" t="s">
        <v>2207</v>
      </c>
      <c r="F444" s="165" t="e" cm="1">
        <f t="array" aca="1" ref="F444" ca="1">MID(LEFT(#REF!, INDEX(_xlfn._xlws.FILTER(ROW(INDIRECT("1:" &amp; LEN(#REF!))), (48 &lt;= CODE(MID(#REF!, ROW(INDIRECT("1:" &amp; LEN(#REF!))), 1))) * (CODE(MID(#REF!, ROW(INDIRECT("1:" &amp; LEN(#REF!))), 1)) &lt;= 57)), 1) - 1), FIND(":",#REF!) + 2, LEN(#REF!))</f>
        <v>#REF!</v>
      </c>
      <c r="G444" s="227" t="e">
        <f>MID(LEFT(#REF!, FIND(",",#REF!) - 1), FIND("{token}", SUBSTITUTE(#REF!, " ", "{token}", 2)) + 1, LEN(#REF!))</f>
        <v>#REF!</v>
      </c>
      <c r="H444" s="165">
        <v>112.34</v>
      </c>
      <c r="I444" s="230">
        <v>45412</v>
      </c>
      <c r="J444" s="230" t="s">
        <v>34</v>
      </c>
      <c r="K444" s="226">
        <v>45503</v>
      </c>
      <c r="L444" s="204" t="s">
        <v>1505</v>
      </c>
      <c r="M444" s="222">
        <v>278</v>
      </c>
      <c r="N444" s="2" t="str">
        <f t="shared" ca="1" si="13"/>
        <v>CLOSED</v>
      </c>
    </row>
    <row r="445" spans="1:14" ht="30">
      <c r="A445" s="64" t="s">
        <v>125</v>
      </c>
      <c r="B445" s="98" t="e">
        <f>VLOOKUP([2]!Table27[[#This Row],[Location 
(drop-down)]],'[2]List source'!D$2:E$59,2,FALSE)</f>
        <v>#N/A</v>
      </c>
      <c r="C445" s="99" t="s">
        <v>1199</v>
      </c>
      <c r="D445" s="223" t="e">
        <f t="shared" si="12"/>
        <v>#N/A</v>
      </c>
      <c r="E445" s="227" t="s">
        <v>2208</v>
      </c>
      <c r="F445" s="165" t="s">
        <v>2209</v>
      </c>
      <c r="G445" s="227" t="e">
        <f>MID(LEFT(#REF!, FIND(",",#REF!) - 1), FIND("{token}", SUBSTITUTE(#REF!, " ", "{token}", 2)) + 1, LEN(#REF!))</f>
        <v>#REF!</v>
      </c>
      <c r="H445" s="236" t="s">
        <v>1816</v>
      </c>
      <c r="I445" s="230">
        <v>45418</v>
      </c>
      <c r="J445" s="230" t="s">
        <v>111</v>
      </c>
      <c r="K445" s="226">
        <v>45504</v>
      </c>
      <c r="L445" s="165"/>
      <c r="M445" s="222">
        <v>330</v>
      </c>
      <c r="N445" s="2" t="str">
        <f t="shared" ca="1" si="13"/>
        <v>CLOSED</v>
      </c>
    </row>
    <row r="446" spans="1:14" ht="18.75">
      <c r="A446" s="64" t="s">
        <v>311</v>
      </c>
      <c r="B446" s="98" t="e">
        <f>VLOOKUP([2]!Table27[[#This Row],[Location 
(drop-down)]],'[2]List source'!D$2:E$59,2,FALSE)</f>
        <v>#N/A</v>
      </c>
      <c r="C446" s="99" t="s">
        <v>2210</v>
      </c>
      <c r="D446" s="223" t="e">
        <f t="shared" si="12"/>
        <v>#N/A</v>
      </c>
      <c r="E446" s="227" t="s">
        <v>2211</v>
      </c>
      <c r="F446" s="165" t="e" cm="1">
        <f t="array" aca="1" ref="F446" ca="1">MID(LEFT(#REF!, INDEX(_xlfn._xlws.FILTER(ROW(INDIRECT("1:" &amp; LEN(#REF!))), (48 &lt;= CODE(MID(#REF!, ROW(INDIRECT("1:" &amp; LEN(#REF!))), 1))) * (CODE(MID(#REF!, ROW(INDIRECT("1:" &amp; LEN(#REF!))), 1)) &lt;= 57)), 1) - 1), FIND(":",#REF!) + 2, LEN(#REF!))</f>
        <v>#REF!</v>
      </c>
      <c r="G446" s="227" t="e">
        <f>MID(LEFT(#REF!, FIND(",",#REF!) - 1), FIND("{token}", SUBSTITUTE(#REF!, " ", "{token}", 2)) + 1, LEN(#REF!))</f>
        <v>#REF!</v>
      </c>
      <c r="H446" s="165">
        <v>-13.57</v>
      </c>
      <c r="I446" s="230">
        <v>45435</v>
      </c>
      <c r="J446" s="230" t="s">
        <v>34</v>
      </c>
      <c r="K446" s="226">
        <v>45505</v>
      </c>
      <c r="L446" s="165" t="s">
        <v>1505</v>
      </c>
      <c r="M446" s="222">
        <v>555</v>
      </c>
      <c r="N446" s="2" t="str">
        <f t="shared" ca="1" si="13"/>
        <v>CLOSED</v>
      </c>
    </row>
    <row r="447" spans="1:14" ht="18.75">
      <c r="A447" s="64" t="s">
        <v>311</v>
      </c>
      <c r="B447" s="98" t="e">
        <f>VLOOKUP([2]!Table27[[#This Row],[Location 
(drop-down)]],'[2]List source'!D$2:E$59,2,FALSE)</f>
        <v>#N/A</v>
      </c>
      <c r="C447" s="99" t="s">
        <v>2212</v>
      </c>
      <c r="D447" s="223" t="e">
        <f t="shared" si="12"/>
        <v>#N/A</v>
      </c>
      <c r="E447" s="227" t="s">
        <v>2213</v>
      </c>
      <c r="F447" s="165" t="e" cm="1">
        <f t="array" aca="1" ref="F447" ca="1">MID(LEFT(#REF!, INDEX(_xlfn._xlws.FILTER(ROW(INDIRECT("1:" &amp; LEN(#REF!))), (48 &lt;= CODE(MID(#REF!, ROW(INDIRECT("1:" &amp; LEN(#REF!))), 1))) * (CODE(MID(#REF!, ROW(INDIRECT("1:" &amp; LEN(#REF!))), 1)) &lt;= 57)), 1) - 1), FIND(":",#REF!) + 2, LEN(#REF!))</f>
        <v>#REF!</v>
      </c>
      <c r="G447" s="227" t="e">
        <f>MID(LEFT(#REF!, FIND(",",#REF!) - 1), FIND("{token}", SUBSTITUTE(#REF!, " ", "{token}", 2)) + 1, LEN(#REF!))</f>
        <v>#REF!</v>
      </c>
      <c r="H447" s="236" t="s">
        <v>2214</v>
      </c>
      <c r="I447" s="230">
        <v>45435</v>
      </c>
      <c r="J447" s="230" t="s">
        <v>34</v>
      </c>
      <c r="K447" s="226">
        <v>45505</v>
      </c>
      <c r="L447" s="165" t="s">
        <v>1505</v>
      </c>
      <c r="M447" s="222">
        <v>592</v>
      </c>
      <c r="N447" s="2" t="str">
        <f t="shared" ca="1" si="13"/>
        <v>CLOSED</v>
      </c>
    </row>
    <row r="448" spans="1:14" ht="30">
      <c r="A448" s="64" t="s">
        <v>500</v>
      </c>
      <c r="B448" s="98" t="e">
        <f>VLOOKUP([2]!Table27[[#This Row],[Location 
(drop-down)]],'[2]List source'!D$2:E$59,2,FALSE)</f>
        <v>#N/A</v>
      </c>
      <c r="C448" s="99" t="s">
        <v>815</v>
      </c>
      <c r="D448" s="223" t="e">
        <f t="shared" si="12"/>
        <v>#N/A</v>
      </c>
      <c r="E448" s="227" t="s">
        <v>2215</v>
      </c>
      <c r="F448" s="165" t="e" cm="1">
        <f t="array" aca="1" ref="F448" ca="1">MID(LEFT(#REF!, INDEX(_xlfn._xlws.FILTER(ROW(INDIRECT("1:" &amp; LEN(#REF!))), (48 &lt;= CODE(MID(#REF!, ROW(INDIRECT("1:" &amp; LEN(#REF!))), 1))) * (CODE(MID(#REF!, ROW(INDIRECT("1:" &amp; LEN(#REF!))), 1)) &lt;= 57)), 1) - 1), FIND(":",#REF!) + 2, LEN(#REF!))</f>
        <v>#REF!</v>
      </c>
      <c r="G448" s="227" t="e">
        <f>MID(LEFT(#REF!, FIND(",",#REF!) - 1), FIND("{token}", SUBSTITUTE(#REF!, " ", "{token}", 2)) + 1, LEN(#REF!))</f>
        <v>#REF!</v>
      </c>
      <c r="H448" s="165" t="s">
        <v>2216</v>
      </c>
      <c r="I448" s="230">
        <v>45418</v>
      </c>
      <c r="J448" s="230" t="s">
        <v>310</v>
      </c>
      <c r="K448" s="226">
        <v>45506</v>
      </c>
      <c r="L448" s="165"/>
      <c r="M448" s="222">
        <v>381</v>
      </c>
      <c r="N448" s="2" t="str">
        <f t="shared" ca="1" si="13"/>
        <v>CLOSED</v>
      </c>
    </row>
    <row r="449" spans="1:14" ht="30">
      <c r="A449" s="64" t="s">
        <v>125</v>
      </c>
      <c r="B449" s="98" t="e">
        <f>VLOOKUP([2]!Table27[[#This Row],[Location 
(drop-down)]],'[2]List source'!D$2:E$59,2,FALSE)</f>
        <v>#N/A</v>
      </c>
      <c r="C449" s="99" t="s">
        <v>973</v>
      </c>
      <c r="D449" s="223" t="e">
        <f t="shared" si="12"/>
        <v>#N/A</v>
      </c>
      <c r="E449" s="227" t="s">
        <v>2217</v>
      </c>
      <c r="F449" s="165" t="e" cm="1">
        <f t="array" aca="1" ref="F449" ca="1">MID(LEFT(#REF!, INDEX(_xlfn._xlws.FILTER(ROW(INDIRECT("1:" &amp; LEN(#REF!))), (48 &lt;= CODE(MID(#REF!, ROW(INDIRECT("1:" &amp; LEN(#REF!))), 1))) * (CODE(MID(#REF!, ROW(INDIRECT("1:" &amp; LEN(#REF!))), 1)) &lt;= 57)), 1) - 1), FIND(":",#REF!) + 2, LEN(#REF!))</f>
        <v>#REF!</v>
      </c>
      <c r="G449" s="227" t="e">
        <f>MID(LEFT(#REF!, FIND(",",#REF!) - 1), FIND("{token}", SUBSTITUTE(#REF!, " ", "{token}", 2)) + 1, LEN(#REF!))</f>
        <v>#REF!</v>
      </c>
      <c r="H449" s="165">
        <v>2.1</v>
      </c>
      <c r="I449" s="230">
        <v>45420</v>
      </c>
      <c r="J449" s="230" t="s">
        <v>111</v>
      </c>
      <c r="K449" s="226">
        <v>45506</v>
      </c>
      <c r="L449" s="165"/>
      <c r="M449" s="222">
        <v>426</v>
      </c>
      <c r="N449" s="2" t="str">
        <f t="shared" ca="1" si="13"/>
        <v>CLOSED</v>
      </c>
    </row>
    <row r="450" spans="1:14" ht="30">
      <c r="A450" s="64" t="s">
        <v>125</v>
      </c>
      <c r="B450" s="98" t="e">
        <f>VLOOKUP([2]!Table27[[#This Row],[Location 
(drop-down)]],'[2]List source'!D$2:E$59,2,FALSE)</f>
        <v>#N/A</v>
      </c>
      <c r="C450" s="99" t="s">
        <v>417</v>
      </c>
      <c r="D450" s="223" t="e">
        <f t="shared" ref="D450:D513" si="14">"PTO" &amp; C450 &amp; "-" &amp; B450 &amp; "-" &amp; "23"</f>
        <v>#N/A</v>
      </c>
      <c r="E450" s="227" t="s">
        <v>2218</v>
      </c>
      <c r="F450" s="165" t="e" cm="1">
        <f t="array" aca="1" ref="F450" ca="1">MID(LEFT(#REF!, INDEX(_xlfn._xlws.FILTER(ROW(INDIRECT("1:" &amp; LEN(#REF!))), (48 &lt;= CODE(MID(#REF!, ROW(INDIRECT("1:" &amp; LEN(#REF!))), 1))) * (CODE(MID(#REF!, ROW(INDIRECT("1:" &amp; LEN(#REF!))), 1)) &lt;= 57)), 1) - 1), FIND(":",#REF!) + 2, LEN(#REF!))</f>
        <v>#REF!</v>
      </c>
      <c r="G450" s="227" t="e">
        <f>MID(LEFT(#REF!, FIND(",",#REF!) - 1), FIND("{token}", SUBSTITUTE(#REF!, " ", "{token}", 2)) + 1, LEN(#REF!))</f>
        <v>#REF!</v>
      </c>
      <c r="H450" s="165">
        <v>3.14</v>
      </c>
      <c r="I450" s="230">
        <v>45376</v>
      </c>
      <c r="J450" s="230" t="s">
        <v>111</v>
      </c>
      <c r="K450" s="226">
        <v>45509</v>
      </c>
      <c r="L450" s="165"/>
      <c r="M450" s="222">
        <v>118</v>
      </c>
      <c r="N450" s="2" t="str">
        <f t="shared" ca="1" si="13"/>
        <v>CLOSED</v>
      </c>
    </row>
    <row r="451" spans="1:14" ht="30">
      <c r="A451" s="64" t="s">
        <v>125</v>
      </c>
      <c r="B451" s="98" t="e">
        <f>VLOOKUP([2]!Table27[[#This Row],[Location 
(drop-down)]],'[2]List source'!D$2:E$59,2,FALSE)</f>
        <v>#N/A</v>
      </c>
      <c r="C451" s="99" t="s">
        <v>994</v>
      </c>
      <c r="D451" s="223" t="e">
        <f t="shared" si="14"/>
        <v>#N/A</v>
      </c>
      <c r="E451" s="227" t="s">
        <v>2219</v>
      </c>
      <c r="F451" s="165" t="e" cm="1">
        <f t="array" aca="1" ref="F451" ca="1">MID(LEFT(#REF!, INDEX(_xlfn._xlws.FILTER(ROW(INDIRECT("1:" &amp; LEN(#REF!))), (48 &lt;= CODE(MID(#REF!, ROW(INDIRECT("1:" &amp; LEN(#REF!))), 1))) * (CODE(MID(#REF!, ROW(INDIRECT("1:" &amp; LEN(#REF!))), 1)) &lt;= 57)), 1) - 1), FIND(":",#REF!) + 2, LEN(#REF!))</f>
        <v>#REF!</v>
      </c>
      <c r="G451" s="227" t="e">
        <f>MID(LEFT(#REF!, FIND(",",#REF!) - 1), FIND("{token}", SUBSTITUTE(#REF!, " ", "{token}", 2)) + 1, LEN(#REF!))</f>
        <v>#REF!</v>
      </c>
      <c r="H451" s="165">
        <v>3.11</v>
      </c>
      <c r="I451" s="230">
        <v>45420</v>
      </c>
      <c r="J451" s="230" t="s">
        <v>111</v>
      </c>
      <c r="K451" s="226">
        <v>45509</v>
      </c>
      <c r="L451" s="165"/>
      <c r="M451" s="222">
        <v>425</v>
      </c>
      <c r="N451" s="2" t="str">
        <f t="shared" ca="1" si="13"/>
        <v>CLOSED</v>
      </c>
    </row>
    <row r="452" spans="1:14" ht="30">
      <c r="A452" s="64" t="s">
        <v>500</v>
      </c>
      <c r="B452" s="98" t="e">
        <f>VLOOKUP([2]!Table27[[#This Row],[Location 
(drop-down)]],'[2]List source'!D$2:E$59,2,FALSE)</f>
        <v>#N/A</v>
      </c>
      <c r="C452" s="99" t="s">
        <v>2220</v>
      </c>
      <c r="D452" s="223" t="e">
        <f t="shared" si="14"/>
        <v>#N/A</v>
      </c>
      <c r="E452" s="227" t="s">
        <v>2221</v>
      </c>
      <c r="F452" s="165" t="e" cm="1">
        <f t="array" aca="1" ref="F452" ca="1">MID(LEFT(#REF!, INDEX(_xlfn._xlws.FILTER(ROW(INDIRECT("1:" &amp; LEN(#REF!))), (48 &lt;= CODE(MID(#REF!, ROW(INDIRECT("1:" &amp; LEN(#REF!))), 1))) * (CODE(MID(#REF!, ROW(INDIRECT("1:" &amp; LEN(#REF!))), 1)) &lt;= 57)), 1) - 1), FIND(":",#REF!) + 2, LEN(#REF!))</f>
        <v>#REF!</v>
      </c>
      <c r="G452" s="227" t="e">
        <f>MID(LEFT(#REF!, FIND(",",#REF!) - 1), FIND("{token}", SUBSTITUTE(#REF!, " ", "{token}", 2)) + 1, LEN(#REF!))</f>
        <v>#REF!</v>
      </c>
      <c r="H452" s="165">
        <v>2.5</v>
      </c>
      <c r="I452" s="230">
        <v>45509</v>
      </c>
      <c r="J452" s="230" t="s">
        <v>34</v>
      </c>
      <c r="K452" s="226">
        <v>45509</v>
      </c>
      <c r="L452" s="165" t="s">
        <v>1671</v>
      </c>
      <c r="M452" s="222">
        <v>692</v>
      </c>
      <c r="N452" s="2" t="str">
        <f t="shared" ca="1" si="13"/>
        <v>CLOSED</v>
      </c>
    </row>
    <row r="453" spans="1:14" ht="30">
      <c r="A453" s="64" t="s">
        <v>202</v>
      </c>
      <c r="B453" s="98" t="e">
        <f>VLOOKUP([2]!Table27[[#This Row],[Location 
(drop-down)]],'[2]List source'!D$2:E$59,2,FALSE)</f>
        <v>#N/A</v>
      </c>
      <c r="C453" s="99" t="s">
        <v>2222</v>
      </c>
      <c r="D453" s="223" t="e">
        <f t="shared" si="14"/>
        <v>#N/A</v>
      </c>
      <c r="E453" s="215" t="s">
        <v>2223</v>
      </c>
      <c r="F453" s="214" t="e" cm="1">
        <f t="array" aca="1" ref="F453" ca="1">MID(LEFT(#REF!, INDEX(_xlfn._xlws.FILTER(ROW(INDIRECT("1:" &amp; LEN(#REF!))), (48 &lt;= CODE(MID(#REF!, ROW(INDIRECT("1:" &amp; LEN(#REF!))), 1))) * (CODE(MID(#REF!, ROW(INDIRECT("1:" &amp; LEN(#REF!))), 1)) &lt;= 57)), 1) - 1), FIND(":",#REF!) + 2, LEN(#REF!))</f>
        <v>#REF!</v>
      </c>
      <c r="G453" s="215" t="e">
        <f>MID(LEFT(#REF!, FIND(",",#REF!) - 1), FIND("{token}", SUBSTITUTE(#REF!, " ", "{token}", 2)) + 1, LEN(#REF!))</f>
        <v>#REF!</v>
      </c>
      <c r="H453" s="214">
        <v>2.13</v>
      </c>
      <c r="I453" s="230">
        <v>45509</v>
      </c>
      <c r="J453" s="230" t="s">
        <v>34</v>
      </c>
      <c r="K453" s="226">
        <v>45509</v>
      </c>
      <c r="L453" s="165" t="s">
        <v>1671</v>
      </c>
      <c r="M453" s="222">
        <v>695</v>
      </c>
      <c r="N453" s="2" t="str">
        <f t="shared" ca="1" si="13"/>
        <v>CLOSED</v>
      </c>
    </row>
    <row r="454" spans="1:14" ht="30">
      <c r="A454" s="64" t="s">
        <v>500</v>
      </c>
      <c r="B454" s="98" t="e">
        <f>VLOOKUP([2]!Table27[[#This Row],[Location 
(drop-down)]],'[2]List source'!D$2:E$59,2,FALSE)</f>
        <v>#N/A</v>
      </c>
      <c r="C454" s="99" t="s">
        <v>2224</v>
      </c>
      <c r="D454" s="223" t="e">
        <f t="shared" si="14"/>
        <v>#N/A</v>
      </c>
      <c r="E454" s="227" t="s">
        <v>2223</v>
      </c>
      <c r="F454" s="165" t="e" cm="1">
        <f t="array" aca="1" ref="F454" ca="1">MID(LEFT(#REF!, INDEX(_xlfn._xlws.FILTER(ROW(INDIRECT("1:" &amp; LEN(#REF!))), (48 &lt;= CODE(MID(#REF!, ROW(INDIRECT("1:" &amp; LEN(#REF!))), 1))) * (CODE(MID(#REF!, ROW(INDIRECT("1:" &amp; LEN(#REF!))), 1)) &lt;= 57)), 1) - 1), FIND(":",#REF!) + 2, LEN(#REF!))</f>
        <v>#REF!</v>
      </c>
      <c r="G454" s="227" t="e">
        <f>MID(LEFT(#REF!, FIND(",",#REF!) - 1), FIND("{token}", SUBSTITUTE(#REF!, " ", "{token}", 2)) + 1, LEN(#REF!))</f>
        <v>#REF!</v>
      </c>
      <c r="H454" s="165">
        <v>2.42</v>
      </c>
      <c r="I454" s="230">
        <v>45509</v>
      </c>
      <c r="J454" s="230" t="s">
        <v>34</v>
      </c>
      <c r="K454" s="226">
        <v>45509</v>
      </c>
      <c r="L454" s="165" t="s">
        <v>1671</v>
      </c>
      <c r="M454" s="222">
        <v>697</v>
      </c>
      <c r="N454" s="2" t="str">
        <f t="shared" ca="1" si="13"/>
        <v>CLOSED</v>
      </c>
    </row>
    <row r="455" spans="1:14" ht="30">
      <c r="A455" s="64" t="s">
        <v>39</v>
      </c>
      <c r="B455" s="98" t="e">
        <f>VLOOKUP([2]!Table27[[#This Row],[Location 
(drop-down)]],'[2]List source'!D$2:E$59,2,FALSE)</f>
        <v>#N/A</v>
      </c>
      <c r="C455" s="99" t="s">
        <v>2225</v>
      </c>
      <c r="D455" s="223" t="e">
        <f t="shared" si="14"/>
        <v>#N/A</v>
      </c>
      <c r="E455" s="227" t="s">
        <v>2226</v>
      </c>
      <c r="F455" s="165" t="e" cm="1">
        <f t="array" aca="1" ref="F455" ca="1">MID(LEFT(#REF!, INDEX(_xlfn._xlws.FILTER(ROW(INDIRECT("1:" &amp; LEN(#REF!))), (48 &lt;= CODE(MID(#REF!, ROW(INDIRECT("1:" &amp; LEN(#REF!))), 1))) * (CODE(MID(#REF!, ROW(INDIRECT("1:" &amp; LEN(#REF!))), 1)) &lt;= 57)), 1) - 1), FIND(":",#REF!) + 2, LEN(#REF!))</f>
        <v>#REF!</v>
      </c>
      <c r="G455" s="227" t="e">
        <f>MID(LEFT(#REF!, FIND(",",#REF!) - 1), FIND("{token}", SUBSTITUTE(#REF!, " ", "{token}", 2)) + 1, LEN(#REF!))</f>
        <v>#REF!</v>
      </c>
      <c r="H455" s="165" t="s">
        <v>2227</v>
      </c>
      <c r="I455" s="230">
        <v>45509</v>
      </c>
      <c r="J455" s="230" t="s">
        <v>34</v>
      </c>
      <c r="K455" s="226">
        <v>45509</v>
      </c>
      <c r="L455" s="165" t="s">
        <v>1671</v>
      </c>
      <c r="M455" s="222">
        <v>698</v>
      </c>
      <c r="N455" s="2" t="str">
        <f t="shared" ca="1" si="13"/>
        <v>CLOSED</v>
      </c>
    </row>
    <row r="456" spans="1:14" ht="30">
      <c r="A456" s="64" t="s">
        <v>39</v>
      </c>
      <c r="B456" s="98" t="e">
        <f>VLOOKUP([2]!Table27[[#This Row],[Location 
(drop-down)]],'[2]List source'!D$2:E$59,2,FALSE)</f>
        <v>#N/A</v>
      </c>
      <c r="C456" s="99" t="s">
        <v>2228</v>
      </c>
      <c r="D456" s="223" t="e">
        <f t="shared" si="14"/>
        <v>#N/A</v>
      </c>
      <c r="E456" s="227" t="s">
        <v>2229</v>
      </c>
      <c r="F456" s="165" t="e" cm="1">
        <f t="array" aca="1" ref="F456" ca="1">MID(LEFT(#REF!, INDEX(_xlfn._xlws.FILTER(ROW(INDIRECT("1:" &amp; LEN(#REF!))), (48 &lt;= CODE(MID(#REF!, ROW(INDIRECT("1:" &amp; LEN(#REF!))), 1))) * (CODE(MID(#REF!, ROW(INDIRECT("1:" &amp; LEN(#REF!))), 1)) &lt;= 57)), 1) - 1), FIND(":",#REF!) + 2, LEN(#REF!))</f>
        <v>#REF!</v>
      </c>
      <c r="G456" s="227" t="e">
        <f>MID(LEFT(#REF!, FIND(",",#REF!) - 1), FIND("{token}", SUBSTITUTE(#REF!, " ", "{token}", 2)) + 1, LEN(#REF!))</f>
        <v>#REF!</v>
      </c>
      <c r="H456" s="165" t="s">
        <v>2230</v>
      </c>
      <c r="I456" s="230">
        <v>45509</v>
      </c>
      <c r="J456" s="230" t="s">
        <v>34</v>
      </c>
      <c r="K456" s="226">
        <v>45509</v>
      </c>
      <c r="L456" s="165" t="s">
        <v>1671</v>
      </c>
      <c r="M456" s="222">
        <v>699</v>
      </c>
      <c r="N456" s="2" t="str">
        <f t="shared" ca="1" si="13"/>
        <v>CLOSED</v>
      </c>
    </row>
    <row r="457" spans="1:14" ht="18.75">
      <c r="A457" s="64" t="s">
        <v>103</v>
      </c>
      <c r="B457" s="98" t="e">
        <f>VLOOKUP([2]!Table27[[#This Row],[Location 
(drop-down)]],'[2]List source'!D$2:E$59,2,FALSE)</f>
        <v>#N/A</v>
      </c>
      <c r="C457" s="99" t="s">
        <v>2231</v>
      </c>
      <c r="D457" s="223" t="e">
        <f t="shared" si="14"/>
        <v>#N/A</v>
      </c>
      <c r="E457" s="227" t="s">
        <v>2232</v>
      </c>
      <c r="F457" s="165" t="e" cm="1">
        <f t="array" aca="1" ref="F457" ca="1">MID(LEFT(#REF!, INDEX(_xlfn._xlws.FILTER(ROW(INDIRECT("1:" &amp; LEN(#REF!))), (48 &lt;= CODE(MID(#REF!, ROW(INDIRECT("1:" &amp; LEN(#REF!))), 1))) * (CODE(MID(#REF!, ROW(INDIRECT("1:" &amp; LEN(#REF!))), 1)) &lt;= 57)), 1) - 1), FIND(":",#REF!) + 2, LEN(#REF!))</f>
        <v>#REF!</v>
      </c>
      <c r="G457" s="227" t="s">
        <v>2233</v>
      </c>
      <c r="H457" s="165">
        <v>2.62</v>
      </c>
      <c r="I457" s="230">
        <v>45509</v>
      </c>
      <c r="J457" s="230" t="s">
        <v>34</v>
      </c>
      <c r="K457" s="226">
        <v>45509</v>
      </c>
      <c r="L457" s="165" t="s">
        <v>1671</v>
      </c>
      <c r="M457" s="222">
        <v>701</v>
      </c>
      <c r="N457" s="2" t="str">
        <f t="shared" ca="1" si="13"/>
        <v>CLOSED</v>
      </c>
    </row>
    <row r="458" spans="1:14" ht="30">
      <c r="A458" s="64" t="s">
        <v>294</v>
      </c>
      <c r="B458" s="98" t="e">
        <f>VLOOKUP([2]!Table27[[#This Row],[Location 
(drop-down)]],'[2]List source'!D$2:E$59,2,FALSE)</f>
        <v>#N/A</v>
      </c>
      <c r="C458" s="99" t="s">
        <v>2234</v>
      </c>
      <c r="D458" s="223" t="e">
        <f t="shared" si="14"/>
        <v>#N/A</v>
      </c>
      <c r="E458" s="240" t="s">
        <v>2232</v>
      </c>
      <c r="F458" s="2" t="e" cm="1">
        <f t="array" aca="1" ref="F458" ca="1">MID(LEFT(#REF!, INDEX(_xlfn._xlws.FILTER(ROW(INDIRECT("1:" &amp; LEN(#REF!))), (48 &lt;= CODE(MID(#REF!, ROW(INDIRECT("1:" &amp; LEN(#REF!))), 1))) * (CODE(MID(#REF!, ROW(INDIRECT("1:" &amp; LEN(#REF!))), 1)) &lt;= 57)), 1) - 1), FIND(":",#REF!) + 2, LEN(#REF!))</f>
        <v>#REF!</v>
      </c>
      <c r="G458" s="240" t="e">
        <f>MID(LEFT(#REF!, FIND(",",#REF!) - 1), FIND("{token}", SUBSTITUTE(#REF!, " ", "{token}", 2)) + 1, LEN(#REF!))</f>
        <v>#REF!</v>
      </c>
      <c r="H458" s="2">
        <v>2.0299999999999998</v>
      </c>
      <c r="I458" s="230">
        <v>45509</v>
      </c>
      <c r="J458" s="230" t="s">
        <v>34</v>
      </c>
      <c r="K458" s="226">
        <v>45509</v>
      </c>
      <c r="L458" s="165" t="s">
        <v>1671</v>
      </c>
      <c r="M458" s="222">
        <v>703</v>
      </c>
      <c r="N458" s="2" t="str">
        <f t="shared" ca="1" si="13"/>
        <v>CLOSED</v>
      </c>
    </row>
    <row r="459" spans="1:14" ht="30">
      <c r="A459" s="64" t="s">
        <v>135</v>
      </c>
      <c r="B459" s="98" t="e">
        <f>VLOOKUP([2]!Table27[[#This Row],[Location 
(drop-down)]],'[2]List source'!D$2:E$59,2,FALSE)</f>
        <v>#N/A</v>
      </c>
      <c r="C459" s="99" t="s">
        <v>2235</v>
      </c>
      <c r="D459" s="223" t="e">
        <f t="shared" si="14"/>
        <v>#N/A</v>
      </c>
      <c r="E459" s="227" t="s">
        <v>2236</v>
      </c>
      <c r="F459" s="274" t="e" cm="1">
        <f t="array" aca="1" ref="F459" ca="1">MID(LEFT(#REF!, INDEX(_xlfn._xlws.FILTER(ROW(INDIRECT("1:" &amp; LEN(#REF!))), (48 &lt;= CODE(MID(#REF!, ROW(INDIRECT("1:" &amp; LEN(#REF!))), 1))) * (CODE(MID(#REF!, ROW(INDIRECT("1:" &amp; LEN(#REF!))), 1)) &lt;= 57)), 1) - 1), FIND(":",#REF!) + 2, LEN(#REF!))</f>
        <v>#REF!</v>
      </c>
      <c r="G459" s="227" t="e">
        <f>MID(LEFT(#REF!, FIND(",",#REF!) - 1), FIND("{token}", SUBSTITUTE(#REF!, " ", "{token}", 2)) + 1, LEN(#REF!))</f>
        <v>#REF!</v>
      </c>
      <c r="H459" s="165">
        <v>64.040000000000006</v>
      </c>
      <c r="I459" s="230">
        <v>45509</v>
      </c>
      <c r="J459" s="230" t="s">
        <v>34</v>
      </c>
      <c r="K459" s="226">
        <v>45509</v>
      </c>
      <c r="L459" s="165" t="s">
        <v>1505</v>
      </c>
      <c r="M459" s="222">
        <v>704</v>
      </c>
      <c r="N459" s="2" t="str">
        <f t="shared" ca="1" si="13"/>
        <v>CLOSED</v>
      </c>
    </row>
    <row r="460" spans="1:14" ht="30">
      <c r="A460" s="64" t="s">
        <v>39</v>
      </c>
      <c r="B460" s="98" t="e">
        <f>VLOOKUP([2]!Table27[[#This Row],[Location 
(drop-down)]],'[2]List source'!D$2:E$59,2,FALSE)</f>
        <v>#N/A</v>
      </c>
      <c r="C460" s="99" t="s">
        <v>2237</v>
      </c>
      <c r="D460" s="223" t="e">
        <f t="shared" si="14"/>
        <v>#N/A</v>
      </c>
      <c r="E460" s="213" t="s">
        <v>2238</v>
      </c>
      <c r="F460" s="275" t="s">
        <v>1811</v>
      </c>
      <c r="G460" s="313" t="e">
        <f>MID(LEFT(#REF!, FIND(",",#REF!) - 1), FIND("{token}", SUBSTITUTE(#REF!, " ", "{token}", 2)) + 1, LEN(#REF!))</f>
        <v>#REF!</v>
      </c>
      <c r="H460" s="236" t="s">
        <v>2239</v>
      </c>
      <c r="I460" s="230">
        <v>45509</v>
      </c>
      <c r="J460" s="230" t="s">
        <v>34</v>
      </c>
      <c r="K460" s="226">
        <v>45509</v>
      </c>
      <c r="L460" s="165" t="s">
        <v>1671</v>
      </c>
      <c r="M460" s="222">
        <v>706</v>
      </c>
      <c r="N460" s="2" t="str">
        <f t="shared" ca="1" si="13"/>
        <v>CLOSED</v>
      </c>
    </row>
    <row r="461" spans="1:14" ht="30">
      <c r="A461" s="64" t="s">
        <v>500</v>
      </c>
      <c r="B461" s="98" t="e">
        <f>VLOOKUP([2]!Table27[[#This Row],[Location 
(drop-down)]],'[2]List source'!D$2:E$59,2,FALSE)</f>
        <v>#N/A</v>
      </c>
      <c r="C461" s="99" t="s">
        <v>1072</v>
      </c>
      <c r="D461" s="223" t="e">
        <f t="shared" si="14"/>
        <v>#N/A</v>
      </c>
      <c r="E461" s="213" t="s">
        <v>2240</v>
      </c>
      <c r="F461" s="275" t="s">
        <v>1520</v>
      </c>
      <c r="G461" s="313" t="e">
        <f>MID(LEFT(#REF!, FIND(",",#REF!) - 1), FIND("{token}", SUBSTITUTE(#REF!, " ", "{token}", 2)) + 1, LEN(#REF!))</f>
        <v>#REF!</v>
      </c>
      <c r="H461" s="236" t="s">
        <v>2132</v>
      </c>
      <c r="I461" s="230">
        <v>45426</v>
      </c>
      <c r="J461" s="230" t="s">
        <v>310</v>
      </c>
      <c r="K461" s="226">
        <v>45510</v>
      </c>
      <c r="L461" s="165"/>
      <c r="M461" s="222">
        <v>468</v>
      </c>
      <c r="N461" s="2" t="str">
        <f t="shared" ca="1" si="13"/>
        <v>CLOSED</v>
      </c>
    </row>
    <row r="462" spans="1:14" ht="18.75">
      <c r="A462" s="64" t="s">
        <v>311</v>
      </c>
      <c r="B462" s="98" t="e">
        <f>VLOOKUP([2]!Table27[[#This Row],[Location 
(drop-down)]],'[2]List source'!D$2:E$59,2,FALSE)</f>
        <v>#N/A</v>
      </c>
      <c r="C462" s="99" t="s">
        <v>2241</v>
      </c>
      <c r="D462" s="223" t="e">
        <f t="shared" si="14"/>
        <v>#N/A</v>
      </c>
      <c r="E462" s="314" t="s">
        <v>2242</v>
      </c>
      <c r="F462" s="315" t="e" cm="1">
        <f t="array" aca="1" ref="F462" ca="1">MID(LEFT(#REF!, INDEX(_xlfn._xlws.FILTER(ROW(INDIRECT("1:" &amp; LEN(#REF!))), (48 &lt;= CODE(MID(#REF!, ROW(INDIRECT("1:" &amp; LEN(#REF!))), 1))) * (CODE(MID(#REF!, ROW(INDIRECT("1:" &amp; LEN(#REF!))), 1)) &lt;= 57)), 1) - 1), FIND(":",#REF!) + 2, LEN(#REF!))</f>
        <v>#REF!</v>
      </c>
      <c r="G462" s="316" t="e">
        <f>MID(LEFT(#REF!, FIND(",",#REF!) - 1), FIND("{token}", SUBSTITUTE(#REF!, " ", "{token}", 2)) + 1, LEN(#REF!))</f>
        <v>#REF!</v>
      </c>
      <c r="H462" s="317">
        <v>80.83</v>
      </c>
      <c r="I462" s="230">
        <v>45435</v>
      </c>
      <c r="J462" s="230" t="s">
        <v>34</v>
      </c>
      <c r="K462" s="226">
        <v>45510</v>
      </c>
      <c r="L462" s="165" t="s">
        <v>1505</v>
      </c>
      <c r="M462" s="222">
        <v>590</v>
      </c>
      <c r="N462" s="2" t="str">
        <f t="shared" ca="1" si="13"/>
        <v>CLOSED</v>
      </c>
    </row>
    <row r="463" spans="1:14" ht="30">
      <c r="A463" s="64" t="s">
        <v>495</v>
      </c>
      <c r="B463" s="98" t="e">
        <f>VLOOKUP([2]!Table27[[#This Row],[Location 
(drop-down)]],'[2]List source'!D$2:E$59,2,FALSE)</f>
        <v>#N/A</v>
      </c>
      <c r="C463" s="99" t="s">
        <v>2243</v>
      </c>
      <c r="D463" s="223" t="e">
        <f t="shared" si="14"/>
        <v>#N/A</v>
      </c>
      <c r="E463" s="213" t="s">
        <v>2244</v>
      </c>
      <c r="F463" s="275" t="s">
        <v>2160</v>
      </c>
      <c r="G463" s="313" t="e">
        <f>MID(LEFT(#REF!, FIND(",",#REF!) - 1), FIND("{token}", SUBSTITUTE(#REF!, " ", "{token}", 2)) + 1, LEN(#REF!))</f>
        <v>#REF!</v>
      </c>
      <c r="H463" s="165">
        <v>3.81</v>
      </c>
      <c r="I463" s="230">
        <v>45509</v>
      </c>
      <c r="J463" s="230" t="s">
        <v>34</v>
      </c>
      <c r="K463" s="226">
        <v>45510</v>
      </c>
      <c r="L463" s="165" t="s">
        <v>1505</v>
      </c>
      <c r="M463" s="222">
        <v>705</v>
      </c>
      <c r="N463" s="2" t="str">
        <f t="shared" ca="1" si="13"/>
        <v>CLOSED</v>
      </c>
    </row>
    <row r="464" spans="1:14" ht="30">
      <c r="A464" s="64" t="s">
        <v>39</v>
      </c>
      <c r="B464" s="98" t="e">
        <f>VLOOKUP([2]!Table27[[#This Row],[Location 
(drop-down)]],'[2]List source'!D$2:E$59,2,FALSE)</f>
        <v>#N/A</v>
      </c>
      <c r="C464" s="99" t="s">
        <v>2245</v>
      </c>
      <c r="D464" s="223" t="e">
        <f t="shared" si="14"/>
        <v>#N/A</v>
      </c>
      <c r="E464" s="213" t="s">
        <v>2246</v>
      </c>
      <c r="F464" s="275" t="e" cm="1">
        <f t="array" aca="1" ref="F464" ca="1">MID(LEFT(#REF!, INDEX(_xlfn._xlws.FILTER(ROW(INDIRECT("1:" &amp; LEN(#REF!))), (48 &lt;= CODE(MID(#REF!, ROW(INDIRECT("1:" &amp; LEN(#REF!))), 1))) * (CODE(MID(#REF!, ROW(INDIRECT("1:" &amp; LEN(#REF!))), 1)) &lt;= 57)), 1) - 1), FIND(":",#REF!) + 2, LEN(#REF!))</f>
        <v>#REF!</v>
      </c>
      <c r="G464" s="313" t="e">
        <f>MID(LEFT(#REF!, FIND(",",#REF!) - 1), FIND("{token}", SUBSTITUTE(#REF!, " ", "{token}", 2)) + 1, LEN(#REF!))</f>
        <v>#REF!</v>
      </c>
      <c r="H464" s="165">
        <v>2.66</v>
      </c>
      <c r="I464" s="230">
        <v>45510</v>
      </c>
      <c r="J464" s="230" t="s">
        <v>34</v>
      </c>
      <c r="K464" s="226">
        <v>45510</v>
      </c>
      <c r="L464" s="165" t="s">
        <v>1671</v>
      </c>
      <c r="M464" s="222">
        <v>711</v>
      </c>
      <c r="N464" s="2" t="str">
        <f t="shared" ca="1" si="13"/>
        <v>CLOSED</v>
      </c>
    </row>
    <row r="465" spans="1:14" ht="30">
      <c r="A465" s="64" t="s">
        <v>30</v>
      </c>
      <c r="B465" s="98" t="e">
        <f>VLOOKUP([2]!Table27[[#This Row],[Location 
(drop-down)]],'[2]List source'!D$2:E$59,2,FALSE)</f>
        <v>#N/A</v>
      </c>
      <c r="C465" s="99" t="s">
        <v>2247</v>
      </c>
      <c r="D465" s="223" t="e">
        <f t="shared" si="14"/>
        <v>#N/A</v>
      </c>
      <c r="E465" s="213" t="s">
        <v>2248</v>
      </c>
      <c r="F465" s="275" t="e" cm="1">
        <f t="array" aca="1" ref="F465" ca="1">MID(LEFT(#REF!, INDEX(_xlfn._xlws.FILTER(ROW(INDIRECT("1:" &amp; LEN(#REF!))), (48 &lt;= CODE(MID(#REF!, ROW(INDIRECT("1:" &amp; LEN(#REF!))), 1))) * (CODE(MID(#REF!, ROW(INDIRECT("1:" &amp; LEN(#REF!))), 1)) &lt;= 57)), 1) - 1), FIND(":",#REF!) + 2, LEN(#REF!))</f>
        <v>#REF!</v>
      </c>
      <c r="G465" s="313" t="e">
        <f>MID(LEFT(#REF!, FIND(",",#REF!) - 1), FIND("{token}", SUBSTITUTE(#REF!, " ", "{token}", 2)) + 1, LEN(#REF!))</f>
        <v>#REF!</v>
      </c>
      <c r="H465" s="165">
        <v>2.0299999999999998</v>
      </c>
      <c r="I465" s="230">
        <v>45510</v>
      </c>
      <c r="J465" s="230" t="s">
        <v>34</v>
      </c>
      <c r="K465" s="226">
        <v>45510</v>
      </c>
      <c r="L465" s="165" t="s">
        <v>1671</v>
      </c>
      <c r="M465" s="222">
        <v>715</v>
      </c>
      <c r="N465" s="2" t="str">
        <f t="shared" ca="1" si="13"/>
        <v>CLOSED</v>
      </c>
    </row>
    <row r="466" spans="1:14" ht="18.75">
      <c r="A466" s="64" t="s">
        <v>314</v>
      </c>
      <c r="B466" s="98" t="e">
        <f>VLOOKUP([2]!Table27[[#This Row],[Location 
(drop-down)]],'[2]List source'!D$2:E$59,2,FALSE)</f>
        <v>#N/A</v>
      </c>
      <c r="C466" s="99" t="s">
        <v>2249</v>
      </c>
      <c r="D466" s="223" t="e">
        <f t="shared" si="14"/>
        <v>#N/A</v>
      </c>
      <c r="E466" s="213" t="s">
        <v>2250</v>
      </c>
      <c r="F466" s="275" t="e" cm="1">
        <f t="array" aca="1" ref="F466" ca="1">MID(LEFT(#REF!, INDEX(_xlfn._xlws.FILTER(ROW(INDIRECT("1:" &amp; LEN(#REF!))), (48 &lt;= CODE(MID(#REF!, ROW(INDIRECT("1:" &amp; LEN(#REF!))), 1))) * (CODE(MID(#REF!, ROW(INDIRECT("1:" &amp; LEN(#REF!))), 1)) &lt;= 57)), 1) - 1), FIND(":",#REF!) + 2, LEN(#REF!))</f>
        <v>#REF!</v>
      </c>
      <c r="G466" s="313" t="e">
        <f>MID(LEFT(#REF!, FIND(",",#REF!) - 1), FIND("{token}", SUBSTITUTE(#REF!, " ", "{token}", 2)) + 1, LEN(#REF!))</f>
        <v>#REF!</v>
      </c>
      <c r="H466" s="165">
        <v>2.0499999999999998</v>
      </c>
      <c r="I466" s="230">
        <v>45510</v>
      </c>
      <c r="J466" s="230" t="s">
        <v>34</v>
      </c>
      <c r="K466" s="226">
        <v>45510</v>
      </c>
      <c r="L466" s="165" t="s">
        <v>1671</v>
      </c>
      <c r="M466" s="222">
        <v>719</v>
      </c>
      <c r="N466" s="2" t="str">
        <f t="shared" ca="1" si="13"/>
        <v>CLOSED</v>
      </c>
    </row>
    <row r="467" spans="1:14" ht="18.75">
      <c r="A467" s="64" t="s">
        <v>103</v>
      </c>
      <c r="B467" s="98" t="e">
        <f>VLOOKUP([2]!Table27[[#This Row],[Location 
(drop-down)]],'[2]List source'!D$2:E$59,2,FALSE)</f>
        <v>#N/A</v>
      </c>
      <c r="C467" s="99" t="s">
        <v>2251</v>
      </c>
      <c r="D467" s="223" t="e">
        <f t="shared" si="14"/>
        <v>#N/A</v>
      </c>
      <c r="E467" s="227" t="s">
        <v>2252</v>
      </c>
      <c r="F467" s="165" t="s">
        <v>1769</v>
      </c>
      <c r="G467" s="227" t="e">
        <f>MID(LEFT(#REF!, FIND(",",#REF!) - 1), FIND("{token}", SUBSTITUTE(#REF!, " ", "{token}", 2)) + 1, LEN(#REF!))</f>
        <v>#REF!</v>
      </c>
      <c r="H467" s="165" t="s">
        <v>2253</v>
      </c>
      <c r="I467" s="230">
        <v>45510</v>
      </c>
      <c r="J467" s="230" t="s">
        <v>34</v>
      </c>
      <c r="K467" s="226">
        <v>45510</v>
      </c>
      <c r="L467" s="165" t="s">
        <v>1671</v>
      </c>
      <c r="M467" s="222">
        <v>721</v>
      </c>
      <c r="N467" s="2" t="str">
        <f t="shared" ca="1" si="13"/>
        <v>CLOSED</v>
      </c>
    </row>
    <row r="468" spans="1:14" ht="18.75">
      <c r="A468" s="64" t="s">
        <v>103</v>
      </c>
      <c r="B468" s="98" t="e">
        <f>VLOOKUP([2]!Table27[[#This Row],[Location 
(drop-down)]],'[2]List source'!D$2:E$59,2,FALSE)</f>
        <v>#N/A</v>
      </c>
      <c r="C468" s="99" t="s">
        <v>2254</v>
      </c>
      <c r="D468" s="223" t="e">
        <f t="shared" si="14"/>
        <v>#N/A</v>
      </c>
      <c r="E468" s="227" t="s">
        <v>2255</v>
      </c>
      <c r="F468" s="165" t="s">
        <v>1769</v>
      </c>
      <c r="G468" s="227" t="e">
        <f>MID(LEFT(#REF!, FIND(",",#REF!) - 1), FIND("{token}", SUBSTITUTE(#REF!, " ", "{token}", 2)) + 1, LEN(#REF!))</f>
        <v>#REF!</v>
      </c>
      <c r="H468" s="236" t="s">
        <v>2004</v>
      </c>
      <c r="I468" s="230">
        <v>45510</v>
      </c>
      <c r="J468" s="230" t="s">
        <v>34</v>
      </c>
      <c r="K468" s="226">
        <v>45510</v>
      </c>
      <c r="L468" s="165" t="s">
        <v>1671</v>
      </c>
      <c r="M468" s="222">
        <v>722</v>
      </c>
      <c r="N468" s="2" t="str">
        <f t="shared" ca="1" si="13"/>
        <v>CLOSED</v>
      </c>
    </row>
    <row r="469" spans="1:14" ht="18.75">
      <c r="A469" s="64" t="s">
        <v>167</v>
      </c>
      <c r="B469" s="98" t="e">
        <f>VLOOKUP([2]!Table27[[#This Row],[Location 
(drop-down)]],'[2]List source'!D$2:E$59,2,FALSE)</f>
        <v>#N/A</v>
      </c>
      <c r="C469" s="99" t="s">
        <v>2256</v>
      </c>
      <c r="D469" s="223" t="e">
        <f t="shared" si="14"/>
        <v>#N/A</v>
      </c>
      <c r="E469" s="227" t="s">
        <v>2257</v>
      </c>
      <c r="F469" s="165" t="s">
        <v>1769</v>
      </c>
      <c r="G469" s="227" t="e">
        <f>MID(LEFT(#REF!, FIND(",",#REF!) - 1), FIND("{token}", SUBSTITUTE(#REF!, " ", "{token}", 2)) + 1, LEN(#REF!))</f>
        <v>#REF!</v>
      </c>
      <c r="H469" s="165">
        <v>2.71</v>
      </c>
      <c r="I469" s="230">
        <v>45510</v>
      </c>
      <c r="J469" s="230" t="s">
        <v>34</v>
      </c>
      <c r="K469" s="226">
        <v>45510</v>
      </c>
      <c r="L469" s="165" t="s">
        <v>1671</v>
      </c>
      <c r="M469" s="222">
        <v>723</v>
      </c>
      <c r="N469" s="2" t="str">
        <f t="shared" ca="1" si="13"/>
        <v>CLOSED</v>
      </c>
    </row>
    <row r="470" spans="1:14" ht="18.75">
      <c r="A470" s="64" t="s">
        <v>103</v>
      </c>
      <c r="B470" s="98" t="e">
        <f>VLOOKUP([2]!Table27[[#This Row],[Location 
(drop-down)]],'[2]List source'!D$2:E$59,2,FALSE)</f>
        <v>#N/A</v>
      </c>
      <c r="C470" s="99" t="s">
        <v>2258</v>
      </c>
      <c r="D470" s="223" t="e">
        <f t="shared" si="14"/>
        <v>#N/A</v>
      </c>
      <c r="E470" s="227" t="s">
        <v>2259</v>
      </c>
      <c r="F470" s="165" t="s">
        <v>1769</v>
      </c>
      <c r="G470" s="227" t="e">
        <f>MID(LEFT(#REF!, FIND(",",#REF!) - 1), FIND("{token}", SUBSTITUTE(#REF!, " ", "{token}", 2)) + 1, LEN(#REF!))</f>
        <v>#REF!</v>
      </c>
      <c r="H470" s="165">
        <v>2.08</v>
      </c>
      <c r="I470" s="230">
        <v>45510</v>
      </c>
      <c r="J470" s="230" t="s">
        <v>34</v>
      </c>
      <c r="K470" s="226">
        <v>45510</v>
      </c>
      <c r="L470" s="165" t="s">
        <v>1671</v>
      </c>
      <c r="M470" s="222">
        <v>728</v>
      </c>
      <c r="N470" s="2" t="str">
        <f t="shared" ca="1" si="13"/>
        <v>CLOSED</v>
      </c>
    </row>
    <row r="471" spans="1:14" ht="30">
      <c r="A471" s="64" t="s">
        <v>80</v>
      </c>
      <c r="B471" s="98" t="e">
        <f>VLOOKUP([2]!Table27[[#This Row],[Location 
(drop-down)]],'[2]List source'!D$2:E$59,2,FALSE)</f>
        <v>#N/A</v>
      </c>
      <c r="C471" s="99" t="s">
        <v>2260</v>
      </c>
      <c r="D471" s="223" t="e">
        <f t="shared" si="14"/>
        <v>#N/A</v>
      </c>
      <c r="E471" s="227" t="s">
        <v>2261</v>
      </c>
      <c r="F471" s="165" t="s">
        <v>1769</v>
      </c>
      <c r="G471" s="227" t="e">
        <f>MID(LEFT(#REF!, FIND(",",#REF!) - 1), FIND("{token}", SUBSTITUTE(#REF!, " ", "{token}", 2)) + 1, LEN(#REF!))</f>
        <v>#REF!</v>
      </c>
      <c r="H471" s="165">
        <v>2.11</v>
      </c>
      <c r="I471" s="230">
        <v>45510</v>
      </c>
      <c r="J471" s="230" t="s">
        <v>34</v>
      </c>
      <c r="K471" s="226">
        <v>45510</v>
      </c>
      <c r="L471" s="165" t="s">
        <v>1671</v>
      </c>
      <c r="M471" s="222">
        <v>729</v>
      </c>
      <c r="N471" s="2" t="str">
        <f t="shared" ca="1" si="13"/>
        <v>CLOSED</v>
      </c>
    </row>
    <row r="472" spans="1:14" ht="18.75">
      <c r="A472" s="64" t="s">
        <v>64</v>
      </c>
      <c r="B472" s="98" t="e">
        <f>VLOOKUP([2]!Table27[[#This Row],[Location 
(drop-down)]],'[2]List source'!D$2:E$59,2,FALSE)</f>
        <v>#N/A</v>
      </c>
      <c r="C472" s="99" t="s">
        <v>2262</v>
      </c>
      <c r="D472" s="223" t="e">
        <f t="shared" si="14"/>
        <v>#N/A</v>
      </c>
      <c r="E472" s="227" t="s">
        <v>2263</v>
      </c>
      <c r="F472" s="165" t="s">
        <v>1769</v>
      </c>
      <c r="G472" s="227" t="e">
        <f>MID(LEFT(#REF!, FIND(",",#REF!) - 1), FIND("{token}", SUBSTITUTE(#REF!, " ", "{token}", 2)) + 1, LEN(#REF!))</f>
        <v>#REF!</v>
      </c>
      <c r="H472" s="165">
        <v>2.04</v>
      </c>
      <c r="I472" s="230">
        <v>45510</v>
      </c>
      <c r="J472" s="230" t="s">
        <v>34</v>
      </c>
      <c r="K472" s="226">
        <v>45510</v>
      </c>
      <c r="L472" s="165" t="s">
        <v>1671</v>
      </c>
      <c r="M472" s="222">
        <v>730</v>
      </c>
      <c r="N472" s="2" t="str">
        <f t="shared" ref="N472:N535" ca="1" si="15">IF(ISBLANK(K472), TODAY()-(I472), "CLOSED")</f>
        <v>CLOSED</v>
      </c>
    </row>
    <row r="473" spans="1:14" ht="18.75">
      <c r="A473" s="64" t="s">
        <v>167</v>
      </c>
      <c r="B473" s="98" t="e">
        <f>VLOOKUP([2]!Table27[[#This Row],[Location 
(drop-down)]],'[2]List source'!D$2:E$59,2,FALSE)</f>
        <v>#N/A</v>
      </c>
      <c r="C473" s="99" t="s">
        <v>2264</v>
      </c>
      <c r="D473" s="223" t="e">
        <f t="shared" si="14"/>
        <v>#N/A</v>
      </c>
      <c r="E473" s="227" t="s">
        <v>2265</v>
      </c>
      <c r="F473" s="165" t="s">
        <v>1769</v>
      </c>
      <c r="G473" s="227" t="e">
        <f>MID(LEFT(#REF!, FIND(",",#REF!) - 1), FIND("{token}", SUBSTITUTE(#REF!, " ", "{token}", 2)) + 1, LEN(#REF!))</f>
        <v>#REF!</v>
      </c>
      <c r="H473" s="165" t="s">
        <v>2266</v>
      </c>
      <c r="I473" s="230">
        <v>45510</v>
      </c>
      <c r="J473" s="230" t="s">
        <v>34</v>
      </c>
      <c r="K473" s="226">
        <v>45510</v>
      </c>
      <c r="L473" s="165" t="s">
        <v>1671</v>
      </c>
      <c r="M473" s="222">
        <v>731</v>
      </c>
      <c r="N473" s="2" t="str">
        <f t="shared" ca="1" si="15"/>
        <v>CLOSED</v>
      </c>
    </row>
    <row r="474" spans="1:14" ht="30">
      <c r="A474" s="64" t="s">
        <v>125</v>
      </c>
      <c r="B474" s="98" t="e">
        <f>VLOOKUP([2]!Table27[[#This Row],[Location 
(drop-down)]],'[2]List source'!D$2:E$59,2,FALSE)</f>
        <v>#N/A</v>
      </c>
      <c r="C474" s="99" t="s">
        <v>2267</v>
      </c>
      <c r="D474" s="223" t="e">
        <f t="shared" si="14"/>
        <v>#N/A</v>
      </c>
      <c r="E474" s="227" t="s">
        <v>2268</v>
      </c>
      <c r="F474" s="165" t="s">
        <v>2269</v>
      </c>
      <c r="G474" s="227" t="e">
        <f>MID(LEFT(#REF!, FIND(",",#REF!) - 1), FIND("{token}", SUBSTITUTE(#REF!, " ", "{token}", 2)) + 1, LEN(#REF!))</f>
        <v>#REF!</v>
      </c>
      <c r="H474" s="165">
        <v>2.4300000000000002</v>
      </c>
      <c r="I474" s="230">
        <v>45510</v>
      </c>
      <c r="J474" s="230" t="s">
        <v>34</v>
      </c>
      <c r="K474" s="226">
        <v>45510</v>
      </c>
      <c r="L474" s="165" t="s">
        <v>1671</v>
      </c>
      <c r="M474" s="222">
        <v>734</v>
      </c>
      <c r="N474" s="2" t="str">
        <f t="shared" ca="1" si="15"/>
        <v>CLOSED</v>
      </c>
    </row>
    <row r="475" spans="1:14" ht="30">
      <c r="A475" s="64" t="s">
        <v>125</v>
      </c>
      <c r="B475" s="98" t="e">
        <f>VLOOKUP([2]!Table27[[#This Row],[Location 
(drop-down)]],'[2]List source'!D$2:E$59,2,FALSE)</f>
        <v>#N/A</v>
      </c>
      <c r="C475" s="99" t="s">
        <v>2270</v>
      </c>
      <c r="D475" s="223" t="e">
        <f t="shared" si="14"/>
        <v>#N/A</v>
      </c>
      <c r="E475" s="227" t="s">
        <v>2271</v>
      </c>
      <c r="F475" s="165" t="s">
        <v>2269</v>
      </c>
      <c r="G475" s="227" t="e">
        <f>MID(LEFT(#REF!, FIND(",",#REF!) - 1), FIND("{token}", SUBSTITUTE(#REF!, " ", "{token}", 2)) + 1, LEN(#REF!))</f>
        <v>#REF!</v>
      </c>
      <c r="H475" s="165">
        <v>2231.8200000000002</v>
      </c>
      <c r="I475" s="230">
        <v>45510</v>
      </c>
      <c r="J475" s="230" t="s">
        <v>34</v>
      </c>
      <c r="K475" s="226">
        <v>45510</v>
      </c>
      <c r="L475" s="165" t="s">
        <v>1505</v>
      </c>
      <c r="M475" s="222">
        <v>735</v>
      </c>
      <c r="N475" s="2" t="str">
        <f t="shared" ca="1" si="15"/>
        <v>CLOSED</v>
      </c>
    </row>
    <row r="476" spans="1:14" ht="30">
      <c r="A476" s="64" t="s">
        <v>125</v>
      </c>
      <c r="B476" s="98" t="e">
        <f>VLOOKUP([2]!Table27[[#This Row],[Location 
(drop-down)]],'[2]List source'!D$2:E$59,2,FALSE)</f>
        <v>#N/A</v>
      </c>
      <c r="C476" s="99" t="s">
        <v>2272</v>
      </c>
      <c r="D476" s="223" t="e">
        <f t="shared" si="14"/>
        <v>#N/A</v>
      </c>
      <c r="E476" s="227" t="s">
        <v>2273</v>
      </c>
      <c r="F476" s="165" t="s">
        <v>2274</v>
      </c>
      <c r="G476" s="227" t="e">
        <f>MID(LEFT(#REF!, FIND(",",#REF!) - 1), FIND("{token}", SUBSTITUTE(#REF!, " ", "{token}", 2)) + 1, LEN(#REF!))</f>
        <v>#REF!</v>
      </c>
      <c r="H476" s="165">
        <v>2.16</v>
      </c>
      <c r="I476" s="230">
        <v>45510</v>
      </c>
      <c r="J476" s="230" t="s">
        <v>34</v>
      </c>
      <c r="K476" s="226">
        <v>45510</v>
      </c>
      <c r="L476" s="165" t="s">
        <v>1671</v>
      </c>
      <c r="M476" s="222">
        <v>736</v>
      </c>
      <c r="N476" s="2" t="str">
        <f t="shared" ca="1" si="15"/>
        <v>CLOSED</v>
      </c>
    </row>
    <row r="477" spans="1:14" ht="30">
      <c r="A477" s="64" t="s">
        <v>73</v>
      </c>
      <c r="B477" s="98" t="e">
        <f>VLOOKUP([2]!Table27[[#This Row],[Location 
(drop-down)]],'[2]List source'!D$2:E$59,2,FALSE)</f>
        <v>#N/A</v>
      </c>
      <c r="C477" s="99" t="s">
        <v>2275</v>
      </c>
      <c r="D477" s="223" t="e">
        <f t="shared" si="14"/>
        <v>#N/A</v>
      </c>
      <c r="E477" s="227" t="s">
        <v>2276</v>
      </c>
      <c r="F477" s="165" t="s">
        <v>1524</v>
      </c>
      <c r="G477" s="227" t="e">
        <f>MID(LEFT(#REF!, FIND(",",#REF!) - 1), FIND("{token}", SUBSTITUTE(#REF!, " ", "{token}", 2)) + 1, LEN(#REF!))</f>
        <v>#REF!</v>
      </c>
      <c r="H477" s="236" t="s">
        <v>1764</v>
      </c>
      <c r="I477" s="230">
        <v>45510</v>
      </c>
      <c r="J477" s="230" t="s">
        <v>34</v>
      </c>
      <c r="K477" s="226">
        <v>45510</v>
      </c>
      <c r="L477" s="165" t="s">
        <v>1671</v>
      </c>
      <c r="M477" s="222">
        <v>737</v>
      </c>
      <c r="N477" s="2" t="str">
        <f t="shared" ca="1" si="15"/>
        <v>CLOSED</v>
      </c>
    </row>
    <row r="478" spans="1:14" ht="18.75">
      <c r="A478" s="64" t="s">
        <v>15</v>
      </c>
      <c r="B478" s="98" t="e">
        <f>VLOOKUP([2]!Table27[[#This Row],[Location 
(drop-down)]],'[2]List source'!D$2:E$59,2,FALSE)</f>
        <v>#N/A</v>
      </c>
      <c r="C478" s="99" t="s">
        <v>2277</v>
      </c>
      <c r="D478" s="223" t="e">
        <f t="shared" si="14"/>
        <v>#N/A</v>
      </c>
      <c r="E478" s="227" t="s">
        <v>2278</v>
      </c>
      <c r="F478" s="165" t="s">
        <v>2279</v>
      </c>
      <c r="G478" s="227" t="e">
        <f>MID(LEFT(#REF!, FIND(",",#REF!) - 1), FIND("{token}", SUBSTITUTE(#REF!, " ", "{token}", 2)) + 1, LEN(#REF!))</f>
        <v>#REF!</v>
      </c>
      <c r="H478" s="165">
        <v>2.7</v>
      </c>
      <c r="I478" s="230">
        <v>45510</v>
      </c>
      <c r="J478" s="230" t="s">
        <v>34</v>
      </c>
      <c r="K478" s="226">
        <v>45510</v>
      </c>
      <c r="L478" s="165" t="s">
        <v>1671</v>
      </c>
      <c r="M478" s="222">
        <v>740</v>
      </c>
      <c r="N478" s="2" t="str">
        <f t="shared" ca="1" si="15"/>
        <v>CLOSED</v>
      </c>
    </row>
    <row r="479" spans="1:14" ht="30">
      <c r="A479" s="64" t="s">
        <v>485</v>
      </c>
      <c r="B479" s="98" t="e">
        <f>VLOOKUP([2]!Table27[[#This Row],[Location 
(drop-down)]],'[2]List source'!D$2:E$59,2,FALSE)</f>
        <v>#N/A</v>
      </c>
      <c r="C479" s="99" t="s">
        <v>721</v>
      </c>
      <c r="D479" s="223" t="e">
        <f t="shared" si="14"/>
        <v>#N/A</v>
      </c>
      <c r="E479" s="227" t="s">
        <v>2280</v>
      </c>
      <c r="F479" s="165" t="e" cm="1">
        <f t="array" aca="1" ref="F479" ca="1">MID(LEFT(#REF!, INDEX(_xlfn._xlws.FILTER(ROW(INDIRECT("1:" &amp; LEN(#REF!))), (48 &lt;= CODE(MID(#REF!, ROW(INDIRECT("1:" &amp; LEN(#REF!))), 1))) * (CODE(MID(#REF!, ROW(INDIRECT("1:" &amp; LEN(#REF!))), 1)) &lt;= 57)), 1) - 1), FIND(":",#REF!) + 2, LEN(#REF!))</f>
        <v>#REF!</v>
      </c>
      <c r="G479" s="227" t="e">
        <f>MID(LEFT(#REF!, FIND(",",#REF!) - 1), FIND("{token}", SUBSTITUTE(#REF!, " ", "{token}", 2)) + 1, LEN(#REF!))</f>
        <v>#REF!</v>
      </c>
      <c r="H479" s="165">
        <v>-20.399999999999999</v>
      </c>
      <c r="I479" s="230">
        <v>45307</v>
      </c>
      <c r="J479" s="230" t="s">
        <v>327</v>
      </c>
      <c r="K479" s="226">
        <v>45511</v>
      </c>
      <c r="L479" s="165"/>
      <c r="M479" s="222">
        <v>72</v>
      </c>
      <c r="N479" s="2" t="str">
        <f t="shared" ca="1" si="15"/>
        <v>CLOSED</v>
      </c>
    </row>
    <row r="480" spans="1:14" ht="30">
      <c r="A480" s="64" t="s">
        <v>125</v>
      </c>
      <c r="B480" s="98" t="e">
        <f>VLOOKUP([2]!Table27[[#This Row],[Location 
(drop-down)]],'[2]List source'!D$2:E$59,2,FALSE)</f>
        <v>#N/A</v>
      </c>
      <c r="C480" s="99" t="s">
        <v>1371</v>
      </c>
      <c r="D480" s="223" t="e">
        <f t="shared" si="14"/>
        <v>#N/A</v>
      </c>
      <c r="E480" s="227" t="s">
        <v>2281</v>
      </c>
      <c r="F480" s="165" t="s">
        <v>2282</v>
      </c>
      <c r="G480" s="227" t="e">
        <f>MID(LEFT(#REF!, FIND(",",#REF!) - 1), FIND("{token}", SUBSTITUTE(#REF!, " ", "{token}", 2)) + 1, LEN(#REF!))</f>
        <v>#REF!</v>
      </c>
      <c r="H480" s="236" t="s">
        <v>2283</v>
      </c>
      <c r="I480" s="230">
        <v>45413</v>
      </c>
      <c r="J480" s="230" t="s">
        <v>111</v>
      </c>
      <c r="K480" s="226">
        <v>45511</v>
      </c>
      <c r="L480" s="165"/>
      <c r="M480" s="222">
        <v>341</v>
      </c>
      <c r="N480" s="2" t="str">
        <f t="shared" ca="1" si="15"/>
        <v>CLOSED</v>
      </c>
    </row>
    <row r="481" spans="1:14" ht="30">
      <c r="A481" s="64" t="s">
        <v>500</v>
      </c>
      <c r="B481" s="98" t="e">
        <f>VLOOKUP([2]!Table27[[#This Row],[Location 
(drop-down)]],'[2]List source'!D$2:E$59,2,FALSE)</f>
        <v>#N/A</v>
      </c>
      <c r="C481" s="99" t="s">
        <v>2284</v>
      </c>
      <c r="D481" s="223" t="e">
        <f t="shared" si="14"/>
        <v>#N/A</v>
      </c>
      <c r="E481" s="227" t="s">
        <v>2285</v>
      </c>
      <c r="F481" s="165" t="e" cm="1">
        <f t="array" aca="1" ref="F481" ca="1">MID(LEFT(#REF!, INDEX(_xlfn._xlws.FILTER(ROW(INDIRECT("1:" &amp; LEN(#REF!))), (48 &lt;= CODE(MID(#REF!, ROW(INDIRECT("1:" &amp; LEN(#REF!))), 1))) * (CODE(MID(#REF!, ROW(INDIRECT("1:" &amp; LEN(#REF!))), 1)) &lt;= 57)), 1) - 1), FIND(":",#REF!) + 2, LEN(#REF!))</f>
        <v>#REF!</v>
      </c>
      <c r="G481" s="227" t="e">
        <f>MID(LEFT(#REF!, FIND(",",#REF!) - 1), FIND("{token}", SUBSTITUTE(#REF!, " ", "{token}", 2)) + 1, LEN(#REF!))</f>
        <v>#REF!</v>
      </c>
      <c r="H481" s="236" t="s">
        <v>2286</v>
      </c>
      <c r="I481" s="230">
        <v>45435</v>
      </c>
      <c r="J481" s="230" t="s">
        <v>310</v>
      </c>
      <c r="K481" s="226">
        <v>45511</v>
      </c>
      <c r="L481" s="165"/>
      <c r="M481" s="222">
        <v>645</v>
      </c>
      <c r="N481" s="2" t="str">
        <f t="shared" ca="1" si="15"/>
        <v>CLOSED</v>
      </c>
    </row>
    <row r="482" spans="1:14" ht="30">
      <c r="A482" s="64" t="s">
        <v>1334</v>
      </c>
      <c r="B482" s="98" t="e">
        <f>VLOOKUP([2]!Table27[[#This Row],[Location 
(drop-down)]],'[2]List source'!D$2:E$59,2,FALSE)</f>
        <v>#N/A</v>
      </c>
      <c r="C482" s="99" t="s">
        <v>2287</v>
      </c>
      <c r="D482" s="223" t="e">
        <f t="shared" si="14"/>
        <v>#N/A</v>
      </c>
      <c r="E482" s="227" t="s">
        <v>2288</v>
      </c>
      <c r="F482" s="165" t="e" cm="1">
        <f t="array" aca="1" ref="F482" ca="1">MID(LEFT(#REF!, INDEX(_xlfn._xlws.FILTER(ROW(INDIRECT("1:" &amp; LEN(#REF!))), (48 &lt;= CODE(MID(#REF!, ROW(INDIRECT("1:" &amp; LEN(#REF!))), 1))) * (CODE(MID(#REF!, ROW(INDIRECT("1:" &amp; LEN(#REF!))), 1)) &lt;= 57)), 1) - 1), FIND(":",#REF!) + 2, LEN(#REF!))</f>
        <v>#REF!</v>
      </c>
      <c r="G482" s="227" t="e">
        <f>MID(LEFT(#REF!, FIND(",",#REF!) - 1), FIND("{token}", SUBSTITUTE(#REF!, " ", "{token}", 2)) + 1, LEN(#REF!))</f>
        <v>#REF!</v>
      </c>
      <c r="H482" s="165">
        <v>2.2200000000000002</v>
      </c>
      <c r="I482" s="230">
        <v>45511</v>
      </c>
      <c r="J482" s="230" t="s">
        <v>34</v>
      </c>
      <c r="K482" s="226">
        <v>45511</v>
      </c>
      <c r="L482" s="165" t="s">
        <v>1671</v>
      </c>
      <c r="M482" s="222">
        <v>741</v>
      </c>
      <c r="N482" s="2" t="str">
        <f t="shared" ca="1" si="15"/>
        <v>CLOSED</v>
      </c>
    </row>
    <row r="483" spans="1:14" ht="30">
      <c r="A483" s="64" t="s">
        <v>500</v>
      </c>
      <c r="B483" s="98" t="e">
        <f>VLOOKUP([2]!Table27[[#This Row],[Location 
(drop-down)]],'[2]List source'!D$2:E$59,2,FALSE)</f>
        <v>#N/A</v>
      </c>
      <c r="C483" s="99" t="s">
        <v>2289</v>
      </c>
      <c r="D483" s="223" t="e">
        <f t="shared" si="14"/>
        <v>#N/A</v>
      </c>
      <c r="E483" s="227" t="s">
        <v>2290</v>
      </c>
      <c r="F483" s="165" t="e" cm="1">
        <f t="array" aca="1" ref="F483" ca="1">MID(LEFT(#REF!, INDEX(_xlfn._xlws.FILTER(ROW(INDIRECT("1:" &amp; LEN(#REF!))), (48 &lt;= CODE(MID(#REF!, ROW(INDIRECT("1:" &amp; LEN(#REF!))), 1))) * (CODE(MID(#REF!, ROW(INDIRECT("1:" &amp; LEN(#REF!))), 1)) &lt;= 57)), 1) - 1), FIND(":",#REF!) + 2, LEN(#REF!))</f>
        <v>#REF!</v>
      </c>
      <c r="G483" s="227" t="e">
        <f>MID(LEFT(#REF!, FIND(",",#REF!) - 1), FIND("{token}", SUBSTITUTE(#REF!, " ", "{token}", 2)) + 1, LEN(#REF!))</f>
        <v>#REF!</v>
      </c>
      <c r="H483" s="165">
        <v>2.13</v>
      </c>
      <c r="I483" s="230">
        <v>45511</v>
      </c>
      <c r="J483" s="230" t="s">
        <v>34</v>
      </c>
      <c r="K483" s="226">
        <v>45511</v>
      </c>
      <c r="L483" s="165" t="s">
        <v>1671</v>
      </c>
      <c r="M483" s="222">
        <v>745</v>
      </c>
      <c r="N483" s="2" t="str">
        <f t="shared" ca="1" si="15"/>
        <v>CLOSED</v>
      </c>
    </row>
    <row r="484" spans="1:14" ht="18.75">
      <c r="A484" s="64" t="s">
        <v>23</v>
      </c>
      <c r="B484" s="98" t="e">
        <f>VLOOKUP([2]!Table27[[#This Row],[Location 
(drop-down)]],'[2]List source'!D$2:E$59,2,FALSE)</f>
        <v>#N/A</v>
      </c>
      <c r="C484" s="99" t="s">
        <v>2291</v>
      </c>
      <c r="D484" s="223" t="e">
        <f t="shared" si="14"/>
        <v>#N/A</v>
      </c>
      <c r="E484" s="227" t="s">
        <v>2292</v>
      </c>
      <c r="F484" s="165" t="e" cm="1">
        <f t="array" aca="1" ref="F484" ca="1">MID(LEFT(#REF!, INDEX(_xlfn._xlws.FILTER(ROW(INDIRECT("1:" &amp; LEN(#REF!))), (48 &lt;= CODE(MID(#REF!, ROW(INDIRECT("1:" &amp; LEN(#REF!))), 1))) * (CODE(MID(#REF!, ROW(INDIRECT("1:" &amp; LEN(#REF!))), 1)) &lt;= 57)), 1) - 1), FIND(":",#REF!) + 2, LEN(#REF!))</f>
        <v>#REF!</v>
      </c>
      <c r="G484" s="227" t="e">
        <f>MID(LEFT(#REF!, FIND(",",#REF!) - 1), FIND("{token}", SUBSTITUTE(#REF!, " ", "{token}", 2)) + 1, LEN(#REF!))</f>
        <v>#REF!</v>
      </c>
      <c r="H484" s="236" t="s">
        <v>1762</v>
      </c>
      <c r="I484" s="230">
        <v>45511</v>
      </c>
      <c r="J484" s="230" t="s">
        <v>34</v>
      </c>
      <c r="K484" s="226">
        <v>45511</v>
      </c>
      <c r="L484" s="165" t="s">
        <v>1671</v>
      </c>
      <c r="M484" s="222">
        <v>746</v>
      </c>
      <c r="N484" s="2" t="str">
        <f t="shared" ca="1" si="15"/>
        <v>CLOSED</v>
      </c>
    </row>
    <row r="485" spans="1:14" ht="30">
      <c r="A485" s="64" t="s">
        <v>399</v>
      </c>
      <c r="B485" s="98" t="e">
        <f>VLOOKUP([2]!Table27[[#This Row],[Location 
(drop-down)]],'[2]List source'!D$2:E$59,2,FALSE)</f>
        <v>#N/A</v>
      </c>
      <c r="C485" s="99" t="s">
        <v>2293</v>
      </c>
      <c r="D485" s="223" t="e">
        <f t="shared" si="14"/>
        <v>#N/A</v>
      </c>
      <c r="E485" s="227" t="s">
        <v>2294</v>
      </c>
      <c r="F485" s="165" t="e" cm="1">
        <f t="array" aca="1" ref="F485" ca="1">MID(LEFT(#REF!, INDEX(_xlfn._xlws.FILTER(ROW(INDIRECT("1:" &amp; LEN(#REF!))), (48 &lt;= CODE(MID(#REF!, ROW(INDIRECT("1:" &amp; LEN(#REF!))), 1))) * (CODE(MID(#REF!, ROW(INDIRECT("1:" &amp; LEN(#REF!))), 1)) &lt;= 57)), 1) - 1), FIND(":",#REF!) + 2, LEN(#REF!))</f>
        <v>#REF!</v>
      </c>
      <c r="G485" s="227" t="e">
        <f>MID(LEFT(#REF!, FIND(",",#REF!) - 1), FIND("{token}", SUBSTITUTE(#REF!, " ", "{token}", 2)) + 1, LEN(#REF!))</f>
        <v>#REF!</v>
      </c>
      <c r="H485" s="236" t="s">
        <v>1799</v>
      </c>
      <c r="I485" s="230">
        <v>45511</v>
      </c>
      <c r="J485" s="230" t="s">
        <v>34</v>
      </c>
      <c r="K485" s="226">
        <v>45511</v>
      </c>
      <c r="L485" s="165" t="s">
        <v>1671</v>
      </c>
      <c r="M485" s="222">
        <v>748</v>
      </c>
      <c r="N485" s="2" t="str">
        <f t="shared" ca="1" si="15"/>
        <v>CLOSED</v>
      </c>
    </row>
    <row r="486" spans="1:14" ht="18.75">
      <c r="A486" s="64" t="s">
        <v>43</v>
      </c>
      <c r="B486" s="98" t="e">
        <f>VLOOKUP([2]!Table27[[#This Row],[Location 
(drop-down)]],'[2]List source'!D$2:E$59,2,FALSE)</f>
        <v>#N/A</v>
      </c>
      <c r="C486" s="99" t="s">
        <v>2295</v>
      </c>
      <c r="D486" s="223" t="e">
        <f t="shared" si="14"/>
        <v>#N/A</v>
      </c>
      <c r="E486" s="227" t="s">
        <v>2296</v>
      </c>
      <c r="F486" s="165" t="e" cm="1">
        <f t="array" aca="1" ref="F486" ca="1">MID(LEFT(#REF!, INDEX(_xlfn._xlws.FILTER(ROW(INDIRECT("1:" &amp; LEN(#REF!))), (48 &lt;= CODE(MID(#REF!, ROW(INDIRECT("1:" &amp; LEN(#REF!))), 1))) * (CODE(MID(#REF!, ROW(INDIRECT("1:" &amp; LEN(#REF!))), 1)) &lt;= 57)), 1) - 1), FIND(":",#REF!) + 2, LEN(#REF!))</f>
        <v>#REF!</v>
      </c>
      <c r="G486" s="227" t="e">
        <f>MID(LEFT(#REF!, FIND(",",#REF!) - 1), FIND("{token}", SUBSTITUTE(#REF!, " ", "{token}", 2)) + 1, LEN(#REF!))</f>
        <v>#REF!</v>
      </c>
      <c r="H486" s="236" t="s">
        <v>2297</v>
      </c>
      <c r="I486" s="230">
        <v>45511</v>
      </c>
      <c r="J486" s="230" t="s">
        <v>34</v>
      </c>
      <c r="K486" s="226">
        <v>45511</v>
      </c>
      <c r="L486" s="165" t="s">
        <v>1505</v>
      </c>
      <c r="M486" s="222">
        <v>749</v>
      </c>
      <c r="N486" s="2" t="str">
        <f t="shared" ca="1" si="15"/>
        <v>CLOSED</v>
      </c>
    </row>
    <row r="487" spans="1:14" ht="30">
      <c r="A487" s="64" t="s">
        <v>294</v>
      </c>
      <c r="B487" s="98" t="e">
        <f>VLOOKUP([2]!Table27[[#This Row],[Location 
(drop-down)]],'[2]List source'!D$2:E$59,2,FALSE)</f>
        <v>#N/A</v>
      </c>
      <c r="C487" s="99" t="s">
        <v>2298</v>
      </c>
      <c r="D487" s="223" t="e">
        <f t="shared" si="14"/>
        <v>#N/A</v>
      </c>
      <c r="E487" s="227" t="s">
        <v>2299</v>
      </c>
      <c r="F487" s="165" t="e" cm="1">
        <f t="array" aca="1" ref="F487" ca="1">MID(LEFT(#REF!, INDEX(_xlfn._xlws.FILTER(ROW(INDIRECT("1:" &amp; LEN(#REF!))), (48 &lt;= CODE(MID(#REF!, ROW(INDIRECT("1:" &amp; LEN(#REF!))), 1))) * (CODE(MID(#REF!, ROW(INDIRECT("1:" &amp; LEN(#REF!))), 1)) &lt;= 57)), 1) - 1), FIND(":",#REF!) + 2, LEN(#REF!))</f>
        <v>#REF!</v>
      </c>
      <c r="G487" s="227" t="e">
        <f>MID(LEFT(#REF!, FIND(",",#REF!) - 1), FIND("{token}", SUBSTITUTE(#REF!, " ", "{token}", 2)) + 1, LEN(#REF!))</f>
        <v>#REF!</v>
      </c>
      <c r="H487" s="165" t="s">
        <v>2300</v>
      </c>
      <c r="I487" s="230">
        <v>45511</v>
      </c>
      <c r="J487" s="230" t="s">
        <v>34</v>
      </c>
      <c r="K487" s="226">
        <v>45512</v>
      </c>
      <c r="L487" s="165" t="s">
        <v>1505</v>
      </c>
      <c r="M487" s="222">
        <v>742</v>
      </c>
      <c r="N487" s="2" t="str">
        <f t="shared" ca="1" si="15"/>
        <v>CLOSED</v>
      </c>
    </row>
    <row r="488" spans="1:14" ht="18.75">
      <c r="A488" s="64" t="s">
        <v>15</v>
      </c>
      <c r="B488" s="98" t="e">
        <f>VLOOKUP([2]!Table27[[#This Row],[Location 
(drop-down)]],'[2]List source'!D$2:E$59,2,FALSE)</f>
        <v>#N/A</v>
      </c>
      <c r="C488" s="99" t="s">
        <v>2301</v>
      </c>
      <c r="D488" s="223" t="e">
        <f t="shared" si="14"/>
        <v>#N/A</v>
      </c>
      <c r="E488" s="227" t="s">
        <v>2302</v>
      </c>
      <c r="F488" s="165" t="e" cm="1">
        <f t="array" aca="1" ref="F488" ca="1">MID(LEFT(#REF!, INDEX(_xlfn._xlws.FILTER(ROW(INDIRECT("1:" &amp; LEN(#REF!))), (48 &lt;= CODE(MID(#REF!, ROW(INDIRECT("1:" &amp; LEN(#REF!))), 1))) * (CODE(MID(#REF!, ROW(INDIRECT("1:" &amp; LEN(#REF!))), 1)) &lt;= 57)), 1) - 1), FIND(":",#REF!) + 2, LEN(#REF!))</f>
        <v>#REF!</v>
      </c>
      <c r="G488" s="227" t="e">
        <f>MID(LEFT(#REF!, FIND(",",#REF!) - 1), FIND("{token}", SUBSTITUTE(#REF!, " ", "{token}", 2)) + 1, LEN(#REF!))</f>
        <v>#REF!</v>
      </c>
      <c r="H488" s="165">
        <v>4.26</v>
      </c>
      <c r="I488" s="230">
        <v>45511</v>
      </c>
      <c r="J488" s="230" t="s">
        <v>34</v>
      </c>
      <c r="K488" s="226">
        <v>45512</v>
      </c>
      <c r="L488" s="165" t="s">
        <v>1505</v>
      </c>
      <c r="M488" s="222">
        <v>747</v>
      </c>
      <c r="N488" s="2" t="str">
        <f t="shared" ca="1" si="15"/>
        <v>CLOSED</v>
      </c>
    </row>
    <row r="489" spans="1:14" ht="30">
      <c r="A489" s="64" t="s">
        <v>518</v>
      </c>
      <c r="B489" s="98" t="e">
        <f>VLOOKUP([2]!Table27[[#This Row],[Location 
(drop-down)]],'[2]List source'!D$2:E$59,2,FALSE)</f>
        <v>#N/A</v>
      </c>
      <c r="C489" s="99" t="s">
        <v>2303</v>
      </c>
      <c r="D489" s="223" t="e">
        <f t="shared" si="14"/>
        <v>#N/A</v>
      </c>
      <c r="E489" s="227" t="s">
        <v>2304</v>
      </c>
      <c r="F489" s="165" t="e" cm="1">
        <f t="array" aca="1" ref="F489" ca="1">MID(LEFT(#REF!, INDEX(_xlfn._xlws.FILTER(ROW(INDIRECT("1:" &amp; LEN(#REF!))), (48 &lt;= CODE(MID(#REF!, ROW(INDIRECT("1:" &amp; LEN(#REF!))), 1))) * (CODE(MID(#REF!, ROW(INDIRECT("1:" &amp; LEN(#REF!))), 1)) &lt;= 57)), 1) - 1), FIND(":",#REF!) + 2, LEN(#REF!))</f>
        <v>#REF!</v>
      </c>
      <c r="G489" s="227" t="e">
        <f>MID(LEFT(#REF!, FIND(",",#REF!) - 1), FIND("{token}", SUBSTITUTE(#REF!, " ", "{token}", 2)) + 1, LEN(#REF!))</f>
        <v>#REF!</v>
      </c>
      <c r="H489" s="236" t="s">
        <v>2305</v>
      </c>
      <c r="I489" s="230">
        <v>45510</v>
      </c>
      <c r="J489" s="230" t="s">
        <v>34</v>
      </c>
      <c r="K489" s="226">
        <v>45513</v>
      </c>
      <c r="L489" s="165" t="s">
        <v>1505</v>
      </c>
      <c r="M489" s="222">
        <v>720</v>
      </c>
      <c r="N489" s="2" t="str">
        <f t="shared" ca="1" si="15"/>
        <v>CLOSED</v>
      </c>
    </row>
    <row r="490" spans="1:14" ht="30">
      <c r="A490" s="64" t="s">
        <v>30</v>
      </c>
      <c r="B490" s="98" t="e">
        <f>VLOOKUP([2]!Table27[[#This Row],[Location 
(drop-down)]],'[2]List source'!D$2:E$59,2,FALSE)</f>
        <v>#N/A</v>
      </c>
      <c r="C490" s="99" t="s">
        <v>2306</v>
      </c>
      <c r="D490" s="223" t="e">
        <f t="shared" si="14"/>
        <v>#N/A</v>
      </c>
      <c r="E490" s="227" t="s">
        <v>2307</v>
      </c>
      <c r="F490" s="165" t="e" cm="1">
        <f t="array" aca="1" ref="F490" ca="1">MID(LEFT(#REF!, INDEX(_xlfn._xlws.FILTER(ROW(INDIRECT("1:" &amp; LEN(#REF!))), (48 &lt;= CODE(MID(#REF!, ROW(INDIRECT("1:" &amp; LEN(#REF!))), 1))) * (CODE(MID(#REF!, ROW(INDIRECT("1:" &amp; LEN(#REF!))), 1)) &lt;= 57)), 1) - 1), FIND(":",#REF!) + 2, LEN(#REF!))</f>
        <v>#REF!</v>
      </c>
      <c r="G490" s="227" t="e">
        <f>MID(LEFT(#REF!, FIND(",",#REF!) - 1), FIND("{token}", SUBSTITUTE(#REF!, " ", "{token}", 2)) + 1, LEN(#REF!))</f>
        <v>#REF!</v>
      </c>
      <c r="H490" s="236" t="s">
        <v>2308</v>
      </c>
      <c r="I490" s="230">
        <v>45513</v>
      </c>
      <c r="J490" s="230" t="s">
        <v>34</v>
      </c>
      <c r="K490" s="226">
        <v>45513</v>
      </c>
      <c r="L490" s="165" t="s">
        <v>1562</v>
      </c>
      <c r="M490" s="222">
        <v>755</v>
      </c>
      <c r="N490" s="2" t="str">
        <f t="shared" ca="1" si="15"/>
        <v>CLOSED</v>
      </c>
    </row>
    <row r="491" spans="1:14" ht="18.75">
      <c r="A491" s="64" t="s">
        <v>314</v>
      </c>
      <c r="B491" s="98" t="e">
        <f>VLOOKUP([2]!Table27[[#This Row],[Location 
(drop-down)]],'[2]List source'!D$2:E$59,2,FALSE)</f>
        <v>#N/A</v>
      </c>
      <c r="C491" s="99" t="s">
        <v>2309</v>
      </c>
      <c r="D491" s="223" t="e">
        <f t="shared" si="14"/>
        <v>#N/A</v>
      </c>
      <c r="E491" s="227" t="s">
        <v>2310</v>
      </c>
      <c r="F491" s="165" t="e" cm="1">
        <f t="array" aca="1" ref="F491" ca="1">MID(LEFT(#REF!, INDEX(_xlfn._xlws.FILTER(ROW(INDIRECT("1:" &amp; LEN(#REF!))), (48 &lt;= CODE(MID(#REF!, ROW(INDIRECT("1:" &amp; LEN(#REF!))), 1))) * (CODE(MID(#REF!, ROW(INDIRECT("1:" &amp; LEN(#REF!))), 1)) &lt;= 57)), 1) - 1), FIND(":",#REF!) + 2, LEN(#REF!))</f>
        <v>#REF!</v>
      </c>
      <c r="G491" s="227" t="e">
        <f>MID(LEFT(#REF!, FIND(",",#REF!) - 1), FIND("{token}", SUBSTITUTE(#REF!, " ", "{token}", 2)) + 1, LEN(#REF!))</f>
        <v>#REF!</v>
      </c>
      <c r="H491" s="165">
        <v>2.72</v>
      </c>
      <c r="I491" s="230">
        <v>45513</v>
      </c>
      <c r="J491" s="230" t="s">
        <v>34</v>
      </c>
      <c r="K491" s="226">
        <v>45513</v>
      </c>
      <c r="L491" s="165" t="s">
        <v>1562</v>
      </c>
      <c r="M491" s="222">
        <v>756</v>
      </c>
      <c r="N491" s="2" t="str">
        <f t="shared" ca="1" si="15"/>
        <v>CLOSED</v>
      </c>
    </row>
    <row r="492" spans="1:14" ht="18.75">
      <c r="A492" s="64" t="s">
        <v>53</v>
      </c>
      <c r="B492" s="98" t="e">
        <f>VLOOKUP([2]!Table27[[#This Row],[Location 
(drop-down)]],'[2]List source'!D$2:E$59,2,FALSE)</f>
        <v>#N/A</v>
      </c>
      <c r="C492" s="99" t="s">
        <v>2311</v>
      </c>
      <c r="D492" s="223" t="e">
        <f t="shared" si="14"/>
        <v>#N/A</v>
      </c>
      <c r="E492" s="227" t="s">
        <v>2312</v>
      </c>
      <c r="F492" s="165" t="e" cm="1">
        <f t="array" aca="1" ref="F492" ca="1">MID(LEFT(#REF!, INDEX(_xlfn._xlws.FILTER(ROW(INDIRECT("1:" &amp; LEN(#REF!))), (48 &lt;= CODE(MID(#REF!, ROW(INDIRECT("1:" &amp; LEN(#REF!))), 1))) * (CODE(MID(#REF!, ROW(INDIRECT("1:" &amp; LEN(#REF!))), 1)) &lt;= 57)), 1) - 1), FIND(":",#REF!) + 2, LEN(#REF!))</f>
        <v>#REF!</v>
      </c>
      <c r="G492" s="227" t="e">
        <f>MID(LEFT(#REF!, FIND(",",#REF!) - 1), FIND("{token}", SUBSTITUTE(#REF!, " ", "{token}", 2)) + 1, LEN(#REF!))</f>
        <v>#REF!</v>
      </c>
      <c r="H492" s="236" t="s">
        <v>1947</v>
      </c>
      <c r="I492" s="230">
        <v>45513</v>
      </c>
      <c r="J492" s="230" t="s">
        <v>34</v>
      </c>
      <c r="K492" s="226">
        <v>45513</v>
      </c>
      <c r="L492" s="165" t="s">
        <v>1562</v>
      </c>
      <c r="M492" s="222">
        <v>760</v>
      </c>
      <c r="N492" s="2" t="str">
        <f t="shared" ca="1" si="15"/>
        <v>CLOSED</v>
      </c>
    </row>
    <row r="493" spans="1:14" ht="30">
      <c r="A493" s="64" t="s">
        <v>485</v>
      </c>
      <c r="B493" s="98" t="e">
        <f>VLOOKUP([2]!Table27[[#This Row],[Location 
(drop-down)]],'[2]List source'!D$2:E$59,2,FALSE)</f>
        <v>#N/A</v>
      </c>
      <c r="C493" s="99" t="s">
        <v>2313</v>
      </c>
      <c r="D493" s="223" t="e">
        <f t="shared" si="14"/>
        <v>#N/A</v>
      </c>
      <c r="E493" s="227" t="s">
        <v>2314</v>
      </c>
      <c r="F493" s="165" t="e" cm="1">
        <f t="array" aca="1" ref="F493" ca="1">MID(LEFT(#REF!, INDEX(_xlfn._xlws.FILTER(ROW(INDIRECT("1:" &amp; LEN(#REF!))), (48 &lt;= CODE(MID(#REF!, ROW(INDIRECT("1:" &amp; LEN(#REF!))), 1))) * (CODE(MID(#REF!, ROW(INDIRECT("1:" &amp; LEN(#REF!))), 1)) &lt;= 57)), 1) - 1), FIND(":",#REF!) + 2, LEN(#REF!))</f>
        <v>#REF!</v>
      </c>
      <c r="G493" s="227" t="e">
        <f>MID(LEFT(#REF!, FIND(",",#REF!) - 1), FIND("{token}", SUBSTITUTE(#REF!, " ", "{token}", 2)) + 1, LEN(#REF!))</f>
        <v>#REF!</v>
      </c>
      <c r="H493" s="236" t="s">
        <v>2315</v>
      </c>
      <c r="I493" s="230">
        <v>45513</v>
      </c>
      <c r="J493" s="230" t="s">
        <v>34</v>
      </c>
      <c r="K493" s="226">
        <v>45513</v>
      </c>
      <c r="L493" s="165" t="s">
        <v>1562</v>
      </c>
      <c r="M493" s="222">
        <v>763</v>
      </c>
      <c r="N493" s="2" t="str">
        <f t="shared" ca="1" si="15"/>
        <v>CLOSED</v>
      </c>
    </row>
    <row r="494" spans="1:14" ht="30">
      <c r="A494" s="64" t="s">
        <v>202</v>
      </c>
      <c r="B494" s="98" t="e">
        <f>VLOOKUP([2]!Table27[[#This Row],[Location 
(drop-down)]],'[2]List source'!D$2:E$59,2,FALSE)</f>
        <v>#N/A</v>
      </c>
      <c r="C494" s="99" t="s">
        <v>2316</v>
      </c>
      <c r="D494" s="223" t="e">
        <f t="shared" si="14"/>
        <v>#N/A</v>
      </c>
      <c r="E494" s="227" t="s">
        <v>2317</v>
      </c>
      <c r="F494" s="165" t="e" cm="1">
        <f t="array" aca="1" ref="F494" ca="1">MID(LEFT(#REF!, INDEX(_xlfn._xlws.FILTER(ROW(INDIRECT("1:" &amp; LEN(#REF!))), (48 &lt;= CODE(MID(#REF!, ROW(INDIRECT("1:" &amp; LEN(#REF!))), 1))) * (CODE(MID(#REF!, ROW(INDIRECT("1:" &amp; LEN(#REF!))), 1)) &lt;= 57)), 1) - 1), FIND(":",#REF!) + 2, LEN(#REF!))</f>
        <v>#REF!</v>
      </c>
      <c r="G494" s="227" t="e">
        <f>MID(LEFT(#REF!, FIND(",",#REF!) - 1), FIND("{token}", SUBSTITUTE(#REF!, " ", "{token}", 2)) + 1, LEN(#REF!))</f>
        <v>#REF!</v>
      </c>
      <c r="H494" s="236" t="s">
        <v>2318</v>
      </c>
      <c r="I494" s="230">
        <v>45513</v>
      </c>
      <c r="J494" s="230" t="s">
        <v>34</v>
      </c>
      <c r="K494" s="226">
        <v>45513</v>
      </c>
      <c r="L494" s="165" t="s">
        <v>1562</v>
      </c>
      <c r="M494" s="222">
        <v>768</v>
      </c>
      <c r="N494" s="2" t="str">
        <f t="shared" ca="1" si="15"/>
        <v>CLOSED</v>
      </c>
    </row>
    <row r="495" spans="1:14" ht="30">
      <c r="A495" s="64" t="s">
        <v>358</v>
      </c>
      <c r="B495" s="98" t="e">
        <f>VLOOKUP([2]!Table27[[#This Row],[Location 
(drop-down)]],'[2]List source'!D$2:E$59,2,FALSE)</f>
        <v>#N/A</v>
      </c>
      <c r="C495" s="99" t="s">
        <v>2319</v>
      </c>
      <c r="D495" s="223" t="e">
        <f t="shared" si="14"/>
        <v>#N/A</v>
      </c>
      <c r="E495" s="227" t="s">
        <v>2314</v>
      </c>
      <c r="F495" s="165" t="e" cm="1">
        <f t="array" aca="1" ref="F495" ca="1">MID(LEFT(#REF!, INDEX(_xlfn._xlws.FILTER(ROW(INDIRECT("1:" &amp; LEN(#REF!))), (48 &lt;= CODE(MID(#REF!, ROW(INDIRECT("1:" &amp; LEN(#REF!))), 1))) * (CODE(MID(#REF!, ROW(INDIRECT("1:" &amp; LEN(#REF!))), 1)) &lt;= 57)), 1) - 1), FIND(":",#REF!) + 2, LEN(#REF!))</f>
        <v>#REF!</v>
      </c>
      <c r="G495" s="227" t="e">
        <f>MID(LEFT(#REF!, FIND(",",#REF!) - 1), FIND("{token}", SUBSTITUTE(#REF!, " ", "{token}", 2)) + 1, LEN(#REF!))</f>
        <v>#REF!</v>
      </c>
      <c r="H495" s="165">
        <v>2.96</v>
      </c>
      <c r="I495" s="230">
        <v>45513</v>
      </c>
      <c r="J495" s="230" t="s">
        <v>34</v>
      </c>
      <c r="K495" s="226">
        <v>45513</v>
      </c>
      <c r="L495" s="165" t="s">
        <v>1562</v>
      </c>
      <c r="M495" s="222">
        <v>769</v>
      </c>
      <c r="N495" s="2" t="str">
        <f t="shared" ca="1" si="15"/>
        <v>CLOSED</v>
      </c>
    </row>
    <row r="496" spans="1:14" ht="18.75">
      <c r="A496" s="64" t="s">
        <v>139</v>
      </c>
      <c r="B496" s="98" t="e">
        <f>VLOOKUP([2]!Table27[[#This Row],[Location 
(drop-down)]],'[2]List source'!D$2:E$59,2,FALSE)</f>
        <v>#N/A</v>
      </c>
      <c r="C496" s="99" t="s">
        <v>2320</v>
      </c>
      <c r="D496" s="223" t="e">
        <f t="shared" si="14"/>
        <v>#N/A</v>
      </c>
      <c r="E496" s="227" t="s">
        <v>2317</v>
      </c>
      <c r="F496" s="165" t="e" cm="1">
        <f t="array" aca="1" ref="F496" ca="1">MID(LEFT(#REF!, INDEX(_xlfn._xlws.FILTER(ROW(INDIRECT("1:" &amp; LEN(#REF!))), (48 &lt;= CODE(MID(#REF!, ROW(INDIRECT("1:" &amp; LEN(#REF!))), 1))) * (CODE(MID(#REF!, ROW(INDIRECT("1:" &amp; LEN(#REF!))), 1)) &lt;= 57)), 1) - 1), FIND(":",#REF!) + 2, LEN(#REF!))</f>
        <v>#REF!</v>
      </c>
      <c r="G496" s="227" t="e">
        <f>MID(LEFT(#REF!, FIND(",",#REF!) - 1), FIND("{token}", SUBSTITUTE(#REF!, " ", "{token}", 2)) + 1, LEN(#REF!))</f>
        <v>#REF!</v>
      </c>
      <c r="H496" s="236" t="s">
        <v>2318</v>
      </c>
      <c r="I496" s="230">
        <v>45513</v>
      </c>
      <c r="J496" s="230" t="s">
        <v>34</v>
      </c>
      <c r="K496" s="226">
        <v>45513</v>
      </c>
      <c r="L496" s="165" t="s">
        <v>1562</v>
      </c>
      <c r="M496" s="222">
        <v>772</v>
      </c>
      <c r="N496" s="2" t="str">
        <f t="shared" ca="1" si="15"/>
        <v>CLOSED</v>
      </c>
    </row>
    <row r="497" spans="1:14" ht="18.75">
      <c r="A497" s="64" t="s">
        <v>43</v>
      </c>
      <c r="B497" s="98" t="e">
        <f>VLOOKUP([2]!Table27[[#This Row],[Location 
(drop-down)]],'[2]List source'!D$2:E$59,2,FALSE)</f>
        <v>#N/A</v>
      </c>
      <c r="C497" s="99" t="s">
        <v>2321</v>
      </c>
      <c r="D497" s="223" t="e">
        <f t="shared" si="14"/>
        <v>#N/A</v>
      </c>
      <c r="E497" s="227" t="s">
        <v>2322</v>
      </c>
      <c r="F497" s="165" t="e" cm="1">
        <f t="array" aca="1" ref="F497" ca="1">MID(LEFT(#REF!, INDEX(_xlfn._xlws.FILTER(ROW(INDIRECT("1:" &amp; LEN(#REF!))), (48 &lt;= CODE(MID(#REF!, ROW(INDIRECT("1:" &amp; LEN(#REF!))), 1))) * (CODE(MID(#REF!, ROW(INDIRECT("1:" &amp; LEN(#REF!))), 1)) &lt;= 57)), 1) - 1), FIND(":",#REF!) + 2, LEN(#REF!))</f>
        <v>#REF!</v>
      </c>
      <c r="G497" s="227" t="e">
        <f>MID(LEFT(#REF!, FIND(",",#REF!) - 1), FIND("{token}", SUBSTITUTE(#REF!, " ", "{token}", 2)) + 1, LEN(#REF!))</f>
        <v>#REF!</v>
      </c>
      <c r="H497" s="165">
        <v>7.23</v>
      </c>
      <c r="I497" s="230">
        <v>45513</v>
      </c>
      <c r="J497" s="230" t="s">
        <v>34</v>
      </c>
      <c r="K497" s="226">
        <v>45513</v>
      </c>
      <c r="L497" s="165" t="s">
        <v>1505</v>
      </c>
      <c r="M497" s="222">
        <v>773</v>
      </c>
      <c r="N497" s="2" t="str">
        <f t="shared" ca="1" si="15"/>
        <v>CLOSED</v>
      </c>
    </row>
    <row r="498" spans="1:14" ht="18.75">
      <c r="A498" s="64" t="s">
        <v>43</v>
      </c>
      <c r="B498" s="98" t="e">
        <f>VLOOKUP([2]!Table27[[#This Row],[Location 
(drop-down)]],'[2]List source'!D$2:E$59,2,FALSE)</f>
        <v>#N/A</v>
      </c>
      <c r="C498" s="99" t="s">
        <v>2323</v>
      </c>
      <c r="D498" s="223" t="e">
        <f t="shared" si="14"/>
        <v>#N/A</v>
      </c>
      <c r="E498" s="227" t="s">
        <v>2324</v>
      </c>
      <c r="F498" s="165" t="e" cm="1">
        <f t="array" aca="1" ref="F498" ca="1">MID(LEFT(#REF!, INDEX(_xlfn._xlws.FILTER(ROW(INDIRECT("1:" &amp; LEN(#REF!))), (48 &lt;= CODE(MID(#REF!, ROW(INDIRECT("1:" &amp; LEN(#REF!))), 1))) * (CODE(MID(#REF!, ROW(INDIRECT("1:" &amp; LEN(#REF!))), 1)) &lt;= 57)), 1) - 1), FIND(":",#REF!) + 2, LEN(#REF!))</f>
        <v>#REF!</v>
      </c>
      <c r="G498" s="227" t="e">
        <f>MID(LEFT(#REF!, FIND(",",#REF!) - 1), FIND("{token}", SUBSTITUTE(#REF!, " ", "{token}", 2)) + 1, LEN(#REF!))</f>
        <v>#REF!</v>
      </c>
      <c r="H498" s="165">
        <v>261</v>
      </c>
      <c r="I498" s="230">
        <v>45513</v>
      </c>
      <c r="J498" s="230" t="s">
        <v>34</v>
      </c>
      <c r="K498" s="226">
        <v>45513</v>
      </c>
      <c r="L498" s="165" t="s">
        <v>1505</v>
      </c>
      <c r="M498" s="222">
        <v>774</v>
      </c>
      <c r="N498" s="2" t="str">
        <f t="shared" ca="1" si="15"/>
        <v>CLOSED</v>
      </c>
    </row>
    <row r="499" spans="1:14" ht="30">
      <c r="A499" s="64" t="s">
        <v>125</v>
      </c>
      <c r="B499" s="98" t="e">
        <f>VLOOKUP([2]!Table27[[#This Row],[Location 
(drop-down)]],'[2]List source'!D$2:E$59,2,FALSE)</f>
        <v>#N/A</v>
      </c>
      <c r="C499" s="99" t="s">
        <v>2325</v>
      </c>
      <c r="D499" s="223" t="e">
        <f t="shared" si="14"/>
        <v>#N/A</v>
      </c>
      <c r="E499" s="227" t="s">
        <v>2326</v>
      </c>
      <c r="F499" s="165" t="e" cm="1">
        <f t="array" aca="1" ref="F499" ca="1">MID(LEFT(#REF!, INDEX(_xlfn._xlws.FILTER(ROW(INDIRECT("1:" &amp; LEN(#REF!))), (48 &lt;= CODE(MID(#REF!, ROW(INDIRECT("1:" &amp; LEN(#REF!))), 1))) * (CODE(MID(#REF!, ROW(INDIRECT("1:" &amp; LEN(#REF!))), 1)) &lt;= 57)), 1) - 1), FIND(":",#REF!) + 2, LEN(#REF!))</f>
        <v>#REF!</v>
      </c>
      <c r="G499" s="227" t="e">
        <f>MID(LEFT(#REF!, FIND(",",#REF!) - 1), FIND("{token}", SUBSTITUTE(#REF!, " ", "{token}", 2)) + 1, LEN(#REF!))</f>
        <v>#REF!</v>
      </c>
      <c r="H499" s="165" t="s">
        <v>1579</v>
      </c>
      <c r="I499" s="230">
        <v>45513</v>
      </c>
      <c r="J499" s="230" t="s">
        <v>34</v>
      </c>
      <c r="K499" s="226">
        <v>45513</v>
      </c>
      <c r="L499" s="165" t="s">
        <v>1773</v>
      </c>
      <c r="M499" s="222">
        <v>779</v>
      </c>
      <c r="N499" s="2" t="str">
        <f t="shared" ca="1" si="15"/>
        <v>CLOSED</v>
      </c>
    </row>
    <row r="500" spans="1:14" ht="30">
      <c r="A500" s="64" t="s">
        <v>125</v>
      </c>
      <c r="B500" s="98" t="e">
        <f>VLOOKUP([2]!Table27[[#This Row],[Location 
(drop-down)]],'[2]List source'!D$2:E$59,2,FALSE)</f>
        <v>#N/A</v>
      </c>
      <c r="C500" s="99" t="s">
        <v>2327</v>
      </c>
      <c r="D500" s="223" t="e">
        <f t="shared" si="14"/>
        <v>#N/A</v>
      </c>
      <c r="E500" s="227" t="s">
        <v>2328</v>
      </c>
      <c r="F500" s="165" t="e" cm="1">
        <f t="array" aca="1" ref="F500" ca="1">MID(LEFT(#REF!, INDEX(_xlfn._xlws.FILTER(ROW(INDIRECT("1:" &amp; LEN(#REF!))), (48 &lt;= CODE(MID(#REF!, ROW(INDIRECT("1:" &amp; LEN(#REF!))), 1))) * (CODE(MID(#REF!, ROW(INDIRECT("1:" &amp; LEN(#REF!))), 1)) &lt;= 57)), 1) - 1), FIND(":",#REF!) + 2, LEN(#REF!))</f>
        <v>#REF!</v>
      </c>
      <c r="G500" s="227" t="e">
        <f>MID(LEFT(#REF!, FIND(",",#REF!) - 1), FIND("{token}", SUBSTITUTE(#REF!, " ", "{token}", 2)) + 1, LEN(#REF!))</f>
        <v>#REF!</v>
      </c>
      <c r="H500" s="165">
        <v>2.0099999999999998</v>
      </c>
      <c r="I500" s="230">
        <v>45513</v>
      </c>
      <c r="J500" s="230" t="s">
        <v>34</v>
      </c>
      <c r="K500" s="226">
        <v>45513</v>
      </c>
      <c r="L500" s="165" t="s">
        <v>1562</v>
      </c>
      <c r="M500" s="222">
        <v>780</v>
      </c>
      <c r="N500" s="2" t="str">
        <f t="shared" ca="1" si="15"/>
        <v>CLOSED</v>
      </c>
    </row>
    <row r="501" spans="1:14" ht="30">
      <c r="A501" s="64" t="s">
        <v>73</v>
      </c>
      <c r="B501" s="98" t="e">
        <f>VLOOKUP([2]!Table27[[#This Row],[Location 
(drop-down)]],'[2]List source'!D$2:E$59,2,FALSE)</f>
        <v>#N/A</v>
      </c>
      <c r="C501" s="99" t="s">
        <v>2329</v>
      </c>
      <c r="D501" s="223" t="e">
        <f t="shared" si="14"/>
        <v>#N/A</v>
      </c>
      <c r="E501" s="227" t="s">
        <v>2330</v>
      </c>
      <c r="F501" s="165" t="e" cm="1">
        <f t="array" aca="1" ref="F501" ca="1">MID(LEFT(#REF!, INDEX(_xlfn._xlws.FILTER(ROW(INDIRECT("1:" &amp; LEN(#REF!))), (48 &lt;= CODE(MID(#REF!, ROW(INDIRECT("1:" &amp; LEN(#REF!))), 1))) * (CODE(MID(#REF!, ROW(INDIRECT("1:" &amp; LEN(#REF!))), 1)) &lt;= 57)), 1) - 1), FIND(":",#REF!) + 2, LEN(#REF!))</f>
        <v>#REF!</v>
      </c>
      <c r="G501" s="227" t="e">
        <f>MID(LEFT(#REF!, FIND(",",#REF!) - 1), FIND("{token}", SUBSTITUTE(#REF!, " ", "{token}", 2)) + 1, LEN(#REF!))</f>
        <v>#REF!</v>
      </c>
      <c r="H501" s="165">
        <v>2.31</v>
      </c>
      <c r="I501" s="230">
        <v>45513</v>
      </c>
      <c r="J501" s="230" t="s">
        <v>34</v>
      </c>
      <c r="K501" s="226">
        <v>45513</v>
      </c>
      <c r="L501" s="165" t="s">
        <v>1562</v>
      </c>
      <c r="M501" s="222">
        <v>791</v>
      </c>
      <c r="N501" s="2" t="str">
        <f t="shared" ca="1" si="15"/>
        <v>CLOSED</v>
      </c>
    </row>
    <row r="502" spans="1:14" ht="30">
      <c r="A502" s="64" t="s">
        <v>485</v>
      </c>
      <c r="B502" s="98" t="e">
        <f>VLOOKUP([2]!Table27[[#This Row],[Location 
(drop-down)]],'[2]List source'!D$2:E$59,2,FALSE)</f>
        <v>#N/A</v>
      </c>
      <c r="C502" s="99" t="s">
        <v>2331</v>
      </c>
      <c r="D502" s="223" t="e">
        <f t="shared" si="14"/>
        <v>#N/A</v>
      </c>
      <c r="E502" s="227" t="s">
        <v>2332</v>
      </c>
      <c r="F502" s="165" t="e" cm="1">
        <f t="array" aca="1" ref="F502" ca="1">MID(LEFT(#REF!, INDEX(_xlfn._xlws.FILTER(ROW(INDIRECT("1:" &amp; LEN(#REF!))), (48 &lt;= CODE(MID(#REF!, ROW(INDIRECT("1:" &amp; LEN(#REF!))), 1))) * (CODE(MID(#REF!, ROW(INDIRECT("1:" &amp; LEN(#REF!))), 1)) &lt;= 57)), 1) - 1), FIND(":",#REF!) + 2, LEN(#REF!))</f>
        <v>#REF!</v>
      </c>
      <c r="G502" s="227" t="e">
        <f>MID(LEFT(#REF!, FIND(",",#REF!) - 1), FIND("{token}", SUBSTITUTE(#REF!, " ", "{token}", 2)) + 1, LEN(#REF!))</f>
        <v>#REF!</v>
      </c>
      <c r="H502" s="165">
        <v>2.42</v>
      </c>
      <c r="I502" s="230">
        <v>45513</v>
      </c>
      <c r="J502" s="230" t="s">
        <v>34</v>
      </c>
      <c r="K502" s="226">
        <v>45513</v>
      </c>
      <c r="L502" s="165" t="s">
        <v>1562</v>
      </c>
      <c r="M502" s="222">
        <v>792</v>
      </c>
      <c r="N502" s="2" t="str">
        <f t="shared" ca="1" si="15"/>
        <v>CLOSED</v>
      </c>
    </row>
    <row r="503" spans="1:14" ht="30">
      <c r="A503" s="64" t="s">
        <v>485</v>
      </c>
      <c r="B503" s="98" t="e">
        <f>VLOOKUP([2]!Table27[[#This Row],[Location 
(drop-down)]],'[2]List source'!D$2:E$59,2,FALSE)</f>
        <v>#N/A</v>
      </c>
      <c r="C503" s="99" t="s">
        <v>2333</v>
      </c>
      <c r="D503" s="223" t="e">
        <f t="shared" si="14"/>
        <v>#N/A</v>
      </c>
      <c r="E503" s="227" t="s">
        <v>2334</v>
      </c>
      <c r="F503" s="165" t="e" cm="1">
        <f t="array" aca="1" ref="F503" ca="1">MID(LEFT(#REF!, INDEX(_xlfn._xlws.FILTER(ROW(INDIRECT("1:" &amp; LEN(#REF!))), (48 &lt;= CODE(MID(#REF!, ROW(INDIRECT("1:" &amp; LEN(#REF!))), 1))) * (CODE(MID(#REF!, ROW(INDIRECT("1:" &amp; LEN(#REF!))), 1)) &lt;= 57)), 1) - 1), FIND(":",#REF!) + 2, LEN(#REF!))</f>
        <v>#REF!</v>
      </c>
      <c r="G503" s="227" t="e">
        <f>MID(LEFT(#REF!, FIND(",",#REF!) - 1), FIND("{token}", SUBSTITUTE(#REF!, " ", "{token}", 2)) + 1, LEN(#REF!))</f>
        <v>#REF!</v>
      </c>
      <c r="H503" s="236" t="s">
        <v>2335</v>
      </c>
      <c r="I503" s="230">
        <v>45513</v>
      </c>
      <c r="J503" s="230" t="s">
        <v>34</v>
      </c>
      <c r="K503" s="226">
        <v>45513</v>
      </c>
      <c r="L503" s="165" t="s">
        <v>1562</v>
      </c>
      <c r="M503" s="222">
        <v>796</v>
      </c>
      <c r="N503" s="2" t="str">
        <f t="shared" ca="1" si="15"/>
        <v>CLOSED</v>
      </c>
    </row>
    <row r="504" spans="1:14" ht="30">
      <c r="A504" s="64" t="s">
        <v>485</v>
      </c>
      <c r="B504" s="98" t="e">
        <f>VLOOKUP([2]!Table27[[#This Row],[Location 
(drop-down)]],'[2]List source'!D$2:E$59,2,FALSE)</f>
        <v>#N/A</v>
      </c>
      <c r="C504" s="99" t="s">
        <v>2336</v>
      </c>
      <c r="D504" s="223" t="e">
        <f t="shared" si="14"/>
        <v>#N/A</v>
      </c>
      <c r="E504" s="227" t="s">
        <v>2337</v>
      </c>
      <c r="F504" s="165" t="e" cm="1">
        <f t="array" aca="1" ref="F504" ca="1">MID(LEFT(#REF!, INDEX(_xlfn._xlws.FILTER(ROW(INDIRECT("1:" &amp; LEN(#REF!))), (48 &lt;= CODE(MID(#REF!, ROW(INDIRECT("1:" &amp; LEN(#REF!))), 1))) * (CODE(MID(#REF!, ROW(INDIRECT("1:" &amp; LEN(#REF!))), 1)) &lt;= 57)), 1) - 1), FIND(":",#REF!) + 2, LEN(#REF!))</f>
        <v>#REF!</v>
      </c>
      <c r="G504" s="227" t="e">
        <f>MID(LEFT(#REF!, FIND(",",#REF!) - 1), FIND("{token}", SUBSTITUTE(#REF!, " ", "{token}", 2)) + 1, LEN(#REF!))</f>
        <v>#REF!</v>
      </c>
      <c r="H504" s="165">
        <v>2.06</v>
      </c>
      <c r="I504" s="230">
        <v>45513</v>
      </c>
      <c r="J504" s="230" t="s">
        <v>34</v>
      </c>
      <c r="K504" s="226">
        <v>45513</v>
      </c>
      <c r="L504" s="165" t="s">
        <v>1562</v>
      </c>
      <c r="M504" s="222">
        <v>797</v>
      </c>
      <c r="N504" s="2" t="str">
        <f t="shared" ca="1" si="15"/>
        <v>CLOSED</v>
      </c>
    </row>
    <row r="505" spans="1:14" ht="30">
      <c r="A505" s="64" t="s">
        <v>500</v>
      </c>
      <c r="B505" s="98" t="e">
        <f>VLOOKUP([2]!Table27[[#This Row],[Location 
(drop-down)]],'[2]List source'!D$2:E$59,2,FALSE)</f>
        <v>#N/A</v>
      </c>
      <c r="C505" s="99" t="s">
        <v>2338</v>
      </c>
      <c r="D505" s="223" t="e">
        <f t="shared" si="14"/>
        <v>#N/A</v>
      </c>
      <c r="E505" s="227" t="s">
        <v>2339</v>
      </c>
      <c r="F505" s="165" t="e" cm="1">
        <f t="array" aca="1" ref="F505" ca="1">MID(LEFT(#REF!, INDEX(_xlfn._xlws.FILTER(ROW(INDIRECT("1:" &amp; LEN(#REF!))), (48 &lt;= CODE(MID(#REF!, ROW(INDIRECT("1:" &amp; LEN(#REF!))), 1))) * (CODE(MID(#REF!, ROW(INDIRECT("1:" &amp; LEN(#REF!))), 1)) &lt;= 57)), 1) - 1), FIND(":",#REF!) + 2, LEN(#REF!))</f>
        <v>#REF!</v>
      </c>
      <c r="G505" s="227" t="e">
        <f>MID(LEFT(#REF!, FIND(",",#REF!) - 1), FIND("{token}", SUBSTITUTE(#REF!, " ", "{token}", 2)) + 1, LEN(#REF!))</f>
        <v>#REF!</v>
      </c>
      <c r="H505" s="165">
        <v>2.1800000000000002</v>
      </c>
      <c r="I505" s="230">
        <v>45513</v>
      </c>
      <c r="J505" s="230" t="s">
        <v>34</v>
      </c>
      <c r="K505" s="226">
        <v>45513</v>
      </c>
      <c r="L505" s="165" t="s">
        <v>1562</v>
      </c>
      <c r="M505" s="222">
        <v>799</v>
      </c>
      <c r="N505" s="2" t="str">
        <f t="shared" ca="1" si="15"/>
        <v>CLOSED</v>
      </c>
    </row>
    <row r="506" spans="1:14" ht="30">
      <c r="A506" s="64" t="s">
        <v>202</v>
      </c>
      <c r="B506" s="98" t="e">
        <f>VLOOKUP([2]!Table27[[#This Row],[Location 
(drop-down)]],'[2]List source'!D$2:E$59,2,FALSE)</f>
        <v>#N/A</v>
      </c>
      <c r="C506" s="99" t="s">
        <v>2340</v>
      </c>
      <c r="D506" s="223" t="e">
        <f t="shared" si="14"/>
        <v>#N/A</v>
      </c>
      <c r="E506" s="227" t="s">
        <v>2341</v>
      </c>
      <c r="F506" s="165" t="e" cm="1">
        <f t="array" aca="1" ref="F506" ca="1">MID(LEFT(#REF!, INDEX(_xlfn._xlws.FILTER(ROW(INDIRECT("1:" &amp; LEN(#REF!))), (48 &lt;= CODE(MID(#REF!, ROW(INDIRECT("1:" &amp; LEN(#REF!))), 1))) * (CODE(MID(#REF!, ROW(INDIRECT("1:" &amp; LEN(#REF!))), 1)) &lt;= 57)), 1) - 1), FIND(":",#REF!) + 2, LEN(#REF!))</f>
        <v>#REF!</v>
      </c>
      <c r="G506" s="227" t="e">
        <f>MID(LEFT(#REF!, FIND(",",#REF!) - 1), FIND("{token}", SUBSTITUTE(#REF!, " ", "{token}", 2)) + 1, LEN(#REF!))</f>
        <v>#REF!</v>
      </c>
      <c r="H506" s="236" t="s">
        <v>2342</v>
      </c>
      <c r="I506" s="230">
        <v>45513</v>
      </c>
      <c r="J506" s="230" t="s">
        <v>34</v>
      </c>
      <c r="K506" s="226">
        <v>45513</v>
      </c>
      <c r="L506" s="165" t="s">
        <v>1562</v>
      </c>
      <c r="M506" s="222">
        <v>800</v>
      </c>
      <c r="N506" s="2" t="str">
        <f t="shared" ca="1" si="15"/>
        <v>CLOSED</v>
      </c>
    </row>
    <row r="507" spans="1:14" ht="30">
      <c r="A507" s="64" t="s">
        <v>125</v>
      </c>
      <c r="B507" s="98" t="e">
        <f>VLOOKUP([2]!Table27[[#This Row],[Location 
(drop-down)]],'[2]List source'!D$2:E$59,2,FALSE)</f>
        <v>#N/A</v>
      </c>
      <c r="C507" s="99" t="s">
        <v>419</v>
      </c>
      <c r="D507" s="223" t="e">
        <f t="shared" si="14"/>
        <v>#N/A</v>
      </c>
      <c r="E507" s="227" t="s">
        <v>2343</v>
      </c>
      <c r="F507" s="165" t="e" cm="1">
        <f t="array" aca="1" ref="F507" ca="1">MID(LEFT(#REF!, INDEX(_xlfn._xlws.FILTER(ROW(INDIRECT("1:" &amp; LEN(#REF!))), (48 &lt;= CODE(MID(#REF!, ROW(INDIRECT("1:" &amp; LEN(#REF!))), 1))) * (CODE(MID(#REF!, ROW(INDIRECT("1:" &amp; LEN(#REF!))), 1)) &lt;= 57)), 1) - 1), FIND(":",#REF!) + 2, LEN(#REF!))</f>
        <v>#REF!</v>
      </c>
      <c r="G507" s="227" t="e">
        <f>MID(LEFT(#REF!, FIND(",",#REF!) - 1), FIND("{token}", SUBSTITUTE(#REF!, " ", "{token}", 2)) + 1, LEN(#REF!))</f>
        <v>#REF!</v>
      </c>
      <c r="H507" s="165">
        <v>-3.38</v>
      </c>
      <c r="I507" s="230">
        <v>45376</v>
      </c>
      <c r="J507" s="230" t="s">
        <v>111</v>
      </c>
      <c r="K507" s="226">
        <v>45514</v>
      </c>
      <c r="L507" s="165"/>
      <c r="M507" s="222">
        <v>119</v>
      </c>
      <c r="N507" s="2" t="str">
        <f t="shared" ca="1" si="15"/>
        <v>CLOSED</v>
      </c>
    </row>
    <row r="508" spans="1:14" ht="18.75">
      <c r="A508" s="64" t="s">
        <v>311</v>
      </c>
      <c r="B508" s="98" t="e">
        <f>VLOOKUP([2]!Table27[[#This Row],[Location 
(drop-down)]],'[2]List source'!D$2:E$59,2,FALSE)</f>
        <v>#N/A</v>
      </c>
      <c r="C508" s="99" t="s">
        <v>2344</v>
      </c>
      <c r="D508" s="223" t="e">
        <f t="shared" si="14"/>
        <v>#N/A</v>
      </c>
      <c r="E508" s="227" t="s">
        <v>2345</v>
      </c>
      <c r="F508" s="165" t="e" cm="1">
        <f t="array" aca="1" ref="F508" ca="1">MID(LEFT(#REF!, INDEX(_xlfn._xlws.FILTER(ROW(INDIRECT("1:" &amp; LEN(#REF!))), (48 &lt;= CODE(MID(#REF!, ROW(INDIRECT("1:" &amp; LEN(#REF!))), 1))) * (CODE(MID(#REF!, ROW(INDIRECT("1:" &amp; LEN(#REF!))), 1)) &lt;= 57)), 1) - 1), FIND(":",#REF!) + 2, LEN(#REF!))</f>
        <v>#REF!</v>
      </c>
      <c r="G508" s="227" t="e">
        <f>MID(LEFT(#REF!, FIND(",",#REF!) - 1), FIND("{token}", SUBSTITUTE(#REF!, " ", "{token}", 2)) + 1, LEN(#REF!))</f>
        <v>#REF!</v>
      </c>
      <c r="H508" s="165" t="s">
        <v>1579</v>
      </c>
      <c r="I508" s="230">
        <v>45435</v>
      </c>
      <c r="J508" s="230" t="s">
        <v>34</v>
      </c>
      <c r="K508" s="226">
        <v>45516</v>
      </c>
      <c r="L508" s="165" t="s">
        <v>1773</v>
      </c>
      <c r="M508" s="222">
        <v>616</v>
      </c>
      <c r="N508" s="2" t="str">
        <f t="shared" ca="1" si="15"/>
        <v>CLOSED</v>
      </c>
    </row>
    <row r="509" spans="1:14" ht="18.75">
      <c r="A509" s="64" t="s">
        <v>311</v>
      </c>
      <c r="B509" s="98" t="e">
        <f>VLOOKUP([2]!Table27[[#This Row],[Location 
(drop-down)]],'[2]List source'!D$2:E$59,2,FALSE)</f>
        <v>#N/A</v>
      </c>
      <c r="C509" s="99" t="s">
        <v>2346</v>
      </c>
      <c r="D509" s="223" t="e">
        <f t="shared" si="14"/>
        <v>#N/A</v>
      </c>
      <c r="E509" s="227" t="s">
        <v>2347</v>
      </c>
      <c r="F509" s="165" t="e" cm="1">
        <f t="array" aca="1" ref="F509" ca="1">MID(LEFT(#REF!, INDEX(_xlfn._xlws.FILTER(ROW(INDIRECT("1:" &amp; LEN(#REF!))), (48 &lt;= CODE(MID(#REF!, ROW(INDIRECT("1:" &amp; LEN(#REF!))), 1))) * (CODE(MID(#REF!, ROW(INDIRECT("1:" &amp; LEN(#REF!))), 1)) &lt;= 57)), 1) - 1), FIND(":",#REF!) + 2, LEN(#REF!))</f>
        <v>#REF!</v>
      </c>
      <c r="G509" s="227" t="e">
        <f>MID(LEFT(#REF!, FIND(",",#REF!) - 1), FIND("{token}", SUBSTITUTE(#REF!, " ", "{token}", 2)) + 1, LEN(#REF!))</f>
        <v>#REF!</v>
      </c>
      <c r="H509" s="165">
        <v>86.85</v>
      </c>
      <c r="I509" s="230">
        <v>45435</v>
      </c>
      <c r="J509" s="230" t="s">
        <v>34</v>
      </c>
      <c r="K509" s="226">
        <v>45516</v>
      </c>
      <c r="L509" s="165" t="s">
        <v>1505</v>
      </c>
      <c r="M509" s="222">
        <v>617</v>
      </c>
      <c r="N509" s="2" t="str">
        <f t="shared" ca="1" si="15"/>
        <v>CLOSED</v>
      </c>
    </row>
    <row r="510" spans="1:14" ht="18.75">
      <c r="A510" s="64" t="s">
        <v>311</v>
      </c>
      <c r="B510" s="98" t="e">
        <f>VLOOKUP([2]!Table27[[#This Row],[Location 
(drop-down)]],'[2]List source'!D$2:E$59,2,FALSE)</f>
        <v>#N/A</v>
      </c>
      <c r="C510" s="99" t="s">
        <v>2348</v>
      </c>
      <c r="D510" s="223" t="e">
        <f t="shared" si="14"/>
        <v>#N/A</v>
      </c>
      <c r="E510" s="227" t="s">
        <v>2349</v>
      </c>
      <c r="F510" s="165" t="e" cm="1">
        <f t="array" aca="1" ref="F510" ca="1">MID(LEFT(#REF!, INDEX(_xlfn._xlws.FILTER(ROW(INDIRECT("1:" &amp; LEN(#REF!))), (48 &lt;= CODE(MID(#REF!, ROW(INDIRECT("1:" &amp; LEN(#REF!))), 1))) * (CODE(MID(#REF!, ROW(INDIRECT("1:" &amp; LEN(#REF!))), 1)) &lt;= 57)), 1) - 1), FIND(":",#REF!) + 2, LEN(#REF!))</f>
        <v>#REF!</v>
      </c>
      <c r="G510" s="227" t="e">
        <f>MID(LEFT(#REF!, FIND(",",#REF!) - 1), FIND("{token}", SUBSTITUTE(#REF!, " ", "{token}", 2)) + 1, LEN(#REF!))</f>
        <v>#REF!</v>
      </c>
      <c r="H510" s="236" t="s">
        <v>2350</v>
      </c>
      <c r="I510" s="230">
        <v>45435</v>
      </c>
      <c r="J510" s="230" t="s">
        <v>34</v>
      </c>
      <c r="K510" s="226">
        <v>45516</v>
      </c>
      <c r="L510" s="165" t="s">
        <v>1505</v>
      </c>
      <c r="M510" s="222">
        <v>620</v>
      </c>
      <c r="N510" s="2" t="str">
        <f t="shared" ca="1" si="15"/>
        <v>CLOSED</v>
      </c>
    </row>
    <row r="511" spans="1:14" ht="30">
      <c r="A511" s="64" t="s">
        <v>1334</v>
      </c>
      <c r="B511" s="98" t="e">
        <f>VLOOKUP([2]!Table27[[#This Row],[Location 
(drop-down)]],'[2]List source'!D$2:E$59,2,FALSE)</f>
        <v>#N/A</v>
      </c>
      <c r="C511" s="99" t="s">
        <v>2351</v>
      </c>
      <c r="D511" s="223" t="e">
        <f t="shared" si="14"/>
        <v>#N/A</v>
      </c>
      <c r="E511" s="227" t="s">
        <v>2352</v>
      </c>
      <c r="F511" s="165" t="s">
        <v>1769</v>
      </c>
      <c r="G511" s="227" t="e">
        <f>MID(LEFT(#REF!, FIND(",",#REF!) - 1), FIND("{token}", SUBSTITUTE(#REF!, " ", "{token}", 2)) + 1, LEN(#REF!))</f>
        <v>#REF!</v>
      </c>
      <c r="H511" s="236" t="s">
        <v>2353</v>
      </c>
      <c r="I511" s="230">
        <v>45510</v>
      </c>
      <c r="J511" s="230" t="s">
        <v>34</v>
      </c>
      <c r="K511" s="226">
        <v>45516</v>
      </c>
      <c r="L511" s="165" t="s">
        <v>1505</v>
      </c>
      <c r="M511" s="222">
        <v>726</v>
      </c>
      <c r="N511" s="2" t="str">
        <f t="shared" ca="1" si="15"/>
        <v>CLOSED</v>
      </c>
    </row>
    <row r="512" spans="1:14" ht="30">
      <c r="A512" s="64" t="s">
        <v>1334</v>
      </c>
      <c r="B512" s="98" t="e">
        <f>VLOOKUP([2]!Table27[[#This Row],[Location 
(drop-down)]],'[2]List source'!D$2:E$59,2,FALSE)</f>
        <v>#N/A</v>
      </c>
      <c r="C512" s="99" t="s">
        <v>2354</v>
      </c>
      <c r="D512" s="223" t="e">
        <f t="shared" si="14"/>
        <v>#N/A</v>
      </c>
      <c r="E512" s="227" t="s">
        <v>2355</v>
      </c>
      <c r="F512" s="165" t="s">
        <v>1769</v>
      </c>
      <c r="G512" s="227" t="e">
        <f>MID(LEFT(#REF!, FIND(",",#REF!) - 1), FIND("{token}", SUBSTITUTE(#REF!, " ", "{token}", 2)) + 1, LEN(#REF!))</f>
        <v>#REF!</v>
      </c>
      <c r="H512" s="165">
        <v>2.63</v>
      </c>
      <c r="I512" s="230">
        <v>45510</v>
      </c>
      <c r="J512" s="230" t="s">
        <v>34</v>
      </c>
      <c r="K512" s="226">
        <v>45516</v>
      </c>
      <c r="L512" s="165" t="s">
        <v>1505</v>
      </c>
      <c r="M512" s="222">
        <v>727</v>
      </c>
      <c r="N512" s="2" t="str">
        <f t="shared" ca="1" si="15"/>
        <v>CLOSED</v>
      </c>
    </row>
    <row r="513" spans="1:14" ht="30">
      <c r="A513" s="64" t="s">
        <v>114</v>
      </c>
      <c r="B513" s="98" t="e">
        <f>VLOOKUP([2]!Table27[[#This Row],[Location 
(drop-down)]],'[2]List source'!D$2:E$59,2,FALSE)</f>
        <v>#N/A</v>
      </c>
      <c r="C513" s="99" t="s">
        <v>2356</v>
      </c>
      <c r="D513" s="223" t="e">
        <f t="shared" si="14"/>
        <v>#N/A</v>
      </c>
      <c r="E513" s="251" t="s">
        <v>2357</v>
      </c>
      <c r="F513" s="274" t="s">
        <v>2279</v>
      </c>
      <c r="G513" s="251" t="e">
        <f>MID(LEFT(#REF!, FIND(",",#REF!) - 1), FIND("{token}", SUBSTITUTE(#REF!, " ", "{token}", 2)) + 1, LEN(#REF!))</f>
        <v>#REF!</v>
      </c>
      <c r="H513" s="274">
        <v>16.059999999999999</v>
      </c>
      <c r="I513" s="230">
        <v>45510</v>
      </c>
      <c r="J513" s="230" t="s">
        <v>34</v>
      </c>
      <c r="K513" s="226">
        <v>45516</v>
      </c>
      <c r="L513" s="165" t="s">
        <v>1505</v>
      </c>
      <c r="M513" s="222">
        <v>739</v>
      </c>
      <c r="N513" s="2" t="str">
        <f t="shared" ca="1" si="15"/>
        <v>CLOSED</v>
      </c>
    </row>
    <row r="514" spans="1:14" ht="30">
      <c r="A514" s="64" t="s">
        <v>202</v>
      </c>
      <c r="B514" s="98" t="e">
        <f>VLOOKUP([2]!Table27[[#This Row],[Location 
(drop-down)]],'[2]List source'!D$2:E$59,2,FALSE)</f>
        <v>#N/A</v>
      </c>
      <c r="C514" s="99" t="s">
        <v>2358</v>
      </c>
      <c r="D514" s="318" t="e">
        <f t="shared" ref="D514:D577" si="16">"PTO" &amp; C514 &amp; "-" &amp; B514 &amp; "-" &amp; "23"</f>
        <v>#N/A</v>
      </c>
      <c r="E514" s="252" t="s">
        <v>2359</v>
      </c>
      <c r="F514" s="275" t="e" cm="1">
        <f t="array" aca="1" ref="F514" ca="1">MID(LEFT(#REF!, INDEX(_xlfn._xlws.FILTER(ROW(INDIRECT("1:" &amp; LEN(#REF!))), (48 &lt;= CODE(MID(#REF!, ROW(INDIRECT("1:" &amp; LEN(#REF!))), 1))) * (CODE(MID(#REF!, ROW(INDIRECT("1:" &amp; LEN(#REF!))), 1)) &lt;= 57)), 1) - 1), FIND(":",#REF!) + 2, LEN(#REF!))</f>
        <v>#REF!</v>
      </c>
      <c r="G514" s="252" t="e">
        <f>MID(LEFT(#REF!, FIND(",",#REF!) - 1), FIND("{token}", SUBSTITUTE(#REF!, " ", "{token}", 2)) + 1, LEN(#REF!))</f>
        <v>#REF!</v>
      </c>
      <c r="H514" s="319" t="s">
        <v>2360</v>
      </c>
      <c r="I514" s="289">
        <v>45513</v>
      </c>
      <c r="J514" s="230" t="s">
        <v>34</v>
      </c>
      <c r="K514" s="226">
        <v>45516</v>
      </c>
      <c r="L514" s="165" t="s">
        <v>1505</v>
      </c>
      <c r="M514" s="222">
        <v>767</v>
      </c>
      <c r="N514" s="2" t="str">
        <f t="shared" ca="1" si="15"/>
        <v>CLOSED</v>
      </c>
    </row>
    <row r="515" spans="1:14" ht="30">
      <c r="A515" s="64" t="s">
        <v>500</v>
      </c>
      <c r="B515" s="98" t="e">
        <f>VLOOKUP([2]!Table27[[#This Row],[Location 
(drop-down)]],'[2]List source'!D$2:E$59,2,FALSE)</f>
        <v>#N/A</v>
      </c>
      <c r="C515" s="99" t="s">
        <v>2361</v>
      </c>
      <c r="D515" s="223" t="e">
        <f t="shared" si="16"/>
        <v>#N/A</v>
      </c>
      <c r="E515" s="215" t="s">
        <v>2362</v>
      </c>
      <c r="F515" s="214" t="e" cm="1">
        <f t="array" aca="1" ref="F515" ca="1">MID(LEFT(#REF!, INDEX(_xlfn._xlws.FILTER(ROW(INDIRECT("1:" &amp; LEN(#REF!))), (48 &lt;= CODE(MID(#REF!, ROW(INDIRECT("1:" &amp; LEN(#REF!))), 1))) * (CODE(MID(#REF!, ROW(INDIRECT("1:" &amp; LEN(#REF!))), 1)) &lt;= 57)), 1) - 1), FIND(":",#REF!) + 2, LEN(#REF!))</f>
        <v>#REF!</v>
      </c>
      <c r="G515" s="215" t="e">
        <f>MID(LEFT(#REF!, FIND(",",#REF!) - 1), FIND("{token}", SUBSTITUTE(#REF!, " ", "{token}", 2)) + 1, LEN(#REF!))</f>
        <v>#REF!</v>
      </c>
      <c r="H515" s="214" t="s">
        <v>2363</v>
      </c>
      <c r="I515" s="230">
        <v>45435</v>
      </c>
      <c r="J515" s="230" t="s">
        <v>310</v>
      </c>
      <c r="K515" s="226">
        <v>45517</v>
      </c>
      <c r="L515" s="165"/>
      <c r="M515" s="222">
        <v>646</v>
      </c>
      <c r="N515" s="2" t="str">
        <f t="shared" ca="1" si="15"/>
        <v>CLOSED</v>
      </c>
    </row>
    <row r="516" spans="1:14" ht="30">
      <c r="A516" s="64" t="s">
        <v>125</v>
      </c>
      <c r="B516" s="98" t="e">
        <f>VLOOKUP([2]!Table27[[#This Row],[Location 
(drop-down)]],'[2]List source'!D$2:E$59,2,FALSE)</f>
        <v>#N/A</v>
      </c>
      <c r="C516" s="99" t="s">
        <v>2364</v>
      </c>
      <c r="D516" s="223" t="e">
        <f t="shared" si="16"/>
        <v>#N/A</v>
      </c>
      <c r="E516" s="227" t="s">
        <v>2365</v>
      </c>
      <c r="F516" s="214" t="e" cm="1">
        <f t="array" aca="1" ref="F516" ca="1">MID(LEFT(#REF!, INDEX(_xlfn._xlws.FILTER(ROW(INDIRECT("1:" &amp; LEN(#REF!))), (48 &lt;= CODE(MID(#REF!, ROW(INDIRECT("1:" &amp; LEN(#REF!))), 1))) * (CODE(MID(#REF!, ROW(INDIRECT("1:" &amp; LEN(#REF!))), 1)) &lt;= 57)), 1) - 1), FIND(":",#REF!) + 2, LEN(#REF!))</f>
        <v>#REF!</v>
      </c>
      <c r="G516" s="227" t="e">
        <f>MID(LEFT(#REF!, FIND(",",#REF!) - 1), FIND("{token}", SUBSTITUTE(#REF!, " ", "{token}", 2)) + 1, LEN(#REF!))</f>
        <v>#REF!</v>
      </c>
      <c r="H516" s="165">
        <v>2.79</v>
      </c>
      <c r="I516" s="289">
        <v>45435</v>
      </c>
      <c r="J516" s="230" t="s">
        <v>239</v>
      </c>
      <c r="K516" s="226">
        <v>45518</v>
      </c>
      <c r="L516" s="165"/>
      <c r="M516" s="222">
        <v>582</v>
      </c>
      <c r="N516" s="2" t="str">
        <f t="shared" ca="1" si="15"/>
        <v>CLOSED</v>
      </c>
    </row>
    <row r="517" spans="1:14" ht="30">
      <c r="A517" s="64" t="s">
        <v>125</v>
      </c>
      <c r="B517" s="98" t="e">
        <f>VLOOKUP([2]!Table27[[#This Row],[Location 
(drop-down)]],'[2]List source'!D$2:E$59,2,FALSE)</f>
        <v>#N/A</v>
      </c>
      <c r="C517" s="99" t="s">
        <v>2366</v>
      </c>
      <c r="D517" s="223" t="e">
        <f t="shared" si="16"/>
        <v>#N/A</v>
      </c>
      <c r="E517" s="227" t="s">
        <v>2367</v>
      </c>
      <c r="F517" s="275" t="e" cm="1">
        <f t="array" aca="1" ref="F517" ca="1">MID(LEFT(#REF!, INDEX(_xlfn._xlws.FILTER(ROW(INDIRECT("1:" &amp; LEN(#REF!))), (48 &lt;= CODE(MID(#REF!, ROW(INDIRECT("1:" &amp; LEN(#REF!))), 1))) * (CODE(MID(#REF!, ROW(INDIRECT("1:" &amp; LEN(#REF!))), 1)) &lt;= 57)), 1) - 1), FIND(":",#REF!) + 2, LEN(#REF!))</f>
        <v>#REF!</v>
      </c>
      <c r="G517" s="227" t="e">
        <f>MID(LEFT(#REF!, FIND(",",#REF!) - 1), FIND("{token}", SUBSTITUTE(#REF!, " ", "{token}", 2)) + 1, LEN(#REF!))</f>
        <v>#REF!</v>
      </c>
      <c r="H517" s="165">
        <v>2.14</v>
      </c>
      <c r="I517" s="230">
        <v>45435</v>
      </c>
      <c r="J517" s="230" t="s">
        <v>239</v>
      </c>
      <c r="K517" s="226">
        <v>45518</v>
      </c>
      <c r="L517" s="165"/>
      <c r="M517" s="222">
        <v>614</v>
      </c>
      <c r="N517" s="2" t="str">
        <f t="shared" ca="1" si="15"/>
        <v>CLOSED</v>
      </c>
    </row>
    <row r="518" spans="1:14" ht="18.75">
      <c r="A518" s="64" t="s">
        <v>311</v>
      </c>
      <c r="B518" s="98" t="e">
        <f>VLOOKUP([2]!Table27[[#This Row],[Location 
(drop-down)]],'[2]List source'!D$2:E$59,2,FALSE)</f>
        <v>#N/A</v>
      </c>
      <c r="C518" s="99" t="s">
        <v>2368</v>
      </c>
      <c r="D518" s="223" t="e">
        <f t="shared" si="16"/>
        <v>#N/A</v>
      </c>
      <c r="E518" s="227" t="s">
        <v>2369</v>
      </c>
      <c r="F518" s="214" t="e" cm="1">
        <f t="array" aca="1" ref="F518" ca="1">MID(LEFT(#REF!, INDEX(_xlfn._xlws.FILTER(ROW(INDIRECT("1:" &amp; LEN(#REF!))), (48 &lt;= CODE(MID(#REF!, ROW(INDIRECT("1:" &amp; LEN(#REF!))), 1))) * (CODE(MID(#REF!, ROW(INDIRECT("1:" &amp; LEN(#REF!))), 1)) &lt;= 57)), 1) - 1), FIND(":",#REF!) + 2, LEN(#REF!))</f>
        <v>#REF!</v>
      </c>
      <c r="G518" s="227" t="e">
        <f>MID(LEFT(#REF!, FIND(",",#REF!) - 1), FIND("{token}", SUBSTITUTE(#REF!, " ", "{token}", 2)) + 1, LEN(#REF!))</f>
        <v>#REF!</v>
      </c>
      <c r="H518" s="165">
        <v>6.86</v>
      </c>
      <c r="I518" s="289">
        <v>45435</v>
      </c>
      <c r="J518" s="230" t="s">
        <v>310</v>
      </c>
      <c r="K518" s="226">
        <v>45520</v>
      </c>
      <c r="L518" s="165"/>
      <c r="M518" s="222">
        <v>551</v>
      </c>
      <c r="N518" s="2" t="str">
        <f t="shared" ca="1" si="15"/>
        <v>CLOSED</v>
      </c>
    </row>
    <row r="519" spans="1:14" ht="18.75">
      <c r="A519" s="64" t="s">
        <v>311</v>
      </c>
      <c r="B519" s="98" t="e">
        <f>VLOOKUP([2]!Table27[[#This Row],[Location 
(drop-down)]],'[2]List source'!D$2:E$59,2,FALSE)</f>
        <v>#N/A</v>
      </c>
      <c r="C519" s="99" t="s">
        <v>2370</v>
      </c>
      <c r="D519" s="223" t="e">
        <f t="shared" si="16"/>
        <v>#N/A</v>
      </c>
      <c r="E519" s="227" t="s">
        <v>2371</v>
      </c>
      <c r="F519" s="214" t="e" cm="1">
        <f t="array" aca="1" ref="F519" ca="1">MID(LEFT(#REF!, INDEX(_xlfn._xlws.FILTER(ROW(INDIRECT("1:" &amp; LEN(#REF!))), (48 &lt;= CODE(MID(#REF!, ROW(INDIRECT("1:" &amp; LEN(#REF!))), 1))) * (CODE(MID(#REF!, ROW(INDIRECT("1:" &amp; LEN(#REF!))), 1)) &lt;= 57)), 1) - 1), FIND(":",#REF!) + 2, LEN(#REF!))</f>
        <v>#REF!</v>
      </c>
      <c r="G519" s="227" t="e">
        <f>MID(LEFT(#REF!, FIND(",",#REF!) - 1), FIND("{token}", SUBSTITUTE(#REF!, " ", "{token}", 2)) + 1, LEN(#REF!))</f>
        <v>#REF!</v>
      </c>
      <c r="H519" s="236" t="s">
        <v>2372</v>
      </c>
      <c r="I519" s="289">
        <v>45435</v>
      </c>
      <c r="J519" s="230" t="s">
        <v>310</v>
      </c>
      <c r="K519" s="226">
        <v>45520</v>
      </c>
      <c r="L519" s="165"/>
      <c r="M519" s="222">
        <v>553</v>
      </c>
      <c r="N519" s="2" t="str">
        <f t="shared" ca="1" si="15"/>
        <v>CLOSED</v>
      </c>
    </row>
    <row r="520" spans="1:14" ht="18.75">
      <c r="A520" s="64" t="s">
        <v>311</v>
      </c>
      <c r="B520" s="98" t="e">
        <f>VLOOKUP([2]!Table27[[#This Row],[Location 
(drop-down)]],'[2]List source'!D$2:E$59,2,FALSE)</f>
        <v>#N/A</v>
      </c>
      <c r="C520" s="99" t="s">
        <v>2373</v>
      </c>
      <c r="D520" s="223" t="e">
        <f t="shared" si="16"/>
        <v>#N/A</v>
      </c>
      <c r="E520" s="227" t="s">
        <v>2374</v>
      </c>
      <c r="F520" s="214" t="e" cm="1">
        <f t="array" aca="1" ref="F520" ca="1">MID(LEFT(#REF!, INDEX(_xlfn._xlws.FILTER(ROW(INDIRECT("1:" &amp; LEN(#REF!))), (48 &lt;= CODE(MID(#REF!, ROW(INDIRECT("1:" &amp; LEN(#REF!))), 1))) * (CODE(MID(#REF!, ROW(INDIRECT("1:" &amp; LEN(#REF!))), 1)) &lt;= 57)), 1) - 1), FIND(":",#REF!) + 2, LEN(#REF!))</f>
        <v>#REF!</v>
      </c>
      <c r="G520" s="227" t="e">
        <f>MID(LEFT(#REF!, FIND(",",#REF!) - 1), FIND("{token}", SUBSTITUTE(#REF!, " ", "{token}", 2)) + 1, LEN(#REF!))</f>
        <v>#REF!</v>
      </c>
      <c r="H520" s="165">
        <v>2.82</v>
      </c>
      <c r="I520" s="289">
        <v>45435</v>
      </c>
      <c r="J520" s="230" t="s">
        <v>310</v>
      </c>
      <c r="K520" s="226">
        <v>45520</v>
      </c>
      <c r="L520" s="165"/>
      <c r="M520" s="222">
        <v>554</v>
      </c>
      <c r="N520" s="2" t="str">
        <f t="shared" ca="1" si="15"/>
        <v>CLOSED</v>
      </c>
    </row>
    <row r="521" spans="1:14" ht="18.75">
      <c r="A521" s="64" t="s">
        <v>311</v>
      </c>
      <c r="B521" s="98" t="e">
        <f>VLOOKUP([2]!Table27[[#This Row],[Location 
(drop-down)]],'[2]List source'!D$2:E$59,2,FALSE)</f>
        <v>#N/A</v>
      </c>
      <c r="C521" s="99" t="s">
        <v>2375</v>
      </c>
      <c r="D521" s="223" t="e">
        <f t="shared" si="16"/>
        <v>#N/A</v>
      </c>
      <c r="E521" s="227" t="s">
        <v>2376</v>
      </c>
      <c r="F521" s="214" t="e" cm="1">
        <f t="array" aca="1" ref="F521" ca="1">MID(LEFT(#REF!, INDEX(_xlfn._xlws.FILTER(ROW(INDIRECT("1:" &amp; LEN(#REF!))), (48 &lt;= CODE(MID(#REF!, ROW(INDIRECT("1:" &amp; LEN(#REF!))), 1))) * (CODE(MID(#REF!, ROW(INDIRECT("1:" &amp; LEN(#REF!))), 1)) &lt;= 57)), 1) - 1), FIND(":",#REF!) + 2, LEN(#REF!))</f>
        <v>#REF!</v>
      </c>
      <c r="G521" s="227" t="e">
        <f>MID(LEFT(#REF!, FIND(",",#REF!) - 1), FIND("{token}", SUBSTITUTE(#REF!, " ", "{token}", 2)) + 1, LEN(#REF!))</f>
        <v>#REF!</v>
      </c>
      <c r="H521" s="165">
        <v>17.12</v>
      </c>
      <c r="I521" s="289">
        <v>45435</v>
      </c>
      <c r="J521" s="230" t="s">
        <v>310</v>
      </c>
      <c r="K521" s="226">
        <v>45520</v>
      </c>
      <c r="L521" s="165"/>
      <c r="M521" s="222">
        <v>588</v>
      </c>
      <c r="N521" s="2" t="str">
        <f t="shared" ca="1" si="15"/>
        <v>CLOSED</v>
      </c>
    </row>
    <row r="522" spans="1:14" ht="18.75">
      <c r="A522" s="64" t="s">
        <v>311</v>
      </c>
      <c r="B522" s="98" t="e">
        <f>VLOOKUP([2]!Table27[[#This Row],[Location 
(drop-down)]],'[2]List source'!D$2:E$59,2,FALSE)</f>
        <v>#N/A</v>
      </c>
      <c r="C522" s="99" t="s">
        <v>2377</v>
      </c>
      <c r="D522" s="223" t="e">
        <f t="shared" si="16"/>
        <v>#N/A</v>
      </c>
      <c r="E522" s="227" t="s">
        <v>2378</v>
      </c>
      <c r="F522" s="214" t="e" cm="1">
        <f t="array" aca="1" ref="F522" ca="1">MID(LEFT(#REF!, INDEX(_xlfn._xlws.FILTER(ROW(INDIRECT("1:" &amp; LEN(#REF!))), (48 &lt;= CODE(MID(#REF!, ROW(INDIRECT("1:" &amp; LEN(#REF!))), 1))) * (CODE(MID(#REF!, ROW(INDIRECT("1:" &amp; LEN(#REF!))), 1)) &lt;= 57)), 1) - 1), FIND(":",#REF!) + 2, LEN(#REF!))</f>
        <v>#REF!</v>
      </c>
      <c r="G522" s="227" t="e">
        <f>MID(LEFT(#REF!, FIND(",",#REF!) - 1), FIND("{token}", SUBSTITUTE(#REF!, " ", "{token}", 2)) + 1, LEN(#REF!))</f>
        <v>#REF!</v>
      </c>
      <c r="H522" s="165">
        <v>5.32</v>
      </c>
      <c r="I522" s="289">
        <v>45435</v>
      </c>
      <c r="J522" s="230" t="s">
        <v>310</v>
      </c>
      <c r="K522" s="226">
        <v>45520</v>
      </c>
      <c r="L522" s="165"/>
      <c r="M522" s="222">
        <v>591</v>
      </c>
      <c r="N522" s="2" t="str">
        <f t="shared" ca="1" si="15"/>
        <v>CLOSED</v>
      </c>
    </row>
    <row r="523" spans="1:14" ht="18.75">
      <c r="A523" s="64" t="s">
        <v>311</v>
      </c>
      <c r="B523" s="98" t="e">
        <f>VLOOKUP([2]!Table27[[#This Row],[Location 
(drop-down)]],'[2]List source'!D$2:E$59,2,FALSE)</f>
        <v>#N/A</v>
      </c>
      <c r="C523" s="99" t="s">
        <v>133</v>
      </c>
      <c r="D523" s="223" t="e">
        <f t="shared" si="16"/>
        <v>#N/A</v>
      </c>
      <c r="E523" s="215" t="s">
        <v>2379</v>
      </c>
      <c r="F523" s="214" t="e" cm="1">
        <f t="array" aca="1" ref="F523" ca="1">MID(LEFT(#REF!, INDEX(_xlfn._xlws.FILTER(ROW(INDIRECT("1:" &amp; LEN(#REF!))), (48 &lt;= CODE(MID(#REF!, ROW(INDIRECT("1:" &amp; LEN(#REF!))), 1))) * (CODE(MID(#REF!, ROW(INDIRECT("1:" &amp; LEN(#REF!))), 1)) &lt;= 57)), 1) - 1), FIND(":",#REF!) + 2, LEN(#REF!))</f>
        <v>#REF!</v>
      </c>
      <c r="G523" s="215" t="e">
        <f>MID(LEFT(#REF!, FIND(",",#REF!) - 1), FIND("{token}", SUBSTITUTE(#REF!, " ", "{token}", 2)) + 1, LEN(#REF!))</f>
        <v>#REF!</v>
      </c>
      <c r="H523" s="224" t="s">
        <v>2380</v>
      </c>
      <c r="I523" s="289">
        <v>45435</v>
      </c>
      <c r="J523" s="230" t="s">
        <v>310</v>
      </c>
      <c r="K523" s="226">
        <v>45520</v>
      </c>
      <c r="L523" s="165"/>
      <c r="M523" s="222">
        <v>615</v>
      </c>
      <c r="N523" s="2" t="str">
        <f t="shared" ca="1" si="15"/>
        <v>CLOSED</v>
      </c>
    </row>
    <row r="524" spans="1:14" ht="18.75">
      <c r="A524" s="64" t="s">
        <v>311</v>
      </c>
      <c r="B524" s="98" t="e">
        <f>VLOOKUP([2]!Table27[[#This Row],[Location 
(drop-down)]],'[2]List source'!D$2:E$59,2,FALSE)</f>
        <v>#N/A</v>
      </c>
      <c r="C524" s="99" t="s">
        <v>174</v>
      </c>
      <c r="D524" s="223" t="e">
        <f t="shared" si="16"/>
        <v>#N/A</v>
      </c>
      <c r="E524" s="227" t="s">
        <v>2381</v>
      </c>
      <c r="F524" s="214" t="e" cm="1">
        <f t="array" aca="1" ref="F524" ca="1">MID(LEFT(#REF!, INDEX(_xlfn._xlws.FILTER(ROW(INDIRECT("1:" &amp; LEN(#REF!))), (48 &lt;= CODE(MID(#REF!, ROW(INDIRECT("1:" &amp; LEN(#REF!))), 1))) * (CODE(MID(#REF!, ROW(INDIRECT("1:" &amp; LEN(#REF!))), 1)) &lt;= 57)), 1) - 1), FIND(":",#REF!) + 2, LEN(#REF!))</f>
        <v>#REF!</v>
      </c>
      <c r="G524" s="227" t="e">
        <f>MID(LEFT(#REF!, FIND(",",#REF!) - 1), FIND("{token}", SUBSTITUTE(#REF!, " ", "{token}", 2)) + 1, LEN(#REF!))</f>
        <v>#REF!</v>
      </c>
      <c r="H524" s="165">
        <v>5.07</v>
      </c>
      <c r="I524" s="289">
        <v>45435</v>
      </c>
      <c r="J524" s="230" t="s">
        <v>310</v>
      </c>
      <c r="K524" s="226">
        <v>45520</v>
      </c>
      <c r="L524" s="165"/>
      <c r="M524" s="222">
        <v>618</v>
      </c>
      <c r="N524" s="2" t="str">
        <f t="shared" ca="1" si="15"/>
        <v>CLOSED</v>
      </c>
    </row>
    <row r="525" spans="1:14" ht="30">
      <c r="A525" s="64" t="s">
        <v>323</v>
      </c>
      <c r="B525" s="98" t="e">
        <f>VLOOKUP([2]!Table27[[#This Row],[Location 
(drop-down)]],'[2]List source'!D$2:E$59,2,FALSE)</f>
        <v>#N/A</v>
      </c>
      <c r="C525" s="99" t="s">
        <v>2382</v>
      </c>
      <c r="D525" s="223" t="e">
        <f t="shared" si="16"/>
        <v>#N/A</v>
      </c>
      <c r="E525" s="227" t="s">
        <v>2383</v>
      </c>
      <c r="F525" s="214" t="e" cm="1">
        <f t="array" aca="1" ref="F525" ca="1">MID(LEFT(#REF!, INDEX(_xlfn._xlws.FILTER(ROW(INDIRECT("1:" &amp; LEN(#REF!))), (48 &lt;= CODE(MID(#REF!, ROW(INDIRECT("1:" &amp; LEN(#REF!))), 1))) * (CODE(MID(#REF!, ROW(INDIRECT("1:" &amp; LEN(#REF!))), 1)) &lt;= 57)), 1) - 1), FIND(":",#REF!) + 2, LEN(#REF!))</f>
        <v>#REF!</v>
      </c>
      <c r="G525" s="227" t="e">
        <f>MID(LEFT(#REF!, FIND(",",#REF!) - 1), FIND("{token}", SUBSTITUTE(#REF!, " ", "{token}", 2)) + 1, LEN(#REF!))</f>
        <v>#REF!</v>
      </c>
      <c r="H525" s="236" t="s">
        <v>2384</v>
      </c>
      <c r="I525" s="289">
        <v>45513</v>
      </c>
      <c r="J525" s="230" t="s">
        <v>34</v>
      </c>
      <c r="K525" s="226">
        <v>45520</v>
      </c>
      <c r="L525" s="165" t="s">
        <v>1773</v>
      </c>
      <c r="M525" s="222">
        <v>787</v>
      </c>
      <c r="N525" s="2" t="str">
        <f t="shared" ca="1" si="15"/>
        <v>CLOSED</v>
      </c>
    </row>
    <row r="526" spans="1:14" ht="18.75">
      <c r="A526" s="64" t="s">
        <v>43</v>
      </c>
      <c r="B526" s="98" t="e">
        <f>VLOOKUP([2]!Table27[[#This Row],[Location 
(drop-down)]],'[2]List source'!D$2:E$59,2,FALSE)</f>
        <v>#N/A</v>
      </c>
      <c r="C526" s="99" t="s">
        <v>985</v>
      </c>
      <c r="D526" s="223" t="e">
        <f t="shared" si="16"/>
        <v>#N/A</v>
      </c>
      <c r="E526" s="227" t="s">
        <v>2385</v>
      </c>
      <c r="F526" s="214" t="e" cm="1">
        <f t="array" aca="1" ref="F526" ca="1">MID(LEFT(#REF!, INDEX(_xlfn._xlws.FILTER(ROW(INDIRECT("1:" &amp; LEN(#REF!))), (48 &lt;= CODE(MID(#REF!, ROW(INDIRECT("1:" &amp; LEN(#REF!))), 1))) * (CODE(MID(#REF!, ROW(INDIRECT("1:" &amp; LEN(#REF!))), 1)) &lt;= 57)), 1) - 1), FIND(":",#REF!) + 2, LEN(#REF!))</f>
        <v>#REF!</v>
      </c>
      <c r="G526" s="227" t="e">
        <f>MID(LEFT(#REF!, FIND(",",#REF!) - 1), FIND("{token}", SUBSTITUTE(#REF!, " ", "{token}", 2)) + 1, LEN(#REF!))</f>
        <v>#REF!</v>
      </c>
      <c r="H526" s="165">
        <v>3.61</v>
      </c>
      <c r="I526" s="289">
        <v>45418</v>
      </c>
      <c r="J526" s="230" t="s">
        <v>29</v>
      </c>
      <c r="K526" s="226">
        <v>45524</v>
      </c>
      <c r="L526" s="165"/>
      <c r="M526" s="222">
        <v>386</v>
      </c>
      <c r="N526" s="2" t="str">
        <f t="shared" ca="1" si="15"/>
        <v>CLOSED</v>
      </c>
    </row>
    <row r="527" spans="1:14" ht="18.75">
      <c r="A527" s="64" t="s">
        <v>43</v>
      </c>
      <c r="B527" s="98" t="e">
        <f>VLOOKUP([2]!Table27[[#This Row],[Location 
(drop-down)]],'[2]List source'!D$2:E$59,2,FALSE)</f>
        <v>#N/A</v>
      </c>
      <c r="C527" s="99" t="s">
        <v>2386</v>
      </c>
      <c r="D527" s="223" t="e">
        <f t="shared" si="16"/>
        <v>#N/A</v>
      </c>
      <c r="E527" s="227" t="s">
        <v>2387</v>
      </c>
      <c r="F527" s="214" t="e" cm="1">
        <f t="array" aca="1" ref="F527" ca="1">MID(LEFT(#REF!, INDEX(_xlfn._xlws.FILTER(ROW(INDIRECT("1:" &amp; LEN(#REF!))), (48 &lt;= CODE(MID(#REF!, ROW(INDIRECT("1:" &amp; LEN(#REF!))), 1))) * (CODE(MID(#REF!, ROW(INDIRECT("1:" &amp; LEN(#REF!))), 1)) &lt;= 57)), 1) - 1), FIND(":",#REF!) + 2, LEN(#REF!))</f>
        <v>#REF!</v>
      </c>
      <c r="G527" s="227" t="e">
        <f>MID(LEFT(#REF!, FIND(",",#REF!) - 1), FIND("{token}", SUBSTITUTE(#REF!, " ", "{token}", 2)) + 1, LEN(#REF!))</f>
        <v>#REF!</v>
      </c>
      <c r="H527" s="165" t="s">
        <v>2388</v>
      </c>
      <c r="I527" s="289">
        <v>45435</v>
      </c>
      <c r="J527" s="230" t="s">
        <v>29</v>
      </c>
      <c r="K527" s="226">
        <v>45524</v>
      </c>
      <c r="L527" s="165"/>
      <c r="M527" s="222">
        <v>607</v>
      </c>
      <c r="N527" s="2" t="str">
        <f t="shared" ca="1" si="15"/>
        <v>CLOSED</v>
      </c>
    </row>
    <row r="528" spans="1:14" ht="30">
      <c r="A528" s="64" t="s">
        <v>714</v>
      </c>
      <c r="B528" s="98" t="e">
        <f>VLOOKUP([2]!Table27[[#This Row],[Location 
(drop-down)]],'[2]List source'!D$2:E$59,2,FALSE)</f>
        <v>#N/A</v>
      </c>
      <c r="C528" s="99" t="s">
        <v>2389</v>
      </c>
      <c r="D528" s="223" t="e">
        <f t="shared" si="16"/>
        <v>#N/A</v>
      </c>
      <c r="E528" s="227" t="s">
        <v>2390</v>
      </c>
      <c r="F528" s="214" t="e" cm="1">
        <f t="array" aca="1" ref="F528" ca="1">MID(LEFT(#REF!, INDEX(_xlfn._xlws.FILTER(ROW(INDIRECT("1:" &amp; LEN(#REF!))), (48 &lt;= CODE(MID(#REF!, ROW(INDIRECT("1:" &amp; LEN(#REF!))), 1))) * (CODE(MID(#REF!, ROW(INDIRECT("1:" &amp; LEN(#REF!))), 1)) &lt;= 57)), 1) - 1), FIND(":",#REF!) + 2, LEN(#REF!))</f>
        <v>#REF!</v>
      </c>
      <c r="G528" s="227" t="e">
        <f>MID(LEFT(#REF!, FIND(",",#REF!) - 1), FIND("{token}", SUBSTITUTE(#REF!, " ", "{token}", 2)) + 1, LEN(#REF!))</f>
        <v>#REF!</v>
      </c>
      <c r="H528" s="165" t="s">
        <v>2391</v>
      </c>
      <c r="I528" s="289">
        <v>45511</v>
      </c>
      <c r="J528" s="230" t="s">
        <v>34</v>
      </c>
      <c r="K528" s="226">
        <v>45524</v>
      </c>
      <c r="L528" s="165" t="s">
        <v>1773</v>
      </c>
      <c r="M528" s="222">
        <v>750</v>
      </c>
      <c r="N528" s="2" t="str">
        <f t="shared" ca="1" si="15"/>
        <v>CLOSED</v>
      </c>
    </row>
    <row r="529" spans="1:14" ht="18.75">
      <c r="A529" s="64" t="s">
        <v>53</v>
      </c>
      <c r="B529" s="98" t="e">
        <f>VLOOKUP([2]!Table27[[#This Row],[Location 
(drop-down)]],'[2]List source'!D$2:E$59,2,FALSE)</f>
        <v>#N/A</v>
      </c>
      <c r="C529" s="99" t="s">
        <v>2392</v>
      </c>
      <c r="D529" s="223" t="e">
        <f t="shared" si="16"/>
        <v>#N/A</v>
      </c>
      <c r="E529" s="227" t="s">
        <v>2393</v>
      </c>
      <c r="F529" s="214" t="e" cm="1">
        <f t="array" aca="1" ref="F529" ca="1">MID(LEFT(#REF!, INDEX(_xlfn._xlws.FILTER(ROW(INDIRECT("1:" &amp; LEN(#REF!))), (48 &lt;= CODE(MID(#REF!, ROW(INDIRECT("1:" &amp; LEN(#REF!))), 1))) * (CODE(MID(#REF!, ROW(INDIRECT("1:" &amp; LEN(#REF!))), 1)) &lt;= 57)), 1) - 1), FIND(":",#REF!) + 2, LEN(#REF!))</f>
        <v>#REF!</v>
      </c>
      <c r="G529" s="227" t="e">
        <f>MID(LEFT(#REF!, FIND(",",#REF!) - 1), FIND("{token}", SUBSTITUTE(#REF!, " ", "{token}", 2)) + 1, LEN(#REF!))</f>
        <v>#REF!</v>
      </c>
      <c r="H529" s="165">
        <v>5.0999999999999996</v>
      </c>
      <c r="I529" s="289">
        <v>45513</v>
      </c>
      <c r="J529" s="230" t="s">
        <v>34</v>
      </c>
      <c r="K529" s="226">
        <v>45524</v>
      </c>
      <c r="L529" s="165" t="s">
        <v>1505</v>
      </c>
      <c r="M529" s="222">
        <v>790</v>
      </c>
      <c r="N529" s="2" t="str">
        <f t="shared" ca="1" si="15"/>
        <v>CLOSED</v>
      </c>
    </row>
    <row r="530" spans="1:14" ht="30">
      <c r="A530" s="64" t="s">
        <v>485</v>
      </c>
      <c r="B530" s="98" t="e">
        <f>VLOOKUP([2]!Table27[[#This Row],[Location 
(drop-down)]],'[2]List source'!D$2:E$59,2,FALSE)</f>
        <v>#N/A</v>
      </c>
      <c r="C530" s="99" t="s">
        <v>2394</v>
      </c>
      <c r="D530" s="223" t="e">
        <f t="shared" si="16"/>
        <v>#N/A</v>
      </c>
      <c r="E530" s="227" t="s">
        <v>2395</v>
      </c>
      <c r="F530" s="165" t="e" cm="1">
        <f t="array" aca="1" ref="F530" ca="1">MID(LEFT(#REF!, INDEX(_xlfn._xlws.FILTER(ROW(INDIRECT("1:" &amp; LEN(#REF!))), (48 &lt;= CODE(MID(#REF!, ROW(INDIRECT("1:" &amp; LEN(#REF!))), 1))) * (CODE(MID(#REF!, ROW(INDIRECT("1:" &amp; LEN(#REF!))), 1)) &lt;= 57)), 1) - 1), FIND(":",#REF!) + 2, LEN(#REF!))</f>
        <v>#REF!</v>
      </c>
      <c r="G530" s="227" t="e">
        <f>MID(LEFT(#REF!, FIND(",",#REF!) - 1), FIND("{token}", SUBSTITUTE(#REF!, " ", "{token}", 2)) + 1, LEN(#REF!))</f>
        <v>#REF!</v>
      </c>
      <c r="H530" s="236" t="s">
        <v>2396</v>
      </c>
      <c r="I530" s="289">
        <v>45513</v>
      </c>
      <c r="J530" s="230" t="s">
        <v>34</v>
      </c>
      <c r="K530" s="226">
        <v>45524</v>
      </c>
      <c r="L530" s="165" t="s">
        <v>1505</v>
      </c>
      <c r="M530" s="222">
        <v>793</v>
      </c>
      <c r="N530" s="2" t="str">
        <f t="shared" ca="1" si="15"/>
        <v>CLOSED</v>
      </c>
    </row>
    <row r="531" spans="1:14" ht="30">
      <c r="A531" s="64" t="s">
        <v>485</v>
      </c>
      <c r="B531" s="98" t="e">
        <f>VLOOKUP([2]!Table27[[#This Row],[Location 
(drop-down)]],'[2]List source'!D$2:E$59,2,FALSE)</f>
        <v>#N/A</v>
      </c>
      <c r="C531" s="99" t="s">
        <v>2397</v>
      </c>
      <c r="D531" s="223" t="e">
        <f t="shared" si="16"/>
        <v>#N/A</v>
      </c>
      <c r="E531" s="227" t="s">
        <v>2398</v>
      </c>
      <c r="F531" s="214" t="e" cm="1">
        <f t="array" aca="1" ref="F531" ca="1">MID(LEFT(#REF!, INDEX(_xlfn._xlws.FILTER(ROW(INDIRECT("1:" &amp; LEN(#REF!))), (48 &lt;= CODE(MID(#REF!, ROW(INDIRECT("1:" &amp; LEN(#REF!))), 1))) * (CODE(MID(#REF!, ROW(INDIRECT("1:" &amp; LEN(#REF!))), 1)) &lt;= 57)), 1) - 1), FIND(":",#REF!) + 2, LEN(#REF!))</f>
        <v>#REF!</v>
      </c>
      <c r="G531" s="227" t="e">
        <f>MID(LEFT(#REF!, FIND(",",#REF!) - 1), FIND("{token}", SUBSTITUTE(#REF!, " ", "{token}", 2)) + 1, LEN(#REF!))</f>
        <v>#REF!</v>
      </c>
      <c r="H531" s="236" t="s">
        <v>1979</v>
      </c>
      <c r="I531" s="289">
        <v>45513</v>
      </c>
      <c r="J531" s="230" t="s">
        <v>34</v>
      </c>
      <c r="K531" s="226">
        <v>45524</v>
      </c>
      <c r="L531" s="165" t="s">
        <v>1505</v>
      </c>
      <c r="M531" s="222">
        <v>794</v>
      </c>
      <c r="N531" s="2" t="str">
        <f t="shared" ca="1" si="15"/>
        <v>CLOSED</v>
      </c>
    </row>
    <row r="532" spans="1:14" ht="30">
      <c r="A532" s="64" t="s">
        <v>500</v>
      </c>
      <c r="B532" s="98" t="e">
        <f>VLOOKUP([2]!Table27[[#This Row],[Location 
(drop-down)]],'[2]List source'!D$2:E$59,2,FALSE)</f>
        <v>#N/A</v>
      </c>
      <c r="C532" s="99" t="s">
        <v>2399</v>
      </c>
      <c r="D532" s="223" t="e">
        <f t="shared" si="16"/>
        <v>#N/A</v>
      </c>
      <c r="E532" s="227" t="s">
        <v>2400</v>
      </c>
      <c r="F532" s="214" t="e" cm="1">
        <f t="array" aca="1" ref="F532" ca="1">MID(LEFT(#REF!, INDEX(_xlfn._xlws.FILTER(ROW(INDIRECT("1:" &amp; LEN(#REF!))), (48 &lt;= CODE(MID(#REF!, ROW(INDIRECT("1:" &amp; LEN(#REF!))), 1))) * (CODE(MID(#REF!, ROW(INDIRECT("1:" &amp; LEN(#REF!))), 1)) &lt;= 57)), 1) - 1), FIND(":",#REF!) + 2, LEN(#REF!))</f>
        <v>#REF!</v>
      </c>
      <c r="G532" s="227" t="e">
        <f>MID(LEFT(#REF!, FIND(",",#REF!) - 1), FIND("{token}", SUBSTITUTE(#REF!, " ", "{token}", 2)) + 1, LEN(#REF!))</f>
        <v>#REF!</v>
      </c>
      <c r="H532" s="236" t="s">
        <v>1979</v>
      </c>
      <c r="I532" s="289">
        <v>45513</v>
      </c>
      <c r="J532" s="230" t="s">
        <v>34</v>
      </c>
      <c r="K532" s="226">
        <v>45524</v>
      </c>
      <c r="L532" s="165" t="s">
        <v>1505</v>
      </c>
      <c r="M532" s="222">
        <v>798</v>
      </c>
      <c r="N532" s="2" t="str">
        <f t="shared" ca="1" si="15"/>
        <v>CLOSED</v>
      </c>
    </row>
    <row r="533" spans="1:14" ht="30">
      <c r="A533" s="64" t="s">
        <v>30</v>
      </c>
      <c r="B533" s="98" t="e">
        <f>VLOOKUP([2]!Table27[[#This Row],[Location 
(drop-down)]],'[2]List source'!D$2:E$59,2,FALSE)</f>
        <v>#N/A</v>
      </c>
      <c r="C533" s="99" t="s">
        <v>2401</v>
      </c>
      <c r="D533" s="223" t="e">
        <f t="shared" si="16"/>
        <v>#N/A</v>
      </c>
      <c r="E533" s="227" t="s">
        <v>2402</v>
      </c>
      <c r="F533" s="165" t="e" cm="1">
        <f t="array" aca="1" ref="F533" ca="1">MID(LEFT(#REF!, INDEX(_xlfn._xlws.FILTER(ROW(INDIRECT("1:" &amp; LEN(#REF!))), (48 &lt;= CODE(MID(#REF!, ROW(INDIRECT("1:" &amp; LEN(#REF!))), 1))) * (CODE(MID(#REF!, ROW(INDIRECT("1:" &amp; LEN(#REF!))), 1)) &lt;= 57)), 1) - 1), FIND(":",#REF!) + 2, LEN(#REF!))</f>
        <v>#REF!</v>
      </c>
      <c r="G533" s="227" t="e">
        <f>MID(LEFT(#REF!, FIND(",",#REF!) - 1), FIND("{token}", SUBSTITUTE(#REF!, " ", "{token}", 2)) + 1, LEN(#REF!))</f>
        <v>#REF!</v>
      </c>
      <c r="H533" s="165">
        <v>-20.72</v>
      </c>
      <c r="I533" s="289">
        <v>45513</v>
      </c>
      <c r="J533" s="230" t="s">
        <v>34</v>
      </c>
      <c r="K533" s="226">
        <v>45527</v>
      </c>
      <c r="L533" s="165" t="s">
        <v>2403</v>
      </c>
      <c r="M533" s="222">
        <v>754</v>
      </c>
      <c r="N533" s="2" t="str">
        <f t="shared" ca="1" si="15"/>
        <v>CLOSED</v>
      </c>
    </row>
    <row r="534" spans="1:14" ht="30">
      <c r="A534" s="64" t="s">
        <v>714</v>
      </c>
      <c r="B534" s="98" t="e">
        <f>VLOOKUP([2]!Table27[[#This Row],[Location 
(drop-down)]],'[2]List source'!D$2:E$59,2,FALSE)</f>
        <v>#N/A</v>
      </c>
      <c r="C534" s="99" t="s">
        <v>1030</v>
      </c>
      <c r="D534" s="223" t="e">
        <f t="shared" si="16"/>
        <v>#N/A</v>
      </c>
      <c r="E534" s="227" t="s">
        <v>2404</v>
      </c>
      <c r="F534" s="214" t="e" cm="1">
        <f t="array" aca="1" ref="F534" ca="1">MID(LEFT(#REF!, INDEX(_xlfn._xlws.FILTER(ROW(INDIRECT("1:" &amp; LEN(#REF!))), (48 &lt;= CODE(MID(#REF!, ROW(INDIRECT("1:" &amp; LEN(#REF!))), 1))) * (CODE(MID(#REF!, ROW(INDIRECT("1:" &amp; LEN(#REF!))), 1)) &lt;= 57)), 1) - 1), FIND(":",#REF!) + 2, LEN(#REF!))</f>
        <v>#REF!</v>
      </c>
      <c r="G534" s="227" t="e">
        <f>MID(LEFT(#REF!, FIND(",",#REF!) - 1), FIND("{token}", SUBSTITUTE(#REF!, " ", "{token}", 2)) + 1, LEN(#REF!))</f>
        <v>#REF!</v>
      </c>
      <c r="H534" s="165">
        <v>2.0299999999999998</v>
      </c>
      <c r="I534" s="289">
        <v>45412</v>
      </c>
      <c r="J534" s="230" t="s">
        <v>108</v>
      </c>
      <c r="K534" s="226">
        <v>45530</v>
      </c>
      <c r="L534" s="165"/>
      <c r="M534" s="222">
        <v>301</v>
      </c>
      <c r="N534" s="2" t="str">
        <f t="shared" ca="1" si="15"/>
        <v>CLOSED</v>
      </c>
    </row>
    <row r="535" spans="1:14" ht="30">
      <c r="A535" s="64" t="s">
        <v>518</v>
      </c>
      <c r="B535" s="98" t="e">
        <f>VLOOKUP([2]!Table27[[#This Row],[Location 
(drop-down)]],'[2]List source'!D$2:E$59,2,FALSE)</f>
        <v>#N/A</v>
      </c>
      <c r="C535" s="99" t="s">
        <v>372</v>
      </c>
      <c r="D535" s="223" t="e">
        <f t="shared" si="16"/>
        <v>#N/A</v>
      </c>
      <c r="E535" s="227" t="s">
        <v>2405</v>
      </c>
      <c r="F535" s="214" t="s">
        <v>1566</v>
      </c>
      <c r="G535" s="227" t="e">
        <f>MID(LEFT(#REF!, FIND(",",#REF!) - 1), FIND("{token}", SUBSTITUTE(#REF!, " ", "{token}", 2)) + 1, LEN(#REF!))</f>
        <v>#REF!</v>
      </c>
      <c r="H535" s="165">
        <v>2.8</v>
      </c>
      <c r="I535" s="289">
        <v>45418</v>
      </c>
      <c r="J535" s="230" t="s">
        <v>108</v>
      </c>
      <c r="K535" s="226">
        <v>45530</v>
      </c>
      <c r="L535" s="165"/>
      <c r="M535" s="222">
        <v>407</v>
      </c>
      <c r="N535" s="2" t="str">
        <f t="shared" ca="1" si="15"/>
        <v>CLOSED</v>
      </c>
    </row>
    <row r="536" spans="1:14" ht="30">
      <c r="A536" s="64" t="s">
        <v>714</v>
      </c>
      <c r="B536" s="98" t="e">
        <f>VLOOKUP([2]!Table27[[#This Row],[Location 
(drop-down)]],'[2]List source'!D$2:E$59,2,FALSE)</f>
        <v>#N/A</v>
      </c>
      <c r="C536" s="99" t="s">
        <v>732</v>
      </c>
      <c r="D536" s="223" t="e">
        <f t="shared" si="16"/>
        <v>#N/A</v>
      </c>
      <c r="E536" s="227" t="s">
        <v>2406</v>
      </c>
      <c r="F536" s="165" t="s">
        <v>1520</v>
      </c>
      <c r="G536" s="227" t="e">
        <f>MID(LEFT(#REF!, FIND(",",#REF!) - 1), FIND("{token}", SUBSTITUTE(#REF!, " ", "{token}", 2)) + 1, LEN(#REF!))</f>
        <v>#REF!</v>
      </c>
      <c r="H536" s="236" t="s">
        <v>2407</v>
      </c>
      <c r="I536" s="289">
        <v>45426</v>
      </c>
      <c r="J536" s="230" t="s">
        <v>29</v>
      </c>
      <c r="K536" s="226">
        <v>45530</v>
      </c>
      <c r="L536" s="165"/>
      <c r="M536" s="222">
        <v>477</v>
      </c>
      <c r="N536" s="2" t="str">
        <f t="shared" ref="N536:N599" ca="1" si="17">IF(ISBLANK(K536), TODAY()-(I536), "CLOSED")</f>
        <v>CLOSED</v>
      </c>
    </row>
    <row r="537" spans="1:14" ht="30">
      <c r="A537" s="64" t="s">
        <v>714</v>
      </c>
      <c r="B537" s="98" t="e">
        <f>VLOOKUP([2]!Table27[[#This Row],[Location 
(drop-down)]],'[2]List source'!D$2:E$59,2,FALSE)</f>
        <v>#N/A</v>
      </c>
      <c r="C537" s="99" t="s">
        <v>2408</v>
      </c>
      <c r="D537" s="223" t="e">
        <f t="shared" si="16"/>
        <v>#N/A</v>
      </c>
      <c r="E537" s="227" t="s">
        <v>2409</v>
      </c>
      <c r="F537" s="214" t="e" cm="1">
        <f t="array" aca="1" ref="F537" ca="1">MID(LEFT(#REF!, INDEX(_xlfn._xlws.FILTER(ROW(INDIRECT("1:" &amp; LEN(#REF!))), (48 &lt;= CODE(MID(#REF!, ROW(INDIRECT("1:" &amp; LEN(#REF!))), 1))) * (CODE(MID(#REF!, ROW(INDIRECT("1:" &amp; LEN(#REF!))), 1)) &lt;= 57)), 1) - 1), FIND(":",#REF!) + 2, LEN(#REF!))</f>
        <v>#REF!</v>
      </c>
      <c r="G537" s="227" t="e">
        <f>MID(LEFT(#REF!, FIND(",",#REF!) - 1), FIND("{token}", SUBSTITUTE(#REF!, " ", "{token}", 2)) + 1, LEN(#REF!))</f>
        <v>#REF!</v>
      </c>
      <c r="H537" s="165">
        <v>17.78</v>
      </c>
      <c r="I537" s="289">
        <v>45435</v>
      </c>
      <c r="J537" s="230" t="s">
        <v>29</v>
      </c>
      <c r="K537" s="226">
        <v>45530</v>
      </c>
      <c r="L537" s="165"/>
      <c r="M537" s="222">
        <v>639</v>
      </c>
      <c r="N537" s="2" t="str">
        <f t="shared" ca="1" si="17"/>
        <v>CLOSED</v>
      </c>
    </row>
    <row r="538" spans="1:14" ht="30">
      <c r="A538" s="64" t="s">
        <v>714</v>
      </c>
      <c r="B538" s="98" t="e">
        <f>VLOOKUP([2]!Table27[[#This Row],[Location 
(drop-down)]],'[2]List source'!D$2:E$59,2,FALSE)</f>
        <v>#N/A</v>
      </c>
      <c r="C538" s="99" t="s">
        <v>2410</v>
      </c>
      <c r="D538" s="223" t="e">
        <f t="shared" si="16"/>
        <v>#N/A</v>
      </c>
      <c r="E538" s="227" t="s">
        <v>2411</v>
      </c>
      <c r="F538" s="214" t="e" cm="1">
        <f t="array" aca="1" ref="F538" ca="1">MID(LEFT(#REF!, INDEX(_xlfn._xlws.FILTER(ROW(INDIRECT("1:" &amp; LEN(#REF!))), (48 &lt;= CODE(MID(#REF!, ROW(INDIRECT("1:" &amp; LEN(#REF!))), 1))) * (CODE(MID(#REF!, ROW(INDIRECT("1:" &amp; LEN(#REF!))), 1)) &lt;= 57)), 1) - 1), FIND(":",#REF!) + 2, LEN(#REF!))</f>
        <v>#REF!</v>
      </c>
      <c r="G538" s="227" t="e">
        <f>MID(LEFT(#REF!, FIND(",",#REF!) - 1), FIND("{token}", SUBSTITUTE(#REF!, " ", "{token}", 2)) + 1, LEN(#REF!))</f>
        <v>#REF!</v>
      </c>
      <c r="H538" s="165">
        <v>2.37</v>
      </c>
      <c r="I538" s="289">
        <v>45435</v>
      </c>
      <c r="J538" s="230" t="s">
        <v>108</v>
      </c>
      <c r="K538" s="226">
        <v>45530</v>
      </c>
      <c r="L538" s="165"/>
      <c r="M538" s="222">
        <v>640</v>
      </c>
      <c r="N538" s="2" t="str">
        <f t="shared" ca="1" si="17"/>
        <v>CLOSED</v>
      </c>
    </row>
    <row r="539" spans="1:14" ht="30">
      <c r="A539" s="64" t="s">
        <v>714</v>
      </c>
      <c r="B539" s="98" t="e">
        <f>VLOOKUP([2]!Table27[[#This Row],[Location 
(drop-down)]],'[2]List source'!D$2:E$59,2,FALSE)</f>
        <v>#N/A</v>
      </c>
      <c r="C539" s="99" t="s">
        <v>1468</v>
      </c>
      <c r="D539" s="223" t="e">
        <f t="shared" si="16"/>
        <v>#N/A</v>
      </c>
      <c r="E539" s="240" t="s">
        <v>2412</v>
      </c>
      <c r="F539" s="212" t="e" cm="1">
        <f t="array" aca="1" ref="F539" ca="1">MID(LEFT(#REF!, INDEX(_xlfn._xlws.FILTER(ROW(INDIRECT("1:" &amp; LEN(#REF!))), (48 &lt;= CODE(MID(#REF!, ROW(INDIRECT("1:" &amp; LEN(#REF!))), 1))) * (CODE(MID(#REF!, ROW(INDIRECT("1:" &amp; LEN(#REF!))), 1)) &lt;= 57)), 1) - 1), FIND(":",#REF!) + 2, LEN(#REF!))</f>
        <v>#REF!</v>
      </c>
      <c r="G539" s="240" t="e">
        <f>MID(LEFT(#REF!, FIND(",",#REF!) - 1), FIND("{token}", SUBSTITUTE(#REF!, " ", "{token}", 2)) + 1, LEN(#REF!))</f>
        <v>#REF!</v>
      </c>
      <c r="H539" s="2" t="s">
        <v>2413</v>
      </c>
      <c r="I539" s="276">
        <v>45376</v>
      </c>
      <c r="J539" s="230" t="s">
        <v>108</v>
      </c>
      <c r="K539" s="258">
        <v>45532</v>
      </c>
      <c r="L539" s="165"/>
      <c r="M539" s="222">
        <v>149</v>
      </c>
      <c r="N539" s="2" t="str">
        <f t="shared" ca="1" si="17"/>
        <v>CLOSED</v>
      </c>
    </row>
    <row r="540" spans="1:14" ht="18.75">
      <c r="A540" s="64" t="s">
        <v>311</v>
      </c>
      <c r="B540" s="98" t="e">
        <f>VLOOKUP([2]!Table27[[#This Row],[Location 
(drop-down)]],'[2]List source'!D$2:E$59,2,FALSE)</f>
        <v>#N/A</v>
      </c>
      <c r="C540" s="99" t="s">
        <v>1228</v>
      </c>
      <c r="D540" s="223" t="e">
        <f t="shared" si="16"/>
        <v>#N/A</v>
      </c>
      <c r="E540" s="227" t="s">
        <v>2414</v>
      </c>
      <c r="F540" s="214" t="e" cm="1">
        <f t="array" aca="1" ref="F540" ca="1">MID(LEFT(#REF!, INDEX(_xlfn._xlws.FILTER(ROW(INDIRECT("1:" &amp; LEN(#REF!))), (48 &lt;= CODE(MID(#REF!, ROW(INDIRECT("1:" &amp; LEN(#REF!))), 1))) * (CODE(MID(#REF!, ROW(INDIRECT("1:" &amp; LEN(#REF!))), 1)) &lt;= 57)), 1) - 1), FIND(":",#REF!) + 2, LEN(#REF!))</f>
        <v>#REF!</v>
      </c>
      <c r="G540" s="227" t="e">
        <f>MID(LEFT(#REF!, FIND(",",#REF!) - 1), FIND("{token}", SUBSTITUTE(#REF!, " ", "{token}", 2)) + 1, LEN(#REF!))</f>
        <v>#REF!</v>
      </c>
      <c r="H540" s="236" t="s">
        <v>2415</v>
      </c>
      <c r="I540" s="289">
        <v>45412</v>
      </c>
      <c r="J540" s="230" t="s">
        <v>310</v>
      </c>
      <c r="K540" s="226">
        <v>45532</v>
      </c>
      <c r="L540" s="165"/>
      <c r="M540" s="222">
        <v>282</v>
      </c>
      <c r="N540" s="2" t="str">
        <f t="shared" ca="1" si="17"/>
        <v>CLOSED</v>
      </c>
    </row>
    <row r="541" spans="1:14" ht="18.75">
      <c r="A541" s="64" t="s">
        <v>311</v>
      </c>
      <c r="B541" s="98" t="e">
        <f>VLOOKUP([2]!Table27[[#This Row],[Location 
(drop-down)]],'[2]List source'!D$2:E$59,2,FALSE)</f>
        <v>#N/A</v>
      </c>
      <c r="C541" s="99" t="s">
        <v>622</v>
      </c>
      <c r="D541" s="223" t="e">
        <f t="shared" si="16"/>
        <v>#N/A</v>
      </c>
      <c r="E541" s="227" t="s">
        <v>2416</v>
      </c>
      <c r="F541" s="165" t="e" cm="1">
        <f t="array" aca="1" ref="F541" ca="1">MID(LEFT(#REF!, INDEX(_xlfn._xlws.FILTER(ROW(INDIRECT("1:" &amp; LEN(#REF!))), (48 &lt;= CODE(MID(#REF!, ROW(INDIRECT("1:" &amp; LEN(#REF!))), 1))) * (CODE(MID(#REF!, ROW(INDIRECT("1:" &amp; LEN(#REF!))), 1)) &lt;= 57)), 1) - 1), FIND(":",#REF!) + 2, LEN(#REF!))</f>
        <v>#REF!</v>
      </c>
      <c r="G541" s="227" t="e">
        <f>MID(LEFT(#REF!, FIND(",",#REF!) - 1), FIND("{token}", SUBSTITUTE(#REF!, " ", "{token}", 2)) + 1, LEN(#REF!))</f>
        <v>#REF!</v>
      </c>
      <c r="H541" s="165">
        <v>13.12</v>
      </c>
      <c r="I541" s="289">
        <v>45412</v>
      </c>
      <c r="J541" s="230" t="s">
        <v>310</v>
      </c>
      <c r="K541" s="226">
        <v>45532</v>
      </c>
      <c r="L541" s="204"/>
      <c r="M541" s="222">
        <v>283</v>
      </c>
      <c r="N541" s="2" t="str">
        <f t="shared" ca="1" si="17"/>
        <v>CLOSED</v>
      </c>
    </row>
    <row r="542" spans="1:14" ht="18.75">
      <c r="A542" s="64" t="s">
        <v>311</v>
      </c>
      <c r="B542" s="98" t="e">
        <f>VLOOKUP([2]!Table27[[#This Row],[Location 
(drop-down)]],'[2]List source'!D$2:E$59,2,FALSE)</f>
        <v>#N/A</v>
      </c>
      <c r="C542" s="99" t="s">
        <v>2417</v>
      </c>
      <c r="D542" s="223" t="e">
        <f t="shared" si="16"/>
        <v>#N/A</v>
      </c>
      <c r="E542" s="227" t="s">
        <v>2418</v>
      </c>
      <c r="F542" s="214" t="e" cm="1">
        <f t="array" aca="1" ref="F542" ca="1">MID(LEFT(#REF!, INDEX(_xlfn._xlws.FILTER(ROW(INDIRECT("1:" &amp; LEN(#REF!))), (48 &lt;= CODE(MID(#REF!, ROW(INDIRECT("1:" &amp; LEN(#REF!))), 1))) * (CODE(MID(#REF!, ROW(INDIRECT("1:" &amp; LEN(#REF!))), 1)) &lt;= 57)), 1) - 1), FIND(":",#REF!) + 2, LEN(#REF!))</f>
        <v>#REF!</v>
      </c>
      <c r="G542" s="227" t="e">
        <f>MID(LEFT(#REF!, FIND(",",#REF!) - 1), FIND("{token}", SUBSTITUTE(#REF!, " ", "{token}", 2)) + 1, LEN(#REF!))</f>
        <v>#REF!</v>
      </c>
      <c r="H542" s="236">
        <v>4.82</v>
      </c>
      <c r="I542" s="289">
        <v>45412</v>
      </c>
      <c r="J542" s="230" t="s">
        <v>310</v>
      </c>
      <c r="K542" s="226">
        <v>45532</v>
      </c>
      <c r="L542" s="165"/>
      <c r="M542" s="222">
        <v>284</v>
      </c>
      <c r="N542" s="2" t="str">
        <f t="shared" ca="1" si="17"/>
        <v>CLOSED</v>
      </c>
    </row>
    <row r="543" spans="1:14" ht="18.75">
      <c r="A543" s="64" t="s">
        <v>311</v>
      </c>
      <c r="B543" s="98" t="e">
        <f>VLOOKUP([2]!Table27[[#This Row],[Location 
(drop-down)]],'[2]List source'!D$2:E$59,2,FALSE)</f>
        <v>#N/A</v>
      </c>
      <c r="C543" s="99" t="s">
        <v>51</v>
      </c>
      <c r="D543" s="223" t="e">
        <f t="shared" si="16"/>
        <v>#N/A</v>
      </c>
      <c r="E543" s="227" t="s">
        <v>2419</v>
      </c>
      <c r="F543" s="214" t="e" cm="1">
        <f t="array" aca="1" ref="F543" ca="1">MID(LEFT(#REF!, INDEX(_xlfn._xlws.FILTER(ROW(INDIRECT("1:" &amp; LEN(#REF!))), (48 &lt;= CODE(MID(#REF!, ROW(INDIRECT("1:" &amp; LEN(#REF!))), 1))) * (CODE(MID(#REF!, ROW(INDIRECT("1:" &amp; LEN(#REF!))), 1)) &lt;= 57)), 1) - 1), FIND(":",#REF!) + 2, LEN(#REF!))</f>
        <v>#REF!</v>
      </c>
      <c r="G543" s="227" t="e">
        <f>MID(LEFT(#REF!, FIND(",",#REF!) - 1), FIND("{token}", SUBSTITUTE(#REF!, " ", "{token}", 2)) + 1, LEN(#REF!))</f>
        <v>#REF!</v>
      </c>
      <c r="H543" s="165">
        <v>3.42</v>
      </c>
      <c r="I543" s="289">
        <v>45418</v>
      </c>
      <c r="J543" s="230" t="s">
        <v>310</v>
      </c>
      <c r="K543" s="226">
        <v>45532</v>
      </c>
      <c r="L543" s="165"/>
      <c r="M543" s="222">
        <v>370</v>
      </c>
      <c r="N543" s="2" t="str">
        <f t="shared" ca="1" si="17"/>
        <v>CLOSED</v>
      </c>
    </row>
    <row r="544" spans="1:14" ht="18.75">
      <c r="A544" s="64" t="s">
        <v>311</v>
      </c>
      <c r="B544" s="98" t="e">
        <f>VLOOKUP([2]!Table27[[#This Row],[Location 
(drop-down)]],'[2]List source'!D$2:E$59,2,FALSE)</f>
        <v>#N/A</v>
      </c>
      <c r="C544" s="99" t="s">
        <v>2420</v>
      </c>
      <c r="D544" s="223" t="e">
        <f t="shared" si="16"/>
        <v>#N/A</v>
      </c>
      <c r="E544" s="227" t="s">
        <v>2421</v>
      </c>
      <c r="F544" s="165" t="e" cm="1">
        <f t="array" aca="1" ref="F544" ca="1">MID(LEFT(#REF!, INDEX(_xlfn._xlws.FILTER(ROW(INDIRECT("1:" &amp; LEN(#REF!))), (48 &lt;= CODE(MID(#REF!, ROW(INDIRECT("1:" &amp; LEN(#REF!))), 1))) * (CODE(MID(#REF!, ROW(INDIRECT("1:" &amp; LEN(#REF!))), 1)) &lt;= 57)), 1) - 1), FIND(":",#REF!) + 2, LEN(#REF!))</f>
        <v>#REF!</v>
      </c>
      <c r="G544" s="227" t="e">
        <f>MID(LEFT(#REF!, FIND(",",#REF!) - 1), FIND("{token}", SUBSTITUTE(#REF!, " ", "{token}", 2)) + 1, LEN(#REF!))</f>
        <v>#REF!</v>
      </c>
      <c r="H544" s="165">
        <v>3.3</v>
      </c>
      <c r="I544" s="289">
        <v>45435</v>
      </c>
      <c r="J544" s="230" t="s">
        <v>310</v>
      </c>
      <c r="K544" s="226">
        <v>45532</v>
      </c>
      <c r="L544" s="165"/>
      <c r="M544" s="222">
        <v>619</v>
      </c>
      <c r="N544" s="2" t="str">
        <f t="shared" ca="1" si="17"/>
        <v>CLOSED</v>
      </c>
    </row>
    <row r="545" spans="1:14" ht="18.75">
      <c r="A545" s="64" t="s">
        <v>311</v>
      </c>
      <c r="B545" s="98" t="e">
        <f>VLOOKUP([2]!Table27[[#This Row],[Location 
(drop-down)]],'[2]List source'!D$2:E$59,2,FALSE)</f>
        <v>#N/A</v>
      </c>
      <c r="C545" s="99" t="s">
        <v>2422</v>
      </c>
      <c r="D545" s="223" t="e">
        <f t="shared" si="16"/>
        <v>#N/A</v>
      </c>
      <c r="E545" s="227" t="s">
        <v>2423</v>
      </c>
      <c r="F545" s="214" t="e" cm="1">
        <f t="array" aca="1" ref="F545" ca="1">MID(LEFT(#REF!, INDEX(_xlfn._xlws.FILTER(ROW(INDIRECT("1:" &amp; LEN(#REF!))), (48 &lt;= CODE(MID(#REF!, ROW(INDIRECT("1:" &amp; LEN(#REF!))), 1))) * (CODE(MID(#REF!, ROW(INDIRECT("1:" &amp; LEN(#REF!))), 1)) &lt;= 57)), 1) - 1), FIND(":",#REF!) + 2, LEN(#REF!))</f>
        <v>#REF!</v>
      </c>
      <c r="G545" s="227" t="e">
        <f>MID(LEFT(#REF!, FIND(",",#REF!) - 1), FIND("{token}", SUBSTITUTE(#REF!, " ", "{token}", 2)) + 1, LEN(#REF!))</f>
        <v>#REF!</v>
      </c>
      <c r="H545" s="165">
        <v>4.13</v>
      </c>
      <c r="I545" s="289">
        <v>45466</v>
      </c>
      <c r="J545" s="230" t="s">
        <v>310</v>
      </c>
      <c r="K545" s="226">
        <v>45532</v>
      </c>
      <c r="L545" s="165"/>
      <c r="M545" s="222">
        <v>658</v>
      </c>
      <c r="N545" s="2" t="str">
        <f t="shared" ca="1" si="17"/>
        <v>CLOSED</v>
      </c>
    </row>
    <row r="546" spans="1:14" ht="30">
      <c r="A546" s="64" t="s">
        <v>500</v>
      </c>
      <c r="B546" s="98" t="e">
        <f>VLOOKUP([2]!Table27[[#This Row],[Location 
(drop-down)]],'[2]List source'!D$2:E$59,2,FALSE)</f>
        <v>#N/A</v>
      </c>
      <c r="C546" s="99" t="s">
        <v>2424</v>
      </c>
      <c r="D546" s="223" t="e">
        <f t="shared" si="16"/>
        <v>#N/A</v>
      </c>
      <c r="E546" s="227" t="s">
        <v>2425</v>
      </c>
      <c r="F546" s="214" t="e" cm="1">
        <f t="array" aca="1" ref="F546" ca="1">MID(LEFT(#REF!, INDEX(_xlfn._xlws.FILTER(ROW(INDIRECT("1:" &amp; LEN(#REF!))), (48 &lt;= CODE(MID(#REF!, ROW(INDIRECT("1:" &amp; LEN(#REF!))), 1))) * (CODE(MID(#REF!, ROW(INDIRECT("1:" &amp; LEN(#REF!))), 1)) &lt;= 57)), 1) - 1), FIND(":",#REF!) + 2, LEN(#REF!))</f>
        <v>#REF!</v>
      </c>
      <c r="G546" s="227" t="e">
        <f>MID(LEFT(#REF!, FIND(",",#REF!) - 1), FIND("{token}", SUBSTITUTE(#REF!, " ", "{token}", 2)) + 1, LEN(#REF!))</f>
        <v>#REF!</v>
      </c>
      <c r="H546" s="165">
        <v>2550</v>
      </c>
      <c r="I546" s="289">
        <v>45495</v>
      </c>
      <c r="J546" s="230" t="s">
        <v>34</v>
      </c>
      <c r="K546" s="226">
        <v>45532</v>
      </c>
      <c r="L546" s="165" t="s">
        <v>1505</v>
      </c>
      <c r="M546" s="222">
        <v>686</v>
      </c>
      <c r="N546" s="2" t="str">
        <f t="shared" ca="1" si="17"/>
        <v>CLOSED</v>
      </c>
    </row>
    <row r="547" spans="1:14" ht="30">
      <c r="A547" s="64" t="s">
        <v>125</v>
      </c>
      <c r="B547" s="98" t="e">
        <f>VLOOKUP([2]!Table27[[#This Row],[Location 
(drop-down)]],'[2]List source'!D$2:E$59,2,FALSE)</f>
        <v>#N/A</v>
      </c>
      <c r="C547" s="99" t="s">
        <v>1257</v>
      </c>
      <c r="D547" s="223" t="e">
        <f t="shared" si="16"/>
        <v>#N/A</v>
      </c>
      <c r="E547" s="227" t="s">
        <v>2426</v>
      </c>
      <c r="F547" s="165" t="s">
        <v>1830</v>
      </c>
      <c r="G547" s="227" t="e">
        <f>MID(LEFT(#REF!, FIND(",",#REF!) - 1), FIND("{token}", SUBSTITUTE(#REF!, " ", "{token}", 2)) + 1, LEN(#REF!))</f>
        <v>#REF!</v>
      </c>
      <c r="H547" s="165">
        <v>-2.35</v>
      </c>
      <c r="I547" s="289">
        <v>45413</v>
      </c>
      <c r="J547" s="230" t="s">
        <v>239</v>
      </c>
      <c r="K547" s="226">
        <v>45533</v>
      </c>
      <c r="L547" s="165"/>
      <c r="M547" s="222">
        <v>334</v>
      </c>
      <c r="N547" s="2" t="str">
        <f t="shared" ca="1" si="17"/>
        <v>CLOSED</v>
      </c>
    </row>
    <row r="548" spans="1:14" ht="30">
      <c r="A548" s="64" t="s">
        <v>125</v>
      </c>
      <c r="B548" s="98" t="e">
        <f>VLOOKUP([2]!Table27[[#This Row],[Location 
(drop-down)]],'[2]List source'!D$2:E$59,2,FALSE)</f>
        <v>#N/A</v>
      </c>
      <c r="C548" s="99" t="s">
        <v>426</v>
      </c>
      <c r="D548" s="223" t="e">
        <f t="shared" si="16"/>
        <v>#N/A</v>
      </c>
      <c r="E548" s="227" t="s">
        <v>2427</v>
      </c>
      <c r="F548" s="214" t="s">
        <v>1520</v>
      </c>
      <c r="G548" s="227" t="e">
        <f>MID(LEFT(#REF!, FIND(",",#REF!) - 1), FIND("{token}", SUBSTITUTE(#REF!, " ", "{token}", 2)) + 1, LEN(#REF!))</f>
        <v>#REF!</v>
      </c>
      <c r="H548" s="165">
        <v>5.47</v>
      </c>
      <c r="I548" s="289">
        <v>45426</v>
      </c>
      <c r="J548" s="230" t="s">
        <v>239</v>
      </c>
      <c r="K548" s="226">
        <v>45533</v>
      </c>
      <c r="L548" s="165"/>
      <c r="M548" s="222">
        <v>450</v>
      </c>
      <c r="N548" s="2" t="str">
        <f t="shared" ca="1" si="17"/>
        <v>CLOSED</v>
      </c>
    </row>
    <row r="549" spans="1:14" ht="30">
      <c r="A549" s="64" t="s">
        <v>500</v>
      </c>
      <c r="B549" s="98" t="e">
        <f>VLOOKUP([2]!Table27[[#This Row],[Location 
(drop-down)]],'[2]List source'!D$2:E$59,2,FALSE)</f>
        <v>#N/A</v>
      </c>
      <c r="C549" s="99" t="s">
        <v>2428</v>
      </c>
      <c r="D549" s="223" t="e">
        <f t="shared" si="16"/>
        <v>#N/A</v>
      </c>
      <c r="E549" s="227" t="s">
        <v>2429</v>
      </c>
      <c r="F549" s="214" t="e" cm="1">
        <f t="array" aca="1" ref="F549" ca="1">MID(LEFT(#REF!, INDEX(_xlfn._xlws.FILTER(ROW(INDIRECT("1:" &amp; LEN(#REF!))), (48 &lt;= CODE(MID(#REF!, ROW(INDIRECT("1:" &amp; LEN(#REF!))), 1))) * (CODE(MID(#REF!, ROW(INDIRECT("1:" &amp; LEN(#REF!))), 1)) &lt;= 57)), 1) - 1), FIND(":",#REF!) + 2, LEN(#REF!))</f>
        <v>#REF!</v>
      </c>
      <c r="G549" s="227" t="e">
        <f>MID(LEFT(#REF!, FIND(",",#REF!) - 1), FIND("{token}", SUBSTITUTE(#REF!, " ", "{token}", 2)) + 1, LEN(#REF!))</f>
        <v>#REF!</v>
      </c>
      <c r="H549" s="236" t="s">
        <v>1965</v>
      </c>
      <c r="I549" s="289">
        <v>45495</v>
      </c>
      <c r="J549" s="230" t="s">
        <v>310</v>
      </c>
      <c r="K549" s="226">
        <v>45533</v>
      </c>
      <c r="L549" s="165"/>
      <c r="M549" s="222">
        <v>672</v>
      </c>
      <c r="N549" s="2" t="str">
        <f t="shared" ca="1" si="17"/>
        <v>CLOSED</v>
      </c>
    </row>
    <row r="550" spans="1:14" ht="30">
      <c r="A550" s="64" t="s">
        <v>500</v>
      </c>
      <c r="B550" s="98" t="e">
        <f>VLOOKUP([2]!Table27[[#This Row],[Location 
(drop-down)]],'[2]List source'!D$2:E$59,2,FALSE)</f>
        <v>#N/A</v>
      </c>
      <c r="C550" s="99" t="s">
        <v>1165</v>
      </c>
      <c r="D550" s="223" t="e">
        <f t="shared" si="16"/>
        <v>#N/A</v>
      </c>
      <c r="E550" s="227" t="s">
        <v>2430</v>
      </c>
      <c r="F550" s="165" t="e" cm="1">
        <f t="array" aca="1" ref="F550" ca="1">MID(LEFT(#REF!, INDEX(_xlfn._xlws.FILTER(ROW(INDIRECT("1:" &amp; LEN(#REF!))), (48 &lt;= CODE(MID(#REF!, ROW(INDIRECT("1:" &amp; LEN(#REF!))), 1))) * (CODE(MID(#REF!, ROW(INDIRECT("1:" &amp; LEN(#REF!))), 1)) &lt;= 57)), 1) - 1), FIND(":",#REF!) + 2, LEN(#REF!))</f>
        <v>#REF!</v>
      </c>
      <c r="G550" s="227" t="e">
        <f>MID(LEFT(#REF!, FIND(",",#REF!) - 1), FIND("{token}", SUBSTITUTE(#REF!, " ", "{token}", 2)) + 1, LEN(#REF!))</f>
        <v>#REF!</v>
      </c>
      <c r="H550" s="236" t="s">
        <v>2431</v>
      </c>
      <c r="I550" s="289">
        <v>45495</v>
      </c>
      <c r="J550" s="230" t="s">
        <v>310</v>
      </c>
      <c r="K550" s="226">
        <v>45533</v>
      </c>
      <c r="L550" s="165"/>
      <c r="M550" s="222">
        <v>684</v>
      </c>
      <c r="N550" s="2" t="str">
        <f t="shared" ca="1" si="17"/>
        <v>CLOSED</v>
      </c>
    </row>
    <row r="551" spans="1:14" ht="30">
      <c r="A551" s="64" t="s">
        <v>500</v>
      </c>
      <c r="B551" s="98" t="e">
        <f>VLOOKUP([2]!Table27[[#This Row],[Location 
(drop-down)]],'[2]List source'!D$2:E$59,2,FALSE)</f>
        <v>#N/A</v>
      </c>
      <c r="C551" s="99" t="s">
        <v>2432</v>
      </c>
      <c r="D551" s="223" t="e">
        <f t="shared" si="16"/>
        <v>#N/A</v>
      </c>
      <c r="E551" s="227" t="s">
        <v>2433</v>
      </c>
      <c r="F551" s="165" t="e" cm="1">
        <f t="array" aca="1" ref="F551" ca="1">MID(LEFT(#REF!, INDEX(_xlfn._xlws.FILTER(ROW(INDIRECT("1:" &amp; LEN(#REF!))), (48 &lt;= CODE(MID(#REF!, ROW(INDIRECT("1:" &amp; LEN(#REF!))), 1))) * (CODE(MID(#REF!, ROW(INDIRECT("1:" &amp; LEN(#REF!))), 1)) &lt;= 57)), 1) - 1), FIND(":",#REF!) + 2, LEN(#REF!))</f>
        <v>#REF!</v>
      </c>
      <c r="G551" s="227" t="e">
        <f>MID(LEFT(#REF!, FIND(",",#REF!) - 1), FIND("{token}", SUBSTITUTE(#REF!, " ", "{token}", 2)) + 1, LEN(#REF!))</f>
        <v>#REF!</v>
      </c>
      <c r="H551" s="165">
        <v>5.38</v>
      </c>
      <c r="I551" s="289">
        <v>45509</v>
      </c>
      <c r="J551" s="230" t="s">
        <v>310</v>
      </c>
      <c r="K551" s="226">
        <v>45533</v>
      </c>
      <c r="L551" s="165"/>
      <c r="M551" s="222">
        <v>691</v>
      </c>
      <c r="N551" s="2" t="str">
        <f t="shared" ca="1" si="17"/>
        <v>CLOSED</v>
      </c>
    </row>
    <row r="552" spans="1:14" ht="30">
      <c r="A552" s="64" t="s">
        <v>39</v>
      </c>
      <c r="B552" s="98" t="e">
        <f>VLOOKUP([2]!Table27[[#This Row],[Location 
(drop-down)]],'[2]List source'!D$2:E$59,2,FALSE)</f>
        <v>#N/A</v>
      </c>
      <c r="C552" s="99" t="s">
        <v>2434</v>
      </c>
      <c r="D552" s="223" t="e">
        <f t="shared" si="16"/>
        <v>#N/A</v>
      </c>
      <c r="E552" s="227" t="s">
        <v>2435</v>
      </c>
      <c r="F552" s="165" t="e" cm="1">
        <f t="array" aca="1" ref="F552" ca="1">MID(LEFT(#REF!, INDEX(_xlfn._xlws.FILTER(ROW(INDIRECT("1:" &amp; LEN(#REF!))), (48 &lt;= CODE(MID(#REF!, ROW(INDIRECT("1:" &amp; LEN(#REF!))), 1))) * (CODE(MID(#REF!, ROW(INDIRECT("1:" &amp; LEN(#REF!))), 1)) &lt;= 57)), 1) - 1), FIND(":",#REF!) + 2, LEN(#REF!))</f>
        <v>#REF!</v>
      </c>
      <c r="G552" s="227" t="e">
        <f>MID(LEFT(#REF!, FIND(",",#REF!) - 1), FIND("{token}", SUBSTITUTE(#REF!, " ", "{token}", 2)) + 1, LEN(#REF!))</f>
        <v>#REF!</v>
      </c>
      <c r="H552" s="165">
        <v>2.15</v>
      </c>
      <c r="I552" s="289">
        <v>45533</v>
      </c>
      <c r="J552" s="230" t="s">
        <v>34</v>
      </c>
      <c r="K552" s="226">
        <v>45533</v>
      </c>
      <c r="L552" s="165" t="s">
        <v>1562</v>
      </c>
      <c r="M552" s="222">
        <v>804</v>
      </c>
      <c r="N552" s="2" t="str">
        <f t="shared" ca="1" si="17"/>
        <v>CLOSED</v>
      </c>
    </row>
    <row r="553" spans="1:14" ht="30">
      <c r="A553" s="64" t="s">
        <v>432</v>
      </c>
      <c r="B553" s="98" t="e">
        <f>VLOOKUP([2]!Table27[[#This Row],[Location 
(drop-down)]],'[2]List source'!D$2:E$59,2,FALSE)</f>
        <v>#N/A</v>
      </c>
      <c r="C553" s="99" t="s">
        <v>2436</v>
      </c>
      <c r="D553" s="223" t="e">
        <f t="shared" si="16"/>
        <v>#N/A</v>
      </c>
      <c r="E553" s="227" t="s">
        <v>2437</v>
      </c>
      <c r="F553" s="165" t="e" cm="1">
        <f t="array" aca="1" ref="F553" ca="1">MID(LEFT(#REF!, INDEX(_xlfn._xlws.FILTER(ROW(INDIRECT("1:" &amp; LEN(#REF!))), (48 &lt;= CODE(MID(#REF!, ROW(INDIRECT("1:" &amp; LEN(#REF!))), 1))) * (CODE(MID(#REF!, ROW(INDIRECT("1:" &amp; LEN(#REF!))), 1)) &lt;= 57)), 1) - 1), FIND(":",#REF!) + 2, LEN(#REF!))</f>
        <v>#REF!</v>
      </c>
      <c r="G553" s="227" t="e">
        <f>MID(LEFT(#REF!, FIND(",",#REF!) - 1), FIND("{token}", SUBSTITUTE(#REF!, " ", "{token}", 2)) + 1, LEN(#REF!))</f>
        <v>#REF!</v>
      </c>
      <c r="H553" s="165">
        <v>206.14</v>
      </c>
      <c r="I553" s="289">
        <v>45533</v>
      </c>
      <c r="J553" s="230" t="s">
        <v>34</v>
      </c>
      <c r="K553" s="226">
        <v>45533</v>
      </c>
      <c r="L553" s="165" t="s">
        <v>1505</v>
      </c>
      <c r="M553" s="222">
        <v>809</v>
      </c>
      <c r="N553" s="2" t="str">
        <f t="shared" ca="1" si="17"/>
        <v>CLOSED</v>
      </c>
    </row>
    <row r="554" spans="1:14" ht="30">
      <c r="A554" s="64" t="s">
        <v>432</v>
      </c>
      <c r="B554" s="98" t="e">
        <f>VLOOKUP([2]!Table27[[#This Row],[Location 
(drop-down)]],'[2]List source'!D$2:E$59,2,FALSE)</f>
        <v>#N/A</v>
      </c>
      <c r="C554" s="99" t="s">
        <v>2438</v>
      </c>
      <c r="D554" s="223" t="e">
        <f t="shared" si="16"/>
        <v>#N/A</v>
      </c>
      <c r="E554" s="227" t="s">
        <v>2439</v>
      </c>
      <c r="F554" s="165" t="e" cm="1">
        <f t="array" aca="1" ref="F554" ca="1">MID(LEFT(#REF!, INDEX(_xlfn._xlws.FILTER(ROW(INDIRECT("1:" &amp; LEN(#REF!))), (48 &lt;= CODE(MID(#REF!, ROW(INDIRECT("1:" &amp; LEN(#REF!))), 1))) * (CODE(MID(#REF!, ROW(INDIRECT("1:" &amp; LEN(#REF!))), 1)) &lt;= 57)), 1) - 1), FIND(":",#REF!) + 2, LEN(#REF!))</f>
        <v>#REF!</v>
      </c>
      <c r="G554" s="227" t="e">
        <f>MID(LEFT(#REF!, FIND(",",#REF!) - 1), FIND("{token}", SUBSTITUTE(#REF!, " ", "{token}", 2)) + 1, LEN(#REF!))</f>
        <v>#REF!</v>
      </c>
      <c r="H554" s="165">
        <v>2.1</v>
      </c>
      <c r="I554" s="230">
        <v>45533</v>
      </c>
      <c r="J554" s="230" t="s">
        <v>34</v>
      </c>
      <c r="K554" s="226">
        <v>45533</v>
      </c>
      <c r="L554" s="165" t="s">
        <v>1505</v>
      </c>
      <c r="M554" s="222">
        <v>810</v>
      </c>
      <c r="N554" s="2" t="str">
        <f t="shared" ca="1" si="17"/>
        <v>CLOSED</v>
      </c>
    </row>
    <row r="555" spans="1:14" ht="30">
      <c r="A555" s="64" t="s">
        <v>432</v>
      </c>
      <c r="B555" s="98" t="e">
        <f>VLOOKUP([2]!Table27[[#This Row],[Location 
(drop-down)]],'[2]List source'!D$2:E$59,2,FALSE)</f>
        <v>#N/A</v>
      </c>
      <c r="C555" s="99" t="s">
        <v>2440</v>
      </c>
      <c r="D555" s="223" t="e">
        <f t="shared" si="16"/>
        <v>#N/A</v>
      </c>
      <c r="E555" s="227" t="s">
        <v>2441</v>
      </c>
      <c r="F555" s="165" t="e" cm="1">
        <f t="array" aca="1" ref="F555" ca="1">MID(LEFT(#REF!, INDEX(_xlfn._xlws.FILTER(ROW(INDIRECT("1:" &amp; LEN(#REF!))), (48 &lt;= CODE(MID(#REF!, ROW(INDIRECT("1:" &amp; LEN(#REF!))), 1))) * (CODE(MID(#REF!, ROW(INDIRECT("1:" &amp; LEN(#REF!))), 1)) &lt;= 57)), 1) - 1), FIND(":",#REF!) + 2, LEN(#REF!))</f>
        <v>#REF!</v>
      </c>
      <c r="G555" s="227" t="e">
        <f>MID(LEFT(#REF!, FIND(",",#REF!) - 1), FIND("{token}", SUBSTITUTE(#REF!, " ", "{token}", 2)) + 1, LEN(#REF!))</f>
        <v>#REF!</v>
      </c>
      <c r="H555" s="165">
        <v>6.11</v>
      </c>
      <c r="I555" s="230">
        <v>45533</v>
      </c>
      <c r="J555" s="230" t="s">
        <v>34</v>
      </c>
      <c r="K555" s="226">
        <v>45533</v>
      </c>
      <c r="L555" s="165" t="s">
        <v>1505</v>
      </c>
      <c r="M555" s="222">
        <v>811</v>
      </c>
      <c r="N555" s="2" t="str">
        <f t="shared" ca="1" si="17"/>
        <v>CLOSED</v>
      </c>
    </row>
    <row r="556" spans="1:14" ht="30">
      <c r="A556" s="64" t="s">
        <v>591</v>
      </c>
      <c r="B556" s="98" t="e">
        <f>VLOOKUP([2]!Table27[[#This Row],[Location 
(drop-down)]],'[2]List source'!D$2:E$59,2,FALSE)</f>
        <v>#N/A</v>
      </c>
      <c r="C556" s="99" t="s">
        <v>2442</v>
      </c>
      <c r="D556" s="223" t="e">
        <f t="shared" si="16"/>
        <v>#N/A</v>
      </c>
      <c r="E556" s="227" t="s">
        <v>2443</v>
      </c>
      <c r="F556" s="165" t="e" cm="1">
        <f t="array" aca="1" ref="F556" ca="1">MID(LEFT(#REF!, INDEX(_xlfn._xlws.FILTER(ROW(INDIRECT("1:" &amp; LEN(#REF!))), (48 &lt;= CODE(MID(#REF!, ROW(INDIRECT("1:" &amp; LEN(#REF!))), 1))) * (CODE(MID(#REF!, ROW(INDIRECT("1:" &amp; LEN(#REF!))), 1)) &lt;= 57)), 1) - 1), FIND(":",#REF!) + 2, LEN(#REF!))</f>
        <v>#REF!</v>
      </c>
      <c r="G556" s="227" t="e">
        <f>MID(LEFT(#REF!, FIND(",",#REF!) - 1), FIND("{token}", SUBSTITUTE(#REF!, " ", "{token}", 2)) + 1, LEN(#REF!))</f>
        <v>#REF!</v>
      </c>
      <c r="H556" s="236" t="s">
        <v>2444</v>
      </c>
      <c r="I556" s="230">
        <v>45533</v>
      </c>
      <c r="J556" s="230" t="s">
        <v>34</v>
      </c>
      <c r="K556" s="226">
        <v>45533</v>
      </c>
      <c r="L556" s="165" t="s">
        <v>1562</v>
      </c>
      <c r="M556" s="222">
        <v>812</v>
      </c>
      <c r="N556" s="2" t="str">
        <f t="shared" ca="1" si="17"/>
        <v>CLOSED</v>
      </c>
    </row>
    <row r="557" spans="1:14" ht="18.75">
      <c r="A557" s="64" t="s">
        <v>314</v>
      </c>
      <c r="B557" s="98" t="e">
        <f>VLOOKUP([2]!Table27[[#This Row],[Location 
(drop-down)]],'[2]List source'!D$2:E$59,2,FALSE)</f>
        <v>#N/A</v>
      </c>
      <c r="C557" s="99" t="s">
        <v>2445</v>
      </c>
      <c r="D557" s="309" t="e">
        <f t="shared" si="16"/>
        <v>#N/A</v>
      </c>
      <c r="E557" s="227" t="s">
        <v>2446</v>
      </c>
      <c r="F557" s="165" t="e" cm="1">
        <f t="array" aca="1" ref="F557" ca="1">MID(LEFT(#REF!, INDEX(_xlfn._xlws.FILTER(ROW(INDIRECT("1:" &amp; LEN(#REF!))), (48 &lt;= CODE(MID(#REF!, ROW(INDIRECT("1:" &amp; LEN(#REF!))), 1))) * (CODE(MID(#REF!, ROW(INDIRECT("1:" &amp; LEN(#REF!))), 1)) &lt;= 57)), 1) - 1), FIND(":",#REF!) + 2, LEN(#REF!))</f>
        <v>#REF!</v>
      </c>
      <c r="G557" s="227" t="e">
        <f>MID(LEFT(#REF!, FIND(",",#REF!) - 1), FIND("{token}", SUBSTITUTE(#REF!, " ", "{token}", 2)) + 1, LEN(#REF!))</f>
        <v>#REF!</v>
      </c>
      <c r="H557" s="165">
        <v>2.87</v>
      </c>
      <c r="I557" s="230">
        <v>45533</v>
      </c>
      <c r="J557" s="230" t="s">
        <v>34</v>
      </c>
      <c r="K557" s="226">
        <v>45533</v>
      </c>
      <c r="L557" s="165" t="s">
        <v>1562</v>
      </c>
      <c r="M557" s="222">
        <v>827</v>
      </c>
      <c r="N557" s="2" t="str">
        <f t="shared" ca="1" si="17"/>
        <v>CLOSED</v>
      </c>
    </row>
    <row r="558" spans="1:14" ht="30">
      <c r="A558" s="64" t="s">
        <v>500</v>
      </c>
      <c r="B558" s="98" t="e">
        <f>VLOOKUP([2]!Table27[[#This Row],[Location 
(drop-down)]],'[2]List source'!D$2:E$59,2,FALSE)</f>
        <v>#N/A</v>
      </c>
      <c r="C558" s="99" t="s">
        <v>2447</v>
      </c>
      <c r="D558" s="309" t="e">
        <f t="shared" si="16"/>
        <v>#N/A</v>
      </c>
      <c r="E558" s="227" t="s">
        <v>2448</v>
      </c>
      <c r="F558" s="165" t="e" cm="1">
        <f t="array" aca="1" ref="F558" ca="1">MID(LEFT(#REF!, INDEX(_xlfn._xlws.FILTER(ROW(INDIRECT("1:" &amp; LEN(#REF!))), (48 &lt;= CODE(MID(#REF!, ROW(INDIRECT("1:" &amp; LEN(#REF!))), 1))) * (CODE(MID(#REF!, ROW(INDIRECT("1:" &amp; LEN(#REF!))), 1)) &lt;= 57)), 1) - 1), FIND(":",#REF!) + 2, LEN(#REF!))</f>
        <v>#REF!</v>
      </c>
      <c r="G558" s="227" t="e">
        <f>MID(LEFT(#REF!, FIND(",",#REF!) - 1), FIND("{token}", SUBSTITUTE(#REF!, " ", "{token}", 2)) + 1, LEN(#REF!))</f>
        <v>#REF!</v>
      </c>
      <c r="H558" s="236" t="s">
        <v>2449</v>
      </c>
      <c r="I558" s="230">
        <v>45533</v>
      </c>
      <c r="J558" s="230" t="s">
        <v>34</v>
      </c>
      <c r="K558" s="226">
        <v>45533</v>
      </c>
      <c r="L558" s="165" t="s">
        <v>1562</v>
      </c>
      <c r="M558" s="222">
        <v>834</v>
      </c>
      <c r="N558" s="2" t="str">
        <f t="shared" ca="1" si="17"/>
        <v>CLOSED</v>
      </c>
    </row>
    <row r="559" spans="1:14" ht="30">
      <c r="A559" s="64" t="s">
        <v>399</v>
      </c>
      <c r="B559" s="98" t="e">
        <f>VLOOKUP([2]!Table27[[#This Row],[Location 
(drop-down)]],'[2]List source'!D$2:E$59,2,FALSE)</f>
        <v>#N/A</v>
      </c>
      <c r="C559" s="99" t="s">
        <v>2450</v>
      </c>
      <c r="D559" s="309" t="e">
        <f t="shared" si="16"/>
        <v>#N/A</v>
      </c>
      <c r="E559" s="227" t="s">
        <v>2451</v>
      </c>
      <c r="F559" s="165" t="e" cm="1">
        <f t="array" aca="1" ref="F559" ca="1">MID(LEFT(#REF!, INDEX(_xlfn._xlws.FILTER(ROW(INDIRECT("1:" &amp; LEN(#REF!))), (48 &lt;= CODE(MID(#REF!, ROW(INDIRECT("1:" &amp; LEN(#REF!))), 1))) * (CODE(MID(#REF!, ROW(INDIRECT("1:" &amp; LEN(#REF!))), 1)) &lt;= 57)), 1) - 1), FIND(":",#REF!) + 2, LEN(#REF!))</f>
        <v>#REF!</v>
      </c>
      <c r="G559" s="227" t="e">
        <f>MID(LEFT(#REF!, FIND(",",#REF!) - 1), FIND("{token}", SUBSTITUTE(#REF!, " ", "{token}", 2)) + 1, LEN(#REF!))</f>
        <v>#REF!</v>
      </c>
      <c r="H559" s="165">
        <v>2.74</v>
      </c>
      <c r="I559" s="230">
        <v>45533</v>
      </c>
      <c r="J559" s="230" t="s">
        <v>34</v>
      </c>
      <c r="K559" s="226">
        <v>45533</v>
      </c>
      <c r="L559" s="165" t="s">
        <v>1562</v>
      </c>
      <c r="M559" s="222">
        <v>844</v>
      </c>
      <c r="N559" s="2" t="str">
        <f t="shared" ca="1" si="17"/>
        <v>CLOSED</v>
      </c>
    </row>
    <row r="560" spans="1:14" ht="30">
      <c r="A560" s="64" t="s">
        <v>714</v>
      </c>
      <c r="B560" s="98" t="e">
        <f>VLOOKUP([2]!Table27[[#This Row],[Location 
(drop-down)]],'[2]List source'!D$2:E$59,2,FALSE)</f>
        <v>#N/A</v>
      </c>
      <c r="C560" s="99" t="s">
        <v>728</v>
      </c>
      <c r="D560" s="223" t="e">
        <f t="shared" si="16"/>
        <v>#N/A</v>
      </c>
      <c r="E560" s="227" t="s">
        <v>2452</v>
      </c>
      <c r="F560" s="165" t="e" cm="1">
        <f t="array" aca="1" ref="F560" ca="1">MID(LEFT(#REF!, INDEX(_xlfn._xlws.FILTER(ROW(INDIRECT("1:" &amp; LEN(#REF!))), (48 &lt;= CODE(MID(#REF!, ROW(INDIRECT("1:" &amp; LEN(#REF!))), 1))) * (CODE(MID(#REF!, ROW(INDIRECT("1:" &amp; LEN(#REF!))), 1)) &lt;= 57)), 1) - 1), FIND(":",#REF!) + 2, LEN(#REF!))</f>
        <v>#REF!</v>
      </c>
      <c r="G560" s="227" t="e">
        <f>MID(LEFT(#REF!, FIND(",",#REF!) - 1), FIND("{token}", SUBSTITUTE(#REF!, " ", "{token}", 2)) + 1, LEN(#REF!))</f>
        <v>#REF!</v>
      </c>
      <c r="H560" s="236" t="s">
        <v>2453</v>
      </c>
      <c r="I560" s="260">
        <v>45407</v>
      </c>
      <c r="J560" s="235" t="s">
        <v>108</v>
      </c>
      <c r="K560" s="258">
        <v>45534</v>
      </c>
      <c r="L560" s="204"/>
      <c r="M560" s="222">
        <v>244</v>
      </c>
      <c r="N560" s="2" t="str">
        <f t="shared" ca="1" si="17"/>
        <v>CLOSED</v>
      </c>
    </row>
    <row r="561" spans="1:14" ht="18.75">
      <c r="A561" s="64" t="s">
        <v>156</v>
      </c>
      <c r="B561" s="98" t="e">
        <f>VLOOKUP([2]!Table27[[#This Row],[Location 
(drop-down)]],'[2]List source'!D$2:E$59,2,FALSE)</f>
        <v>#N/A</v>
      </c>
      <c r="C561" s="99" t="s">
        <v>2454</v>
      </c>
      <c r="D561" s="223" t="e">
        <f t="shared" si="16"/>
        <v>#N/A</v>
      </c>
      <c r="E561" s="227" t="s">
        <v>2455</v>
      </c>
      <c r="F561" s="165" t="e" cm="1">
        <f t="array" aca="1" ref="F561" ca="1">MID(LEFT(#REF!, INDEX(_xlfn._xlws.FILTER(ROW(INDIRECT("1:" &amp; LEN(#REF!))), (48 &lt;= CODE(MID(#REF!, ROW(INDIRECT("1:" &amp; LEN(#REF!))), 1))) * (CODE(MID(#REF!, ROW(INDIRECT("1:" &amp; LEN(#REF!))), 1)) &lt;= 57)), 1) - 1), FIND(":",#REF!) + 2, LEN(#REF!))</f>
        <v>#REF!</v>
      </c>
      <c r="G561" s="227" t="e">
        <f>MID(LEFT(#REF!, FIND(",",#REF!) - 1), FIND("{token}", SUBSTITUTE(#REF!, " ", "{token}", 2)) + 1, LEN(#REF!))</f>
        <v>#REF!</v>
      </c>
      <c r="H561" s="165">
        <v>2.6</v>
      </c>
      <c r="I561" s="230">
        <v>45533</v>
      </c>
      <c r="J561" s="230" t="s">
        <v>34</v>
      </c>
      <c r="K561" s="226">
        <v>45534</v>
      </c>
      <c r="L561" s="165" t="s">
        <v>1505</v>
      </c>
      <c r="M561" s="222">
        <v>803</v>
      </c>
      <c r="N561" s="2" t="str">
        <f t="shared" ca="1" si="17"/>
        <v>CLOSED</v>
      </c>
    </row>
    <row r="562" spans="1:14" ht="30">
      <c r="A562" s="64" t="s">
        <v>39</v>
      </c>
      <c r="B562" s="98" t="e">
        <f>VLOOKUP([2]!Table27[[#This Row],[Location 
(drop-down)]],'[2]List source'!D$2:E$59,2,FALSE)</f>
        <v>#N/A</v>
      </c>
      <c r="C562" s="99" t="s">
        <v>2456</v>
      </c>
      <c r="D562" s="223" t="e">
        <f t="shared" si="16"/>
        <v>#N/A</v>
      </c>
      <c r="E562" s="227" t="s">
        <v>2457</v>
      </c>
      <c r="F562" s="165" t="e" cm="1">
        <f t="array" aca="1" ref="F562" ca="1">MID(LEFT(#REF!, INDEX(_xlfn._xlws.FILTER(ROW(INDIRECT("1:" &amp; LEN(#REF!))), (48 &lt;= CODE(MID(#REF!, ROW(INDIRECT("1:" &amp; LEN(#REF!))), 1))) * (CODE(MID(#REF!, ROW(INDIRECT("1:" &amp; LEN(#REF!))), 1)) &lt;= 57)), 1) - 1), FIND(":",#REF!) + 2, LEN(#REF!))</f>
        <v>#REF!</v>
      </c>
      <c r="G562" s="227" t="e">
        <f>MID(LEFT(#REF!, FIND(",",#REF!) - 1), FIND("{token}", SUBSTITUTE(#REF!, " ", "{token}", 2)) + 1, LEN(#REF!))</f>
        <v>#REF!</v>
      </c>
      <c r="H562" s="165">
        <v>5.0599999999999996</v>
      </c>
      <c r="I562" s="230">
        <v>45533</v>
      </c>
      <c r="J562" s="230" t="s">
        <v>34</v>
      </c>
      <c r="K562" s="226">
        <v>45534</v>
      </c>
      <c r="L562" s="165" t="s">
        <v>1505</v>
      </c>
      <c r="M562" s="222">
        <v>805</v>
      </c>
      <c r="N562" s="2" t="str">
        <f t="shared" ca="1" si="17"/>
        <v>CLOSED</v>
      </c>
    </row>
    <row r="563" spans="1:14" ht="18.75">
      <c r="A563" s="64" t="s">
        <v>139</v>
      </c>
      <c r="B563" s="98" t="e">
        <f>VLOOKUP([2]!Table27[[#This Row],[Location 
(drop-down)]],'[2]List source'!D$2:E$59,2,FALSE)</f>
        <v>#N/A</v>
      </c>
      <c r="C563" s="99" t="s">
        <v>2458</v>
      </c>
      <c r="D563" s="309" t="e">
        <f t="shared" si="16"/>
        <v>#N/A</v>
      </c>
      <c r="E563" s="227" t="s">
        <v>2459</v>
      </c>
      <c r="F563" s="165" t="e" cm="1">
        <f t="array" aca="1" ref="F563" ca="1">MID(LEFT(#REF!, INDEX(_xlfn._xlws.FILTER(ROW(INDIRECT("1:" &amp; LEN(#REF!))), (48 &lt;= CODE(MID(#REF!, ROW(INDIRECT("1:" &amp; LEN(#REF!))), 1))) * (CODE(MID(#REF!, ROW(INDIRECT("1:" &amp; LEN(#REF!))), 1)) &lt;= 57)), 1) - 1), FIND(":",#REF!) + 2, LEN(#REF!))</f>
        <v>#REF!</v>
      </c>
      <c r="G563" s="227" t="e">
        <f>MID(LEFT(#REF!, FIND(",",#REF!) - 1), FIND("{token}", SUBSTITUTE(#REF!, " ", "{token}", 2)) + 1, LEN(#REF!))</f>
        <v>#REF!</v>
      </c>
      <c r="H563" s="236" t="s">
        <v>2460</v>
      </c>
      <c r="I563" s="230">
        <v>45533</v>
      </c>
      <c r="J563" s="230" t="s">
        <v>34</v>
      </c>
      <c r="K563" s="226">
        <v>45534</v>
      </c>
      <c r="L563" s="165" t="s">
        <v>1505</v>
      </c>
      <c r="M563" s="222">
        <v>841</v>
      </c>
      <c r="N563" s="2" t="str">
        <f t="shared" ca="1" si="17"/>
        <v>CLOSED</v>
      </c>
    </row>
    <row r="564" spans="1:14" ht="18.75">
      <c r="A564" s="64" t="s">
        <v>15</v>
      </c>
      <c r="B564" s="98" t="e">
        <f>VLOOKUP([2]!Table27[[#This Row],[Location 
(drop-down)]],'[2]List source'!D$2:E$59,2,FALSE)</f>
        <v>#N/A</v>
      </c>
      <c r="C564" s="99" t="s">
        <v>2461</v>
      </c>
      <c r="D564" s="309" t="e">
        <f t="shared" si="16"/>
        <v>#N/A</v>
      </c>
      <c r="E564" s="227" t="s">
        <v>2462</v>
      </c>
      <c r="F564" s="165" t="e" cm="1">
        <f t="array" aca="1" ref="F564" ca="1">MID(LEFT(#REF!, INDEX(_xlfn._xlws.FILTER(ROW(INDIRECT("1:" &amp; LEN(#REF!))), (48 &lt;= CODE(MID(#REF!, ROW(INDIRECT("1:" &amp; LEN(#REF!))), 1))) * (CODE(MID(#REF!, ROW(INDIRECT("1:" &amp; LEN(#REF!))), 1)) &lt;= 57)), 1) - 1), FIND(":",#REF!) + 2, LEN(#REF!))</f>
        <v>#REF!</v>
      </c>
      <c r="G564" s="227" t="e">
        <f>MID(LEFT(#REF!, FIND(",",#REF!) - 1), FIND("{token}", SUBSTITUTE(#REF!, " ", "{token}", 2)) + 1, LEN(#REF!))</f>
        <v>#REF!</v>
      </c>
      <c r="H564" s="165">
        <v>5.89</v>
      </c>
      <c r="I564" s="230">
        <v>45533</v>
      </c>
      <c r="J564" s="230" t="s">
        <v>34</v>
      </c>
      <c r="K564" s="226">
        <v>45534</v>
      </c>
      <c r="L564" s="165" t="s">
        <v>1505</v>
      </c>
      <c r="M564" s="222">
        <v>843</v>
      </c>
      <c r="N564" s="2" t="str">
        <f t="shared" ca="1" si="17"/>
        <v>CLOSED</v>
      </c>
    </row>
    <row r="565" spans="1:14" ht="30">
      <c r="A565" s="64" t="s">
        <v>399</v>
      </c>
      <c r="B565" s="98" t="e">
        <f>VLOOKUP([2]!Table27[[#This Row],[Location 
(drop-down)]],'[2]List source'!D$2:E$59,2,FALSE)</f>
        <v>#N/A</v>
      </c>
      <c r="C565" s="99" t="s">
        <v>2463</v>
      </c>
      <c r="D565" s="309" t="e">
        <f t="shared" si="16"/>
        <v>#N/A</v>
      </c>
      <c r="E565" s="227" t="s">
        <v>2464</v>
      </c>
      <c r="F565" s="165" t="e" cm="1">
        <f t="array" aca="1" ref="F565" ca="1">MID(LEFT(#REF!, INDEX(_xlfn._xlws.FILTER(ROW(INDIRECT("1:" &amp; LEN(#REF!))), (48 &lt;= CODE(MID(#REF!, ROW(INDIRECT("1:" &amp; LEN(#REF!))), 1))) * (CODE(MID(#REF!, ROW(INDIRECT("1:" &amp; LEN(#REF!))), 1)) &lt;= 57)), 1) - 1), FIND(":",#REF!) + 2, LEN(#REF!))</f>
        <v>#REF!</v>
      </c>
      <c r="G565" s="227" t="e">
        <f>MID(LEFT(#REF!, FIND(",",#REF!) - 1), FIND("{token}", SUBSTITUTE(#REF!, " ", "{token}", 2)) + 1, LEN(#REF!))</f>
        <v>#REF!</v>
      </c>
      <c r="H565" s="236" t="s">
        <v>2465</v>
      </c>
      <c r="I565" s="230">
        <v>45533</v>
      </c>
      <c r="J565" s="230" t="s">
        <v>34</v>
      </c>
      <c r="K565" s="226">
        <v>45534</v>
      </c>
      <c r="L565" s="165" t="s">
        <v>1505</v>
      </c>
      <c r="M565" s="222">
        <v>845</v>
      </c>
      <c r="N565" s="2" t="str">
        <f t="shared" ca="1" si="17"/>
        <v>CLOSED</v>
      </c>
    </row>
    <row r="566" spans="1:14" ht="18.75">
      <c r="A566" s="64" t="s">
        <v>156</v>
      </c>
      <c r="B566" s="98" t="e">
        <f>VLOOKUP([2]!Table27[[#This Row],[Location 
(drop-down)]],'[2]List source'!D$2:E$59,2,FALSE)</f>
        <v>#N/A</v>
      </c>
      <c r="C566" s="99" t="s">
        <v>2466</v>
      </c>
      <c r="D566" s="309" t="e">
        <f t="shared" si="16"/>
        <v>#N/A</v>
      </c>
      <c r="E566" s="227" t="s">
        <v>2467</v>
      </c>
      <c r="F566" s="165" t="e" cm="1">
        <f t="array" aca="1" ref="F566" ca="1">MID(LEFT(#REF!, INDEX(_xlfn._xlws.FILTER(ROW(INDIRECT("1:" &amp; LEN(#REF!))), (48 &lt;= CODE(MID(#REF!, ROW(INDIRECT("1:" &amp; LEN(#REF!))), 1))) * (CODE(MID(#REF!, ROW(INDIRECT("1:" &amp; LEN(#REF!))), 1)) &lt;= 57)), 1) - 1), FIND(":",#REF!) + 2, LEN(#REF!))</f>
        <v>#REF!</v>
      </c>
      <c r="G566" s="227" t="e">
        <f>MID(LEFT(#REF!, FIND(",",#REF!) - 1), FIND("{token}", SUBSTITUTE(#REF!, " ", "{token}", 2)) + 1, LEN(#REF!))</f>
        <v>#REF!</v>
      </c>
      <c r="H566" s="165">
        <v>-52.8</v>
      </c>
      <c r="I566" s="230">
        <v>45534</v>
      </c>
      <c r="J566" s="230" t="s">
        <v>34</v>
      </c>
      <c r="K566" s="226">
        <v>45534</v>
      </c>
      <c r="L566" s="165" t="s">
        <v>1505</v>
      </c>
      <c r="M566" s="222">
        <v>848</v>
      </c>
      <c r="N566" s="2" t="str">
        <f t="shared" ca="1" si="17"/>
        <v>CLOSED</v>
      </c>
    </row>
    <row r="567" spans="1:14" ht="18.75">
      <c r="A567" s="64" t="s">
        <v>462</v>
      </c>
      <c r="B567" s="98" t="e">
        <f>VLOOKUP([2]!Table27[[#This Row],[Location 
(drop-down)]],'[2]List source'!D$2:E$59,2,FALSE)</f>
        <v>#N/A</v>
      </c>
      <c r="C567" s="99" t="s">
        <v>2468</v>
      </c>
      <c r="D567" s="309" t="e">
        <f t="shared" si="16"/>
        <v>#N/A</v>
      </c>
      <c r="E567" s="227" t="s">
        <v>2469</v>
      </c>
      <c r="F567" s="165" t="e" cm="1">
        <f t="array" aca="1" ref="F567" ca="1">MID(LEFT(#REF!, INDEX(_xlfn._xlws.FILTER(ROW(INDIRECT("1:" &amp; LEN(#REF!))), (48 &lt;= CODE(MID(#REF!, ROW(INDIRECT("1:" &amp; LEN(#REF!))), 1))) * (CODE(MID(#REF!, ROW(INDIRECT("1:" &amp; LEN(#REF!))), 1)) &lt;= 57)), 1) - 1), FIND(":",#REF!) + 2, LEN(#REF!))</f>
        <v>#REF!</v>
      </c>
      <c r="G567" s="227" t="e">
        <f>MID(LEFT(#REF!, FIND(",",#REF!) - 1), FIND("{token}", SUBSTITUTE(#REF!, " ", "{token}", 2)) + 1, LEN(#REF!))</f>
        <v>#REF!</v>
      </c>
      <c r="H567" s="165">
        <v>2.64</v>
      </c>
      <c r="I567" s="230">
        <v>45534</v>
      </c>
      <c r="J567" s="230" t="s">
        <v>34</v>
      </c>
      <c r="K567" s="226">
        <v>45534</v>
      </c>
      <c r="L567" s="165" t="s">
        <v>1562</v>
      </c>
      <c r="M567" s="222">
        <v>852</v>
      </c>
      <c r="N567" s="2" t="str">
        <f t="shared" ca="1" si="17"/>
        <v>CLOSED</v>
      </c>
    </row>
    <row r="568" spans="1:14" ht="18.75">
      <c r="A568" s="64" t="s">
        <v>462</v>
      </c>
      <c r="B568" s="98" t="e">
        <f>VLOOKUP([2]!Table27[[#This Row],[Location 
(drop-down)]],'[2]List source'!D$2:E$59,2,FALSE)</f>
        <v>#N/A</v>
      </c>
      <c r="C568" s="99" t="s">
        <v>2470</v>
      </c>
      <c r="D568" s="309" t="e">
        <f t="shared" si="16"/>
        <v>#N/A</v>
      </c>
      <c r="E568" s="227" t="s">
        <v>2471</v>
      </c>
      <c r="F568" s="165" t="e" cm="1">
        <f t="array" aca="1" ref="F568" ca="1">MID(LEFT(#REF!, INDEX(_xlfn._xlws.FILTER(ROW(INDIRECT("1:" &amp; LEN(#REF!))), (48 &lt;= CODE(MID(#REF!, ROW(INDIRECT("1:" &amp; LEN(#REF!))), 1))) * (CODE(MID(#REF!, ROW(INDIRECT("1:" &amp; LEN(#REF!))), 1)) &lt;= 57)), 1) - 1), FIND(":",#REF!) + 2, LEN(#REF!))</f>
        <v>#REF!</v>
      </c>
      <c r="G568" s="227" t="e">
        <f>MID(LEFT(#REF!, FIND(",",#REF!) - 1), FIND("{token}", SUBSTITUTE(#REF!, " ", "{token}", 2)) + 1, LEN(#REF!))</f>
        <v>#REF!</v>
      </c>
      <c r="H568" s="165">
        <v>-2.19</v>
      </c>
      <c r="I568" s="230">
        <v>45534</v>
      </c>
      <c r="J568" s="230" t="s">
        <v>34</v>
      </c>
      <c r="K568" s="226">
        <v>45534</v>
      </c>
      <c r="L568" s="165" t="s">
        <v>1562</v>
      </c>
      <c r="M568" s="222">
        <v>853</v>
      </c>
      <c r="N568" s="2" t="str">
        <f t="shared" ca="1" si="17"/>
        <v>CLOSED</v>
      </c>
    </row>
    <row r="569" spans="1:14" ht="18.75">
      <c r="A569" s="64" t="s">
        <v>462</v>
      </c>
      <c r="B569" s="98" t="e">
        <f>VLOOKUP([2]!Table27[[#This Row],[Location 
(drop-down)]],'[2]List source'!D$2:E$59,2,FALSE)</f>
        <v>#N/A</v>
      </c>
      <c r="C569" s="99" t="s">
        <v>2472</v>
      </c>
      <c r="D569" s="309" t="e">
        <f t="shared" si="16"/>
        <v>#N/A</v>
      </c>
      <c r="E569" s="227" t="s">
        <v>2473</v>
      </c>
      <c r="F569" s="165" t="e" cm="1">
        <f t="array" aca="1" ref="F569" ca="1">MID(LEFT(#REF!, INDEX(_xlfn._xlws.FILTER(ROW(INDIRECT("1:" &amp; LEN(#REF!))), (48 &lt;= CODE(MID(#REF!, ROW(INDIRECT("1:" &amp; LEN(#REF!))), 1))) * (CODE(MID(#REF!, ROW(INDIRECT("1:" &amp; LEN(#REF!))), 1)) &lt;= 57)), 1) - 1), FIND(":",#REF!) + 2, LEN(#REF!))</f>
        <v>#REF!</v>
      </c>
      <c r="G569" s="227" t="e">
        <f>MID(LEFT(#REF!, FIND(",",#REF!) - 1), FIND("{token}", SUBSTITUTE(#REF!, " ", "{token}", 2)) + 1, LEN(#REF!))</f>
        <v>#REF!</v>
      </c>
      <c r="H569" s="165" t="s">
        <v>1579</v>
      </c>
      <c r="I569" s="230">
        <v>45534</v>
      </c>
      <c r="J569" s="230" t="s">
        <v>34</v>
      </c>
      <c r="K569" s="226">
        <v>45534</v>
      </c>
      <c r="L569" s="165" t="s">
        <v>1562</v>
      </c>
      <c r="M569" s="222">
        <v>854</v>
      </c>
      <c r="N569" s="2" t="str">
        <f t="shared" ca="1" si="17"/>
        <v>CLOSED</v>
      </c>
    </row>
    <row r="570" spans="1:14" ht="18.75">
      <c r="A570" s="64" t="s">
        <v>462</v>
      </c>
      <c r="B570" s="98" t="e">
        <f>VLOOKUP([2]!Table27[[#This Row],[Location 
(drop-down)]],'[2]List source'!D$2:E$59,2,FALSE)</f>
        <v>#N/A</v>
      </c>
      <c r="C570" s="99" t="s">
        <v>2474</v>
      </c>
      <c r="D570" s="309" t="e">
        <f t="shared" si="16"/>
        <v>#N/A</v>
      </c>
      <c r="E570" s="227" t="s">
        <v>2475</v>
      </c>
      <c r="F570" s="165" t="e" cm="1">
        <f t="array" aca="1" ref="F570" ca="1">MID(LEFT(#REF!, INDEX(_xlfn._xlws.FILTER(ROW(INDIRECT("1:" &amp; LEN(#REF!))), (48 &lt;= CODE(MID(#REF!, ROW(INDIRECT("1:" &amp; LEN(#REF!))), 1))) * (CODE(MID(#REF!, ROW(INDIRECT("1:" &amp; LEN(#REF!))), 1)) &lt;= 57)), 1) - 1), FIND(":",#REF!) + 2, LEN(#REF!))</f>
        <v>#REF!</v>
      </c>
      <c r="G570" s="227" t="e">
        <f>MID(LEFT(#REF!, FIND(",",#REF!) - 1), FIND("{token}", SUBSTITUTE(#REF!, " ", "{token}", 2)) + 1, LEN(#REF!))</f>
        <v>#REF!</v>
      </c>
      <c r="H570" s="165">
        <v>8.0399999999999991</v>
      </c>
      <c r="I570" s="230">
        <v>45534</v>
      </c>
      <c r="J570" s="230" t="s">
        <v>34</v>
      </c>
      <c r="K570" s="226">
        <v>45534</v>
      </c>
      <c r="L570" s="165" t="s">
        <v>1505</v>
      </c>
      <c r="M570" s="222">
        <v>856</v>
      </c>
      <c r="N570" s="2" t="str">
        <f t="shared" ca="1" si="17"/>
        <v>CLOSED</v>
      </c>
    </row>
    <row r="571" spans="1:14" ht="30">
      <c r="A571" s="64" t="s">
        <v>591</v>
      </c>
      <c r="B571" s="98" t="e">
        <f>VLOOKUP([2]!Table27[[#This Row],[Location 
(drop-down)]],'[2]List source'!D$2:E$59,2,FALSE)</f>
        <v>#N/A</v>
      </c>
      <c r="C571" s="99" t="s">
        <v>2476</v>
      </c>
      <c r="D571" s="309" t="e">
        <f t="shared" si="16"/>
        <v>#N/A</v>
      </c>
      <c r="E571" s="227" t="s">
        <v>2471</v>
      </c>
      <c r="F571" s="165" t="e" cm="1">
        <f t="array" aca="1" ref="F571" ca="1">MID(LEFT(#REF!, INDEX(_xlfn._xlws.FILTER(ROW(INDIRECT("1:" &amp; LEN(#REF!))), (48 &lt;= CODE(MID(#REF!, ROW(INDIRECT("1:" &amp; LEN(#REF!))), 1))) * (CODE(MID(#REF!, ROW(INDIRECT("1:" &amp; LEN(#REF!))), 1)) &lt;= 57)), 1) - 1), FIND(":",#REF!) + 2, LEN(#REF!))</f>
        <v>#REF!</v>
      </c>
      <c r="G571" s="227" t="e">
        <f>MID(LEFT(#REF!, FIND(",",#REF!) - 1), FIND("{token}", SUBSTITUTE(#REF!, " ", "{token}", 2)) + 1, LEN(#REF!))</f>
        <v>#REF!</v>
      </c>
      <c r="H571" s="236" t="s">
        <v>1653</v>
      </c>
      <c r="I571" s="230">
        <v>45534</v>
      </c>
      <c r="J571" s="230" t="s">
        <v>34</v>
      </c>
      <c r="K571" s="226">
        <v>45534</v>
      </c>
      <c r="L571" s="165" t="s">
        <v>1562</v>
      </c>
      <c r="M571" s="222">
        <v>857</v>
      </c>
      <c r="N571" s="2" t="str">
        <f t="shared" ca="1" si="17"/>
        <v>CLOSED</v>
      </c>
    </row>
    <row r="572" spans="1:14" ht="30">
      <c r="A572" s="64" t="s">
        <v>125</v>
      </c>
      <c r="B572" s="98" t="e">
        <f>VLOOKUP([2]!Table27[[#This Row],[Location 
(drop-down)]],'[2]List source'!D$2:E$59,2,FALSE)</f>
        <v>#N/A</v>
      </c>
      <c r="C572" s="99" t="s">
        <v>2477</v>
      </c>
      <c r="D572" s="309" t="e">
        <f t="shared" si="16"/>
        <v>#N/A</v>
      </c>
      <c r="E572" s="227" t="s">
        <v>2478</v>
      </c>
      <c r="F572" s="165" t="e" cm="1">
        <f t="array" aca="1" ref="F572" ca="1">MID(LEFT(#REF!, INDEX(_xlfn._xlws.FILTER(ROW(INDIRECT("1:" &amp; LEN(#REF!))), (48 &lt;= CODE(MID(#REF!, ROW(INDIRECT("1:" &amp; LEN(#REF!))), 1))) * (CODE(MID(#REF!, ROW(INDIRECT("1:" &amp; LEN(#REF!))), 1)) &lt;= 57)), 1) - 1), FIND(":",#REF!) + 2, LEN(#REF!))</f>
        <v>#REF!</v>
      </c>
      <c r="G572" s="227" t="e">
        <f>MID(LEFT(#REF!, FIND(",",#REF!) - 1), FIND("{token}", SUBSTITUTE(#REF!, " ", "{token}", 2)) + 1, LEN(#REF!))</f>
        <v>#REF!</v>
      </c>
      <c r="H572" s="165">
        <v>17.46</v>
      </c>
      <c r="I572" s="230">
        <v>45534</v>
      </c>
      <c r="J572" s="230" t="s">
        <v>34</v>
      </c>
      <c r="K572" s="226">
        <v>45534</v>
      </c>
      <c r="L572" s="165" t="s">
        <v>1505</v>
      </c>
      <c r="M572" s="222">
        <v>862</v>
      </c>
      <c r="N572" s="2" t="str">
        <f t="shared" ca="1" si="17"/>
        <v>CLOSED</v>
      </c>
    </row>
    <row r="573" spans="1:14" ht="30">
      <c r="A573" s="64" t="s">
        <v>80</v>
      </c>
      <c r="B573" s="98" t="e">
        <f>VLOOKUP([2]!Table27[[#This Row],[Location 
(drop-down)]],'[2]List source'!D$2:E$59,2,FALSE)</f>
        <v>#N/A</v>
      </c>
      <c r="C573" s="99" t="s">
        <v>2479</v>
      </c>
      <c r="D573" s="309" t="e">
        <f t="shared" si="16"/>
        <v>#N/A</v>
      </c>
      <c r="E573" s="227" t="s">
        <v>2480</v>
      </c>
      <c r="F573" s="165" t="e" cm="1">
        <f t="array" aca="1" ref="F573" ca="1">MID(LEFT(#REF!, INDEX(_xlfn._xlws.FILTER(ROW(INDIRECT("1:" &amp; LEN(#REF!))), (48 &lt;= CODE(MID(#REF!, ROW(INDIRECT("1:" &amp; LEN(#REF!))), 1))) * (CODE(MID(#REF!, ROW(INDIRECT("1:" &amp; LEN(#REF!))), 1)) &lt;= 57)), 1) - 1), FIND(":",#REF!) + 2, LEN(#REF!))</f>
        <v>#REF!</v>
      </c>
      <c r="G573" s="227" t="e">
        <f>MID(LEFT(#REF!, FIND(",",#REF!) - 1), FIND("{token}", SUBSTITUTE(#REF!, " ", "{token}", 2)) + 1, LEN(#REF!))</f>
        <v>#REF!</v>
      </c>
      <c r="H573" s="165">
        <v>2.0499999999999998</v>
      </c>
      <c r="I573" s="230">
        <v>45534</v>
      </c>
      <c r="J573" s="230" t="s">
        <v>34</v>
      </c>
      <c r="K573" s="226">
        <v>45534</v>
      </c>
      <c r="L573" s="165" t="s">
        <v>1671</v>
      </c>
      <c r="M573" s="222">
        <v>867</v>
      </c>
      <c r="N573" s="2" t="str">
        <f t="shared" ca="1" si="17"/>
        <v>CLOSED</v>
      </c>
    </row>
    <row r="574" spans="1:14" ht="18.75">
      <c r="A574" s="64" t="s">
        <v>264</v>
      </c>
      <c r="B574" s="98" t="e">
        <f>VLOOKUP([2]!Table27[[#This Row],[Location 
(drop-down)]],'[2]List source'!D$2:E$59,2,FALSE)</f>
        <v>#N/A</v>
      </c>
      <c r="C574" s="99" t="s">
        <v>2481</v>
      </c>
      <c r="D574" s="309" t="e">
        <f t="shared" si="16"/>
        <v>#N/A</v>
      </c>
      <c r="E574" s="227" t="s">
        <v>2482</v>
      </c>
      <c r="F574" s="165" t="e" cm="1">
        <f t="array" aca="1" ref="F574" ca="1">MID(LEFT(#REF!, INDEX(_xlfn._xlws.FILTER(ROW(INDIRECT("1:" &amp; LEN(#REF!))), (48 &lt;= CODE(MID(#REF!, ROW(INDIRECT("1:" &amp; LEN(#REF!))), 1))) * (CODE(MID(#REF!, ROW(INDIRECT("1:" &amp; LEN(#REF!))), 1)) &lt;= 57)), 1) - 1), FIND(":",#REF!) + 2, LEN(#REF!))</f>
        <v>#REF!</v>
      </c>
      <c r="G574" s="227" t="e">
        <f>MID(LEFT(#REF!, FIND(",",#REF!) - 1), FIND("{token}", SUBSTITUTE(#REF!, " ", "{token}", 2)) + 1, LEN(#REF!))</f>
        <v>#REF!</v>
      </c>
      <c r="H574" s="165">
        <v>-2.27</v>
      </c>
      <c r="I574" s="230">
        <v>45534</v>
      </c>
      <c r="J574" s="230" t="s">
        <v>34</v>
      </c>
      <c r="K574" s="226">
        <v>45534</v>
      </c>
      <c r="L574" s="259" t="s">
        <v>1671</v>
      </c>
      <c r="M574" s="222">
        <v>869</v>
      </c>
      <c r="N574" s="2" t="str">
        <f t="shared" ca="1" si="17"/>
        <v>CLOSED</v>
      </c>
    </row>
    <row r="575" spans="1:14" ht="18.75">
      <c r="A575" s="64" t="s">
        <v>64</v>
      </c>
      <c r="B575" s="98" t="e">
        <f>VLOOKUP([2]!Table27[[#This Row],[Location 
(drop-down)]],'[2]List source'!D$2:E$59,2,FALSE)</f>
        <v>#N/A</v>
      </c>
      <c r="C575" s="99" t="s">
        <v>2483</v>
      </c>
      <c r="D575" s="309" t="e">
        <f t="shared" si="16"/>
        <v>#N/A</v>
      </c>
      <c r="E575" s="227" t="s">
        <v>2469</v>
      </c>
      <c r="F575" s="165" t="e" cm="1">
        <f t="array" aca="1" ref="F575" ca="1">MID(LEFT(#REF!, INDEX(_xlfn._xlws.FILTER(ROW(INDIRECT("1:" &amp; LEN(#REF!))), (48 &lt;= CODE(MID(#REF!, ROW(INDIRECT("1:" &amp; LEN(#REF!))), 1))) * (CODE(MID(#REF!, ROW(INDIRECT("1:" &amp; LEN(#REF!))), 1)) &lt;= 57)), 1) - 1), FIND(":",#REF!) + 2, LEN(#REF!))</f>
        <v>#REF!</v>
      </c>
      <c r="G575" s="227" t="e">
        <f>MID(LEFT(#REF!, FIND(",",#REF!) - 1), FIND("{token}", SUBSTITUTE(#REF!, " ", "{token}", 2)) + 1, LEN(#REF!))</f>
        <v>#REF!</v>
      </c>
      <c r="H575" s="165">
        <v>2.64</v>
      </c>
      <c r="I575" s="230">
        <v>45534</v>
      </c>
      <c r="J575" s="230" t="s">
        <v>34</v>
      </c>
      <c r="K575" s="226">
        <v>45534</v>
      </c>
      <c r="L575" s="259" t="s">
        <v>1671</v>
      </c>
      <c r="M575" s="222">
        <v>871</v>
      </c>
      <c r="N575" s="2" t="str">
        <f t="shared" ca="1" si="17"/>
        <v>CLOSED</v>
      </c>
    </row>
    <row r="576" spans="1:14" ht="30">
      <c r="A576" s="64" t="s">
        <v>294</v>
      </c>
      <c r="B576" s="98" t="e">
        <f>VLOOKUP([2]!Table27[[#This Row],[Location 
(drop-down)]],'[2]List source'!D$2:E$59,2,FALSE)</f>
        <v>#N/A</v>
      </c>
      <c r="C576" s="99" t="s">
        <v>2484</v>
      </c>
      <c r="D576" s="309" t="e">
        <f t="shared" si="16"/>
        <v>#N/A</v>
      </c>
      <c r="E576" s="227" t="s">
        <v>2485</v>
      </c>
      <c r="F576" s="165" t="e" cm="1">
        <f t="array" aca="1" ref="F576" ca="1">MID(LEFT(#REF!, INDEX(_xlfn._xlws.FILTER(ROW(INDIRECT("1:" &amp; LEN(#REF!))), (48 &lt;= CODE(MID(#REF!, ROW(INDIRECT("1:" &amp; LEN(#REF!))), 1))) * (CODE(MID(#REF!, ROW(INDIRECT("1:" &amp; LEN(#REF!))), 1)) &lt;= 57)), 1) - 1), FIND(":",#REF!) + 2, LEN(#REF!))</f>
        <v>#REF!</v>
      </c>
      <c r="G576" s="227" t="e">
        <f>MID(LEFT(#REF!, FIND(",",#REF!) - 1), FIND("{token}", SUBSTITUTE(#REF!, " ", "{token}", 2)) + 1, LEN(#REF!))</f>
        <v>#REF!</v>
      </c>
      <c r="H576" s="165">
        <v>2.06</v>
      </c>
      <c r="I576" s="230">
        <v>45534</v>
      </c>
      <c r="J576" s="230" t="s">
        <v>34</v>
      </c>
      <c r="K576" s="226">
        <v>45534</v>
      </c>
      <c r="L576" s="259" t="s">
        <v>1671</v>
      </c>
      <c r="M576" s="222">
        <v>877</v>
      </c>
      <c r="N576" s="2" t="str">
        <f t="shared" ca="1" si="17"/>
        <v>CLOSED</v>
      </c>
    </row>
    <row r="577" spans="1:14" ht="30">
      <c r="A577" s="64" t="s">
        <v>485</v>
      </c>
      <c r="B577" s="98" t="e">
        <f>VLOOKUP([2]!Table27[[#This Row],[Location 
(drop-down)]],'[2]List source'!D$2:E$59,2,FALSE)</f>
        <v>#N/A</v>
      </c>
      <c r="C577" s="99" t="s">
        <v>2486</v>
      </c>
      <c r="D577" s="309" t="e">
        <f t="shared" si="16"/>
        <v>#N/A</v>
      </c>
      <c r="E577" s="227" t="s">
        <v>2487</v>
      </c>
      <c r="F577" s="165" t="e" cm="1">
        <f t="array" aca="1" ref="F577" ca="1">MID(LEFT(#REF!, INDEX(_xlfn._xlws.FILTER(ROW(INDIRECT("1:" &amp; LEN(#REF!))), (48 &lt;= CODE(MID(#REF!, ROW(INDIRECT("1:" &amp; LEN(#REF!))), 1))) * (CODE(MID(#REF!, ROW(INDIRECT("1:" &amp; LEN(#REF!))), 1)) &lt;= 57)), 1) - 1), FIND(":",#REF!) + 2, LEN(#REF!))</f>
        <v>#REF!</v>
      </c>
      <c r="G577" s="227" t="e">
        <f>MID(LEFT(#REF!, FIND(",",#REF!) - 1), FIND("{token}", SUBSTITUTE(#REF!, " ", "{token}", 2)) + 1, LEN(#REF!))</f>
        <v>#REF!</v>
      </c>
      <c r="H577" s="165">
        <v>11.06</v>
      </c>
      <c r="I577" s="230">
        <v>45534</v>
      </c>
      <c r="J577" s="230" t="s">
        <v>34</v>
      </c>
      <c r="K577" s="226">
        <v>45534</v>
      </c>
      <c r="L577" s="165" t="s">
        <v>1505</v>
      </c>
      <c r="M577" s="222">
        <v>883</v>
      </c>
      <c r="N577" s="2" t="str">
        <f t="shared" ca="1" si="17"/>
        <v>CLOSED</v>
      </c>
    </row>
    <row r="578" spans="1:14" ht="30">
      <c r="A578" s="64" t="s">
        <v>495</v>
      </c>
      <c r="B578" s="98" t="e">
        <f>VLOOKUP([2]!Table27[[#This Row],[Location 
(drop-down)]],'[2]List source'!D$2:E$59,2,FALSE)</f>
        <v>#N/A</v>
      </c>
      <c r="C578" s="99" t="s">
        <v>2488</v>
      </c>
      <c r="D578" s="309" t="e">
        <f t="shared" ref="D578:D641" si="18">"PTO" &amp; C578 &amp; "-" &amp; B578 &amp; "-" &amp; "23"</f>
        <v>#N/A</v>
      </c>
      <c r="E578" s="227" t="s">
        <v>2469</v>
      </c>
      <c r="F578" s="165" t="e" cm="1">
        <f t="array" aca="1" ref="F578" ca="1">MID(LEFT(#REF!, INDEX(_xlfn._xlws.FILTER(ROW(INDIRECT("1:" &amp; LEN(#REF!))), (48 &lt;= CODE(MID(#REF!, ROW(INDIRECT("1:" &amp; LEN(#REF!))), 1))) * (CODE(MID(#REF!, ROW(INDIRECT("1:" &amp; LEN(#REF!))), 1)) &lt;= 57)), 1) - 1), FIND(":",#REF!) + 2, LEN(#REF!))</f>
        <v>#REF!</v>
      </c>
      <c r="G578" s="227" t="e">
        <f>MID(LEFT(#REF!, FIND(",",#REF!) - 1), FIND("{token}", SUBSTITUTE(#REF!, " ", "{token}", 2)) + 1, LEN(#REF!))</f>
        <v>#REF!</v>
      </c>
      <c r="H578" s="165">
        <v>2.64</v>
      </c>
      <c r="I578" s="230">
        <v>45534</v>
      </c>
      <c r="J578" s="230" t="s">
        <v>34</v>
      </c>
      <c r="K578" s="226">
        <v>45534</v>
      </c>
      <c r="L578" s="165" t="s">
        <v>1671</v>
      </c>
      <c r="M578" s="222">
        <v>893</v>
      </c>
      <c r="N578" s="2" t="str">
        <f t="shared" ca="1" si="17"/>
        <v>CLOSED</v>
      </c>
    </row>
    <row r="579" spans="1:14" ht="18.75">
      <c r="A579" s="64" t="s">
        <v>15</v>
      </c>
      <c r="B579" s="98" t="e">
        <f>VLOOKUP([2]!Table27[[#This Row],[Location 
(drop-down)]],'[2]List source'!D$2:E$59,2,FALSE)</f>
        <v>#N/A</v>
      </c>
      <c r="C579" s="99" t="s">
        <v>2489</v>
      </c>
      <c r="D579" s="309" t="e">
        <f t="shared" si="18"/>
        <v>#N/A</v>
      </c>
      <c r="E579" s="227" t="s">
        <v>2490</v>
      </c>
      <c r="F579" s="165" t="e" cm="1">
        <f t="array" aca="1" ref="F579" ca="1">MID(LEFT(#REF!, INDEX(_xlfn._xlws.FILTER(ROW(INDIRECT("1:" &amp; LEN(#REF!))), (48 &lt;= CODE(MID(#REF!, ROW(INDIRECT("1:" &amp; LEN(#REF!))), 1))) * (CODE(MID(#REF!, ROW(INDIRECT("1:" &amp; LEN(#REF!))), 1)) &lt;= 57)), 1) - 1), FIND(":",#REF!) + 2, LEN(#REF!))</f>
        <v>#REF!</v>
      </c>
      <c r="G579" s="227" t="e">
        <f>MID(LEFT(#REF!, FIND(",",#REF!) - 1), FIND("{token}", SUBSTITUTE(#REF!, " ", "{token}", 2)) + 1, LEN(#REF!))</f>
        <v>#REF!</v>
      </c>
      <c r="H579" s="165">
        <v>3.7</v>
      </c>
      <c r="I579" s="230">
        <v>45534</v>
      </c>
      <c r="J579" s="230" t="s">
        <v>34</v>
      </c>
      <c r="K579" s="226">
        <v>45534</v>
      </c>
      <c r="L579" s="165" t="s">
        <v>1505</v>
      </c>
      <c r="M579" s="222">
        <v>894</v>
      </c>
      <c r="N579" s="2" t="str">
        <f t="shared" ca="1" si="17"/>
        <v>CLOSED</v>
      </c>
    </row>
    <row r="580" spans="1:14" ht="30">
      <c r="A580" s="64" t="s">
        <v>399</v>
      </c>
      <c r="B580" s="98" t="e">
        <f>VLOOKUP([2]!Table27[[#This Row],[Location 
(drop-down)]],'[2]List source'!D$2:E$59,2,FALSE)</f>
        <v>#N/A</v>
      </c>
      <c r="C580" s="99" t="s">
        <v>2491</v>
      </c>
      <c r="D580" s="309" t="e">
        <f t="shared" si="18"/>
        <v>#N/A</v>
      </c>
      <c r="E580" s="227" t="s">
        <v>2482</v>
      </c>
      <c r="F580" s="165" t="e" cm="1">
        <f t="array" aca="1" ref="F580" ca="1">MID(LEFT(#REF!, INDEX(_xlfn._xlws.FILTER(ROW(INDIRECT("1:" &amp; LEN(#REF!))), (48 &lt;= CODE(MID(#REF!, ROW(INDIRECT("1:" &amp; LEN(#REF!))), 1))) * (CODE(MID(#REF!, ROW(INDIRECT("1:" &amp; LEN(#REF!))), 1)) &lt;= 57)), 1) - 1), FIND(":",#REF!) + 2, LEN(#REF!))</f>
        <v>#REF!</v>
      </c>
      <c r="G580" s="227" t="e">
        <f>MID(LEFT(#REF!, FIND(",",#REF!) - 1), FIND("{token}", SUBSTITUTE(#REF!, " ", "{token}", 2)) + 1, LEN(#REF!))</f>
        <v>#REF!</v>
      </c>
      <c r="H580" s="165">
        <v>2.41</v>
      </c>
      <c r="I580" s="230">
        <v>45534</v>
      </c>
      <c r="J580" s="230" t="s">
        <v>34</v>
      </c>
      <c r="K580" s="226">
        <v>45534</v>
      </c>
      <c r="L580" s="259" t="s">
        <v>1671</v>
      </c>
      <c r="M580" s="222">
        <v>896</v>
      </c>
      <c r="N580" s="2" t="str">
        <f t="shared" ca="1" si="17"/>
        <v>CLOSED</v>
      </c>
    </row>
    <row r="581" spans="1:14" ht="18.75">
      <c r="A581" s="64" t="s">
        <v>43</v>
      </c>
      <c r="B581" s="98" t="e">
        <f>VLOOKUP([2]!Table27[[#This Row],[Location 
(drop-down)]],'[2]List source'!D$2:E$59,2,FALSE)</f>
        <v>#N/A</v>
      </c>
      <c r="C581" s="99" t="s">
        <v>2492</v>
      </c>
      <c r="D581" s="309" t="e">
        <f t="shared" si="18"/>
        <v>#N/A</v>
      </c>
      <c r="E581" s="227" t="s">
        <v>2493</v>
      </c>
      <c r="F581" s="165" t="e" cm="1">
        <f t="array" aca="1" ref="F581" ca="1">MID(LEFT(#REF!, INDEX(_xlfn._xlws.FILTER(ROW(INDIRECT("1:" &amp; LEN(#REF!))), (48 &lt;= CODE(MID(#REF!, ROW(INDIRECT("1:" &amp; LEN(#REF!))), 1))) * (CODE(MID(#REF!, ROW(INDIRECT("1:" &amp; LEN(#REF!))), 1)) &lt;= 57)), 1) - 1), FIND(":",#REF!) + 2, LEN(#REF!))</f>
        <v>#REF!</v>
      </c>
      <c r="G581" s="227" t="e">
        <f>MID(LEFT(#REF!, FIND(",",#REF!) - 1), FIND("{token}", SUBSTITUTE(#REF!, " ", "{token}", 2)) + 1, LEN(#REF!))</f>
        <v>#REF!</v>
      </c>
      <c r="H581" s="165">
        <v>4.75</v>
      </c>
      <c r="I581" s="230">
        <v>45534</v>
      </c>
      <c r="J581" s="230" t="s">
        <v>34</v>
      </c>
      <c r="K581" s="226">
        <v>45534</v>
      </c>
      <c r="L581" s="165" t="s">
        <v>1505</v>
      </c>
      <c r="M581" s="222">
        <v>898</v>
      </c>
      <c r="N581" s="2" t="str">
        <f t="shared" ca="1" si="17"/>
        <v>CLOSED</v>
      </c>
    </row>
    <row r="582" spans="1:14" ht="30">
      <c r="A582" s="64" t="s">
        <v>714</v>
      </c>
      <c r="B582" s="98" t="e">
        <f>VLOOKUP([2]!Table27[[#This Row],[Location 
(drop-down)]],'[2]List source'!D$2:E$59,2,FALSE)</f>
        <v>#N/A</v>
      </c>
      <c r="C582" s="99" t="s">
        <v>2494</v>
      </c>
      <c r="D582" s="309" t="e">
        <f t="shared" si="18"/>
        <v>#N/A</v>
      </c>
      <c r="E582" s="227" t="s">
        <v>2495</v>
      </c>
      <c r="F582" s="165" t="e" cm="1">
        <f t="array" aca="1" ref="F582" ca="1">MID(LEFT(#REF!, INDEX(_xlfn._xlws.FILTER(ROW(INDIRECT("1:" &amp; LEN(#REF!))), (48 &lt;= CODE(MID(#REF!, ROW(INDIRECT("1:" &amp; LEN(#REF!))), 1))) * (CODE(MID(#REF!, ROW(INDIRECT("1:" &amp; LEN(#REF!))), 1)) &lt;= 57)), 1) - 1), FIND(":",#REF!) + 2, LEN(#REF!))</f>
        <v>#REF!</v>
      </c>
      <c r="G582" s="227" t="e">
        <f>MID(LEFT(#REF!, FIND(",",#REF!) - 1), FIND("{token}", SUBSTITUTE(#REF!, " ", "{token}", 2)) + 1, LEN(#REF!))</f>
        <v>#REF!</v>
      </c>
      <c r="H582" s="165">
        <v>2.42</v>
      </c>
      <c r="I582" s="230">
        <v>45534</v>
      </c>
      <c r="J582" s="230" t="s">
        <v>34</v>
      </c>
      <c r="K582" s="226">
        <v>45534</v>
      </c>
      <c r="L582" s="259" t="s">
        <v>1671</v>
      </c>
      <c r="M582" s="222">
        <v>900</v>
      </c>
      <c r="N582" s="2" t="str">
        <f t="shared" ca="1" si="17"/>
        <v>CLOSED</v>
      </c>
    </row>
    <row r="583" spans="1:14" ht="18.75">
      <c r="A583" s="64" t="s">
        <v>43</v>
      </c>
      <c r="B583" s="98" t="e">
        <f>VLOOKUP([2]!Table27[[#This Row],[Location 
(drop-down)]],'[2]List source'!D$2:E$59,2,FALSE)</f>
        <v>#N/A</v>
      </c>
      <c r="C583" s="99" t="s">
        <v>1354</v>
      </c>
      <c r="D583" s="223" t="e">
        <f t="shared" si="18"/>
        <v>#N/A</v>
      </c>
      <c r="E583" s="227" t="s">
        <v>2141</v>
      </c>
      <c r="F583" s="165" t="s">
        <v>1566</v>
      </c>
      <c r="G583" s="227" t="e">
        <f>MID(LEFT(#REF!, FIND(",",#REF!) - 1), FIND("{token}", SUBSTITUTE(#REF!, " ", "{token}", 2)) + 1, LEN(#REF!))</f>
        <v>#REF!</v>
      </c>
      <c r="H583" s="165">
        <v>2.65</v>
      </c>
      <c r="I583" s="230">
        <v>45427</v>
      </c>
      <c r="J583" s="230" t="s">
        <v>29</v>
      </c>
      <c r="K583" s="226">
        <v>45535</v>
      </c>
      <c r="L583" s="165"/>
      <c r="M583" s="222">
        <v>525</v>
      </c>
      <c r="N583" s="2" t="str">
        <f t="shared" ca="1" si="17"/>
        <v>CLOSED</v>
      </c>
    </row>
    <row r="584" spans="1:14" ht="18.75">
      <c r="A584" s="64" t="s">
        <v>43</v>
      </c>
      <c r="B584" s="98" t="e">
        <f>VLOOKUP([2]!Table27[[#This Row],[Location 
(drop-down)]],'[2]List source'!D$2:E$59,2,FALSE)</f>
        <v>#N/A</v>
      </c>
      <c r="C584" s="99" t="s">
        <v>2496</v>
      </c>
      <c r="D584" s="223" t="e">
        <f t="shared" si="18"/>
        <v>#N/A</v>
      </c>
      <c r="E584" s="251" t="s">
        <v>2497</v>
      </c>
      <c r="F584" s="274" t="e" cm="1">
        <f t="array" aca="1" ref="F584" ca="1">MID(LEFT(#REF!, INDEX(_xlfn._xlws.FILTER(ROW(INDIRECT("1:" &amp; LEN(#REF!))), (48 &lt;= CODE(MID(#REF!, ROW(INDIRECT("1:" &amp; LEN(#REF!))), 1))) * (CODE(MID(#REF!, ROW(INDIRECT("1:" &amp; LEN(#REF!))), 1)) &lt;= 57)), 1) - 1), FIND(":",#REF!) + 2, LEN(#REF!))</f>
        <v>#REF!</v>
      </c>
      <c r="G584" s="251" t="e">
        <f>MID(LEFT(#REF!, FIND(",",#REF!) - 1), FIND("{token}", SUBSTITUTE(#REF!, " ", "{token}", 2)) + 1, LEN(#REF!))</f>
        <v>#REF!</v>
      </c>
      <c r="H584" s="303" t="s">
        <v>2498</v>
      </c>
      <c r="I584" s="230">
        <v>45435</v>
      </c>
      <c r="J584" s="230" t="s">
        <v>29</v>
      </c>
      <c r="K584" s="226">
        <v>45535</v>
      </c>
      <c r="L584" s="165"/>
      <c r="M584" s="222">
        <v>638</v>
      </c>
      <c r="N584" s="2" t="str">
        <f t="shared" ca="1" si="17"/>
        <v>CLOSED</v>
      </c>
    </row>
    <row r="585" spans="1:14" ht="30">
      <c r="A585" s="64" t="s">
        <v>500</v>
      </c>
      <c r="B585" s="98" t="e">
        <f>VLOOKUP([2]!Table27[[#This Row],[Location 
(drop-down)]],'[2]List source'!D$2:E$59,2,FALSE)</f>
        <v>#N/A</v>
      </c>
      <c r="C585" s="99" t="s">
        <v>2499</v>
      </c>
      <c r="D585" s="318" t="e">
        <f t="shared" si="18"/>
        <v>#N/A</v>
      </c>
      <c r="E585" s="252" t="s">
        <v>2500</v>
      </c>
      <c r="F585" s="275" t="s">
        <v>1769</v>
      </c>
      <c r="G585" s="252" t="e">
        <f>MID(LEFT(#REF!, FIND(",",#REF!) - 1), FIND("{token}", SUBSTITUTE(#REF!, " ", "{token}", 2)) + 1, LEN(#REF!))</f>
        <v>#REF!</v>
      </c>
      <c r="H585" s="319" t="s">
        <v>2501</v>
      </c>
      <c r="I585" s="289">
        <v>45510</v>
      </c>
      <c r="J585" s="230" t="s">
        <v>310</v>
      </c>
      <c r="K585" s="226">
        <v>45535</v>
      </c>
      <c r="L585" s="165"/>
      <c r="M585" s="222">
        <v>725</v>
      </c>
      <c r="N585" s="2" t="str">
        <f t="shared" ca="1" si="17"/>
        <v>CLOSED</v>
      </c>
    </row>
    <row r="586" spans="1:14" ht="30">
      <c r="A586" s="64" t="s">
        <v>485</v>
      </c>
      <c r="B586" s="98" t="e">
        <f>VLOOKUP([2]!Table27[[#This Row],[Location 
(drop-down)]],'[2]List source'!D$2:E$59,2,FALSE)</f>
        <v>#N/A</v>
      </c>
      <c r="C586" s="99" t="s">
        <v>581</v>
      </c>
      <c r="D586" s="223" t="e">
        <f t="shared" si="18"/>
        <v>#N/A</v>
      </c>
      <c r="E586" s="215" t="s">
        <v>2502</v>
      </c>
      <c r="F586" s="214" t="e" cm="1">
        <f t="array" aca="1" ref="F586" ca="1">MID(LEFT(#REF!, INDEX(_xlfn._xlws.FILTER(ROW(INDIRECT("1:" &amp; LEN(#REF!))), (48 &lt;= CODE(MID(#REF!, ROW(INDIRECT("1:" &amp; LEN(#REF!))), 1))) * (CODE(MID(#REF!, ROW(INDIRECT("1:" &amp; LEN(#REF!))), 1)) &lt;= 57)), 1) - 1), FIND(":",#REF!) + 2, LEN(#REF!))</f>
        <v>#REF!</v>
      </c>
      <c r="G586" s="215" t="e">
        <f>MID(LEFT(#REF!, FIND(",",#REF!) - 1), FIND("{token}", SUBSTITUTE(#REF!, " ", "{token}", 2)) + 1, LEN(#REF!))</f>
        <v>#REF!</v>
      </c>
      <c r="H586" s="214">
        <v>2.12</v>
      </c>
      <c r="I586" s="230">
        <v>45376</v>
      </c>
      <c r="J586" s="230" t="s">
        <v>327</v>
      </c>
      <c r="K586" s="226">
        <v>45538</v>
      </c>
      <c r="L586" s="165"/>
      <c r="M586" s="222">
        <v>130</v>
      </c>
      <c r="N586" s="2" t="str">
        <f t="shared" ca="1" si="17"/>
        <v>CLOSED</v>
      </c>
    </row>
    <row r="587" spans="1:14" ht="30">
      <c r="A587" s="64" t="s">
        <v>125</v>
      </c>
      <c r="B587" s="98" t="e">
        <f>VLOOKUP([2]!Table27[[#This Row],[Location 
(drop-down)]],'[2]List source'!D$2:E$59,2,FALSE)</f>
        <v>#N/A</v>
      </c>
      <c r="C587" s="99" t="s">
        <v>521</v>
      </c>
      <c r="D587" s="223" t="e">
        <f t="shared" si="18"/>
        <v>#N/A</v>
      </c>
      <c r="E587" s="227" t="s">
        <v>2503</v>
      </c>
      <c r="F587" s="165" t="s">
        <v>1566</v>
      </c>
      <c r="G587" s="227" t="e">
        <f>MID(LEFT(#REF!, FIND(",",#REF!) - 1), FIND("{token}", SUBSTITUTE(#REF!, " ", "{token}", 2)) + 1, LEN(#REF!))</f>
        <v>#REF!</v>
      </c>
      <c r="H587" s="236" t="s">
        <v>2504</v>
      </c>
      <c r="I587" s="230">
        <v>45427</v>
      </c>
      <c r="J587" s="230" t="s">
        <v>34</v>
      </c>
      <c r="K587" s="226">
        <v>45538</v>
      </c>
      <c r="L587" s="165"/>
      <c r="M587" s="222">
        <v>496</v>
      </c>
      <c r="N587" s="2" t="str">
        <f t="shared" ca="1" si="17"/>
        <v>CLOSED</v>
      </c>
    </row>
    <row r="588" spans="1:14" ht="30">
      <c r="A588" s="64" t="s">
        <v>485</v>
      </c>
      <c r="B588" s="98" t="e">
        <f>VLOOKUP([2]!Table27[[#This Row],[Location 
(drop-down)]],'[2]List source'!D$2:E$59,2,FALSE)</f>
        <v>#N/A</v>
      </c>
      <c r="C588" s="99" t="s">
        <v>77</v>
      </c>
      <c r="D588" s="223" t="e">
        <f t="shared" si="18"/>
        <v>#N/A</v>
      </c>
      <c r="E588" s="227" t="s">
        <v>2505</v>
      </c>
      <c r="F588" s="165" t="s">
        <v>1566</v>
      </c>
      <c r="G588" s="227" t="e">
        <f>MID(LEFT(#REF!, FIND(",",#REF!) - 1), FIND("{token}", SUBSTITUTE(#REF!, " ", "{token}", 2)) + 1, LEN(#REF!))</f>
        <v>#REF!</v>
      </c>
      <c r="H588" s="165">
        <v>2.63</v>
      </c>
      <c r="I588" s="230">
        <v>45427</v>
      </c>
      <c r="J588" s="230" t="s">
        <v>327</v>
      </c>
      <c r="K588" s="226">
        <v>45538</v>
      </c>
      <c r="L588" s="165"/>
      <c r="M588" s="222">
        <v>511</v>
      </c>
      <c r="N588" s="2" t="str">
        <f t="shared" ca="1" si="17"/>
        <v>CLOSED</v>
      </c>
    </row>
    <row r="589" spans="1:14" ht="18.75">
      <c r="A589" s="64" t="s">
        <v>213</v>
      </c>
      <c r="B589" s="98" t="e">
        <f>VLOOKUP([2]!Table27[[#This Row],[Location 
(drop-down)]],'[2]List source'!D$2:E$59,2,FALSE)</f>
        <v>#N/A</v>
      </c>
      <c r="C589" s="99" t="s">
        <v>240</v>
      </c>
      <c r="D589" s="223" t="e">
        <f t="shared" si="18"/>
        <v>#N/A</v>
      </c>
      <c r="E589" s="228" t="s">
        <v>1906</v>
      </c>
      <c r="F589" s="229" t="e" cm="1">
        <f t="array" aca="1" ref="F589" ca="1">MID(LEFT(#REF!, INDEX(_xlfn._xlws.FILTER(ROW(INDIRECT("1:" &amp; LEN(#REF!))), (48 &lt;= CODE(MID(#REF!, ROW(INDIRECT("1:" &amp; LEN(#REF!))), 1))) * (CODE(MID(#REF!, ROW(INDIRECT("1:" &amp; LEN(#REF!))), 1)) &lt;= 57)), 1) - 1), FIND(":",#REF!) + 2, LEN(#REF!))</f>
        <v>#REF!</v>
      </c>
      <c r="G589" s="228" t="e">
        <f>MID(LEFT(#REF!, FIND(",",#REF!) - 1), FIND("{token}", SUBSTITUTE(#REF!, " ", "{token}", 2)) + 1, LEN(#REF!))</f>
        <v>#REF!</v>
      </c>
      <c r="H589" s="229">
        <v>2.4500000000000002</v>
      </c>
      <c r="I589" s="230">
        <v>45301</v>
      </c>
      <c r="J589" s="230" t="s">
        <v>239</v>
      </c>
      <c r="K589" s="226">
        <v>45539</v>
      </c>
      <c r="L589" s="165"/>
      <c r="M589" s="222">
        <v>6</v>
      </c>
      <c r="N589" s="2" t="str">
        <f t="shared" ca="1" si="17"/>
        <v>CLOSED</v>
      </c>
    </row>
    <row r="590" spans="1:14" ht="18.75">
      <c r="A590" s="64" t="s">
        <v>213</v>
      </c>
      <c r="B590" s="98" t="e">
        <f>VLOOKUP([2]!Table27[[#This Row],[Location 
(drop-down)]],'[2]List source'!D$2:E$59,2,FALSE)</f>
        <v>#N/A</v>
      </c>
      <c r="C590" s="99" t="s">
        <v>628</v>
      </c>
      <c r="D590" s="223" t="e">
        <f t="shared" si="18"/>
        <v>#N/A</v>
      </c>
      <c r="E590" s="227" t="s">
        <v>2506</v>
      </c>
      <c r="F590" s="165" t="e" cm="1">
        <f t="array" aca="1" ref="F590" ca="1">MID(LEFT(#REF!, INDEX(_xlfn._xlws.FILTER(ROW(INDIRECT("1:" &amp; LEN(#REF!))), (48 &lt;= CODE(MID(#REF!, ROW(INDIRECT("1:" &amp; LEN(#REF!))), 1))) * (CODE(MID(#REF!, ROW(INDIRECT("1:" &amp; LEN(#REF!))), 1)) &lt;= 57)), 1) - 1), FIND(":",#REF!) + 2, LEN(#REF!))</f>
        <v>#REF!</v>
      </c>
      <c r="G590" s="227" t="e">
        <f>MID(LEFT(#REF!, FIND(",",#REF!) - 1), FIND("{token}", SUBSTITUTE(#REF!, " ", "{token}", 2)) + 1, LEN(#REF!))</f>
        <v>#REF!</v>
      </c>
      <c r="H590" s="236" t="s">
        <v>2507</v>
      </c>
      <c r="I590" s="260">
        <v>45387</v>
      </c>
      <c r="J590" s="230" t="s">
        <v>239</v>
      </c>
      <c r="K590" s="226">
        <v>45539</v>
      </c>
      <c r="L590" s="165"/>
      <c r="M590" s="222">
        <v>168</v>
      </c>
      <c r="N590" s="2" t="str">
        <f t="shared" ca="1" si="17"/>
        <v>CLOSED</v>
      </c>
    </row>
    <row r="591" spans="1:14" ht="18.75">
      <c r="A591" s="64" t="s">
        <v>213</v>
      </c>
      <c r="B591" s="98" t="e">
        <f>VLOOKUP([2]!Table27[[#This Row],[Location 
(drop-down)]],'[2]List source'!D$2:E$59,2,FALSE)</f>
        <v>#N/A</v>
      </c>
      <c r="C591" s="99" t="s">
        <v>579</v>
      </c>
      <c r="D591" s="223" t="e">
        <f t="shared" si="18"/>
        <v>#N/A</v>
      </c>
      <c r="E591" s="227" t="s">
        <v>2508</v>
      </c>
      <c r="F591" s="165" t="e" cm="1">
        <f t="array" aca="1" ref="F591" ca="1">MID(LEFT(#REF!, INDEX(_xlfn._xlws.FILTER(ROW(INDIRECT("1:" &amp; LEN(#REF!))), (48 &lt;= CODE(MID(#REF!, ROW(INDIRECT("1:" &amp; LEN(#REF!))), 1))) * (CODE(MID(#REF!, ROW(INDIRECT("1:" &amp; LEN(#REF!))), 1)) &lt;= 57)), 1) - 1), FIND(":",#REF!) + 2, LEN(#REF!))</f>
        <v>#REF!</v>
      </c>
      <c r="G591" s="227" t="e">
        <f>MID(LEFT(#REF!, FIND(",",#REF!) - 1), FIND("{token}", SUBSTITUTE(#REF!, " ", "{token}", 2)) + 1, LEN(#REF!))</f>
        <v>#REF!</v>
      </c>
      <c r="H591" s="165">
        <v>-6.21</v>
      </c>
      <c r="I591" s="260">
        <v>45397</v>
      </c>
      <c r="J591" s="230" t="s">
        <v>239</v>
      </c>
      <c r="K591" s="226">
        <v>45539</v>
      </c>
      <c r="L591" s="204"/>
      <c r="M591" s="222">
        <v>191</v>
      </c>
      <c r="N591" s="2" t="str">
        <f t="shared" ca="1" si="17"/>
        <v>CLOSED</v>
      </c>
    </row>
    <row r="592" spans="1:14" ht="18.75">
      <c r="A592" s="64" t="s">
        <v>23</v>
      </c>
      <c r="B592" s="98" t="e">
        <f>VLOOKUP([2]!Table27[[#This Row],[Location 
(drop-down)]],'[2]List source'!D$2:E$59,2,FALSE)</f>
        <v>#N/A</v>
      </c>
      <c r="C592" s="99" t="s">
        <v>1104</v>
      </c>
      <c r="D592" s="223" t="e">
        <f t="shared" si="18"/>
        <v>#N/A</v>
      </c>
      <c r="E592" s="227" t="s">
        <v>2509</v>
      </c>
      <c r="F592" s="165" t="s">
        <v>1566</v>
      </c>
      <c r="G592" s="227" t="e">
        <f>MID(LEFT(#REF!, FIND(",",#REF!) - 1), FIND("{token}", SUBSTITUTE(#REF!, " ", "{token}", 2)) + 1, LEN(#REF!))</f>
        <v>#REF!</v>
      </c>
      <c r="H592" s="165">
        <v>2.5299999999999998</v>
      </c>
      <c r="I592" s="230">
        <v>45427</v>
      </c>
      <c r="J592" s="230" t="s">
        <v>29</v>
      </c>
      <c r="K592" s="226">
        <v>45539</v>
      </c>
      <c r="L592" s="165"/>
      <c r="M592" s="222">
        <v>521</v>
      </c>
      <c r="N592" s="2" t="str">
        <f t="shared" ca="1" si="17"/>
        <v>CLOSED</v>
      </c>
    </row>
    <row r="593" spans="1:14" ht="30">
      <c r="A593" s="64" t="s">
        <v>495</v>
      </c>
      <c r="B593" s="98" t="e">
        <f>VLOOKUP([2]!Table27[[#This Row],[Location 
(drop-down)]],'[2]List source'!D$2:E$59,2,FALSE)</f>
        <v>#N/A</v>
      </c>
      <c r="C593" s="99" t="s">
        <v>2510</v>
      </c>
      <c r="D593" s="309" t="e">
        <f t="shared" si="18"/>
        <v>#N/A</v>
      </c>
      <c r="E593" s="227" t="s">
        <v>2511</v>
      </c>
      <c r="F593" s="165" t="e" cm="1">
        <f t="array" aca="1" ref="F593" ca="1">MID(LEFT(#REF!, INDEX(_xlfn._xlws.FILTER(ROW(INDIRECT("1:" &amp; LEN(#REF!))), (48 &lt;= CODE(MID(#REF!, ROW(INDIRECT("1:" &amp; LEN(#REF!))), 1))) * (CODE(MID(#REF!, ROW(INDIRECT("1:" &amp; LEN(#REF!))), 1)) &lt;= 57)), 1) - 1), FIND(":",#REF!) + 2, LEN(#REF!))</f>
        <v>#REF!</v>
      </c>
      <c r="G593" s="227" t="e">
        <f>MID(LEFT(#REF!, FIND(",",#REF!) - 1), FIND("{token}", SUBSTITUTE(#REF!, " ", "{token}", 2)) + 1, LEN(#REF!))</f>
        <v>#REF!</v>
      </c>
      <c r="H593" s="165">
        <v>2.1</v>
      </c>
      <c r="I593" s="230">
        <v>45533</v>
      </c>
      <c r="J593" s="230" t="s">
        <v>21</v>
      </c>
      <c r="K593" s="226">
        <v>45539</v>
      </c>
      <c r="L593" s="165"/>
      <c r="M593" s="222">
        <v>842</v>
      </c>
      <c r="N593" s="2" t="str">
        <f t="shared" ca="1" si="17"/>
        <v>CLOSED</v>
      </c>
    </row>
    <row r="594" spans="1:14" ht="18.75">
      <c r="A594" s="64" t="s">
        <v>314</v>
      </c>
      <c r="B594" s="98" t="e">
        <f>VLOOKUP([2]!Table27[[#This Row],[Location 
(drop-down)]],'[2]List source'!D$2:E$59,2,FALSE)</f>
        <v>#N/A</v>
      </c>
      <c r="C594" s="99" t="s">
        <v>2512</v>
      </c>
      <c r="D594" s="309" t="e">
        <f t="shared" si="18"/>
        <v>#N/A</v>
      </c>
      <c r="E594" s="227" t="s">
        <v>2513</v>
      </c>
      <c r="F594" s="165" t="e" cm="1">
        <f t="array" aca="1" ref="F594" ca="1">MID(LEFT(#REF!, INDEX(_xlfn._xlws.FILTER(ROW(INDIRECT("1:" &amp; LEN(#REF!))), (48 &lt;= CODE(MID(#REF!, ROW(INDIRECT("1:" &amp; LEN(#REF!))), 1))) * (CODE(MID(#REF!, ROW(INDIRECT("1:" &amp; LEN(#REF!))), 1)) &lt;= 57)), 1) - 1), FIND(":",#REF!) + 2, LEN(#REF!))</f>
        <v>#REF!</v>
      </c>
      <c r="G594" s="259" t="s">
        <v>2514</v>
      </c>
      <c r="H594" s="165">
        <v>2.81</v>
      </c>
      <c r="I594" s="230">
        <v>45534</v>
      </c>
      <c r="J594" s="230" t="s">
        <v>34</v>
      </c>
      <c r="K594" s="226">
        <v>45539</v>
      </c>
      <c r="L594" s="165" t="s">
        <v>1671</v>
      </c>
      <c r="M594" s="222">
        <v>876</v>
      </c>
      <c r="N594" s="2" t="str">
        <f t="shared" ca="1" si="17"/>
        <v>CLOSED</v>
      </c>
    </row>
    <row r="595" spans="1:14" ht="30">
      <c r="A595" s="64" t="s">
        <v>714</v>
      </c>
      <c r="B595" s="98" t="e">
        <f>VLOOKUP([2]!Table27[[#This Row],[Location 
(drop-down)]],'[2]List source'!D$2:E$59,2,FALSE)</f>
        <v>#N/A</v>
      </c>
      <c r="C595" s="99" t="s">
        <v>179</v>
      </c>
      <c r="D595" s="223" t="e">
        <f t="shared" si="18"/>
        <v>#N/A</v>
      </c>
      <c r="E595" s="227" t="s">
        <v>2515</v>
      </c>
      <c r="F595" s="165" t="s">
        <v>1520</v>
      </c>
      <c r="G595" s="227" t="e">
        <f>MID(LEFT(#REF!, FIND(",",#REF!) - 1), FIND("{token}", SUBSTITUTE(#REF!, " ", "{token}", 2)) + 1, LEN(#REF!))</f>
        <v>#REF!</v>
      </c>
      <c r="H595" s="236" t="s">
        <v>1653</v>
      </c>
      <c r="I595" s="230">
        <v>45426</v>
      </c>
      <c r="J595" s="230" t="s">
        <v>29</v>
      </c>
      <c r="K595" s="226">
        <v>45540</v>
      </c>
      <c r="L595" s="165"/>
      <c r="M595" s="222">
        <v>481</v>
      </c>
      <c r="N595" s="2" t="str">
        <f t="shared" ca="1" si="17"/>
        <v>CLOSED</v>
      </c>
    </row>
    <row r="596" spans="1:14" ht="30">
      <c r="A596" s="64" t="s">
        <v>714</v>
      </c>
      <c r="B596" s="98" t="e">
        <f>VLOOKUP([2]!Table27[[#This Row],[Location 
(drop-down)]],'[2]List source'!D$2:E$59,2,FALSE)</f>
        <v>#N/A</v>
      </c>
      <c r="C596" s="99" t="s">
        <v>595</v>
      </c>
      <c r="D596" s="223" t="e">
        <f t="shared" si="18"/>
        <v>#N/A</v>
      </c>
      <c r="E596" s="227" t="s">
        <v>2516</v>
      </c>
      <c r="F596" s="165" t="s">
        <v>1520</v>
      </c>
      <c r="G596" s="227" t="e">
        <f>MID(LEFT(#REF!, FIND(",",#REF!) - 1), FIND("{token}", SUBSTITUTE(#REF!, " ", "{token}", 2)) + 1, LEN(#REF!))</f>
        <v>#REF!</v>
      </c>
      <c r="H596" s="165">
        <v>2.5</v>
      </c>
      <c r="I596" s="230">
        <v>45426</v>
      </c>
      <c r="J596" s="230" t="s">
        <v>29</v>
      </c>
      <c r="K596" s="226">
        <v>45540</v>
      </c>
      <c r="L596" s="165"/>
      <c r="M596" s="222">
        <v>482</v>
      </c>
      <c r="N596" s="2" t="str">
        <f t="shared" ca="1" si="17"/>
        <v>CLOSED</v>
      </c>
    </row>
    <row r="597" spans="1:14" ht="30">
      <c r="A597" s="64" t="s">
        <v>714</v>
      </c>
      <c r="B597" s="98" t="e">
        <f>VLOOKUP([2]!Table27[[#This Row],[Location 
(drop-down)]],'[2]List source'!D$2:E$59,2,FALSE)</f>
        <v>#N/A</v>
      </c>
      <c r="C597" s="99" t="s">
        <v>2517</v>
      </c>
      <c r="D597" s="223" t="e">
        <f t="shared" si="18"/>
        <v>#N/A</v>
      </c>
      <c r="E597" s="227" t="s">
        <v>2518</v>
      </c>
      <c r="F597" s="165" t="s">
        <v>1566</v>
      </c>
      <c r="G597" s="227" t="e">
        <f>MID(LEFT(#REF!, FIND(",",#REF!) - 1), FIND("{token}", SUBSTITUTE(#REF!, " ", "{token}", 2)) + 1, LEN(#REF!))</f>
        <v>#REF!</v>
      </c>
      <c r="H597" s="165">
        <v>3</v>
      </c>
      <c r="I597" s="230">
        <v>45427</v>
      </c>
      <c r="J597" s="230" t="s">
        <v>29</v>
      </c>
      <c r="K597" s="226">
        <v>45540</v>
      </c>
      <c r="L597" s="165"/>
      <c r="M597" s="222">
        <v>529</v>
      </c>
      <c r="N597" s="2" t="str">
        <f t="shared" ca="1" si="17"/>
        <v>CLOSED</v>
      </c>
    </row>
    <row r="598" spans="1:14" ht="30">
      <c r="A598" s="64" t="s">
        <v>125</v>
      </c>
      <c r="B598" s="98" t="e">
        <f>VLOOKUP([2]!Table27[[#This Row],[Location 
(drop-down)]],'[2]List source'!D$2:E$59,2,FALSE)</f>
        <v>#N/A</v>
      </c>
      <c r="C598" s="99" t="s">
        <v>2519</v>
      </c>
      <c r="D598" s="223" t="e">
        <f t="shared" si="18"/>
        <v>#N/A</v>
      </c>
      <c r="E598" s="227" t="s">
        <v>2520</v>
      </c>
      <c r="F598" s="165" t="e" cm="1">
        <f t="array" aca="1" ref="F598" ca="1">MID(LEFT(#REF!, INDEX(_xlfn._xlws.FILTER(ROW(INDIRECT("1:" &amp; LEN(#REF!))), (48 &lt;= CODE(MID(#REF!, ROW(INDIRECT("1:" &amp; LEN(#REF!))), 1))) * (CODE(MID(#REF!, ROW(INDIRECT("1:" &amp; LEN(#REF!))), 1)) &lt;= 57)), 1) - 1), FIND(":",#REF!) + 2, LEN(#REF!))</f>
        <v>#REF!</v>
      </c>
      <c r="G598" s="227" t="e">
        <f>MID(LEFT(#REF!, FIND(",",#REF!) - 1), FIND("{token}", SUBSTITUTE(#REF!, " ", "{token}", 2)) + 1, LEN(#REF!))</f>
        <v>#REF!</v>
      </c>
      <c r="H598" s="165" t="s">
        <v>1579</v>
      </c>
      <c r="I598" s="230">
        <v>45435</v>
      </c>
      <c r="J598" s="230" t="s">
        <v>239</v>
      </c>
      <c r="K598" s="226">
        <v>45540</v>
      </c>
      <c r="L598" s="165"/>
      <c r="M598" s="222">
        <v>613</v>
      </c>
      <c r="N598" s="2" t="str">
        <f t="shared" ca="1" si="17"/>
        <v>CLOSED</v>
      </c>
    </row>
    <row r="599" spans="1:14" ht="30">
      <c r="A599" s="64" t="s">
        <v>202</v>
      </c>
      <c r="B599" s="98" t="e">
        <f>VLOOKUP([2]!Table27[[#This Row],[Location 
(drop-down)]],'[2]List source'!D$2:E$59,2,FALSE)</f>
        <v>#N/A</v>
      </c>
      <c r="C599" s="99" t="s">
        <v>2521</v>
      </c>
      <c r="D599" s="223" t="e">
        <f t="shared" si="18"/>
        <v>#N/A</v>
      </c>
      <c r="E599" s="227" t="s">
        <v>2522</v>
      </c>
      <c r="F599" s="165" t="e" cm="1">
        <f t="array" aca="1" ref="F599" ca="1">MID(LEFT(#REF!, INDEX(_xlfn._xlws.FILTER(ROW(INDIRECT("1:" &amp; LEN(#REF!))), (48 &lt;= CODE(MID(#REF!, ROW(INDIRECT("1:" &amp; LEN(#REF!))), 1))) * (CODE(MID(#REF!, ROW(INDIRECT("1:" &amp; LEN(#REF!))), 1)) &lt;= 57)), 1) - 1), FIND(":",#REF!) + 2, LEN(#REF!))</f>
        <v>#REF!</v>
      </c>
      <c r="G599" s="227" t="e">
        <f>MID(LEFT(#REF!, FIND(",",#REF!) - 1), FIND("{token}", SUBSTITUTE(#REF!, " ", "{token}", 2)) + 1, LEN(#REF!))</f>
        <v>#REF!</v>
      </c>
      <c r="H599" s="236" t="s">
        <v>2523</v>
      </c>
      <c r="I599" s="230">
        <v>45435</v>
      </c>
      <c r="J599" s="230" t="s">
        <v>34</v>
      </c>
      <c r="K599" s="226">
        <v>45540</v>
      </c>
      <c r="L599" s="165" t="s">
        <v>2524</v>
      </c>
      <c r="M599" s="222">
        <v>635</v>
      </c>
      <c r="N599" s="2" t="str">
        <f t="shared" ca="1" si="17"/>
        <v>CLOSED</v>
      </c>
    </row>
    <row r="600" spans="1:14" ht="18.75">
      <c r="A600" s="64" t="s">
        <v>264</v>
      </c>
      <c r="B600" s="98" t="e">
        <f>VLOOKUP([2]!Table27[[#This Row],[Location 
(drop-down)]],'[2]List source'!D$2:E$59,2,FALSE)</f>
        <v>#N/A</v>
      </c>
      <c r="C600" s="99" t="s">
        <v>2525</v>
      </c>
      <c r="D600" s="309" t="e">
        <f t="shared" si="18"/>
        <v>#N/A</v>
      </c>
      <c r="E600" s="227" t="s">
        <v>2526</v>
      </c>
      <c r="F600" s="165" t="e" cm="1">
        <f t="array" aca="1" ref="F600" ca="1">MID(LEFT(#REF!, INDEX(_xlfn._xlws.FILTER(ROW(INDIRECT("1:" &amp; LEN(#REF!))), (48 &lt;= CODE(MID(#REF!, ROW(INDIRECT("1:" &amp; LEN(#REF!))), 1))) * (CODE(MID(#REF!, ROW(INDIRECT("1:" &amp; LEN(#REF!))), 1)) &lt;= 57)), 1) - 1), FIND(":",#REF!) + 2, LEN(#REF!))</f>
        <v>#REF!</v>
      </c>
      <c r="G600" s="227" t="e">
        <f>MID(LEFT(#REF!, FIND(",",#REF!) - 1), FIND("{token}", SUBSTITUTE(#REF!, " ", "{token}", 2)) + 1, LEN(#REF!))</f>
        <v>#REF!</v>
      </c>
      <c r="H600" s="165">
        <v>2.38</v>
      </c>
      <c r="I600" s="230">
        <v>45534</v>
      </c>
      <c r="J600" s="230" t="s">
        <v>34</v>
      </c>
      <c r="K600" s="226">
        <v>45540</v>
      </c>
      <c r="L600" s="165" t="s">
        <v>1505</v>
      </c>
      <c r="M600" s="222">
        <v>870</v>
      </c>
      <c r="N600" s="2" t="str">
        <f t="shared" ref="N600:N663" ca="1" si="19">IF(ISBLANK(K600), TODAY()-(I600), "CLOSED")</f>
        <v>CLOSED</v>
      </c>
    </row>
    <row r="601" spans="1:14" ht="30">
      <c r="A601" s="64" t="s">
        <v>591</v>
      </c>
      <c r="B601" s="98" t="e">
        <f>VLOOKUP([2]!Table27[[#This Row],[Location 
(drop-down)]],'[2]List source'!D$2:E$59,2,FALSE)</f>
        <v>#N/A</v>
      </c>
      <c r="C601" s="99" t="s">
        <v>2527</v>
      </c>
      <c r="D601" s="309" t="e">
        <f t="shared" si="18"/>
        <v>#N/A</v>
      </c>
      <c r="E601" s="227" t="s">
        <v>2528</v>
      </c>
      <c r="F601" s="165" t="e" cm="1">
        <f t="array" aca="1" ref="F601" ca="1">MID(LEFT(#REF!, INDEX(_xlfn._xlws.FILTER(ROW(INDIRECT("1:" &amp; LEN(#REF!))), (48 &lt;= CODE(MID(#REF!, ROW(INDIRECT("1:" &amp; LEN(#REF!))), 1))) * (CODE(MID(#REF!, ROW(INDIRECT("1:" &amp; LEN(#REF!))), 1)) &lt;= 57)), 1) - 1), FIND(":",#REF!) + 2, LEN(#REF!))</f>
        <v>#REF!</v>
      </c>
      <c r="G601" s="227" t="e">
        <f>MID(LEFT(#REF!, FIND(",",#REF!) - 1), FIND("{token}", SUBSTITUTE(#REF!, " ", "{token}", 2)) + 1, LEN(#REF!))</f>
        <v>#REF!</v>
      </c>
      <c r="H601" s="236" t="s">
        <v>1953</v>
      </c>
      <c r="I601" s="230">
        <v>45540</v>
      </c>
      <c r="J601" s="230" t="s">
        <v>34</v>
      </c>
      <c r="K601" s="226">
        <v>45540</v>
      </c>
      <c r="L601" s="165" t="s">
        <v>1671</v>
      </c>
      <c r="M601" s="222">
        <v>903</v>
      </c>
      <c r="N601" s="2" t="str">
        <f t="shared" ca="1" si="19"/>
        <v>CLOSED</v>
      </c>
    </row>
    <row r="602" spans="1:14" ht="30">
      <c r="A602" s="64" t="s">
        <v>125</v>
      </c>
      <c r="B602" s="98" t="e">
        <f>VLOOKUP([2]!Table27[[#This Row],[Location 
(drop-down)]],'[2]List source'!D$2:E$59,2,FALSE)</f>
        <v>#N/A</v>
      </c>
      <c r="C602" s="99" t="s">
        <v>2529</v>
      </c>
      <c r="D602" s="309" t="e">
        <f t="shared" si="18"/>
        <v>#N/A</v>
      </c>
      <c r="E602" s="227" t="s">
        <v>2528</v>
      </c>
      <c r="F602" s="165" t="e" cm="1">
        <f t="array" aca="1" ref="F602" ca="1">MID(LEFT(#REF!, INDEX(_xlfn._xlws.FILTER(ROW(INDIRECT("1:" &amp; LEN(#REF!))), (48 &lt;= CODE(MID(#REF!, ROW(INDIRECT("1:" &amp; LEN(#REF!))), 1))) * (CODE(MID(#REF!, ROW(INDIRECT("1:" &amp; LEN(#REF!))), 1)) &lt;= 57)), 1) - 1), FIND(":",#REF!) + 2, LEN(#REF!))</f>
        <v>#REF!</v>
      </c>
      <c r="G602" s="227" t="e">
        <f>MID(LEFT(#REF!, FIND(",",#REF!) - 1), FIND("{token}", SUBSTITUTE(#REF!, " ", "{token}", 2)) + 1, LEN(#REF!))</f>
        <v>#REF!</v>
      </c>
      <c r="H602" s="236" t="s">
        <v>2530</v>
      </c>
      <c r="I602" s="230">
        <v>45540</v>
      </c>
      <c r="J602" s="230" t="s">
        <v>34</v>
      </c>
      <c r="K602" s="226">
        <v>45540</v>
      </c>
      <c r="L602" s="165" t="s">
        <v>1671</v>
      </c>
      <c r="M602" s="222">
        <v>905</v>
      </c>
      <c r="N602" s="2" t="str">
        <f t="shared" ca="1" si="19"/>
        <v>CLOSED</v>
      </c>
    </row>
    <row r="603" spans="1:14" ht="30">
      <c r="A603" s="64" t="s">
        <v>30</v>
      </c>
      <c r="B603" s="98" t="e">
        <f>VLOOKUP([2]!Table27[[#This Row],[Location 
(drop-down)]],'[2]List source'!D$2:E$59,2,FALSE)</f>
        <v>#N/A</v>
      </c>
      <c r="C603" s="99" t="s">
        <v>2531</v>
      </c>
      <c r="D603" s="309" t="e">
        <f t="shared" si="18"/>
        <v>#N/A</v>
      </c>
      <c r="E603" s="251" t="s">
        <v>2532</v>
      </c>
      <c r="F603" s="274" t="e" cm="1">
        <f t="array" aca="1" ref="F603" ca="1">MID(LEFT(#REF!, INDEX(_xlfn._xlws.FILTER(ROW(INDIRECT("1:" &amp; LEN(#REF!))), (48 &lt;= CODE(MID(#REF!, ROW(INDIRECT("1:" &amp; LEN(#REF!))), 1))) * (CODE(MID(#REF!, ROW(INDIRECT("1:" &amp; LEN(#REF!))), 1)) &lt;= 57)), 1) - 1), FIND(":",#REF!) + 2, LEN(#REF!))</f>
        <v>#REF!</v>
      </c>
      <c r="G603" s="251" t="e">
        <f>MID(LEFT(#REF!, FIND(",",#REF!) - 1), FIND("{token}", SUBSTITUTE(#REF!, " ", "{token}", 2)) + 1, LEN(#REF!))</f>
        <v>#REF!</v>
      </c>
      <c r="H603" s="303" t="s">
        <v>2533</v>
      </c>
      <c r="I603" s="230">
        <v>45540</v>
      </c>
      <c r="J603" s="230" t="s">
        <v>34</v>
      </c>
      <c r="K603" s="320">
        <v>45540</v>
      </c>
      <c r="L603" s="274" t="s">
        <v>1671</v>
      </c>
      <c r="M603" s="297">
        <v>906</v>
      </c>
      <c r="N603" s="2" t="str">
        <f t="shared" ca="1" si="19"/>
        <v>CLOSED</v>
      </c>
    </row>
    <row r="604" spans="1:14" ht="18.75">
      <c r="A604" s="64" t="s">
        <v>103</v>
      </c>
      <c r="B604" s="98" t="e">
        <f>VLOOKUP([2]!Table27[[#This Row],[Location 
(drop-down)]],'[2]List source'!D$2:E$59,2,FALSE)</f>
        <v>#N/A</v>
      </c>
      <c r="C604" s="99" t="s">
        <v>2534</v>
      </c>
      <c r="D604" s="309" t="e">
        <f t="shared" si="18"/>
        <v>#N/A</v>
      </c>
      <c r="E604" s="227" t="s">
        <v>2535</v>
      </c>
      <c r="F604" s="165" t="e" cm="1">
        <f t="array" aca="1" ref="F604" ca="1">MID(LEFT(#REF!, INDEX(_xlfn._xlws.FILTER(ROW(INDIRECT("1:" &amp; LEN(#REF!))), (48 &lt;= CODE(MID(#REF!, ROW(INDIRECT("1:" &amp; LEN(#REF!))), 1))) * (CODE(MID(#REF!, ROW(INDIRECT("1:" &amp; LEN(#REF!))), 1)) &lt;= 57)), 1) - 1), FIND(":",#REF!) + 2, LEN(#REF!))</f>
        <v>#REF!</v>
      </c>
      <c r="G604" s="227" t="e">
        <f>MID(LEFT(#REF!, FIND(",",#REF!) - 1), FIND("{token}", SUBSTITUTE(#REF!, " ", "{token}", 2)) + 1, LEN(#REF!))</f>
        <v>#REF!</v>
      </c>
      <c r="H604" s="236" t="s">
        <v>2536</v>
      </c>
      <c r="I604" s="230">
        <v>45540</v>
      </c>
      <c r="J604" s="230" t="s">
        <v>34</v>
      </c>
      <c r="K604" s="226">
        <v>45540</v>
      </c>
      <c r="L604" s="165" t="s">
        <v>1671</v>
      </c>
      <c r="M604" s="222">
        <v>907</v>
      </c>
      <c r="N604" s="2" t="str">
        <f t="shared" ca="1" si="19"/>
        <v>CLOSED</v>
      </c>
    </row>
    <row r="605" spans="1:14" ht="30">
      <c r="A605" s="64" t="s">
        <v>73</v>
      </c>
      <c r="B605" s="98" t="e">
        <f>VLOOKUP([2]!Table27[[#This Row],[Location 
(drop-down)]],'[2]List source'!D$2:E$59,2,FALSE)</f>
        <v>#N/A</v>
      </c>
      <c r="C605" s="99" t="s">
        <v>2537</v>
      </c>
      <c r="D605" s="309" t="e">
        <f t="shared" si="18"/>
        <v>#N/A</v>
      </c>
      <c r="E605" s="227" t="s">
        <v>2538</v>
      </c>
      <c r="F605" s="165" t="e" cm="1">
        <f t="array" aca="1" ref="F605" ca="1">MID(LEFT(#REF!, INDEX(_xlfn._xlws.FILTER(ROW(INDIRECT("1:" &amp; LEN(#REF!))), (48 &lt;= CODE(MID(#REF!, ROW(INDIRECT("1:" &amp; LEN(#REF!))), 1))) * (CODE(MID(#REF!, ROW(INDIRECT("1:" &amp; LEN(#REF!))), 1)) &lt;= 57)), 1) - 1), FIND(":",#REF!) + 2, LEN(#REF!))</f>
        <v>#REF!</v>
      </c>
      <c r="G605" s="227" t="e">
        <f>MID(LEFT(#REF!, FIND(",",#REF!) - 1), FIND("{token}", SUBSTITUTE(#REF!, " ", "{token}", 2)) + 1, LEN(#REF!))</f>
        <v>#REF!</v>
      </c>
      <c r="H605" s="236" t="s">
        <v>2539</v>
      </c>
      <c r="I605" s="230">
        <v>45540</v>
      </c>
      <c r="J605" s="230" t="s">
        <v>34</v>
      </c>
      <c r="K605" s="226">
        <v>45540</v>
      </c>
      <c r="L605" s="165" t="s">
        <v>1671</v>
      </c>
      <c r="M605" s="222">
        <v>912</v>
      </c>
      <c r="N605" s="2" t="str">
        <f t="shared" ca="1" si="19"/>
        <v>CLOSED</v>
      </c>
    </row>
    <row r="606" spans="1:14" ht="30">
      <c r="A606" s="64" t="s">
        <v>485</v>
      </c>
      <c r="B606" s="98" t="e">
        <f>VLOOKUP([2]!Table27[[#This Row],[Location 
(drop-down)]],'[2]List source'!D$2:E$59,2,FALSE)</f>
        <v>#N/A</v>
      </c>
      <c r="C606" s="99" t="s">
        <v>2540</v>
      </c>
      <c r="D606" s="309" t="e">
        <f t="shared" si="18"/>
        <v>#N/A</v>
      </c>
      <c r="E606" s="227" t="s">
        <v>2541</v>
      </c>
      <c r="F606" s="165" t="e" cm="1">
        <f t="array" aca="1" ref="F606" ca="1">MID(LEFT(#REF!, INDEX(_xlfn._xlws.FILTER(ROW(INDIRECT("1:" &amp; LEN(#REF!))), (48 &lt;= CODE(MID(#REF!, ROW(INDIRECT("1:" &amp; LEN(#REF!))), 1))) * (CODE(MID(#REF!, ROW(INDIRECT("1:" &amp; LEN(#REF!))), 1)) &lt;= 57)), 1) - 1), FIND(":",#REF!) + 2, LEN(#REF!))</f>
        <v>#REF!</v>
      </c>
      <c r="G606" s="227" t="e">
        <f>MID(LEFT(#REF!, FIND(",",#REF!) - 1), FIND("{token}", SUBSTITUTE(#REF!, " ", "{token}", 2)) + 1, LEN(#REF!))</f>
        <v>#REF!</v>
      </c>
      <c r="H606" s="165">
        <v>-2.4700000000000002</v>
      </c>
      <c r="I606" s="230">
        <v>45540</v>
      </c>
      <c r="J606" s="230" t="s">
        <v>34</v>
      </c>
      <c r="K606" s="226">
        <v>45540</v>
      </c>
      <c r="L606" s="165" t="s">
        <v>1671</v>
      </c>
      <c r="M606" s="222">
        <v>914</v>
      </c>
      <c r="N606" s="2" t="str">
        <f t="shared" ca="1" si="19"/>
        <v>CLOSED</v>
      </c>
    </row>
    <row r="607" spans="1:14" ht="30">
      <c r="A607" s="64" t="s">
        <v>500</v>
      </c>
      <c r="B607" s="98" t="e">
        <f>VLOOKUP([2]!Table27[[#This Row],[Location 
(drop-down)]],'[2]List source'!D$2:E$59,2,FALSE)</f>
        <v>#N/A</v>
      </c>
      <c r="C607" s="99" t="s">
        <v>2542</v>
      </c>
      <c r="D607" s="309" t="e">
        <f t="shared" si="18"/>
        <v>#N/A</v>
      </c>
      <c r="E607" s="227" t="s">
        <v>2543</v>
      </c>
      <c r="F607" s="165" t="e" cm="1">
        <f t="array" aca="1" ref="F607" ca="1">MID(LEFT(#REF!, INDEX(_xlfn._xlws.FILTER(ROW(INDIRECT("1:" &amp; LEN(#REF!))), (48 &lt;= CODE(MID(#REF!, ROW(INDIRECT("1:" &amp; LEN(#REF!))), 1))) * (CODE(MID(#REF!, ROW(INDIRECT("1:" &amp; LEN(#REF!))), 1)) &lt;= 57)), 1) - 1), FIND(":",#REF!) + 2, LEN(#REF!))</f>
        <v>#REF!</v>
      </c>
      <c r="G607" s="227" t="e">
        <f>MID(LEFT(#REF!, FIND(",",#REF!) - 1), FIND("{token}", SUBSTITUTE(#REF!, " ", "{token}", 2)) + 1, LEN(#REF!))</f>
        <v>#REF!</v>
      </c>
      <c r="H607" s="165">
        <v>2.02</v>
      </c>
      <c r="I607" s="230">
        <v>45540</v>
      </c>
      <c r="J607" s="230" t="s">
        <v>34</v>
      </c>
      <c r="K607" s="226">
        <v>45540</v>
      </c>
      <c r="L607" s="165" t="s">
        <v>1671</v>
      </c>
      <c r="M607" s="222">
        <v>917</v>
      </c>
      <c r="N607" s="2" t="str">
        <f t="shared" ca="1" si="19"/>
        <v>CLOSED</v>
      </c>
    </row>
    <row r="608" spans="1:14" ht="30">
      <c r="A608" s="64" t="s">
        <v>500</v>
      </c>
      <c r="B608" s="98" t="e">
        <f>VLOOKUP([2]!Table27[[#This Row],[Location 
(drop-down)]],'[2]List source'!D$2:E$59,2,FALSE)</f>
        <v>#N/A</v>
      </c>
      <c r="C608" s="99" t="s">
        <v>2544</v>
      </c>
      <c r="D608" s="309" t="e">
        <f t="shared" si="18"/>
        <v>#N/A</v>
      </c>
      <c r="E608" s="227" t="s">
        <v>2545</v>
      </c>
      <c r="F608" s="165" t="e" cm="1">
        <f t="array" aca="1" ref="F608" ca="1">MID(LEFT(#REF!, INDEX(_xlfn._xlws.FILTER(ROW(INDIRECT("1:" &amp; LEN(#REF!))), (48 &lt;= CODE(MID(#REF!, ROW(INDIRECT("1:" &amp; LEN(#REF!))), 1))) * (CODE(MID(#REF!, ROW(INDIRECT("1:" &amp; LEN(#REF!))), 1)) &lt;= 57)), 1) - 1), FIND(":",#REF!) + 2, LEN(#REF!))</f>
        <v>#REF!</v>
      </c>
      <c r="G608" s="227" t="e">
        <f>MID(LEFT(#REF!, FIND(",",#REF!) - 1), FIND("{token}", SUBSTITUTE(#REF!, " ", "{token}", 2)) + 1, LEN(#REF!))</f>
        <v>#REF!</v>
      </c>
      <c r="H608" s="236" t="s">
        <v>2546</v>
      </c>
      <c r="I608" s="230">
        <v>45540</v>
      </c>
      <c r="J608" s="230" t="s">
        <v>34</v>
      </c>
      <c r="K608" s="226">
        <v>45540</v>
      </c>
      <c r="L608" s="165" t="s">
        <v>1671</v>
      </c>
      <c r="M608" s="222">
        <v>918</v>
      </c>
      <c r="N608" s="2" t="str">
        <f t="shared" ca="1" si="19"/>
        <v>CLOSED</v>
      </c>
    </row>
    <row r="609" spans="1:14" ht="30">
      <c r="A609" s="64" t="s">
        <v>500</v>
      </c>
      <c r="B609" s="98" t="e">
        <f>VLOOKUP([2]!Table27[[#This Row],[Location 
(drop-down)]],'[2]List source'!D$2:E$59,2,FALSE)</f>
        <v>#N/A</v>
      </c>
      <c r="C609" s="99" t="s">
        <v>2547</v>
      </c>
      <c r="D609" s="309" t="e">
        <f t="shared" si="18"/>
        <v>#N/A</v>
      </c>
      <c r="E609" s="227" t="s">
        <v>2548</v>
      </c>
      <c r="F609" s="165" t="e" cm="1">
        <f t="array" aca="1" ref="F609" ca="1">MID(LEFT(#REF!, INDEX(_xlfn._xlws.FILTER(ROW(INDIRECT("1:" &amp; LEN(#REF!))), (48 &lt;= CODE(MID(#REF!, ROW(INDIRECT("1:" &amp; LEN(#REF!))), 1))) * (CODE(MID(#REF!, ROW(INDIRECT("1:" &amp; LEN(#REF!))), 1)) &lt;= 57)), 1) - 1), FIND(":",#REF!) + 2, LEN(#REF!))</f>
        <v>#REF!</v>
      </c>
      <c r="G609" s="227" t="e">
        <f>MID(LEFT(#REF!, FIND(",",#REF!) - 1), FIND("{token}", SUBSTITUTE(#REF!, " ", "{token}", 2)) + 1, LEN(#REF!))</f>
        <v>#REF!</v>
      </c>
      <c r="H609" s="236" t="s">
        <v>2549</v>
      </c>
      <c r="I609" s="230">
        <v>45540</v>
      </c>
      <c r="J609" s="230" t="s">
        <v>34</v>
      </c>
      <c r="K609" s="226">
        <v>45540</v>
      </c>
      <c r="L609" s="165" t="s">
        <v>1671</v>
      </c>
      <c r="M609" s="222">
        <v>920</v>
      </c>
      <c r="N609" s="2" t="str">
        <f t="shared" ca="1" si="19"/>
        <v>CLOSED</v>
      </c>
    </row>
    <row r="610" spans="1:14" ht="30">
      <c r="A610" s="64" t="s">
        <v>518</v>
      </c>
      <c r="B610" s="98" t="e">
        <f>VLOOKUP([2]!Table27[[#This Row],[Location 
(drop-down)]],'[2]List source'!D$2:E$59,2,FALSE)</f>
        <v>#N/A</v>
      </c>
      <c r="C610" s="99" t="s">
        <v>2550</v>
      </c>
      <c r="D610" s="309" t="e">
        <f t="shared" si="18"/>
        <v>#N/A</v>
      </c>
      <c r="E610" s="227" t="s">
        <v>2551</v>
      </c>
      <c r="F610" s="165" t="e" cm="1">
        <f t="array" aca="1" ref="F610" ca="1">MID(LEFT(#REF!, INDEX(_xlfn._xlws.FILTER(ROW(INDIRECT("1:" &amp; LEN(#REF!))), (48 &lt;= CODE(MID(#REF!, ROW(INDIRECT("1:" &amp; LEN(#REF!))), 1))) * (CODE(MID(#REF!, ROW(INDIRECT("1:" &amp; LEN(#REF!))), 1)) &lt;= 57)), 1) - 1), FIND(":",#REF!) + 2, LEN(#REF!))</f>
        <v>#REF!</v>
      </c>
      <c r="G610" s="227" t="e">
        <f>MID(LEFT(#REF!, FIND(",",#REF!) - 1), FIND("{token}", SUBSTITUTE(#REF!, " ", "{token}", 2)) + 1, LEN(#REF!))</f>
        <v>#REF!</v>
      </c>
      <c r="H610" s="236" t="s">
        <v>1762</v>
      </c>
      <c r="I610" s="230">
        <v>45540</v>
      </c>
      <c r="J610" s="230" t="s">
        <v>34</v>
      </c>
      <c r="K610" s="226">
        <v>45540</v>
      </c>
      <c r="L610" s="165" t="s">
        <v>1671</v>
      </c>
      <c r="M610" s="222">
        <v>922</v>
      </c>
      <c r="N610" s="2" t="str">
        <f t="shared" ca="1" si="19"/>
        <v>CLOSED</v>
      </c>
    </row>
    <row r="611" spans="1:14" ht="30">
      <c r="A611" s="64" t="s">
        <v>518</v>
      </c>
      <c r="B611" s="98" t="e">
        <f>VLOOKUP([2]!Table27[[#This Row],[Location 
(drop-down)]],'[2]List source'!D$2:E$59,2,FALSE)</f>
        <v>#N/A</v>
      </c>
      <c r="C611" s="99" t="s">
        <v>2552</v>
      </c>
      <c r="D611" s="309" t="e">
        <f t="shared" si="18"/>
        <v>#N/A</v>
      </c>
      <c r="E611" s="227" t="s">
        <v>2553</v>
      </c>
      <c r="F611" s="165" t="e" cm="1">
        <f t="array" aca="1" ref="F611" ca="1">MID(LEFT(#REF!, INDEX(_xlfn._xlws.FILTER(ROW(INDIRECT("1:" &amp; LEN(#REF!))), (48 &lt;= CODE(MID(#REF!, ROW(INDIRECT("1:" &amp; LEN(#REF!))), 1))) * (CODE(MID(#REF!, ROW(INDIRECT("1:" &amp; LEN(#REF!))), 1)) &lt;= 57)), 1) - 1), FIND(":",#REF!) + 2, LEN(#REF!))</f>
        <v>#REF!</v>
      </c>
      <c r="G611" s="227" t="e">
        <f>MID(LEFT(#REF!, FIND(",",#REF!) - 1), FIND("{token}", SUBSTITUTE(#REF!, " ", "{token}", 2)) + 1, LEN(#REF!))</f>
        <v>#REF!</v>
      </c>
      <c r="H611" s="236" t="s">
        <v>2042</v>
      </c>
      <c r="I611" s="230">
        <v>45540</v>
      </c>
      <c r="J611" s="230" t="s">
        <v>34</v>
      </c>
      <c r="K611" s="226">
        <v>45540</v>
      </c>
      <c r="L611" s="165" t="s">
        <v>1671</v>
      </c>
      <c r="M611" s="222">
        <v>923</v>
      </c>
      <c r="N611" s="2" t="str">
        <f t="shared" ca="1" si="19"/>
        <v>CLOSED</v>
      </c>
    </row>
    <row r="612" spans="1:14" ht="18.75">
      <c r="A612" s="64" t="s">
        <v>23</v>
      </c>
      <c r="B612" s="98" t="e">
        <f>VLOOKUP([2]!Table27[[#This Row],[Location 
(drop-down)]],'[2]List source'!D$2:E$59,2,FALSE)</f>
        <v>#N/A</v>
      </c>
      <c r="C612" s="99" t="s">
        <v>2554</v>
      </c>
      <c r="D612" s="309" t="e">
        <f t="shared" si="18"/>
        <v>#N/A</v>
      </c>
      <c r="E612" s="251" t="s">
        <v>2555</v>
      </c>
      <c r="F612" s="274" t="e" cm="1">
        <f t="array" aca="1" ref="F612" ca="1">MID(LEFT(#REF!, INDEX(_xlfn._xlws.FILTER(ROW(INDIRECT("1:" &amp; LEN(#REF!))), (48 &lt;= CODE(MID(#REF!, ROW(INDIRECT("1:" &amp; LEN(#REF!))), 1))) * (CODE(MID(#REF!, ROW(INDIRECT("1:" &amp; LEN(#REF!))), 1)) &lt;= 57)), 1) - 1), FIND(":",#REF!) + 2, LEN(#REF!))</f>
        <v>#REF!</v>
      </c>
      <c r="G612" s="251" t="e">
        <f>MID(LEFT(#REF!, FIND(",",#REF!) - 1), FIND("{token}", SUBSTITUTE(#REF!, " ", "{token}", 2)) + 1, LEN(#REF!))</f>
        <v>#REF!</v>
      </c>
      <c r="H612" s="303" t="s">
        <v>2556</v>
      </c>
      <c r="I612" s="230">
        <v>45540</v>
      </c>
      <c r="J612" s="230" t="s">
        <v>34</v>
      </c>
      <c r="K612" s="226">
        <v>45540</v>
      </c>
      <c r="L612" s="165" t="s">
        <v>1671</v>
      </c>
      <c r="M612" s="222">
        <v>925</v>
      </c>
      <c r="N612" s="2" t="str">
        <f t="shared" ca="1" si="19"/>
        <v>CLOSED</v>
      </c>
    </row>
    <row r="613" spans="1:14" ht="30">
      <c r="A613" s="64" t="s">
        <v>714</v>
      </c>
      <c r="B613" s="98" t="e">
        <f>VLOOKUP([2]!Table27[[#This Row],[Location 
(drop-down)]],'[2]List source'!D$2:E$59,2,FALSE)</f>
        <v>#N/A</v>
      </c>
      <c r="C613" s="99" t="s">
        <v>2557</v>
      </c>
      <c r="D613" s="321" t="e">
        <f t="shared" si="18"/>
        <v>#N/A</v>
      </c>
      <c r="E613" s="252" t="s">
        <v>2558</v>
      </c>
      <c r="F613" s="275" t="e" cm="1">
        <f t="array" aca="1" ref="F613" ca="1">MID(LEFT(#REF!, INDEX(_xlfn._xlws.FILTER(ROW(INDIRECT("1:" &amp; LEN(#REF!))), (48 &lt;= CODE(MID(#REF!, ROW(INDIRECT("1:" &amp; LEN(#REF!))), 1))) * (CODE(MID(#REF!, ROW(INDIRECT("1:" &amp; LEN(#REF!))), 1)) &lt;= 57)), 1) - 1), FIND(":",#REF!) + 2, LEN(#REF!))</f>
        <v>#REF!</v>
      </c>
      <c r="G613" s="252" t="e">
        <f>MID(LEFT(#REF!, FIND(",",#REF!) - 1), FIND("{token}", SUBSTITUTE(#REF!, " ", "{token}", 2)) + 1, LEN(#REF!))</f>
        <v>#REF!</v>
      </c>
      <c r="H613" s="319" t="s">
        <v>1764</v>
      </c>
      <c r="I613" s="289">
        <v>45540</v>
      </c>
      <c r="J613" s="230" t="s">
        <v>34</v>
      </c>
      <c r="K613" s="226">
        <v>45540</v>
      </c>
      <c r="L613" s="165" t="s">
        <v>1671</v>
      </c>
      <c r="M613" s="222">
        <v>926</v>
      </c>
      <c r="N613" s="2" t="str">
        <f t="shared" ca="1" si="19"/>
        <v>CLOSED</v>
      </c>
    </row>
    <row r="614" spans="1:14" ht="18.75">
      <c r="A614" s="64" t="s">
        <v>43</v>
      </c>
      <c r="B614" s="98" t="e">
        <f>VLOOKUP([2]!Table27[[#This Row],[Location 
(drop-down)]],'[2]List source'!D$2:E$59,2,FALSE)</f>
        <v>#N/A</v>
      </c>
      <c r="C614" s="99" t="s">
        <v>2559</v>
      </c>
      <c r="D614" s="309" t="e">
        <f t="shared" si="18"/>
        <v>#N/A</v>
      </c>
      <c r="E614" s="215" t="s">
        <v>2560</v>
      </c>
      <c r="F614" s="214" t="e" cm="1">
        <f t="array" aca="1" ref="F614" ca="1">MID(LEFT(#REF!, INDEX(_xlfn._xlws.FILTER(ROW(INDIRECT("1:" &amp; LEN(#REF!))), (48 &lt;= CODE(MID(#REF!, ROW(INDIRECT("1:" &amp; LEN(#REF!))), 1))) * (CODE(MID(#REF!, ROW(INDIRECT("1:" &amp; LEN(#REF!))), 1)) &lt;= 57)), 1) - 1), FIND(":",#REF!) + 2, LEN(#REF!))</f>
        <v>#REF!</v>
      </c>
      <c r="G614" s="215" t="e">
        <f>MID(LEFT(#REF!, FIND(",",#REF!) - 1), FIND("{token}", SUBSTITUTE(#REF!, " ", "{token}", 2)) + 1, LEN(#REF!))</f>
        <v>#REF!</v>
      </c>
      <c r="H614" s="214">
        <v>3.13</v>
      </c>
      <c r="I614" s="230">
        <v>45533</v>
      </c>
      <c r="J614" s="230" t="s">
        <v>29</v>
      </c>
      <c r="K614" s="226">
        <v>45541</v>
      </c>
      <c r="L614" s="165"/>
      <c r="M614" s="222">
        <v>846</v>
      </c>
      <c r="N614" s="2" t="str">
        <f t="shared" ca="1" si="19"/>
        <v>CLOSED</v>
      </c>
    </row>
    <row r="615" spans="1:14" ht="18.75">
      <c r="A615" s="64" t="s">
        <v>462</v>
      </c>
      <c r="B615" s="98" t="e">
        <f>VLOOKUP([2]!Table27[[#This Row],[Location 
(drop-down)]],'[2]List source'!D$2:E$59,2,FALSE)</f>
        <v>#N/A</v>
      </c>
      <c r="C615" s="99" t="s">
        <v>2561</v>
      </c>
      <c r="D615" s="309" t="e">
        <f t="shared" si="18"/>
        <v>#N/A</v>
      </c>
      <c r="E615" s="227" t="s">
        <v>2562</v>
      </c>
      <c r="F615" s="165" t="e" cm="1">
        <f t="array" aca="1" ref="F615" ca="1">MID(LEFT(#REF!, INDEX(_xlfn._xlws.FILTER(ROW(INDIRECT("1:" &amp; LEN(#REF!))), (48 &lt;= CODE(MID(#REF!, ROW(INDIRECT("1:" &amp; LEN(#REF!))), 1))) * (CODE(MID(#REF!, ROW(INDIRECT("1:" &amp; LEN(#REF!))), 1)) &lt;= 57)), 1) - 1), FIND(":",#REF!) + 2, LEN(#REF!))</f>
        <v>#REF!</v>
      </c>
      <c r="G615" s="227" t="e">
        <f>MID(LEFT(#REF!, FIND(",",#REF!) - 1), FIND("{token}", SUBSTITUTE(#REF!, " ", "{token}", 2)) + 1, LEN(#REF!))</f>
        <v>#REF!</v>
      </c>
      <c r="H615" s="165" t="s">
        <v>2563</v>
      </c>
      <c r="I615" s="230">
        <v>45541</v>
      </c>
      <c r="J615" s="230" t="s">
        <v>34</v>
      </c>
      <c r="K615" s="226">
        <v>45541</v>
      </c>
      <c r="L615" s="165" t="s">
        <v>1671</v>
      </c>
      <c r="M615" s="222">
        <v>930</v>
      </c>
      <c r="N615" s="2" t="str">
        <f t="shared" ca="1" si="19"/>
        <v>CLOSED</v>
      </c>
    </row>
    <row r="616" spans="1:14" ht="30">
      <c r="A616" s="64" t="s">
        <v>125</v>
      </c>
      <c r="B616" s="98" t="e">
        <f>VLOOKUP([2]!Table27[[#This Row],[Location 
(drop-down)]],'[2]List source'!D$2:E$59,2,FALSE)</f>
        <v>#N/A</v>
      </c>
      <c r="C616" s="99" t="s">
        <v>2564</v>
      </c>
      <c r="D616" s="309" t="e">
        <f t="shared" si="18"/>
        <v>#N/A</v>
      </c>
      <c r="E616" s="227" t="s">
        <v>2565</v>
      </c>
      <c r="F616" s="165" t="e" cm="1">
        <f t="array" aca="1" ref="F616" ca="1">MID(LEFT(#REF!, INDEX(_xlfn._xlws.FILTER(ROW(INDIRECT("1:" &amp; LEN(#REF!))), (48 &lt;= CODE(MID(#REF!, ROW(INDIRECT("1:" &amp; LEN(#REF!))), 1))) * (CODE(MID(#REF!, ROW(INDIRECT("1:" &amp; LEN(#REF!))), 1)) &lt;= 57)), 1) - 1), FIND(":",#REF!) + 2, LEN(#REF!))</f>
        <v>#REF!</v>
      </c>
      <c r="G616" s="227" t="e">
        <f>MID(LEFT(#REF!, FIND(",",#REF!) - 1), FIND("{token}", SUBSTITUTE(#REF!, " ", "{token}", 2)) + 1, LEN(#REF!))</f>
        <v>#REF!</v>
      </c>
      <c r="H616" s="165">
        <v>2.2999999999999998</v>
      </c>
      <c r="I616" s="230">
        <v>45541</v>
      </c>
      <c r="J616" s="230" t="s">
        <v>34</v>
      </c>
      <c r="K616" s="226">
        <v>45541</v>
      </c>
      <c r="L616" s="165" t="s">
        <v>1671</v>
      </c>
      <c r="M616" s="222">
        <v>932</v>
      </c>
      <c r="N616" s="2" t="str">
        <f t="shared" ca="1" si="19"/>
        <v>CLOSED</v>
      </c>
    </row>
    <row r="617" spans="1:14" ht="30">
      <c r="A617" s="64" t="s">
        <v>125</v>
      </c>
      <c r="B617" s="98" t="e">
        <f>VLOOKUP([2]!Table27[[#This Row],[Location 
(drop-down)]],'[2]List source'!D$2:E$59,2,FALSE)</f>
        <v>#N/A</v>
      </c>
      <c r="C617" s="99" t="s">
        <v>2566</v>
      </c>
      <c r="D617" s="309" t="e">
        <f t="shared" si="18"/>
        <v>#N/A</v>
      </c>
      <c r="E617" s="227" t="s">
        <v>2567</v>
      </c>
      <c r="F617" s="165" t="e" cm="1">
        <f t="array" aca="1" ref="F617" ca="1">MID(LEFT(#REF!, INDEX(_xlfn._xlws.FILTER(ROW(INDIRECT("1:" &amp; LEN(#REF!))), (48 &lt;= CODE(MID(#REF!, ROW(INDIRECT("1:" &amp; LEN(#REF!))), 1))) * (CODE(MID(#REF!, ROW(INDIRECT("1:" &amp; LEN(#REF!))), 1)) &lt;= 57)), 1) - 1), FIND(":",#REF!) + 2, LEN(#REF!))</f>
        <v>#REF!</v>
      </c>
      <c r="G617" s="227" t="e">
        <f>MID(LEFT(#REF!, FIND(",",#REF!) - 1), FIND("{token}", SUBSTITUTE(#REF!, " ", "{token}", 2)) + 1, LEN(#REF!))</f>
        <v>#REF!</v>
      </c>
      <c r="H617" s="165">
        <v>2.0299999999999998</v>
      </c>
      <c r="I617" s="230">
        <v>45541</v>
      </c>
      <c r="J617" s="230" t="s">
        <v>34</v>
      </c>
      <c r="K617" s="226">
        <v>45541</v>
      </c>
      <c r="L617" s="165" t="s">
        <v>1671</v>
      </c>
      <c r="M617" s="222">
        <v>933</v>
      </c>
      <c r="N617" s="2" t="str">
        <f t="shared" ca="1" si="19"/>
        <v>CLOSED</v>
      </c>
    </row>
    <row r="618" spans="1:14" ht="30">
      <c r="A618" s="64" t="s">
        <v>30</v>
      </c>
      <c r="B618" s="98" t="e">
        <f>VLOOKUP([2]!Table27[[#This Row],[Location 
(drop-down)]],'[2]List source'!D$2:E$59,2,FALSE)</f>
        <v>#N/A</v>
      </c>
      <c r="C618" s="99" t="s">
        <v>2568</v>
      </c>
      <c r="D618" s="309" t="e">
        <f t="shared" si="18"/>
        <v>#N/A</v>
      </c>
      <c r="E618" s="227" t="s">
        <v>2569</v>
      </c>
      <c r="F618" s="165" t="e" cm="1">
        <f t="array" aca="1" ref="F618" ca="1">MID(LEFT(#REF!, INDEX(_xlfn._xlws.FILTER(ROW(INDIRECT("1:" &amp; LEN(#REF!))), (48 &lt;= CODE(MID(#REF!, ROW(INDIRECT("1:" &amp; LEN(#REF!))), 1))) * (CODE(MID(#REF!, ROW(INDIRECT("1:" &amp; LEN(#REF!))), 1)) &lt;= 57)), 1) - 1), FIND(":",#REF!) + 2, LEN(#REF!))</f>
        <v>#REF!</v>
      </c>
      <c r="G618" s="227" t="e">
        <f>MID(LEFT(#REF!, FIND(",",#REF!) - 1), FIND("{token}", SUBSTITUTE(#REF!, " ", "{token}", 2)) + 1, LEN(#REF!))</f>
        <v>#REF!</v>
      </c>
      <c r="H618" s="165">
        <v>2.5</v>
      </c>
      <c r="I618" s="230">
        <v>45541</v>
      </c>
      <c r="J618" s="230" t="s">
        <v>34</v>
      </c>
      <c r="K618" s="226">
        <v>45541</v>
      </c>
      <c r="L618" s="165" t="s">
        <v>1671</v>
      </c>
      <c r="M618" s="222">
        <v>935</v>
      </c>
      <c r="N618" s="2" t="str">
        <f t="shared" ca="1" si="19"/>
        <v>CLOSED</v>
      </c>
    </row>
    <row r="619" spans="1:14" ht="18.75">
      <c r="A619" s="186" t="s">
        <v>264</v>
      </c>
      <c r="B619" s="98" t="e">
        <f>VLOOKUP([2]!Table27[[#This Row],[Location 
(drop-down)]],'[2]List source'!D$2:E$59,2,FALSE)</f>
        <v>#N/A</v>
      </c>
      <c r="C619" s="99" t="s">
        <v>2570</v>
      </c>
      <c r="D619" s="309" t="e">
        <f t="shared" si="18"/>
        <v>#N/A</v>
      </c>
      <c r="E619" s="227" t="s">
        <v>2571</v>
      </c>
      <c r="F619" s="165" t="e" cm="1">
        <f t="array" aca="1" ref="F619" ca="1">MID(LEFT(#REF!, INDEX(_xlfn._xlws.FILTER(ROW(INDIRECT("1:" &amp; LEN(#REF!))), (48 &lt;= CODE(MID(#REF!, ROW(INDIRECT("1:" &amp; LEN(#REF!))), 1))) * (CODE(MID(#REF!, ROW(INDIRECT("1:" &amp; LEN(#REF!))), 1)) &lt;= 57)), 1) - 1), FIND(":",#REF!) + 2, LEN(#REF!))</f>
        <v>#REF!</v>
      </c>
      <c r="G619" s="227" t="e">
        <f>MID(LEFT(#REF!, FIND(",",#REF!) - 1), FIND("{token}", SUBSTITUTE(#REF!, " ", "{token}", 2)) + 1, LEN(#REF!))</f>
        <v>#REF!</v>
      </c>
      <c r="H619" s="165">
        <v>2.33</v>
      </c>
      <c r="I619" s="230">
        <v>45541</v>
      </c>
      <c r="J619" s="230" t="s">
        <v>34</v>
      </c>
      <c r="K619" s="226">
        <v>45541</v>
      </c>
      <c r="L619" s="165" t="s">
        <v>1671</v>
      </c>
      <c r="M619" s="222">
        <v>942</v>
      </c>
      <c r="N619" s="2" t="str">
        <f t="shared" ca="1" si="19"/>
        <v>CLOSED</v>
      </c>
    </row>
    <row r="620" spans="1:14" ht="18.75">
      <c r="A620" s="186" t="s">
        <v>185</v>
      </c>
      <c r="B620" s="98" t="e">
        <f>VLOOKUP([2]!Table27[[#This Row],[Location 
(drop-down)]],'[2]List source'!D$2:E$59,2,FALSE)</f>
        <v>#N/A</v>
      </c>
      <c r="C620" s="99" t="s">
        <v>2572</v>
      </c>
      <c r="D620" s="309" t="e">
        <f t="shared" si="18"/>
        <v>#N/A</v>
      </c>
      <c r="E620" s="227" t="s">
        <v>2573</v>
      </c>
      <c r="F620" s="165" t="e" cm="1">
        <f t="array" aca="1" ref="F620" ca="1">MID(LEFT(#REF!, INDEX(_xlfn._xlws.FILTER(ROW(INDIRECT("1:" &amp; LEN(#REF!))), (48 &lt;= CODE(MID(#REF!, ROW(INDIRECT("1:" &amp; LEN(#REF!))), 1))) * (CODE(MID(#REF!, ROW(INDIRECT("1:" &amp; LEN(#REF!))), 1)) &lt;= 57)), 1) - 1), FIND(":",#REF!) + 2, LEN(#REF!))</f>
        <v>#REF!</v>
      </c>
      <c r="G620" s="227" t="e">
        <f>MID(LEFT(#REF!, FIND(",",#REF!) - 1), FIND("{token}", SUBSTITUTE(#REF!, " ", "{token}", 2)) + 1, LEN(#REF!))</f>
        <v>#REF!</v>
      </c>
      <c r="H620" s="236" t="s">
        <v>1762</v>
      </c>
      <c r="I620" s="230">
        <v>45541</v>
      </c>
      <c r="J620" s="230" t="s">
        <v>34</v>
      </c>
      <c r="K620" s="226">
        <v>45541</v>
      </c>
      <c r="L620" s="165" t="s">
        <v>1671</v>
      </c>
      <c r="M620" s="222">
        <v>943</v>
      </c>
      <c r="N620" s="2" t="str">
        <f t="shared" ca="1" si="19"/>
        <v>CLOSED</v>
      </c>
    </row>
    <row r="621" spans="1:14" ht="30">
      <c r="A621" s="64" t="s">
        <v>294</v>
      </c>
      <c r="B621" s="98" t="e">
        <f>VLOOKUP([2]!Table27[[#This Row],[Location 
(drop-down)]],'[2]List source'!D$2:E$59,2,FALSE)</f>
        <v>#N/A</v>
      </c>
      <c r="C621" s="99" t="s">
        <v>2574</v>
      </c>
      <c r="D621" s="309" t="e">
        <f t="shared" si="18"/>
        <v>#N/A</v>
      </c>
      <c r="E621" s="227" t="s">
        <v>2565</v>
      </c>
      <c r="F621" s="165" t="e" cm="1">
        <f t="array" aca="1" ref="F621" ca="1">MID(LEFT(#REF!, INDEX(_xlfn._xlws.FILTER(ROW(INDIRECT("1:" &amp; LEN(#REF!))), (48 &lt;= CODE(MID(#REF!, ROW(INDIRECT("1:" &amp; LEN(#REF!))), 1))) * (CODE(MID(#REF!, ROW(INDIRECT("1:" &amp; LEN(#REF!))), 1)) &lt;= 57)), 1) - 1), FIND(":",#REF!) + 2, LEN(#REF!))</f>
        <v>#REF!</v>
      </c>
      <c r="G621" s="227" t="e">
        <f>MID(LEFT(#REF!, FIND(",",#REF!) - 1), FIND("{token}", SUBSTITUTE(#REF!, " ", "{token}", 2)) + 1, LEN(#REF!))</f>
        <v>#REF!</v>
      </c>
      <c r="H621" s="165">
        <v>2.2999999999999998</v>
      </c>
      <c r="I621" s="230">
        <v>45541</v>
      </c>
      <c r="J621" s="230" t="s">
        <v>34</v>
      </c>
      <c r="K621" s="226">
        <v>45541</v>
      </c>
      <c r="L621" s="165" t="s">
        <v>1671</v>
      </c>
      <c r="M621" s="222">
        <v>945</v>
      </c>
      <c r="N621" s="2" t="str">
        <f t="shared" ca="1" si="19"/>
        <v>CLOSED</v>
      </c>
    </row>
    <row r="622" spans="1:14" ht="30">
      <c r="A622" s="64" t="s">
        <v>294</v>
      </c>
      <c r="B622" s="98" t="e">
        <f>VLOOKUP([2]!Table27[[#This Row],[Location 
(drop-down)]],'[2]List source'!D$2:E$59,2,FALSE)</f>
        <v>#N/A</v>
      </c>
      <c r="C622" s="99" t="s">
        <v>2575</v>
      </c>
      <c r="D622" s="309" t="e">
        <f t="shared" si="18"/>
        <v>#N/A</v>
      </c>
      <c r="E622" s="227" t="s">
        <v>2576</v>
      </c>
      <c r="F622" s="165" t="e" cm="1">
        <f t="array" aca="1" ref="F622" ca="1">MID(LEFT(#REF!, INDEX(_xlfn._xlws.FILTER(ROW(INDIRECT("1:" &amp; LEN(#REF!))), (48 &lt;= CODE(MID(#REF!, ROW(INDIRECT("1:" &amp; LEN(#REF!))), 1))) * (CODE(MID(#REF!, ROW(INDIRECT("1:" &amp; LEN(#REF!))), 1)) &lt;= 57)), 1) - 1), FIND(":",#REF!) + 2, LEN(#REF!))</f>
        <v>#REF!</v>
      </c>
      <c r="G622" s="227" t="e">
        <f>MID(LEFT(#REF!, FIND(",",#REF!) - 1), FIND("{token}", SUBSTITUTE(#REF!, " ", "{token}", 2)) + 1, LEN(#REF!))</f>
        <v>#REF!</v>
      </c>
      <c r="H622" s="236" t="s">
        <v>1759</v>
      </c>
      <c r="I622" s="230">
        <v>45541</v>
      </c>
      <c r="J622" s="230" t="s">
        <v>34</v>
      </c>
      <c r="K622" s="226">
        <v>45541</v>
      </c>
      <c r="L622" s="165" t="s">
        <v>1671</v>
      </c>
      <c r="M622" s="222">
        <v>948</v>
      </c>
      <c r="N622" s="2" t="str">
        <f t="shared" ca="1" si="19"/>
        <v>CLOSED</v>
      </c>
    </row>
    <row r="623" spans="1:14" ht="30">
      <c r="A623" s="64" t="s">
        <v>485</v>
      </c>
      <c r="B623" s="98" t="e">
        <f>VLOOKUP([2]!Table27[[#This Row],[Location 
(drop-down)]],'[2]List source'!D$2:E$59,2,FALSE)</f>
        <v>#N/A</v>
      </c>
      <c r="C623" s="99" t="s">
        <v>2577</v>
      </c>
      <c r="D623" s="309" t="e">
        <f t="shared" si="18"/>
        <v>#N/A</v>
      </c>
      <c r="E623" s="227" t="s">
        <v>2578</v>
      </c>
      <c r="F623" s="165" t="e" cm="1">
        <f t="array" aca="1" ref="F623" ca="1">MID(LEFT(#REF!, INDEX(_xlfn._xlws.FILTER(ROW(INDIRECT("1:" &amp; LEN(#REF!))), (48 &lt;= CODE(MID(#REF!, ROW(INDIRECT("1:" &amp; LEN(#REF!))), 1))) * (CODE(MID(#REF!, ROW(INDIRECT("1:" &amp; LEN(#REF!))), 1)) &lt;= 57)), 1) - 1), FIND(":",#REF!) + 2, LEN(#REF!))</f>
        <v>#REF!</v>
      </c>
      <c r="G623" s="227" t="e">
        <f>MID(LEFT(#REF!, FIND(",",#REF!) - 1), FIND("{token}", SUBSTITUTE(#REF!, " ", "{token}", 2)) + 1, LEN(#REF!))</f>
        <v>#REF!</v>
      </c>
      <c r="H623" s="236" t="s">
        <v>2579</v>
      </c>
      <c r="I623" s="230">
        <v>45541</v>
      </c>
      <c r="J623" s="230" t="s">
        <v>34</v>
      </c>
      <c r="K623" s="226">
        <v>45541</v>
      </c>
      <c r="L623" s="165" t="s">
        <v>1671</v>
      </c>
      <c r="M623" s="222">
        <v>950</v>
      </c>
      <c r="N623" s="2" t="str">
        <f t="shared" ca="1" si="19"/>
        <v>CLOSED</v>
      </c>
    </row>
    <row r="624" spans="1:14" ht="30">
      <c r="A624" s="64" t="s">
        <v>500</v>
      </c>
      <c r="B624" s="98" t="e">
        <f>VLOOKUP([2]!Table27[[#This Row],[Location 
(drop-down)]],'[2]List source'!D$2:E$59,2,FALSE)</f>
        <v>#N/A</v>
      </c>
      <c r="C624" s="99" t="s">
        <v>2580</v>
      </c>
      <c r="D624" s="309" t="e">
        <f t="shared" si="18"/>
        <v>#N/A</v>
      </c>
      <c r="E624" s="227" t="s">
        <v>2581</v>
      </c>
      <c r="F624" s="165" t="e" cm="1">
        <f t="array" aca="1" ref="F624" ca="1">MID(LEFT(#REF!, INDEX(_xlfn._xlws.FILTER(ROW(INDIRECT("1:" &amp; LEN(#REF!))), (48 &lt;= CODE(MID(#REF!, ROW(INDIRECT("1:" &amp; LEN(#REF!))), 1))) * (CODE(MID(#REF!, ROW(INDIRECT("1:" &amp; LEN(#REF!))), 1)) &lt;= 57)), 1) - 1), FIND(":",#REF!) + 2, LEN(#REF!))</f>
        <v>#REF!</v>
      </c>
      <c r="G624" s="227" t="e">
        <f>MID(LEFT(#REF!, FIND(",",#REF!) - 1), FIND("{token}", SUBSTITUTE(#REF!, " ", "{token}", 2)) + 1, LEN(#REF!))</f>
        <v>#REF!</v>
      </c>
      <c r="H624" s="165" t="s">
        <v>2582</v>
      </c>
      <c r="I624" s="230">
        <v>45541</v>
      </c>
      <c r="J624" s="230" t="s">
        <v>34</v>
      </c>
      <c r="K624" s="226">
        <v>45541</v>
      </c>
      <c r="L624" s="165" t="s">
        <v>1671</v>
      </c>
      <c r="M624" s="222">
        <v>951</v>
      </c>
      <c r="N624" s="2" t="str">
        <f t="shared" ca="1" si="19"/>
        <v>CLOSED</v>
      </c>
    </row>
    <row r="625" spans="1:14" ht="30">
      <c r="A625" s="64" t="s">
        <v>500</v>
      </c>
      <c r="B625" s="98" t="e">
        <f>VLOOKUP([2]!Table27[[#This Row],[Location 
(drop-down)]],'[2]List source'!D$2:E$59,2,FALSE)</f>
        <v>#N/A</v>
      </c>
      <c r="C625" s="99" t="s">
        <v>2583</v>
      </c>
      <c r="D625" s="309" t="e">
        <f t="shared" si="18"/>
        <v>#N/A</v>
      </c>
      <c r="E625" s="227" t="s">
        <v>2584</v>
      </c>
      <c r="F625" s="165" t="e" cm="1">
        <f t="array" aca="1" ref="F625" ca="1">MID(LEFT(#REF!, INDEX(_xlfn._xlws.FILTER(ROW(INDIRECT("1:" &amp; LEN(#REF!))), (48 &lt;= CODE(MID(#REF!, ROW(INDIRECT("1:" &amp; LEN(#REF!))), 1))) * (CODE(MID(#REF!, ROW(INDIRECT("1:" &amp; LEN(#REF!))), 1)) &lt;= 57)), 1) - 1), FIND(":",#REF!) + 2, LEN(#REF!))</f>
        <v>#REF!</v>
      </c>
      <c r="G625" s="227" t="e">
        <f>MID(LEFT(#REF!, FIND(",",#REF!) - 1), FIND("{token}", SUBSTITUTE(#REF!, " ", "{token}", 2)) + 1, LEN(#REF!))</f>
        <v>#REF!</v>
      </c>
      <c r="H625" s="236" t="s">
        <v>2585</v>
      </c>
      <c r="I625" s="230">
        <v>45541</v>
      </c>
      <c r="J625" s="230" t="s">
        <v>34</v>
      </c>
      <c r="K625" s="226">
        <v>45541</v>
      </c>
      <c r="L625" s="165" t="s">
        <v>1671</v>
      </c>
      <c r="M625" s="222">
        <v>954</v>
      </c>
      <c r="N625" s="2" t="str">
        <f t="shared" ca="1" si="19"/>
        <v>CLOSED</v>
      </c>
    </row>
    <row r="626" spans="1:14" ht="30">
      <c r="A626" s="64" t="s">
        <v>518</v>
      </c>
      <c r="B626" s="98" t="e">
        <f>VLOOKUP([2]!Table27[[#This Row],[Location 
(drop-down)]],'[2]List source'!D$2:E$59,2,FALSE)</f>
        <v>#N/A</v>
      </c>
      <c r="C626" s="99" t="s">
        <v>2586</v>
      </c>
      <c r="D626" s="309" t="e">
        <f t="shared" si="18"/>
        <v>#N/A</v>
      </c>
      <c r="E626" s="227" t="s">
        <v>2562</v>
      </c>
      <c r="F626" s="165" t="e" cm="1">
        <f t="array" aca="1" ref="F626" ca="1">MID(LEFT(#REF!, INDEX(_xlfn._xlws.FILTER(ROW(INDIRECT("1:" &amp; LEN(#REF!))), (48 &lt;= CODE(MID(#REF!, ROW(INDIRECT("1:" &amp; LEN(#REF!))), 1))) * (CODE(MID(#REF!, ROW(INDIRECT("1:" &amp; LEN(#REF!))), 1)) &lt;= 57)), 1) - 1), FIND(":",#REF!) + 2, LEN(#REF!))</f>
        <v>#REF!</v>
      </c>
      <c r="G626" s="227" t="e">
        <f>MID(LEFT(#REF!, FIND(",",#REF!) - 1), FIND("{token}", SUBSTITUTE(#REF!, " ", "{token}", 2)) + 1, LEN(#REF!))</f>
        <v>#REF!</v>
      </c>
      <c r="H626" s="165" t="s">
        <v>2193</v>
      </c>
      <c r="I626" s="230">
        <v>45541</v>
      </c>
      <c r="J626" s="230" t="s">
        <v>34</v>
      </c>
      <c r="K626" s="226">
        <v>45541</v>
      </c>
      <c r="L626" s="165" t="s">
        <v>1671</v>
      </c>
      <c r="M626" s="222">
        <v>955</v>
      </c>
      <c r="N626" s="2" t="str">
        <f t="shared" ca="1" si="19"/>
        <v>CLOSED</v>
      </c>
    </row>
    <row r="627" spans="1:14" ht="30">
      <c r="A627" s="64" t="s">
        <v>39</v>
      </c>
      <c r="B627" s="98" t="e">
        <f>VLOOKUP([2]!Table27[[#This Row],[Location 
(drop-down)]],'[2]List source'!D$2:E$59,2,FALSE)</f>
        <v>#N/A</v>
      </c>
      <c r="C627" s="99" t="s">
        <v>268</v>
      </c>
      <c r="D627" s="223" t="e">
        <f t="shared" si="18"/>
        <v>#N/A</v>
      </c>
      <c r="E627" s="227" t="s">
        <v>2587</v>
      </c>
      <c r="F627" s="165" t="e" cm="1">
        <f t="array" aca="1" ref="F627" ca="1">MID(LEFT(#REF!, INDEX(_xlfn._xlws.FILTER(ROW(INDIRECT("1:" &amp; LEN(#REF!))), (48 &lt;= CODE(MID(#REF!, ROW(INDIRECT("1:" &amp; LEN(#REF!))), 1))) * (CODE(MID(#REF!, ROW(INDIRECT("1:" &amp; LEN(#REF!))), 1)) &lt;= 57)), 1) - 1), FIND(":",#REF!) + 2, LEN(#REF!))</f>
        <v>#REF!</v>
      </c>
      <c r="G627" s="227" t="e">
        <f>MID(LEFT(#REF!, FIND(",",#REF!) - 1), FIND("{token}", SUBSTITUTE(#REF!, " ", "{token}", 2)) + 1, LEN(#REF!))</f>
        <v>#REF!</v>
      </c>
      <c r="H627" s="165">
        <v>-2.0299999999999998</v>
      </c>
      <c r="I627" s="230">
        <v>45327</v>
      </c>
      <c r="J627" s="230" t="s">
        <v>34</v>
      </c>
      <c r="K627" s="226">
        <v>45545</v>
      </c>
      <c r="L627" s="165" t="s">
        <v>2588</v>
      </c>
      <c r="M627" s="222">
        <v>99</v>
      </c>
      <c r="N627" s="2" t="str">
        <f t="shared" ca="1" si="19"/>
        <v>CLOSED</v>
      </c>
    </row>
    <row r="628" spans="1:14" ht="30">
      <c r="A628" s="64" t="s">
        <v>202</v>
      </c>
      <c r="B628" s="98" t="e">
        <f>VLOOKUP([2]!Table27[[#This Row],[Location 
(drop-down)]],'[2]List source'!D$2:E$59,2,FALSE)</f>
        <v>#N/A</v>
      </c>
      <c r="C628" s="99" t="s">
        <v>271</v>
      </c>
      <c r="D628" s="223" t="e">
        <f t="shared" si="18"/>
        <v>#N/A</v>
      </c>
      <c r="E628" s="227" t="s">
        <v>2589</v>
      </c>
      <c r="F628" s="165" t="s">
        <v>1566</v>
      </c>
      <c r="G628" s="227" t="e">
        <f>MID(LEFT(#REF!, FIND(",",#REF!) - 1), FIND("{token}", SUBSTITUTE(#REF!, " ", "{token}", 2)) + 1, LEN(#REF!))</f>
        <v>#REF!</v>
      </c>
      <c r="H628" s="236" t="s">
        <v>1971</v>
      </c>
      <c r="I628" s="230">
        <v>45427</v>
      </c>
      <c r="J628" s="230" t="s">
        <v>21</v>
      </c>
      <c r="K628" s="226">
        <v>45545</v>
      </c>
      <c r="L628" s="165"/>
      <c r="M628" s="222">
        <v>516</v>
      </c>
      <c r="N628" s="2" t="str">
        <f t="shared" ca="1" si="19"/>
        <v>CLOSED</v>
      </c>
    </row>
    <row r="629" spans="1:14" ht="30">
      <c r="A629" s="64" t="s">
        <v>39</v>
      </c>
      <c r="B629" s="98" t="e">
        <f>VLOOKUP([2]!Table27[[#This Row],[Location 
(drop-down)]],'[2]List source'!D$2:E$59,2,FALSE)</f>
        <v>#N/A</v>
      </c>
      <c r="C629" s="99" t="s">
        <v>2590</v>
      </c>
      <c r="D629" s="223" t="e">
        <f t="shared" si="18"/>
        <v>#N/A</v>
      </c>
      <c r="E629" s="227" t="s">
        <v>2591</v>
      </c>
      <c r="F629" s="165" t="e" cm="1">
        <f t="array" aca="1" ref="F629" ca="1">MID(LEFT(#REF!, INDEX(_xlfn._xlws.FILTER(ROW(INDIRECT("1:" &amp; LEN(#REF!))), (48 &lt;= CODE(MID(#REF!, ROW(INDIRECT("1:" &amp; LEN(#REF!))), 1))) * (CODE(MID(#REF!, ROW(INDIRECT("1:" &amp; LEN(#REF!))), 1)) &lt;= 57)), 1) - 1), FIND(":",#REF!) + 2, LEN(#REF!))</f>
        <v>#REF!</v>
      </c>
      <c r="G629" s="227" t="e">
        <f>MID(LEFT(#REF!, FIND(",",#REF!) - 1), FIND("{token}", SUBSTITUTE(#REF!, " ", "{token}", 2)) + 1, LEN(#REF!))</f>
        <v>#REF!</v>
      </c>
      <c r="H629" s="165" t="s">
        <v>1579</v>
      </c>
      <c r="I629" s="230">
        <v>45435</v>
      </c>
      <c r="J629" s="230" t="s">
        <v>34</v>
      </c>
      <c r="K629" s="226">
        <v>45545</v>
      </c>
      <c r="L629" s="165" t="s">
        <v>2588</v>
      </c>
      <c r="M629" s="222">
        <v>577</v>
      </c>
      <c r="N629" s="2" t="str">
        <f t="shared" ca="1" si="19"/>
        <v>CLOSED</v>
      </c>
    </row>
    <row r="630" spans="1:14" ht="30">
      <c r="A630" s="64" t="s">
        <v>39</v>
      </c>
      <c r="B630" s="98" t="e">
        <f>VLOOKUP([2]!Table27[[#This Row],[Location 
(drop-down)]],'[2]List source'!D$2:E$59,2,FALSE)</f>
        <v>#N/A</v>
      </c>
      <c r="C630" s="99" t="s">
        <v>2592</v>
      </c>
      <c r="D630" s="223" t="e">
        <f t="shared" si="18"/>
        <v>#N/A</v>
      </c>
      <c r="E630" s="227" t="s">
        <v>2593</v>
      </c>
      <c r="F630" s="165" t="e" cm="1">
        <f t="array" aca="1" ref="F630" ca="1">MID(LEFT(#REF!, INDEX(_xlfn._xlws.FILTER(ROW(INDIRECT("1:" &amp; LEN(#REF!))), (48 &lt;= CODE(MID(#REF!, ROW(INDIRECT("1:" &amp; LEN(#REF!))), 1))) * (CODE(MID(#REF!, ROW(INDIRECT("1:" &amp; LEN(#REF!))), 1)) &lt;= 57)), 1) - 1), FIND(":",#REF!) + 2, LEN(#REF!))</f>
        <v>#REF!</v>
      </c>
      <c r="G630" s="227" t="e">
        <f>MID(LEFT(#REF!, FIND(",",#REF!) - 1), FIND("{token}", SUBSTITUTE(#REF!, " ", "{token}", 2)) + 1, LEN(#REF!))</f>
        <v>#REF!</v>
      </c>
      <c r="H630" s="165" t="s">
        <v>1579</v>
      </c>
      <c r="I630" s="230">
        <v>45435</v>
      </c>
      <c r="J630" s="230" t="s">
        <v>34</v>
      </c>
      <c r="K630" s="226">
        <v>45545</v>
      </c>
      <c r="L630" s="165" t="s">
        <v>2588</v>
      </c>
      <c r="M630" s="222">
        <v>609</v>
      </c>
      <c r="N630" s="2" t="str">
        <f t="shared" ca="1" si="19"/>
        <v>CLOSED</v>
      </c>
    </row>
    <row r="631" spans="1:14" ht="30">
      <c r="A631" s="64" t="s">
        <v>39</v>
      </c>
      <c r="B631" s="98" t="e">
        <f>VLOOKUP([2]!Table27[[#This Row],[Location 
(drop-down)]],'[2]List source'!D$2:E$59,2,FALSE)</f>
        <v>#N/A</v>
      </c>
      <c r="C631" s="99" t="s">
        <v>2594</v>
      </c>
      <c r="D631" s="223" t="e">
        <f t="shared" si="18"/>
        <v>#N/A</v>
      </c>
      <c r="E631" s="227" t="s">
        <v>2595</v>
      </c>
      <c r="F631" s="165" t="e" cm="1">
        <f t="array" aca="1" ref="F631" ca="1">MID(LEFT(#REF!, INDEX(_xlfn._xlws.FILTER(ROW(INDIRECT("1:" &amp; LEN(#REF!))), (48 &lt;= CODE(MID(#REF!, ROW(INDIRECT("1:" &amp; LEN(#REF!))), 1))) * (CODE(MID(#REF!, ROW(INDIRECT("1:" &amp; LEN(#REF!))), 1)) &lt;= 57)), 1) - 1), FIND(":",#REF!) + 2, LEN(#REF!))</f>
        <v>#REF!</v>
      </c>
      <c r="G631" s="227" t="e">
        <f>MID(LEFT(#REF!, FIND(",",#REF!) - 1), FIND("{token}", SUBSTITUTE(#REF!, " ", "{token}", 2)) + 1, LEN(#REF!))</f>
        <v>#REF!</v>
      </c>
      <c r="H631" s="236" t="s">
        <v>2596</v>
      </c>
      <c r="I631" s="230">
        <v>45435</v>
      </c>
      <c r="J631" s="230" t="s">
        <v>34</v>
      </c>
      <c r="K631" s="226">
        <v>45545</v>
      </c>
      <c r="L631" s="165" t="s">
        <v>2588</v>
      </c>
      <c r="M631" s="222">
        <v>648</v>
      </c>
      <c r="N631" s="2" t="str">
        <f t="shared" ca="1" si="19"/>
        <v>CLOSED</v>
      </c>
    </row>
    <row r="632" spans="1:14" ht="30">
      <c r="A632" s="64" t="s">
        <v>39</v>
      </c>
      <c r="B632" s="98" t="e">
        <f>VLOOKUP([2]!Table27[[#This Row],[Location 
(drop-down)]],'[2]List source'!D$2:E$59,2,FALSE)</f>
        <v>#N/A</v>
      </c>
      <c r="C632" s="99" t="s">
        <v>2597</v>
      </c>
      <c r="D632" s="223" t="e">
        <f t="shared" si="18"/>
        <v>#N/A</v>
      </c>
      <c r="E632" s="227" t="s">
        <v>2598</v>
      </c>
      <c r="F632" s="165" t="e" cm="1">
        <f t="array" aca="1" ref="F632" ca="1">MID(LEFT(#REF!, INDEX(_xlfn._xlws.FILTER(ROW(INDIRECT("1:" &amp; LEN(#REF!))), (48 &lt;= CODE(MID(#REF!, ROW(INDIRECT("1:" &amp; LEN(#REF!))), 1))) * (CODE(MID(#REF!, ROW(INDIRECT("1:" &amp; LEN(#REF!))), 1)) &lt;= 57)), 1) - 1), FIND(":",#REF!) + 2, LEN(#REF!))</f>
        <v>#REF!</v>
      </c>
      <c r="G632" s="227" t="e">
        <f>MID(LEFT(#REF!, FIND(",",#REF!) - 1), FIND("{token}", SUBSTITUTE(#REF!, " ", "{token}", 2)) + 1, LEN(#REF!))</f>
        <v>#REF!</v>
      </c>
      <c r="H632" s="236" t="s">
        <v>1880</v>
      </c>
      <c r="I632" s="230">
        <v>45533</v>
      </c>
      <c r="J632" s="230" t="s">
        <v>34</v>
      </c>
      <c r="K632" s="226">
        <v>45545</v>
      </c>
      <c r="L632" s="165" t="s">
        <v>2588</v>
      </c>
      <c r="M632" s="222">
        <v>806</v>
      </c>
      <c r="N632" s="2" t="str">
        <f t="shared" ca="1" si="19"/>
        <v>CLOSED</v>
      </c>
    </row>
    <row r="633" spans="1:14" ht="30">
      <c r="A633" s="64" t="s">
        <v>30</v>
      </c>
      <c r="B633" s="98" t="e">
        <f>VLOOKUP([2]!Table27[[#This Row],[Location 
(drop-down)]],'[2]List source'!D$2:E$59,2,FALSE)</f>
        <v>#N/A</v>
      </c>
      <c r="C633" s="99" t="s">
        <v>2599</v>
      </c>
      <c r="D633" s="309" t="e">
        <f t="shared" si="18"/>
        <v>#N/A</v>
      </c>
      <c r="E633" s="227" t="s">
        <v>2600</v>
      </c>
      <c r="F633" s="165" t="e" cm="1">
        <f t="array" aca="1" ref="F633" ca="1">MID(LEFT(#REF!, INDEX(_xlfn._xlws.FILTER(ROW(INDIRECT("1:" &amp; LEN(#REF!))), (48 &lt;= CODE(MID(#REF!, ROW(INDIRECT("1:" &amp; LEN(#REF!))), 1))) * (CODE(MID(#REF!, ROW(INDIRECT("1:" &amp; LEN(#REF!))), 1)) &lt;= 57)), 1) - 1), FIND(":",#REF!) + 2, LEN(#REF!))</f>
        <v>#REF!</v>
      </c>
      <c r="G633" s="227" t="e">
        <f>MID(LEFT(#REF!, FIND(",",#REF!) - 1), FIND("{token}", SUBSTITUTE(#REF!, " ", "{token}", 2)) + 1, LEN(#REF!))</f>
        <v>#REF!</v>
      </c>
      <c r="H633" s="165">
        <v>79.91</v>
      </c>
      <c r="I633" s="230">
        <v>45541</v>
      </c>
      <c r="J633" s="230" t="s">
        <v>34</v>
      </c>
      <c r="K633" s="226">
        <v>45545</v>
      </c>
      <c r="L633" s="165" t="s">
        <v>1505</v>
      </c>
      <c r="M633" s="222">
        <v>936</v>
      </c>
      <c r="N633" s="2" t="str">
        <f t="shared" ca="1" si="19"/>
        <v>CLOSED</v>
      </c>
    </row>
    <row r="634" spans="1:14" ht="30">
      <c r="A634" s="64" t="s">
        <v>1334</v>
      </c>
      <c r="B634" s="98" t="e">
        <f>VLOOKUP([2]!Table27[[#This Row],[Location 
(drop-down)]],'[2]List source'!D$2:E$59,2,FALSE)</f>
        <v>#N/A</v>
      </c>
      <c r="C634" s="99" t="s">
        <v>2601</v>
      </c>
      <c r="D634" s="309" t="e">
        <f t="shared" si="18"/>
        <v>#N/A</v>
      </c>
      <c r="E634" s="227" t="s">
        <v>2602</v>
      </c>
      <c r="F634" s="165" t="e" cm="1">
        <f t="array" aca="1" ref="F634" ca="1">MID(LEFT(#REF!, INDEX(_xlfn._xlws.FILTER(ROW(INDIRECT("1:" &amp; LEN(#REF!))), (48 &lt;= CODE(MID(#REF!, ROW(INDIRECT("1:" &amp; LEN(#REF!))), 1))) * (CODE(MID(#REF!, ROW(INDIRECT("1:" &amp; LEN(#REF!))), 1)) &lt;= 57)), 1) - 1), FIND(":",#REF!) + 2, LEN(#REF!))</f>
        <v>#REF!</v>
      </c>
      <c r="G634" s="227" t="e">
        <f>MID(LEFT(#REF!, FIND(",",#REF!) - 1), FIND("{token}", SUBSTITUTE(#REF!, " ", "{token}", 2)) + 1, LEN(#REF!))</f>
        <v>#REF!</v>
      </c>
      <c r="H634" s="236" t="s">
        <v>2603</v>
      </c>
      <c r="I634" s="230">
        <v>45544</v>
      </c>
      <c r="J634" s="230" t="s">
        <v>34</v>
      </c>
      <c r="K634" s="226">
        <v>45545</v>
      </c>
      <c r="L634" s="165" t="s">
        <v>1773</v>
      </c>
      <c r="M634" s="222">
        <v>958</v>
      </c>
      <c r="N634" s="2" t="str">
        <f t="shared" ca="1" si="19"/>
        <v>CLOSED</v>
      </c>
    </row>
    <row r="635" spans="1:14" ht="30">
      <c r="A635" s="64" t="s">
        <v>30</v>
      </c>
      <c r="B635" s="98" t="e">
        <f>VLOOKUP([2]!Table27[[#This Row],[Location 
(drop-down)]],'[2]List source'!D$2:E$59,2,FALSE)</f>
        <v>#N/A</v>
      </c>
      <c r="C635" s="99" t="s">
        <v>531</v>
      </c>
      <c r="D635" s="223" t="e">
        <f t="shared" si="18"/>
        <v>#N/A</v>
      </c>
      <c r="E635" s="227" t="s">
        <v>1956</v>
      </c>
      <c r="F635" s="165" t="e" cm="1">
        <f t="array" aca="1" ref="F635" ca="1">MID(LEFT(#REF!, INDEX(_xlfn._xlws.FILTER(ROW(INDIRECT("1:" &amp; LEN(#REF!))), (48 &lt;= CODE(MID(#REF!, ROW(INDIRECT("1:" &amp; LEN(#REF!))), 1))) * (CODE(MID(#REF!, ROW(INDIRECT("1:" &amp; LEN(#REF!))), 1)) &lt;= 57)), 1) - 1), FIND(":",#REF!) + 2, LEN(#REF!))</f>
        <v>#REF!</v>
      </c>
      <c r="G635" s="201" t="e">
        <f>MID(LEFT(#REF!, FIND(",",#REF!) - 1), FIND("{token}", SUBSTITUTE(#REF!, " ", "{token}", 2)) + 1, LEN(#REF!))</f>
        <v>#REF!</v>
      </c>
      <c r="H635" s="165">
        <v>3.16</v>
      </c>
      <c r="I635" s="230">
        <v>45376</v>
      </c>
      <c r="J635" s="230" t="s">
        <v>47</v>
      </c>
      <c r="K635" s="226">
        <v>45546</v>
      </c>
      <c r="L635" s="165"/>
      <c r="M635" s="222">
        <v>121</v>
      </c>
      <c r="N635" s="2" t="str">
        <f t="shared" ca="1" si="19"/>
        <v>CLOSED</v>
      </c>
    </row>
    <row r="636" spans="1:14" ht="30">
      <c r="A636" s="64" t="s">
        <v>30</v>
      </c>
      <c r="B636" s="98" t="e">
        <f>VLOOKUP([2]!Table27[[#This Row],[Location 
(drop-down)]],'[2]List source'!D$2:E$59,2,FALSE)</f>
        <v>#N/A</v>
      </c>
      <c r="C636" s="99" t="s">
        <v>515</v>
      </c>
      <c r="D636" s="223" t="e">
        <f t="shared" si="18"/>
        <v>#N/A</v>
      </c>
      <c r="E636" s="255" t="s">
        <v>2604</v>
      </c>
      <c r="F636" s="14" t="e" cm="1">
        <f t="array" aca="1" ref="F636" ca="1">MID(LEFT(#REF!, INDEX(_xlfn._xlws.FILTER(ROW(INDIRECT("1:" &amp; LEN(#REF!))), (48 &lt;= CODE(MID(#REF!, ROW(INDIRECT("1:" &amp; LEN(#REF!))), 1))) * (CODE(MID(#REF!, ROW(INDIRECT("1:" &amp; LEN(#REF!))), 1)) &lt;= 57)), 1) - 1), FIND(":",#REF!) + 2, LEN(#REF!))</f>
        <v>#REF!</v>
      </c>
      <c r="G636" s="255" t="e">
        <f>MID(LEFT(#REF!, FIND(",",#REF!) - 1), FIND("{token}", SUBSTITUTE(#REF!, " ", "{token}", 2)) + 1, LEN(#REF!))</f>
        <v>#REF!</v>
      </c>
      <c r="H636" s="14" t="s">
        <v>1628</v>
      </c>
      <c r="I636" s="256">
        <v>45387</v>
      </c>
      <c r="J636" s="230" t="s">
        <v>47</v>
      </c>
      <c r="K636" s="262">
        <v>45546</v>
      </c>
      <c r="L636" s="279"/>
      <c r="M636" s="222">
        <v>163</v>
      </c>
      <c r="N636" s="2" t="str">
        <f t="shared" ca="1" si="19"/>
        <v>CLOSED</v>
      </c>
    </row>
    <row r="637" spans="1:14" ht="30">
      <c r="A637" s="64" t="s">
        <v>30</v>
      </c>
      <c r="B637" s="98" t="e">
        <f>VLOOKUP([2]!Table27[[#This Row],[Location 
(drop-down)]],'[2]List source'!D$2:E$59,2,FALSE)</f>
        <v>#N/A</v>
      </c>
      <c r="C637" s="99" t="s">
        <v>1417</v>
      </c>
      <c r="D637" s="223" t="e">
        <f t="shared" si="18"/>
        <v>#N/A</v>
      </c>
      <c r="E637" s="240" t="s">
        <v>2605</v>
      </c>
      <c r="F637" s="2" t="e" cm="1">
        <f t="array" aca="1" ref="F637" ca="1">MID(LEFT(#REF!, INDEX(_xlfn._xlws.FILTER(ROW(INDIRECT("1:" &amp; LEN(#REF!))), (48 &lt;= CODE(MID(#REF!, ROW(INDIRECT("1:" &amp; LEN(#REF!))), 1))) * (CODE(MID(#REF!, ROW(INDIRECT("1:" &amp; LEN(#REF!))), 1)) &lt;= 57)), 1) - 1), FIND(":",#REF!) + 2, LEN(#REF!))</f>
        <v>#REF!</v>
      </c>
      <c r="G637" s="240" t="e">
        <f>MID(LEFT(#REF!, FIND(",",#REF!) - 1), FIND("{token}", SUBSTITUTE(#REF!, " ", "{token}", 2)) + 1, LEN(#REF!))</f>
        <v>#REF!</v>
      </c>
      <c r="H637" s="254" t="s">
        <v>1953</v>
      </c>
      <c r="I637" s="260">
        <v>45387</v>
      </c>
      <c r="J637" s="230" t="s">
        <v>47</v>
      </c>
      <c r="K637" s="226">
        <v>45546</v>
      </c>
      <c r="L637" s="165"/>
      <c r="M637" s="222">
        <v>164</v>
      </c>
      <c r="N637" s="2" t="str">
        <f t="shared" ca="1" si="19"/>
        <v>CLOSED</v>
      </c>
    </row>
    <row r="638" spans="1:14" ht="30">
      <c r="A638" s="64" t="s">
        <v>30</v>
      </c>
      <c r="B638" s="98" t="e">
        <f>VLOOKUP([2]!Table27[[#This Row],[Location 
(drop-down)]],'[2]List source'!D$2:E$59,2,FALSE)</f>
        <v>#N/A</v>
      </c>
      <c r="C638" s="99" t="s">
        <v>756</v>
      </c>
      <c r="D638" s="223" t="e">
        <f t="shared" si="18"/>
        <v>#N/A</v>
      </c>
      <c r="E638" s="254" t="s">
        <v>2606</v>
      </c>
      <c r="F638" s="165" t="e" cm="1">
        <f t="array" aca="1" ref="F638" ca="1">MID(LEFT(#REF!, INDEX(_xlfn._xlws.FILTER(ROW(INDIRECT("1:" &amp; LEN(#REF!))), (48 &lt;= CODE(MID(#REF!, ROW(INDIRECT("1:" &amp; LEN(#REF!))), 1))) * (CODE(MID(#REF!, ROW(INDIRECT("1:" &amp; LEN(#REF!))), 1)) &lt;= 57)), 1) - 1), FIND(":",#REF!) + 2, LEN(#REF!))</f>
        <v>#REF!</v>
      </c>
      <c r="G638" s="228" t="e">
        <f>MID(LEFT(#REF!, FIND(",",#REF!) - 1), FIND("{token}", SUBSTITUTE(#REF!, " ", "{token}", 2)) + 1, LEN(#REF!))</f>
        <v>#REF!</v>
      </c>
      <c r="H638" s="236" t="s">
        <v>2607</v>
      </c>
      <c r="I638" s="230">
        <v>45412</v>
      </c>
      <c r="J638" s="230" t="s">
        <v>47</v>
      </c>
      <c r="K638" s="226">
        <v>45546</v>
      </c>
      <c r="L638" s="165"/>
      <c r="M638" s="222">
        <v>276</v>
      </c>
      <c r="N638" s="2" t="str">
        <f t="shared" ca="1" si="19"/>
        <v>CLOSED</v>
      </c>
    </row>
    <row r="639" spans="1:14" ht="30">
      <c r="A639" s="64" t="s">
        <v>30</v>
      </c>
      <c r="B639" s="98" t="e">
        <f>VLOOKUP([2]!Table27[[#This Row],[Location 
(drop-down)]],'[2]List source'!D$2:E$59,2,FALSE)</f>
        <v>#N/A</v>
      </c>
      <c r="C639" s="99" t="s">
        <v>1434</v>
      </c>
      <c r="D639" s="223" t="e">
        <f t="shared" si="18"/>
        <v>#N/A</v>
      </c>
      <c r="E639" s="227" t="s">
        <v>2608</v>
      </c>
      <c r="F639" s="165" t="e" cm="1">
        <f t="array" aca="1" ref="F639" ca="1">MID(LEFT(#REF!, INDEX(_xlfn._xlws.FILTER(ROW(INDIRECT("1:" &amp; LEN(#REF!))), (48 &lt;= CODE(MID(#REF!, ROW(INDIRECT("1:" &amp; LEN(#REF!))), 1))) * (CODE(MID(#REF!, ROW(INDIRECT("1:" &amp; LEN(#REF!))), 1)) &lt;= 57)), 1) - 1), FIND(":",#REF!) + 2, LEN(#REF!))</f>
        <v>#REF!</v>
      </c>
      <c r="G639" s="227" t="e">
        <f>MID(LEFT(#REF!, FIND(",",#REF!) - 1), FIND("{token}", SUBSTITUTE(#REF!, " ", "{token}", 2)) + 1, LEN(#REF!))</f>
        <v>#REF!</v>
      </c>
      <c r="H639" s="165" t="s">
        <v>1579</v>
      </c>
      <c r="I639" s="230">
        <v>45418</v>
      </c>
      <c r="J639" s="230" t="s">
        <v>47</v>
      </c>
      <c r="K639" s="226">
        <v>45546</v>
      </c>
      <c r="L639" s="165"/>
      <c r="M639" s="222">
        <v>365</v>
      </c>
      <c r="N639" s="2" t="str">
        <f t="shared" ca="1" si="19"/>
        <v>CLOSED</v>
      </c>
    </row>
    <row r="640" spans="1:14" ht="30">
      <c r="A640" s="64" t="s">
        <v>30</v>
      </c>
      <c r="B640" s="98" t="e">
        <f>VLOOKUP([2]!Table27[[#This Row],[Location 
(drop-down)]],'[2]List source'!D$2:E$59,2,FALSE)</f>
        <v>#N/A</v>
      </c>
      <c r="C640" s="99" t="s">
        <v>796</v>
      </c>
      <c r="D640" s="223" t="e">
        <f t="shared" si="18"/>
        <v>#N/A</v>
      </c>
      <c r="E640" s="227" t="s">
        <v>2609</v>
      </c>
      <c r="F640" s="165" t="e" cm="1">
        <f t="array" aca="1" ref="F640" ca="1">MID(LEFT(#REF!, INDEX(_xlfn._xlws.FILTER(ROW(INDIRECT("1:" &amp; LEN(#REF!))), (48 &lt;= CODE(MID(#REF!, ROW(INDIRECT("1:" &amp; LEN(#REF!))), 1))) * (CODE(MID(#REF!, ROW(INDIRECT("1:" &amp; LEN(#REF!))), 1)) &lt;= 57)), 1) - 1), FIND(":",#REF!) + 2, LEN(#REF!))</f>
        <v>#REF!</v>
      </c>
      <c r="G640" s="227" t="e">
        <f>MID(LEFT(#REF!, FIND(",",#REF!) - 1), FIND("{token}", SUBSTITUTE(#REF!, " ", "{token}", 2)) + 1, LEN(#REF!))</f>
        <v>#REF!</v>
      </c>
      <c r="H640" s="236" t="s">
        <v>1802</v>
      </c>
      <c r="I640" s="230">
        <v>45418</v>
      </c>
      <c r="J640" s="230" t="s">
        <v>47</v>
      </c>
      <c r="K640" s="226">
        <v>45546</v>
      </c>
      <c r="L640" s="165"/>
      <c r="M640" s="222">
        <v>419</v>
      </c>
      <c r="N640" s="2" t="str">
        <f t="shared" ca="1" si="19"/>
        <v>CLOSED</v>
      </c>
    </row>
    <row r="641" spans="1:14" ht="30">
      <c r="A641" s="64" t="s">
        <v>30</v>
      </c>
      <c r="B641" s="98" t="e">
        <f>VLOOKUP([2]!Table27[[#This Row],[Location 
(drop-down)]],'[2]List source'!D$2:E$59,2,FALSE)</f>
        <v>#N/A</v>
      </c>
      <c r="C641" s="99" t="s">
        <v>2610</v>
      </c>
      <c r="D641" s="223" t="e">
        <f t="shared" si="18"/>
        <v>#N/A</v>
      </c>
      <c r="E641" s="227" t="s">
        <v>2611</v>
      </c>
      <c r="F641" s="165" t="e" cm="1">
        <f t="array" aca="1" ref="F641" ca="1">MID(LEFT(#REF!, INDEX(_xlfn._xlws.FILTER(ROW(INDIRECT("1:" &amp; LEN(#REF!))), (48 &lt;= CODE(MID(#REF!, ROW(INDIRECT("1:" &amp; LEN(#REF!))), 1))) * (CODE(MID(#REF!, ROW(INDIRECT("1:" &amp; LEN(#REF!))), 1)) &lt;= 57)), 1) - 1), FIND(":",#REF!) + 2, LEN(#REF!))</f>
        <v>#REF!</v>
      </c>
      <c r="G641" s="227" t="e">
        <f>MID(LEFT(#REF!, FIND(",",#REF!) - 1), FIND("{token}", SUBSTITUTE(#REF!, " ", "{token}", 2)) + 1, LEN(#REF!))</f>
        <v>#REF!</v>
      </c>
      <c r="H641" s="236" t="s">
        <v>2612</v>
      </c>
      <c r="I641" s="230">
        <v>45435</v>
      </c>
      <c r="J641" s="230" t="s">
        <v>47</v>
      </c>
      <c r="K641" s="226">
        <v>45546</v>
      </c>
      <c r="L641" s="165"/>
      <c r="M641" s="222">
        <v>586</v>
      </c>
      <c r="N641" s="2" t="str">
        <f t="shared" ca="1" si="19"/>
        <v>CLOSED</v>
      </c>
    </row>
    <row r="642" spans="1:14" ht="30">
      <c r="A642" s="64" t="s">
        <v>114</v>
      </c>
      <c r="B642" s="98" t="e">
        <f>VLOOKUP([2]!Table27[[#This Row],[Location 
(drop-down)]],'[2]List source'!D$2:E$59,2,FALSE)</f>
        <v>#N/A</v>
      </c>
      <c r="C642" s="99" t="s">
        <v>2613</v>
      </c>
      <c r="D642" s="309" t="e">
        <f t="shared" ref="D642:D705" si="20">"PTO" &amp; C642 &amp; "-" &amp; B642 &amp; "-" &amp; "23"</f>
        <v>#N/A</v>
      </c>
      <c r="E642" s="227" t="s">
        <v>2614</v>
      </c>
      <c r="F642" s="165" t="e" cm="1">
        <f t="array" aca="1" ref="F642" ca="1">MID(LEFT(#REF!, INDEX(_xlfn._xlws.FILTER(ROW(INDIRECT("1:" &amp; LEN(#REF!))), (48 &lt;= CODE(MID(#REF!, ROW(INDIRECT("1:" &amp; LEN(#REF!))), 1))) * (CODE(MID(#REF!, ROW(INDIRECT("1:" &amp; LEN(#REF!))), 1)) &lt;= 57)), 1) - 1), FIND(":",#REF!) + 2, LEN(#REF!))</f>
        <v>#REF!</v>
      </c>
      <c r="G642" s="227" t="e">
        <f>MID(LEFT(#REF!, FIND(",",#REF!) - 1), FIND("{token}", SUBSTITUTE(#REF!, " ", "{token}", 2)) + 1, LEN(#REF!))</f>
        <v>#REF!</v>
      </c>
      <c r="H642" s="236" t="s">
        <v>2012</v>
      </c>
      <c r="I642" s="230">
        <v>45534</v>
      </c>
      <c r="J642" s="230" t="s">
        <v>34</v>
      </c>
      <c r="K642" s="226">
        <v>45546</v>
      </c>
      <c r="L642" s="165" t="s">
        <v>1505</v>
      </c>
      <c r="M642" s="222">
        <v>890</v>
      </c>
      <c r="N642" s="2" t="str">
        <f t="shared" ca="1" si="19"/>
        <v>CLOSED</v>
      </c>
    </row>
    <row r="643" spans="1:14" ht="30">
      <c r="A643" s="64" t="s">
        <v>114</v>
      </c>
      <c r="B643" s="98" t="e">
        <f>VLOOKUP([2]!Table27[[#This Row],[Location 
(drop-down)]],'[2]List source'!D$2:E$59,2,FALSE)</f>
        <v>#N/A</v>
      </c>
      <c r="C643" s="99" t="s">
        <v>2615</v>
      </c>
      <c r="D643" s="309" t="e">
        <f t="shared" si="20"/>
        <v>#N/A</v>
      </c>
      <c r="E643" s="227" t="s">
        <v>2616</v>
      </c>
      <c r="F643" s="165" t="e" cm="1">
        <f t="array" aca="1" ref="F643" ca="1">MID(LEFT(#REF!, INDEX(_xlfn._xlws.FILTER(ROW(INDIRECT("1:" &amp; LEN(#REF!))), (48 &lt;= CODE(MID(#REF!, ROW(INDIRECT("1:" &amp; LEN(#REF!))), 1))) * (CODE(MID(#REF!, ROW(INDIRECT("1:" &amp; LEN(#REF!))), 1)) &lt;= 57)), 1) - 1), FIND(":",#REF!) + 2, LEN(#REF!))</f>
        <v>#REF!</v>
      </c>
      <c r="G643" s="227" t="e">
        <f>MID(LEFT(#REF!, FIND(",",#REF!) - 1), FIND("{token}", SUBSTITUTE(#REF!, " ", "{token}", 2)) + 1, LEN(#REF!))</f>
        <v>#REF!</v>
      </c>
      <c r="H643" s="236" t="s">
        <v>2308</v>
      </c>
      <c r="I643" s="230">
        <v>45534</v>
      </c>
      <c r="J643" s="230" t="s">
        <v>34</v>
      </c>
      <c r="K643" s="226">
        <v>45546</v>
      </c>
      <c r="L643" s="165" t="s">
        <v>1505</v>
      </c>
      <c r="M643" s="222">
        <v>891</v>
      </c>
      <c r="N643" s="2" t="str">
        <f t="shared" ca="1" si="19"/>
        <v>CLOSED</v>
      </c>
    </row>
    <row r="644" spans="1:14" ht="18.75">
      <c r="A644" s="64" t="s">
        <v>23</v>
      </c>
      <c r="B644" s="98" t="e">
        <f>VLOOKUP([2]!Table27[[#This Row],[Location 
(drop-down)]],'[2]List source'!D$2:E$59,2,FALSE)</f>
        <v>#N/A</v>
      </c>
      <c r="C644" s="99" t="s">
        <v>2617</v>
      </c>
      <c r="D644" s="309" t="e">
        <f t="shared" si="20"/>
        <v>#N/A</v>
      </c>
      <c r="E644" s="227" t="s">
        <v>2618</v>
      </c>
      <c r="F644" s="165" t="e" cm="1">
        <f t="array" aca="1" ref="F644" ca="1">MID(LEFT(#REF!, INDEX(_xlfn._xlws.FILTER(ROW(INDIRECT("1:" &amp; LEN(#REF!))), (48 &lt;= CODE(MID(#REF!, ROW(INDIRECT("1:" &amp; LEN(#REF!))), 1))) * (CODE(MID(#REF!, ROW(INDIRECT("1:" &amp; LEN(#REF!))), 1)) &lt;= 57)), 1) - 1), FIND(":",#REF!) + 2, LEN(#REF!))</f>
        <v>#REF!</v>
      </c>
      <c r="G644" s="227" t="e">
        <f>MID(LEFT(#REF!, FIND(",",#REF!) - 1), FIND("{token}", SUBSTITUTE(#REF!, " ", "{token}", 2)) + 1, LEN(#REF!))</f>
        <v>#REF!</v>
      </c>
      <c r="H644" s="236" t="s">
        <v>2619</v>
      </c>
      <c r="I644" s="230">
        <v>45540</v>
      </c>
      <c r="J644" s="230" t="s">
        <v>34</v>
      </c>
      <c r="K644" s="226">
        <v>45546</v>
      </c>
      <c r="L644" s="165" t="s">
        <v>1505</v>
      </c>
      <c r="M644" s="222">
        <v>924</v>
      </c>
      <c r="N644" s="2" t="str">
        <f t="shared" ca="1" si="19"/>
        <v>CLOSED</v>
      </c>
    </row>
    <row r="645" spans="1:14" ht="30">
      <c r="A645" s="64" t="s">
        <v>125</v>
      </c>
      <c r="B645" s="98" t="e">
        <f>VLOOKUP([2]!Table27[[#This Row],[Location 
(drop-down)]],'[2]List source'!D$2:E$59,2,FALSE)</f>
        <v>#N/A</v>
      </c>
      <c r="C645" s="99" t="s">
        <v>2620</v>
      </c>
      <c r="D645" s="309" t="e">
        <f t="shared" si="20"/>
        <v>#N/A</v>
      </c>
      <c r="E645" s="227" t="s">
        <v>2621</v>
      </c>
      <c r="F645" s="165" t="e" cm="1">
        <f t="array" aca="1" ref="F645" ca="1">MID(LEFT(#REF!, INDEX(_xlfn._xlws.FILTER(ROW(INDIRECT("1:" &amp; LEN(#REF!))), (48 &lt;= CODE(MID(#REF!, ROW(INDIRECT("1:" &amp; LEN(#REF!))), 1))) * (CODE(MID(#REF!, ROW(INDIRECT("1:" &amp; LEN(#REF!))), 1)) &lt;= 57)), 1) - 1), FIND(":",#REF!) + 2, LEN(#REF!))</f>
        <v>#REF!</v>
      </c>
      <c r="G645" s="227" t="e">
        <f>MID(LEFT(#REF!, FIND(",",#REF!) - 1), FIND("{token}", SUBSTITUTE(#REF!, " ", "{token}", 2)) + 1, LEN(#REF!))</f>
        <v>#REF!</v>
      </c>
      <c r="H645" s="165">
        <v>2.37</v>
      </c>
      <c r="I645" s="230">
        <v>45546</v>
      </c>
      <c r="J645" s="230" t="s">
        <v>34</v>
      </c>
      <c r="K645" s="226">
        <v>45546</v>
      </c>
      <c r="L645" s="165" t="s">
        <v>1671</v>
      </c>
      <c r="M645" s="222">
        <v>959</v>
      </c>
      <c r="N645" s="2" t="str">
        <f t="shared" ca="1" si="19"/>
        <v>CLOSED</v>
      </c>
    </row>
    <row r="646" spans="1:14" ht="30">
      <c r="A646" s="64" t="s">
        <v>119</v>
      </c>
      <c r="B646" s="98" t="e">
        <f>VLOOKUP([2]!Table27[[#This Row],[Location 
(drop-down)]],'[2]List source'!D$2:E$59,2,FALSE)</f>
        <v>#N/A</v>
      </c>
      <c r="C646" s="99" t="s">
        <v>2622</v>
      </c>
      <c r="D646" s="309" t="e">
        <f t="shared" si="20"/>
        <v>#N/A</v>
      </c>
      <c r="E646" s="227" t="s">
        <v>2623</v>
      </c>
      <c r="F646" s="165" t="e" cm="1">
        <f t="array" aca="1" ref="F646" ca="1">MID(LEFT(#REF!, INDEX(_xlfn._xlws.FILTER(ROW(INDIRECT("1:" &amp; LEN(#REF!))), (48 &lt;= CODE(MID(#REF!, ROW(INDIRECT("1:" &amp; LEN(#REF!))), 1))) * (CODE(MID(#REF!, ROW(INDIRECT("1:" &amp; LEN(#REF!))), 1)) &lt;= 57)), 1) - 1), FIND(":",#REF!) + 2, LEN(#REF!))</f>
        <v>#REF!</v>
      </c>
      <c r="G646" s="227" t="e">
        <f>MID(LEFT(#REF!, FIND(",",#REF!) - 1), FIND("{token}", SUBSTITUTE(#REF!, " ", "{token}", 2)) + 1, LEN(#REF!))</f>
        <v>#REF!</v>
      </c>
      <c r="H646" s="165">
        <v>2.1</v>
      </c>
      <c r="I646" s="230">
        <v>45546</v>
      </c>
      <c r="J646" s="230" t="s">
        <v>34</v>
      </c>
      <c r="K646" s="226">
        <v>45546</v>
      </c>
      <c r="L646" s="165" t="s">
        <v>1671</v>
      </c>
      <c r="M646" s="222">
        <v>960</v>
      </c>
      <c r="N646" s="2" t="str">
        <f t="shared" ca="1" si="19"/>
        <v>CLOSED</v>
      </c>
    </row>
    <row r="647" spans="1:14" ht="30">
      <c r="A647" s="64" t="s">
        <v>30</v>
      </c>
      <c r="B647" s="98" t="e">
        <f>VLOOKUP([2]!Table27[[#This Row],[Location 
(drop-down)]],'[2]List source'!D$2:E$59,2,FALSE)</f>
        <v>#N/A</v>
      </c>
      <c r="C647" s="99" t="s">
        <v>2624</v>
      </c>
      <c r="D647" s="309" t="e">
        <f t="shared" si="20"/>
        <v>#N/A</v>
      </c>
      <c r="E647" s="227" t="s">
        <v>2625</v>
      </c>
      <c r="F647" s="165" t="e" cm="1">
        <f t="array" aca="1" ref="F647" ca="1">MID(LEFT(#REF!, INDEX(_xlfn._xlws.FILTER(ROW(INDIRECT("1:" &amp; LEN(#REF!))), (48 &lt;= CODE(MID(#REF!, ROW(INDIRECT("1:" &amp; LEN(#REF!))), 1))) * (CODE(MID(#REF!, ROW(INDIRECT("1:" &amp; LEN(#REF!))), 1)) &lt;= 57)), 1) - 1), FIND(":",#REF!) + 2, LEN(#REF!))</f>
        <v>#REF!</v>
      </c>
      <c r="G647" s="227" t="e">
        <f>MID(LEFT(#REF!, FIND(",",#REF!) - 1), FIND("{token}", SUBSTITUTE(#REF!, " ", "{token}", 2)) + 1, LEN(#REF!))</f>
        <v>#REF!</v>
      </c>
      <c r="H647" s="165" t="s">
        <v>2626</v>
      </c>
      <c r="I647" s="230">
        <v>45546</v>
      </c>
      <c r="J647" s="230" t="s">
        <v>34</v>
      </c>
      <c r="K647" s="226">
        <v>45546</v>
      </c>
      <c r="L647" s="165" t="s">
        <v>1671</v>
      </c>
      <c r="M647" s="222">
        <v>963</v>
      </c>
      <c r="N647" s="2" t="str">
        <f t="shared" ca="1" si="19"/>
        <v>CLOSED</v>
      </c>
    </row>
    <row r="648" spans="1:14" ht="18.75">
      <c r="A648" s="64" t="s">
        <v>213</v>
      </c>
      <c r="B648" s="98" t="e">
        <f>VLOOKUP([2]!Table27[[#This Row],[Location 
(drop-down)]],'[2]List source'!D$2:E$59,2,FALSE)</f>
        <v>#N/A</v>
      </c>
      <c r="C648" s="99" t="s">
        <v>2627</v>
      </c>
      <c r="D648" s="309" t="e">
        <f t="shared" si="20"/>
        <v>#N/A</v>
      </c>
      <c r="E648" s="227" t="s">
        <v>2628</v>
      </c>
      <c r="F648" s="165" t="e" cm="1">
        <f t="array" aca="1" ref="F648" ca="1">MID(LEFT(#REF!, INDEX(_xlfn._xlws.FILTER(ROW(INDIRECT("1:" &amp; LEN(#REF!))), (48 &lt;= CODE(MID(#REF!, ROW(INDIRECT("1:" &amp; LEN(#REF!))), 1))) * (CODE(MID(#REF!, ROW(INDIRECT("1:" &amp; LEN(#REF!))), 1)) &lt;= 57)), 1) - 1), FIND(":",#REF!) + 2, LEN(#REF!))</f>
        <v>#REF!</v>
      </c>
      <c r="G648" s="227" t="e">
        <f>MID(LEFT(#REF!, FIND(",",#REF!) - 1), FIND("{token}", SUBSTITUTE(#REF!, " ", "{token}", 2)) + 1, LEN(#REF!))</f>
        <v>#REF!</v>
      </c>
      <c r="H648" s="165">
        <v>2.02</v>
      </c>
      <c r="I648" s="230">
        <v>45546</v>
      </c>
      <c r="J648" s="230" t="s">
        <v>34</v>
      </c>
      <c r="K648" s="226">
        <v>45546</v>
      </c>
      <c r="L648" s="165" t="s">
        <v>1671</v>
      </c>
      <c r="M648" s="222">
        <v>966</v>
      </c>
      <c r="N648" s="2" t="str">
        <f t="shared" ca="1" si="19"/>
        <v>CLOSED</v>
      </c>
    </row>
    <row r="649" spans="1:14" ht="30">
      <c r="A649" s="64" t="s">
        <v>80</v>
      </c>
      <c r="B649" s="98" t="e">
        <f>VLOOKUP([2]!Table27[[#This Row],[Location 
(drop-down)]],'[2]List source'!D$2:E$59,2,FALSE)</f>
        <v>#N/A</v>
      </c>
      <c r="C649" s="99" t="s">
        <v>2629</v>
      </c>
      <c r="D649" s="309" t="e">
        <f t="shared" si="20"/>
        <v>#N/A</v>
      </c>
      <c r="E649" s="227" t="s">
        <v>2630</v>
      </c>
      <c r="F649" s="165" t="e" cm="1">
        <f t="array" aca="1" ref="F649" ca="1">MID(LEFT(#REF!, INDEX(_xlfn._xlws.FILTER(ROW(INDIRECT("1:" &amp; LEN(#REF!))), (48 &lt;= CODE(MID(#REF!, ROW(INDIRECT("1:" &amp; LEN(#REF!))), 1))) * (CODE(MID(#REF!, ROW(INDIRECT("1:" &amp; LEN(#REF!))), 1)) &lt;= 57)), 1) - 1), FIND(":",#REF!) + 2, LEN(#REF!))</f>
        <v>#REF!</v>
      </c>
      <c r="G649" s="227" t="e">
        <f>MID(LEFT(#REF!, FIND(",",#REF!) - 1), FIND("{token}", SUBSTITUTE(#REF!, " ", "{token}", 2)) + 1, LEN(#REF!))</f>
        <v>#REF!</v>
      </c>
      <c r="H649" s="165" t="s">
        <v>2631</v>
      </c>
      <c r="I649" s="230">
        <v>45546</v>
      </c>
      <c r="J649" s="230" t="s">
        <v>34</v>
      </c>
      <c r="K649" s="226">
        <v>45546</v>
      </c>
      <c r="L649" s="165" t="s">
        <v>1671</v>
      </c>
      <c r="M649" s="222">
        <v>967</v>
      </c>
      <c r="N649" s="2" t="str">
        <f t="shared" ca="1" si="19"/>
        <v>CLOSED</v>
      </c>
    </row>
    <row r="650" spans="1:14" ht="18.75">
      <c r="A650" s="64" t="s">
        <v>264</v>
      </c>
      <c r="B650" s="98" t="e">
        <f>VLOOKUP([2]!Table27[[#This Row],[Location 
(drop-down)]],'[2]List source'!D$2:E$59,2,FALSE)</f>
        <v>#N/A</v>
      </c>
      <c r="C650" s="99" t="s">
        <v>2632</v>
      </c>
      <c r="D650" s="309" t="e">
        <f t="shared" si="20"/>
        <v>#N/A</v>
      </c>
      <c r="E650" s="227" t="s">
        <v>2633</v>
      </c>
      <c r="F650" s="165" t="e" cm="1">
        <f t="array" aca="1" ref="F650" ca="1">MID(LEFT(#REF!, INDEX(_xlfn._xlws.FILTER(ROW(INDIRECT("1:" &amp; LEN(#REF!))), (48 &lt;= CODE(MID(#REF!, ROW(INDIRECT("1:" &amp; LEN(#REF!))), 1))) * (CODE(MID(#REF!, ROW(INDIRECT("1:" &amp; LEN(#REF!))), 1)) &lt;= 57)), 1) - 1), FIND(":",#REF!) + 2, LEN(#REF!))</f>
        <v>#REF!</v>
      </c>
      <c r="G650" s="227" t="e">
        <f>MID(LEFT(#REF!, FIND(",",#REF!) - 1), FIND("{token}", SUBSTITUTE(#REF!, " ", "{token}", 2)) + 1, LEN(#REF!))</f>
        <v>#REF!</v>
      </c>
      <c r="H650" s="165">
        <v>2.2599999999999998</v>
      </c>
      <c r="I650" s="230">
        <v>45546</v>
      </c>
      <c r="J650" s="230" t="s">
        <v>34</v>
      </c>
      <c r="K650" s="226">
        <v>45546</v>
      </c>
      <c r="L650" s="165" t="s">
        <v>1671</v>
      </c>
      <c r="M650" s="222">
        <v>968</v>
      </c>
      <c r="N650" s="2" t="str">
        <f t="shared" ca="1" si="19"/>
        <v>CLOSED</v>
      </c>
    </row>
    <row r="651" spans="1:14" ht="18.75">
      <c r="A651" s="64" t="s">
        <v>167</v>
      </c>
      <c r="B651" s="98" t="e">
        <f>VLOOKUP([2]!Table27[[#This Row],[Location 
(drop-down)]],'[2]List source'!D$2:E$59,2,FALSE)</f>
        <v>#N/A</v>
      </c>
      <c r="C651" s="99" t="s">
        <v>2634</v>
      </c>
      <c r="D651" s="309" t="e">
        <f t="shared" si="20"/>
        <v>#N/A</v>
      </c>
      <c r="E651" s="227" t="s">
        <v>2635</v>
      </c>
      <c r="F651" s="165" t="e" cm="1">
        <f t="array" aca="1" ref="F651" ca="1">MID(LEFT(#REF!, INDEX(_xlfn._xlws.FILTER(ROW(INDIRECT("1:" &amp; LEN(#REF!))), (48 &lt;= CODE(MID(#REF!, ROW(INDIRECT("1:" &amp; LEN(#REF!))), 1))) * (CODE(MID(#REF!, ROW(INDIRECT("1:" &amp; LEN(#REF!))), 1)) &lt;= 57)), 1) - 1), FIND(":",#REF!) + 2, LEN(#REF!))</f>
        <v>#REF!</v>
      </c>
      <c r="G651" s="227" t="e">
        <f>MID(LEFT(#REF!, FIND(",",#REF!) - 1), FIND("{token}", SUBSTITUTE(#REF!, " ", "{token}", 2)) + 1, LEN(#REF!))</f>
        <v>#REF!</v>
      </c>
      <c r="H651" s="165">
        <v>2.88</v>
      </c>
      <c r="I651" s="230">
        <v>45546</v>
      </c>
      <c r="J651" s="230" t="s">
        <v>34</v>
      </c>
      <c r="K651" s="226">
        <v>45546</v>
      </c>
      <c r="L651" s="165" t="s">
        <v>1671</v>
      </c>
      <c r="M651" s="222">
        <v>969</v>
      </c>
      <c r="N651" s="2" t="str">
        <f t="shared" ca="1" si="19"/>
        <v>CLOSED</v>
      </c>
    </row>
    <row r="652" spans="1:14" ht="18.75">
      <c r="A652" s="64" t="s">
        <v>167</v>
      </c>
      <c r="B652" s="98" t="e">
        <f>VLOOKUP([2]!Table27[[#This Row],[Location 
(drop-down)]],'[2]List source'!D$2:E$59,2,FALSE)</f>
        <v>#N/A</v>
      </c>
      <c r="C652" s="99" t="s">
        <v>2636</v>
      </c>
      <c r="D652" s="309" t="e">
        <f t="shared" si="20"/>
        <v>#N/A</v>
      </c>
      <c r="E652" s="227" t="s">
        <v>2637</v>
      </c>
      <c r="F652" s="165" t="e" cm="1">
        <f t="array" aca="1" ref="F652" ca="1">MID(LEFT(#REF!, INDEX(_xlfn._xlws.FILTER(ROW(INDIRECT("1:" &amp; LEN(#REF!))), (48 &lt;= CODE(MID(#REF!, ROW(INDIRECT("1:" &amp; LEN(#REF!))), 1))) * (CODE(MID(#REF!, ROW(INDIRECT("1:" &amp; LEN(#REF!))), 1)) &lt;= 57)), 1) - 1), FIND(":",#REF!) + 2, LEN(#REF!))</f>
        <v>#REF!</v>
      </c>
      <c r="G652" s="227" t="e">
        <f>MID(LEFT(#REF!, FIND(",",#REF!) - 1), FIND("{token}", SUBSTITUTE(#REF!, " ", "{token}", 2)) + 1, LEN(#REF!))</f>
        <v>#REF!</v>
      </c>
      <c r="H652" s="165" t="s">
        <v>2638</v>
      </c>
      <c r="I652" s="230">
        <v>45546</v>
      </c>
      <c r="J652" s="230" t="s">
        <v>34</v>
      </c>
      <c r="K652" s="226">
        <v>45546</v>
      </c>
      <c r="L652" s="165" t="s">
        <v>1671</v>
      </c>
      <c r="M652" s="222">
        <v>970</v>
      </c>
      <c r="N652" s="2" t="str">
        <f t="shared" ca="1" si="19"/>
        <v>CLOSED</v>
      </c>
    </row>
    <row r="653" spans="1:14" ht="18.75">
      <c r="A653" s="64" t="s">
        <v>314</v>
      </c>
      <c r="B653" s="98" t="e">
        <f>VLOOKUP([2]!Table27[[#This Row],[Location 
(drop-down)]],'[2]List source'!D$2:E$59,2,FALSE)</f>
        <v>#N/A</v>
      </c>
      <c r="C653" s="99" t="s">
        <v>2639</v>
      </c>
      <c r="D653" s="309" t="e">
        <f t="shared" si="20"/>
        <v>#N/A</v>
      </c>
      <c r="E653" s="227" t="s">
        <v>2640</v>
      </c>
      <c r="F653" s="165" t="e" cm="1">
        <f t="array" aca="1" ref="F653" ca="1">MID(LEFT(#REF!, INDEX(_xlfn._xlws.FILTER(ROW(INDIRECT("1:" &amp; LEN(#REF!))), (48 &lt;= CODE(MID(#REF!, ROW(INDIRECT("1:" &amp; LEN(#REF!))), 1))) * (CODE(MID(#REF!, ROW(INDIRECT("1:" &amp; LEN(#REF!))), 1)) &lt;= 57)), 1) - 1), FIND(":",#REF!) + 2, LEN(#REF!))</f>
        <v>#REF!</v>
      </c>
      <c r="G653" s="227" t="e">
        <f>MID(LEFT(#REF!, FIND(",",#REF!) - 1), FIND("{token}", SUBSTITUTE(#REF!, " ", "{token}", 2)) + 1, LEN(#REF!))</f>
        <v>#REF!</v>
      </c>
      <c r="H653" s="165">
        <v>2.16</v>
      </c>
      <c r="I653" s="230">
        <v>45546</v>
      </c>
      <c r="J653" s="230" t="s">
        <v>34</v>
      </c>
      <c r="K653" s="226">
        <v>45546</v>
      </c>
      <c r="L653" s="165" t="s">
        <v>1671</v>
      </c>
      <c r="M653" s="222">
        <v>972</v>
      </c>
      <c r="N653" s="2" t="str">
        <f t="shared" ca="1" si="19"/>
        <v>CLOSED</v>
      </c>
    </row>
    <row r="654" spans="1:14" ht="30">
      <c r="A654" s="64" t="s">
        <v>73</v>
      </c>
      <c r="B654" s="98" t="e">
        <f>VLOOKUP([2]!Table27[[#This Row],[Location 
(drop-down)]],'[2]List source'!D$2:E$59,2,FALSE)</f>
        <v>#N/A</v>
      </c>
      <c r="C654" s="99" t="s">
        <v>2641</v>
      </c>
      <c r="D654" s="309" t="e">
        <f t="shared" si="20"/>
        <v>#N/A</v>
      </c>
      <c r="E654" s="227" t="s">
        <v>2640</v>
      </c>
      <c r="F654" s="165" t="e" cm="1">
        <f t="array" aca="1" ref="F654" ca="1">MID(LEFT(#REF!, INDEX(_xlfn._xlws.FILTER(ROW(INDIRECT("1:" &amp; LEN(#REF!))), (48 &lt;= CODE(MID(#REF!, ROW(INDIRECT("1:" &amp; LEN(#REF!))), 1))) * (CODE(MID(#REF!, ROW(INDIRECT("1:" &amp; LEN(#REF!))), 1)) &lt;= 57)), 1) - 1), FIND(":",#REF!) + 2, LEN(#REF!))</f>
        <v>#REF!</v>
      </c>
      <c r="G654" s="227" t="e">
        <f>MID(LEFT(#REF!, FIND(",",#REF!) - 1), FIND("{token}", SUBSTITUTE(#REF!, " ", "{token}", 2)) + 1, LEN(#REF!))</f>
        <v>#REF!</v>
      </c>
      <c r="H654" s="165">
        <v>2.27</v>
      </c>
      <c r="I654" s="230">
        <v>45546</v>
      </c>
      <c r="J654" s="230" t="s">
        <v>34</v>
      </c>
      <c r="K654" s="226">
        <v>45546</v>
      </c>
      <c r="L654" s="165" t="s">
        <v>1671</v>
      </c>
      <c r="M654" s="222">
        <v>975</v>
      </c>
      <c r="N654" s="2" t="str">
        <f t="shared" ca="1" si="19"/>
        <v>CLOSED</v>
      </c>
    </row>
    <row r="655" spans="1:14" ht="30">
      <c r="A655" s="64" t="s">
        <v>73</v>
      </c>
      <c r="B655" s="98" t="e">
        <f>VLOOKUP([2]!Table27[[#This Row],[Location 
(drop-down)]],'[2]List source'!D$2:E$59,2,FALSE)</f>
        <v>#N/A</v>
      </c>
      <c r="C655" s="99" t="s">
        <v>2642</v>
      </c>
      <c r="D655" s="309" t="e">
        <f t="shared" si="20"/>
        <v>#N/A</v>
      </c>
      <c r="E655" s="227" t="s">
        <v>2625</v>
      </c>
      <c r="F655" s="165" t="e" cm="1">
        <f t="array" aca="1" ref="F655" ca="1">MID(LEFT(#REF!, INDEX(_xlfn._xlws.FILTER(ROW(INDIRECT("1:" &amp; LEN(#REF!))), (48 &lt;= CODE(MID(#REF!, ROW(INDIRECT("1:" &amp; LEN(#REF!))), 1))) * (CODE(MID(#REF!, ROW(INDIRECT("1:" &amp; LEN(#REF!))), 1)) &lt;= 57)), 1) - 1), FIND(":",#REF!) + 2, LEN(#REF!))</f>
        <v>#REF!</v>
      </c>
      <c r="G655" s="227" t="e">
        <f>MID(LEFT(#REF!, FIND(",",#REF!) - 1), FIND("{token}", SUBSTITUTE(#REF!, " ", "{token}", 2)) + 1, LEN(#REF!))</f>
        <v>#REF!</v>
      </c>
      <c r="H655" s="236" t="s">
        <v>2643</v>
      </c>
      <c r="I655" s="230">
        <v>45546</v>
      </c>
      <c r="J655" s="230" t="s">
        <v>34</v>
      </c>
      <c r="K655" s="226">
        <v>45546</v>
      </c>
      <c r="L655" s="165" t="s">
        <v>1671</v>
      </c>
      <c r="M655" s="222">
        <v>976</v>
      </c>
      <c r="N655" s="2" t="str">
        <f t="shared" ca="1" si="19"/>
        <v>CLOSED</v>
      </c>
    </row>
    <row r="656" spans="1:14" ht="30">
      <c r="A656" s="64" t="s">
        <v>485</v>
      </c>
      <c r="B656" s="98" t="e">
        <f>VLOOKUP([2]!Table27[[#This Row],[Location 
(drop-down)]],'[2]List source'!D$2:E$59,2,FALSE)</f>
        <v>#N/A</v>
      </c>
      <c r="C656" s="99" t="s">
        <v>2644</v>
      </c>
      <c r="D656" s="309" t="e">
        <f t="shared" si="20"/>
        <v>#N/A</v>
      </c>
      <c r="E656" s="227" t="s">
        <v>2635</v>
      </c>
      <c r="F656" s="165" t="e" cm="1">
        <f t="array" aca="1" ref="F656" ca="1">MID(LEFT(#REF!, INDEX(_xlfn._xlws.FILTER(ROW(INDIRECT("1:" &amp; LEN(#REF!))), (48 &lt;= CODE(MID(#REF!, ROW(INDIRECT("1:" &amp; LEN(#REF!))), 1))) * (CODE(MID(#REF!, ROW(INDIRECT("1:" &amp; LEN(#REF!))), 1)) &lt;= 57)), 1) - 1), FIND(":",#REF!) + 2, LEN(#REF!))</f>
        <v>#REF!</v>
      </c>
      <c r="G656" s="227" t="e">
        <f>MID(LEFT(#REF!, FIND(",",#REF!) - 1), FIND("{token}", SUBSTITUTE(#REF!, " ", "{token}", 2)) + 1, LEN(#REF!))</f>
        <v>#REF!</v>
      </c>
      <c r="H656" s="165">
        <v>2.63</v>
      </c>
      <c r="I656" s="230">
        <v>45546</v>
      </c>
      <c r="J656" s="230" t="s">
        <v>34</v>
      </c>
      <c r="K656" s="226">
        <v>45546</v>
      </c>
      <c r="L656" s="165" t="s">
        <v>1671</v>
      </c>
      <c r="M656" s="222">
        <v>977</v>
      </c>
      <c r="N656" s="2" t="str">
        <f t="shared" ca="1" si="19"/>
        <v>CLOSED</v>
      </c>
    </row>
    <row r="657" spans="1:14" ht="30">
      <c r="A657" s="64" t="s">
        <v>500</v>
      </c>
      <c r="B657" s="98" t="e">
        <f>VLOOKUP([2]!Table27[[#This Row],[Location 
(drop-down)]],'[2]List source'!D$2:E$59,2,FALSE)</f>
        <v>#N/A</v>
      </c>
      <c r="C657" s="99" t="s">
        <v>2645</v>
      </c>
      <c r="D657" s="309" t="e">
        <f t="shared" si="20"/>
        <v>#N/A</v>
      </c>
      <c r="E657" s="227" t="s">
        <v>2646</v>
      </c>
      <c r="F657" s="165" t="e" cm="1">
        <f t="array" aca="1" ref="F657" ca="1">MID(LEFT(#REF!, INDEX(_xlfn._xlws.FILTER(ROW(INDIRECT("1:" &amp; LEN(#REF!))), (48 &lt;= CODE(MID(#REF!, ROW(INDIRECT("1:" &amp; LEN(#REF!))), 1))) * (CODE(MID(#REF!, ROW(INDIRECT("1:" &amp; LEN(#REF!))), 1)) &lt;= 57)), 1) - 1), FIND(":",#REF!) + 2, LEN(#REF!))</f>
        <v>#REF!</v>
      </c>
      <c r="G657" s="227" t="e">
        <f>MID(LEFT(#REF!, FIND(",",#REF!) - 1), FIND("{token}", SUBSTITUTE(#REF!, " ", "{token}", 2)) + 1, LEN(#REF!))</f>
        <v>#REF!</v>
      </c>
      <c r="H657" s="165">
        <v>2.61</v>
      </c>
      <c r="I657" s="230">
        <v>45546</v>
      </c>
      <c r="J657" s="230" t="s">
        <v>34</v>
      </c>
      <c r="K657" s="226">
        <v>45546</v>
      </c>
      <c r="L657" s="165" t="s">
        <v>1671</v>
      </c>
      <c r="M657" s="222">
        <v>980</v>
      </c>
      <c r="N657" s="2" t="str">
        <f t="shared" ca="1" si="19"/>
        <v>CLOSED</v>
      </c>
    </row>
    <row r="658" spans="1:14" ht="18.75">
      <c r="A658" s="64" t="s">
        <v>23</v>
      </c>
      <c r="B658" s="98" t="e">
        <f>VLOOKUP([2]!Table27[[#This Row],[Location 
(drop-down)]],'[2]List source'!D$2:E$59,2,FALSE)</f>
        <v>#N/A</v>
      </c>
      <c r="C658" s="99" t="s">
        <v>2647</v>
      </c>
      <c r="D658" s="309" t="e">
        <f t="shared" si="20"/>
        <v>#N/A</v>
      </c>
      <c r="E658" s="227" t="s">
        <v>2648</v>
      </c>
      <c r="F658" s="165" t="e" cm="1">
        <f t="array" aca="1" ref="F658" ca="1">MID(LEFT(#REF!, INDEX(_xlfn._xlws.FILTER(ROW(INDIRECT("1:" &amp; LEN(#REF!))), (48 &lt;= CODE(MID(#REF!, ROW(INDIRECT("1:" &amp; LEN(#REF!))), 1))) * (CODE(MID(#REF!, ROW(INDIRECT("1:" &amp; LEN(#REF!))), 1)) &lt;= 57)), 1) - 1), FIND(":",#REF!) + 2, LEN(#REF!))</f>
        <v>#REF!</v>
      </c>
      <c r="G658" s="227" t="e">
        <f>MID(LEFT(#REF!, FIND(",",#REF!) - 1), FIND("{token}", SUBSTITUTE(#REF!, " ", "{token}", 2)) + 1, LEN(#REF!))</f>
        <v>#REF!</v>
      </c>
      <c r="H658" s="165">
        <v>2.86</v>
      </c>
      <c r="I658" s="230">
        <v>45546</v>
      </c>
      <c r="J658" s="230" t="s">
        <v>34</v>
      </c>
      <c r="K658" s="226">
        <v>45546</v>
      </c>
      <c r="L658" s="165" t="s">
        <v>1671</v>
      </c>
      <c r="M658" s="222">
        <v>983</v>
      </c>
      <c r="N658" s="2" t="str">
        <f t="shared" ca="1" si="19"/>
        <v>CLOSED</v>
      </c>
    </row>
    <row r="659" spans="1:14" ht="18.75">
      <c r="A659" s="64" t="s">
        <v>23</v>
      </c>
      <c r="B659" s="98" t="e">
        <f>VLOOKUP([2]!Table27[[#This Row],[Location 
(drop-down)]],'[2]List source'!D$2:E$59,2,FALSE)</f>
        <v>#N/A</v>
      </c>
      <c r="C659" s="99" t="s">
        <v>2649</v>
      </c>
      <c r="D659" s="309" t="e">
        <f t="shared" si="20"/>
        <v>#N/A</v>
      </c>
      <c r="E659" s="227" t="s">
        <v>2628</v>
      </c>
      <c r="F659" s="165" t="e" cm="1">
        <f t="array" aca="1" ref="F659" ca="1">MID(LEFT(#REF!, INDEX(_xlfn._xlws.FILTER(ROW(INDIRECT("1:" &amp; LEN(#REF!))), (48 &lt;= CODE(MID(#REF!, ROW(INDIRECT("1:" &amp; LEN(#REF!))), 1))) * (CODE(MID(#REF!, ROW(INDIRECT("1:" &amp; LEN(#REF!))), 1)) &lt;= 57)), 1) - 1), FIND(":",#REF!) + 2, LEN(#REF!))</f>
        <v>#REF!</v>
      </c>
      <c r="G659" s="227" t="e">
        <f>MID(LEFT(#REF!, FIND(",",#REF!) - 1), FIND("{token}", SUBSTITUTE(#REF!, " ", "{token}", 2)) + 1, LEN(#REF!))</f>
        <v>#REF!</v>
      </c>
      <c r="H659" s="236" t="s">
        <v>2650</v>
      </c>
      <c r="I659" s="230">
        <v>45546</v>
      </c>
      <c r="J659" s="230" t="s">
        <v>34</v>
      </c>
      <c r="K659" s="226">
        <v>45546</v>
      </c>
      <c r="L659" s="165" t="s">
        <v>1671</v>
      </c>
      <c r="M659" s="222">
        <v>984</v>
      </c>
      <c r="N659" s="2" t="str">
        <f t="shared" ca="1" si="19"/>
        <v>CLOSED</v>
      </c>
    </row>
    <row r="660" spans="1:14" ht="30">
      <c r="A660" s="64" t="s">
        <v>714</v>
      </c>
      <c r="B660" s="98" t="e">
        <f>VLOOKUP([2]!Table27[[#This Row],[Location 
(drop-down)]],'[2]List source'!D$2:E$59,2,FALSE)</f>
        <v>#N/A</v>
      </c>
      <c r="C660" s="99" t="s">
        <v>2651</v>
      </c>
      <c r="D660" s="309" t="e">
        <f t="shared" si="20"/>
        <v>#N/A</v>
      </c>
      <c r="E660" s="227" t="s">
        <v>2652</v>
      </c>
      <c r="F660" s="165" t="e" cm="1">
        <f t="array" aca="1" ref="F660" ca="1">MID(LEFT(#REF!, INDEX(_xlfn._xlws.FILTER(ROW(INDIRECT("1:" &amp; LEN(#REF!))), (48 &lt;= CODE(MID(#REF!, ROW(INDIRECT("1:" &amp; LEN(#REF!))), 1))) * (CODE(MID(#REF!, ROW(INDIRECT("1:" &amp; LEN(#REF!))), 1)) &lt;= 57)), 1) - 1), FIND(":",#REF!) + 2, LEN(#REF!))</f>
        <v>#REF!</v>
      </c>
      <c r="G660" s="227" t="e">
        <f>MID(LEFT(#REF!, FIND(",",#REF!) - 1), FIND("{token}", SUBSTITUTE(#REF!, " ", "{token}", 2)) + 1, LEN(#REF!))</f>
        <v>#REF!</v>
      </c>
      <c r="H660" s="165">
        <v>2.12</v>
      </c>
      <c r="I660" s="230">
        <v>45546</v>
      </c>
      <c r="J660" s="230" t="s">
        <v>34</v>
      </c>
      <c r="K660" s="226">
        <v>45546</v>
      </c>
      <c r="L660" s="165" t="s">
        <v>1671</v>
      </c>
      <c r="M660" s="222">
        <v>985</v>
      </c>
      <c r="N660" s="2" t="str">
        <f t="shared" ca="1" si="19"/>
        <v>CLOSED</v>
      </c>
    </row>
    <row r="661" spans="1:14" ht="18.75">
      <c r="A661" s="64" t="s">
        <v>23</v>
      </c>
      <c r="B661" s="98" t="e">
        <f>VLOOKUP([2]!Table27[[#This Row],[Location 
(drop-down)]],'[2]List source'!D$2:E$59,2,FALSE)</f>
        <v>#N/A</v>
      </c>
      <c r="C661" s="99" t="s">
        <v>2653</v>
      </c>
      <c r="D661" s="309" t="e">
        <f t="shared" si="20"/>
        <v>#N/A</v>
      </c>
      <c r="E661" s="227" t="s">
        <v>2654</v>
      </c>
      <c r="F661" s="165" t="s">
        <v>1520</v>
      </c>
      <c r="G661" s="227" t="e">
        <f>MID(LEFT(#REF!, FIND(",",#REF!) - 1), FIND("{token}", SUBSTITUTE(#REF!, " ", "{token}", 2)) + 1, LEN(#REF!))</f>
        <v>#REF!</v>
      </c>
      <c r="H661" s="165" t="s">
        <v>2655</v>
      </c>
      <c r="I661" s="230">
        <v>45546</v>
      </c>
      <c r="J661" s="230" t="s">
        <v>34</v>
      </c>
      <c r="K661" s="226">
        <v>45546</v>
      </c>
      <c r="L661" s="165" t="s">
        <v>1671</v>
      </c>
      <c r="M661" s="222">
        <v>986</v>
      </c>
      <c r="N661" s="2" t="str">
        <f t="shared" ca="1" si="19"/>
        <v>CLOSED</v>
      </c>
    </row>
    <row r="662" spans="1:14" ht="30">
      <c r="A662" s="64" t="s">
        <v>485</v>
      </c>
      <c r="B662" s="98" t="e">
        <f>VLOOKUP([2]!Table27[[#This Row],[Location 
(drop-down)]],'[2]List source'!D$2:E$59,2,FALSE)</f>
        <v>#N/A</v>
      </c>
      <c r="C662" s="99" t="s">
        <v>2656</v>
      </c>
      <c r="D662" s="223" t="e">
        <f t="shared" si="20"/>
        <v>#N/A</v>
      </c>
      <c r="E662" s="227" t="s">
        <v>2657</v>
      </c>
      <c r="F662" s="165" t="e" cm="1">
        <f t="array" aca="1" ref="F662" ca="1">MID(LEFT(#REF!, INDEX(_xlfn._xlws.FILTER(ROW(INDIRECT("1:" &amp; LEN(#REF!))), (48 &lt;= CODE(MID(#REF!, ROW(INDIRECT("1:" &amp; LEN(#REF!))), 1))) * (CODE(MID(#REF!, ROW(INDIRECT("1:" &amp; LEN(#REF!))), 1)) &lt;= 57)), 1) - 1), FIND(":",#REF!) + 2, LEN(#REF!))</f>
        <v>#REF!</v>
      </c>
      <c r="G662" s="227" t="e">
        <f>MID(LEFT(#REF!, FIND(",",#REF!) - 1), FIND("{token}", SUBSTITUTE(#REF!, " ", "{token}", 2)) + 1, LEN(#REF!))</f>
        <v>#REF!</v>
      </c>
      <c r="H662" s="236" t="s">
        <v>2658</v>
      </c>
      <c r="I662" s="230">
        <v>45435</v>
      </c>
      <c r="J662" s="230" t="s">
        <v>34</v>
      </c>
      <c r="K662" s="226">
        <v>45547</v>
      </c>
      <c r="L662" s="165" t="s">
        <v>2659</v>
      </c>
      <c r="M662" s="222">
        <v>571</v>
      </c>
      <c r="N662" s="2" t="str">
        <f t="shared" ca="1" si="19"/>
        <v>CLOSED</v>
      </c>
    </row>
    <row r="663" spans="1:14" ht="30">
      <c r="A663" s="64" t="s">
        <v>125</v>
      </c>
      <c r="B663" s="98" t="e">
        <f>VLOOKUP([2]!Table27[[#This Row],[Location 
(drop-down)]],'[2]List source'!D$2:E$59,2,FALSE)</f>
        <v>#N/A</v>
      </c>
      <c r="C663" s="99" t="s">
        <v>2660</v>
      </c>
      <c r="D663" s="223" t="e">
        <f t="shared" si="20"/>
        <v>#N/A</v>
      </c>
      <c r="E663" s="227" t="s">
        <v>2661</v>
      </c>
      <c r="F663" s="165" t="e" cm="1">
        <f t="array" aca="1" ref="F663" ca="1">MID(LEFT(#REF!, INDEX(_xlfn._xlws.FILTER(ROW(INDIRECT("1:" &amp; LEN(#REF!))), (48 &lt;= CODE(MID(#REF!, ROW(INDIRECT("1:" &amp; LEN(#REF!))), 1))) * (CODE(MID(#REF!, ROW(INDIRECT("1:" &amp; LEN(#REF!))), 1)) &lt;= 57)), 1) - 1), FIND(":",#REF!) + 2, LEN(#REF!))</f>
        <v>#REF!</v>
      </c>
      <c r="G663" s="227" t="e">
        <f>MID(LEFT(#REF!, FIND(",",#REF!) - 1), FIND("{token}", SUBSTITUTE(#REF!, " ", "{token}", 2)) + 1, LEN(#REF!))</f>
        <v>#REF!</v>
      </c>
      <c r="H663" s="165">
        <v>3.1</v>
      </c>
      <c r="I663" s="230">
        <v>45513</v>
      </c>
      <c r="J663" s="230" t="s">
        <v>34</v>
      </c>
      <c r="K663" s="226">
        <v>45547</v>
      </c>
      <c r="L663" s="165" t="s">
        <v>1505</v>
      </c>
      <c r="M663" s="222">
        <v>752</v>
      </c>
      <c r="N663" s="2" t="str">
        <f t="shared" ca="1" si="19"/>
        <v>CLOSED</v>
      </c>
    </row>
    <row r="664" spans="1:14" ht="18.75">
      <c r="A664" s="64" t="s">
        <v>23</v>
      </c>
      <c r="B664" s="98" t="e">
        <f>VLOOKUP([2]!Table27[[#This Row],[Location 
(drop-down)]],'[2]List source'!D$2:E$59,2,FALSE)</f>
        <v>#N/A</v>
      </c>
      <c r="C664" s="99" t="s">
        <v>2662</v>
      </c>
      <c r="D664" s="309" t="e">
        <f t="shared" si="20"/>
        <v>#N/A</v>
      </c>
      <c r="E664" s="227" t="s">
        <v>2663</v>
      </c>
      <c r="F664" s="165" t="e" cm="1">
        <f t="array" aca="1" ref="F664" ca="1">MID(LEFT(#REF!, INDEX(_xlfn._xlws.FILTER(ROW(INDIRECT("1:" &amp; LEN(#REF!))), (48 &lt;= CODE(MID(#REF!, ROW(INDIRECT("1:" &amp; LEN(#REF!))), 1))) * (CODE(MID(#REF!, ROW(INDIRECT("1:" &amp; LEN(#REF!))), 1)) &lt;= 57)), 1) - 1), FIND(":",#REF!) + 2, LEN(#REF!))</f>
        <v>#REF!</v>
      </c>
      <c r="G664" s="227" t="e">
        <f>MID(LEFT(#REF!, FIND(",",#REF!) - 1), FIND("{token}", SUBSTITUTE(#REF!, " ", "{token}", 2)) + 1, LEN(#REF!))</f>
        <v>#REF!</v>
      </c>
      <c r="H664" s="236" t="s">
        <v>2664</v>
      </c>
      <c r="I664" s="230">
        <v>45547</v>
      </c>
      <c r="J664" s="230" t="s">
        <v>34</v>
      </c>
      <c r="K664" s="226">
        <v>45547</v>
      </c>
      <c r="L664" s="165" t="s">
        <v>1773</v>
      </c>
      <c r="M664" s="222">
        <v>988</v>
      </c>
      <c r="N664" s="2" t="str">
        <f t="shared" ref="N664:N727" ca="1" si="21">IF(ISBLANK(K664), TODAY()-(I664), "CLOSED")</f>
        <v>CLOSED</v>
      </c>
    </row>
    <row r="665" spans="1:14" ht="30">
      <c r="A665" s="64" t="s">
        <v>30</v>
      </c>
      <c r="B665" s="98" t="e">
        <f>VLOOKUP([2]!Table27[[#This Row],[Location 
(drop-down)]],'[2]List source'!D$2:E$59,2,FALSE)</f>
        <v>#N/A</v>
      </c>
      <c r="C665" s="99" t="s">
        <v>2665</v>
      </c>
      <c r="D665" s="223" t="e">
        <f t="shared" si="20"/>
        <v>#N/A</v>
      </c>
      <c r="E665" s="227" t="s">
        <v>2666</v>
      </c>
      <c r="F665" s="165" t="e" cm="1">
        <f t="array" aca="1" ref="F665" ca="1">MID(LEFT(#REF!, INDEX(_xlfn._xlws.FILTER(ROW(INDIRECT("1:" &amp; LEN(#REF!))), (48 &lt;= CODE(MID(#REF!, ROW(INDIRECT("1:" &amp; LEN(#REF!))), 1))) * (CODE(MID(#REF!, ROW(INDIRECT("1:" &amp; LEN(#REF!))), 1)) &lt;= 57)), 1) - 1), FIND(":",#REF!) + 2, LEN(#REF!))</f>
        <v>#REF!</v>
      </c>
      <c r="G665" s="227" t="e">
        <f>MID(LEFT(#REF!, FIND(",",#REF!) - 1), FIND("{token}", SUBSTITUTE(#REF!, " ", "{token}", 2)) + 1, LEN(#REF!))</f>
        <v>#REF!</v>
      </c>
      <c r="H665" s="236" t="s">
        <v>2667</v>
      </c>
      <c r="I665" s="230">
        <v>45513</v>
      </c>
      <c r="J665" s="230" t="s">
        <v>47</v>
      </c>
      <c r="K665" s="226">
        <v>45548</v>
      </c>
      <c r="L665" s="165"/>
      <c r="M665" s="222">
        <v>786</v>
      </c>
      <c r="N665" s="2" t="str">
        <f t="shared" ca="1" si="21"/>
        <v>CLOSED</v>
      </c>
    </row>
    <row r="666" spans="1:14" ht="30">
      <c r="A666" s="64" t="s">
        <v>30</v>
      </c>
      <c r="B666" s="98" t="e">
        <f>VLOOKUP([2]!Table27[[#This Row],[Location 
(drop-down)]],'[2]List source'!D$2:E$59,2,FALSE)</f>
        <v>#N/A</v>
      </c>
      <c r="C666" s="99" t="s">
        <v>2668</v>
      </c>
      <c r="D666" s="223" t="e">
        <f t="shared" si="20"/>
        <v>#N/A</v>
      </c>
      <c r="E666" s="227" t="s">
        <v>2669</v>
      </c>
      <c r="F666" s="165" t="e" cm="1">
        <f t="array" aca="1" ref="F666" ca="1">MID(LEFT(#REF!, INDEX(_xlfn._xlws.FILTER(ROW(INDIRECT("1:" &amp; LEN(#REF!))), (48 &lt;= CODE(MID(#REF!, ROW(INDIRECT("1:" &amp; LEN(#REF!))), 1))) * (CODE(MID(#REF!, ROW(INDIRECT("1:" &amp; LEN(#REF!))), 1)) &lt;= 57)), 1) - 1), FIND(":",#REF!) + 2, LEN(#REF!))</f>
        <v>#REF!</v>
      </c>
      <c r="G666" s="227" t="e">
        <f>MID(LEFT(#REF!, FIND(",",#REF!) - 1), FIND("{token}", SUBSTITUTE(#REF!, " ", "{token}", 2)) + 1, LEN(#REF!))</f>
        <v>#REF!</v>
      </c>
      <c r="H666" s="165">
        <v>3.33</v>
      </c>
      <c r="I666" s="230">
        <v>45533</v>
      </c>
      <c r="J666" s="230" t="s">
        <v>47</v>
      </c>
      <c r="K666" s="226">
        <v>45548</v>
      </c>
      <c r="L666" s="165"/>
      <c r="M666" s="222">
        <v>814</v>
      </c>
      <c r="N666" s="2" t="str">
        <f t="shared" ca="1" si="21"/>
        <v>CLOSED</v>
      </c>
    </row>
    <row r="667" spans="1:14" ht="30">
      <c r="A667" s="64" t="s">
        <v>30</v>
      </c>
      <c r="B667" s="98" t="e">
        <f>VLOOKUP([2]!Table27[[#This Row],[Location 
(drop-down)]],'[2]List source'!D$2:E$59,2,FALSE)</f>
        <v>#N/A</v>
      </c>
      <c r="C667" s="99" t="s">
        <v>2670</v>
      </c>
      <c r="D667" s="223" t="e">
        <f t="shared" si="20"/>
        <v>#N/A</v>
      </c>
      <c r="E667" s="227" t="s">
        <v>2671</v>
      </c>
      <c r="F667" s="165" t="e" cm="1">
        <f t="array" aca="1" ref="F667" ca="1">MID(LEFT(#REF!, INDEX(_xlfn._xlws.FILTER(ROW(INDIRECT("1:" &amp; LEN(#REF!))), (48 &lt;= CODE(MID(#REF!, ROW(INDIRECT("1:" &amp; LEN(#REF!))), 1))) * (CODE(MID(#REF!, ROW(INDIRECT("1:" &amp; LEN(#REF!))), 1)) &lt;= 57)), 1) - 1), FIND(":",#REF!) + 2, LEN(#REF!))</f>
        <v>#REF!</v>
      </c>
      <c r="G667" s="227" t="e">
        <f>MID(LEFT(#REF!, FIND(",",#REF!) - 1), FIND("{token}", SUBSTITUTE(#REF!, " ", "{token}", 2)) + 1, LEN(#REF!))</f>
        <v>#REF!</v>
      </c>
      <c r="H667" s="236" t="s">
        <v>2672</v>
      </c>
      <c r="I667" s="230">
        <v>45533</v>
      </c>
      <c r="J667" s="230" t="s">
        <v>47</v>
      </c>
      <c r="K667" s="226">
        <v>45548</v>
      </c>
      <c r="L667" s="165"/>
      <c r="M667" s="222">
        <v>815</v>
      </c>
      <c r="N667" s="2" t="str">
        <f t="shared" ca="1" si="21"/>
        <v>CLOSED</v>
      </c>
    </row>
    <row r="668" spans="1:14" ht="30">
      <c r="A668" s="64" t="s">
        <v>432</v>
      </c>
      <c r="B668" s="98" t="e">
        <f>VLOOKUP([2]!Table27[[#This Row],[Location 
(drop-down)]],'[2]List source'!D$2:E$59,2,FALSE)</f>
        <v>#N/A</v>
      </c>
      <c r="C668" s="99" t="s">
        <v>2673</v>
      </c>
      <c r="D668" s="309" t="e">
        <f t="shared" si="20"/>
        <v>#N/A</v>
      </c>
      <c r="E668" s="227" t="s">
        <v>2674</v>
      </c>
      <c r="F668" s="165" t="s">
        <v>1520</v>
      </c>
      <c r="G668" s="227" t="e">
        <f>MID(LEFT(#REF!, FIND(",",#REF!) - 1), FIND("{token}", SUBSTITUTE(#REF!, " ", "{token}", 2)) + 1, LEN(#REF!))</f>
        <v>#REF!</v>
      </c>
      <c r="H668" s="165" t="s">
        <v>1579</v>
      </c>
      <c r="I668" s="230">
        <v>45548</v>
      </c>
      <c r="J668" s="230" t="s">
        <v>34</v>
      </c>
      <c r="K668" s="226">
        <v>45548</v>
      </c>
      <c r="L668" s="165" t="s">
        <v>1773</v>
      </c>
      <c r="M668" s="222">
        <v>990</v>
      </c>
      <c r="N668" s="2" t="str">
        <f t="shared" ca="1" si="21"/>
        <v>CLOSED</v>
      </c>
    </row>
    <row r="669" spans="1:14" ht="30">
      <c r="A669" s="64" t="s">
        <v>432</v>
      </c>
      <c r="B669" s="98" t="e">
        <f>VLOOKUP([2]!Table27[[#This Row],[Location 
(drop-down)]],'[2]List source'!D$2:E$59,2,FALSE)</f>
        <v>#N/A</v>
      </c>
      <c r="C669" s="99" t="s">
        <v>2675</v>
      </c>
      <c r="D669" s="309" t="e">
        <f t="shared" si="20"/>
        <v>#N/A</v>
      </c>
      <c r="E669" s="227" t="s">
        <v>2676</v>
      </c>
      <c r="F669" s="165" t="s">
        <v>1520</v>
      </c>
      <c r="G669" s="227" t="e">
        <f>MID(LEFT(#REF!, FIND(",",#REF!) - 1), FIND("{token}", SUBSTITUTE(#REF!, " ", "{token}", 2)) + 1, LEN(#REF!))</f>
        <v>#REF!</v>
      </c>
      <c r="H669" s="165">
        <v>51.18</v>
      </c>
      <c r="I669" s="230">
        <v>45548</v>
      </c>
      <c r="J669" s="230" t="s">
        <v>34</v>
      </c>
      <c r="K669" s="226">
        <v>45548</v>
      </c>
      <c r="L669" s="165" t="s">
        <v>1505</v>
      </c>
      <c r="M669" s="222">
        <v>991</v>
      </c>
      <c r="N669" s="2" t="str">
        <f t="shared" ca="1" si="21"/>
        <v>CLOSED</v>
      </c>
    </row>
    <row r="670" spans="1:14" ht="18.75">
      <c r="A670" s="64" t="s">
        <v>462</v>
      </c>
      <c r="B670" s="98" t="e">
        <f>VLOOKUP([2]!Table27[[#This Row],[Location 
(drop-down)]],'[2]List source'!D$2:E$59,2,FALSE)</f>
        <v>#N/A</v>
      </c>
      <c r="C670" s="99" t="s">
        <v>2677</v>
      </c>
      <c r="D670" s="309" t="e">
        <f t="shared" si="20"/>
        <v>#N/A</v>
      </c>
      <c r="E670" s="227" t="s">
        <v>2678</v>
      </c>
      <c r="F670" s="165" t="s">
        <v>1520</v>
      </c>
      <c r="G670" s="227" t="e">
        <f>MID(LEFT(#REF!, FIND(",",#REF!) - 1), FIND("{token}", SUBSTITUTE(#REF!, " ", "{token}", 2)) + 1, LEN(#REF!))</f>
        <v>#REF!</v>
      </c>
      <c r="H670" s="165">
        <v>-49.88</v>
      </c>
      <c r="I670" s="230">
        <v>45548</v>
      </c>
      <c r="J670" s="230" t="s">
        <v>34</v>
      </c>
      <c r="K670" s="226">
        <v>45548</v>
      </c>
      <c r="L670" s="165" t="s">
        <v>1505</v>
      </c>
      <c r="M670" s="222">
        <v>993</v>
      </c>
      <c r="N670" s="2" t="str">
        <f t="shared" ca="1" si="21"/>
        <v>CLOSED</v>
      </c>
    </row>
    <row r="671" spans="1:14" ht="30">
      <c r="A671" s="64" t="s">
        <v>591</v>
      </c>
      <c r="B671" s="98" t="e">
        <f>VLOOKUP([2]!Table27[[#This Row],[Location 
(drop-down)]],'[2]List source'!D$2:E$59,2,FALSE)</f>
        <v>#N/A</v>
      </c>
      <c r="C671" s="99" t="s">
        <v>2679</v>
      </c>
      <c r="D671" s="309" t="e">
        <f t="shared" si="20"/>
        <v>#N/A</v>
      </c>
      <c r="E671" s="227" t="s">
        <v>2680</v>
      </c>
      <c r="F671" s="165" t="s">
        <v>1520</v>
      </c>
      <c r="G671" s="227" t="s">
        <v>2681</v>
      </c>
      <c r="H671" s="165"/>
      <c r="I671" s="230">
        <v>45548</v>
      </c>
      <c r="J671" s="230" t="s">
        <v>34</v>
      </c>
      <c r="K671" s="226">
        <v>45548</v>
      </c>
      <c r="L671" s="165" t="s">
        <v>1773</v>
      </c>
      <c r="M671" s="222">
        <v>994</v>
      </c>
      <c r="N671" s="2" t="str">
        <f t="shared" ca="1" si="21"/>
        <v>CLOSED</v>
      </c>
    </row>
    <row r="672" spans="1:14" ht="30">
      <c r="A672" s="64" t="s">
        <v>125</v>
      </c>
      <c r="B672" s="98" t="e">
        <f>VLOOKUP([2]!Table27[[#This Row],[Location 
(drop-down)]],'[2]List source'!D$2:E$59,2,FALSE)</f>
        <v>#N/A</v>
      </c>
      <c r="C672" s="99" t="s">
        <v>2682</v>
      </c>
      <c r="D672" s="309" t="e">
        <f t="shared" si="20"/>
        <v>#N/A</v>
      </c>
      <c r="E672" s="227" t="s">
        <v>2683</v>
      </c>
      <c r="F672" s="165" t="s">
        <v>1520</v>
      </c>
      <c r="G672" s="227" t="e">
        <f>MID(LEFT(#REF!, FIND(",",#REF!) - 1), FIND("{token}", SUBSTITUTE(#REF!, " ", "{token}", 2)) + 1, LEN(#REF!))</f>
        <v>#REF!</v>
      </c>
      <c r="H672" s="165"/>
      <c r="I672" s="230">
        <v>45548</v>
      </c>
      <c r="J672" s="230" t="s">
        <v>34</v>
      </c>
      <c r="K672" s="226">
        <v>45548</v>
      </c>
      <c r="L672" s="165" t="s">
        <v>1773</v>
      </c>
      <c r="M672" s="222">
        <v>995</v>
      </c>
      <c r="N672" s="2" t="str">
        <f t="shared" ca="1" si="21"/>
        <v>CLOSED</v>
      </c>
    </row>
    <row r="673" spans="1:14" ht="30">
      <c r="A673" s="64" t="s">
        <v>125</v>
      </c>
      <c r="B673" s="98" t="e">
        <f>VLOOKUP([2]!Table27[[#This Row],[Location 
(drop-down)]],'[2]List source'!D$2:E$59,2,FALSE)</f>
        <v>#N/A</v>
      </c>
      <c r="C673" s="99" t="s">
        <v>2684</v>
      </c>
      <c r="D673" s="309" t="e">
        <f t="shared" si="20"/>
        <v>#N/A</v>
      </c>
      <c r="E673" s="227" t="s">
        <v>2685</v>
      </c>
      <c r="F673" s="165" t="s">
        <v>1520</v>
      </c>
      <c r="G673" s="227" t="e">
        <f>MID(LEFT(#REF!, FIND(",",#REF!) - 1), FIND("{token}", SUBSTITUTE(#REF!, " ", "{token}", 2)) + 1, LEN(#REF!))</f>
        <v>#REF!</v>
      </c>
      <c r="H673" s="165"/>
      <c r="I673" s="230">
        <v>45548</v>
      </c>
      <c r="J673" s="230" t="s">
        <v>34</v>
      </c>
      <c r="K673" s="226">
        <v>45548</v>
      </c>
      <c r="L673" s="165" t="s">
        <v>1773</v>
      </c>
      <c r="M673" s="222">
        <v>996</v>
      </c>
      <c r="N673" s="2" t="str">
        <f t="shared" ca="1" si="21"/>
        <v>CLOSED</v>
      </c>
    </row>
    <row r="674" spans="1:14" ht="30">
      <c r="A674" s="64" t="s">
        <v>202</v>
      </c>
      <c r="B674" s="98" t="e">
        <f>VLOOKUP([2]!Table27[[#This Row],[Location 
(drop-down)]],'[2]List source'!D$2:E$59,2,FALSE)</f>
        <v>#N/A</v>
      </c>
      <c r="C674" s="99" t="s">
        <v>811</v>
      </c>
      <c r="D674" s="223" t="e">
        <f t="shared" si="20"/>
        <v>#N/A</v>
      </c>
      <c r="E674" s="227" t="s">
        <v>2686</v>
      </c>
      <c r="F674" s="165" t="e" cm="1">
        <f t="array" aca="1" ref="F674" ca="1">MID(LEFT(#REF!, INDEX(_xlfn._xlws.FILTER(ROW(INDIRECT("1:" &amp; LEN(#REF!))), (48 &lt;= CODE(MID(#REF!, ROW(INDIRECT("1:" &amp; LEN(#REF!))), 1))) * (CODE(MID(#REF!, ROW(INDIRECT("1:" &amp; LEN(#REF!))), 1)) &lt;= 57)), 1) - 1), FIND(":",#REF!) + 2, LEN(#REF!))</f>
        <v>#REF!</v>
      </c>
      <c r="G674" s="227" t="e">
        <f>MID(LEFT(#REF!, FIND(",",#REF!) - 1), FIND("{token}", SUBSTITUTE(#REF!, " ", "{token}", 2)) + 1, LEN(#REF!))</f>
        <v>#REF!</v>
      </c>
      <c r="H674" s="165">
        <v>-6.32</v>
      </c>
      <c r="I674" s="260">
        <v>45406</v>
      </c>
      <c r="J674" s="230" t="s">
        <v>21</v>
      </c>
      <c r="K674" s="226">
        <v>45551</v>
      </c>
      <c r="L674" s="165"/>
      <c r="M674" s="222">
        <v>233</v>
      </c>
      <c r="N674" s="2" t="str">
        <f t="shared" ca="1" si="21"/>
        <v>CLOSED</v>
      </c>
    </row>
    <row r="675" spans="1:14" ht="30">
      <c r="A675" s="64" t="s">
        <v>125</v>
      </c>
      <c r="B675" s="98" t="e">
        <f>VLOOKUP([2]!Table27[[#This Row],[Location 
(drop-down)]],'[2]List source'!D$2:E$59,2,FALSE)</f>
        <v>#N/A</v>
      </c>
      <c r="C675" s="99" t="s">
        <v>2687</v>
      </c>
      <c r="D675" s="223" t="e">
        <f t="shared" si="20"/>
        <v>#N/A</v>
      </c>
      <c r="E675" s="227" t="s">
        <v>2688</v>
      </c>
      <c r="F675" s="165" t="e" cm="1">
        <f t="array" aca="1" ref="F675" ca="1">MID(LEFT(#REF!, INDEX(_xlfn._xlws.FILTER(ROW(INDIRECT("1:" &amp; LEN(#REF!))), (48 &lt;= CODE(MID(#REF!, ROW(INDIRECT("1:" &amp; LEN(#REF!))), 1))) * (CODE(MID(#REF!, ROW(INDIRECT("1:" &amp; LEN(#REF!))), 1)) &lt;= 57)), 1) - 1), FIND(":",#REF!) + 2, LEN(#REF!))</f>
        <v>#REF!</v>
      </c>
      <c r="G675" s="227" t="e">
        <f>MID(LEFT(#REF!, FIND(",",#REF!) - 1), FIND("{token}", SUBSTITUTE(#REF!, " ", "{token}", 2)) + 1, LEN(#REF!))</f>
        <v>#REF!</v>
      </c>
      <c r="H675" s="165">
        <v>4.2300000000000004</v>
      </c>
      <c r="I675" s="230">
        <v>45495</v>
      </c>
      <c r="J675" s="230" t="s">
        <v>239</v>
      </c>
      <c r="K675" s="226">
        <v>45551</v>
      </c>
      <c r="L675" s="165"/>
      <c r="M675" s="222">
        <v>678</v>
      </c>
      <c r="N675" s="2" t="str">
        <f t="shared" ca="1" si="21"/>
        <v>CLOSED</v>
      </c>
    </row>
    <row r="676" spans="1:14" ht="30">
      <c r="A676" s="64" t="s">
        <v>125</v>
      </c>
      <c r="B676" s="98" t="e">
        <f>VLOOKUP([2]!Table27[[#This Row],[Location 
(drop-down)]],'[2]List source'!D$2:E$59,2,FALSE)</f>
        <v>#N/A</v>
      </c>
      <c r="C676" s="99" t="s">
        <v>2689</v>
      </c>
      <c r="D676" s="223" t="e">
        <f t="shared" si="20"/>
        <v>#N/A</v>
      </c>
      <c r="E676" s="227" t="s">
        <v>2690</v>
      </c>
      <c r="F676" s="165" t="e" cm="1">
        <f t="array" aca="1" ref="F676" ca="1">MID(LEFT(#REF!, INDEX(_xlfn._xlws.FILTER(ROW(INDIRECT("1:" &amp; LEN(#REF!))), (48 &lt;= CODE(MID(#REF!, ROW(INDIRECT("1:" &amp; LEN(#REF!))), 1))) * (CODE(MID(#REF!, ROW(INDIRECT("1:" &amp; LEN(#REF!))), 1)) &lt;= 57)), 1) - 1), FIND(":",#REF!) + 2, LEN(#REF!))</f>
        <v>#REF!</v>
      </c>
      <c r="G676" s="227" t="e">
        <f>MID(LEFT(#REF!, FIND(",",#REF!) - 1), FIND("{token}", SUBSTITUTE(#REF!, " ", "{token}", 2)) + 1, LEN(#REF!))</f>
        <v>#REF!</v>
      </c>
      <c r="H676" s="165">
        <v>2.2999999999999998</v>
      </c>
      <c r="I676" s="230">
        <v>45533</v>
      </c>
      <c r="J676" s="230" t="s">
        <v>239</v>
      </c>
      <c r="K676" s="226">
        <v>45551</v>
      </c>
      <c r="L676" s="165"/>
      <c r="M676" s="222">
        <v>813</v>
      </c>
      <c r="N676" s="2" t="str">
        <f t="shared" ca="1" si="21"/>
        <v>CLOSED</v>
      </c>
    </row>
    <row r="677" spans="1:14" ht="30">
      <c r="A677" s="64" t="s">
        <v>30</v>
      </c>
      <c r="B677" s="98" t="e">
        <f>VLOOKUP([2]!Table27[[#This Row],[Location 
(drop-down)]],'[2]List source'!D$2:E$59,2,FALSE)</f>
        <v>#N/A</v>
      </c>
      <c r="C677" s="99" t="s">
        <v>2691</v>
      </c>
      <c r="D677" s="212" t="e">
        <f t="shared" si="20"/>
        <v>#N/A</v>
      </c>
      <c r="E677" s="227" t="s">
        <v>2692</v>
      </c>
      <c r="F677" s="165" t="s">
        <v>2269</v>
      </c>
      <c r="G677" s="227" t="e">
        <f>MID(LEFT(#REF!, FIND(",",#REF!) - 1), FIND("{token}", SUBSTITUTE(#REF!, " ", "{token}", 2)) + 1, LEN(#REF!))</f>
        <v>#REF!</v>
      </c>
      <c r="H677" s="236">
        <v>-2.19</v>
      </c>
      <c r="I677" s="230">
        <v>45551</v>
      </c>
      <c r="J677" s="230" t="s">
        <v>34</v>
      </c>
      <c r="K677" s="226">
        <v>45551</v>
      </c>
      <c r="L677" s="92" t="s">
        <v>1671</v>
      </c>
      <c r="M677" s="222">
        <v>1000</v>
      </c>
      <c r="N677" s="2" t="str">
        <f t="shared" ca="1" si="21"/>
        <v>CLOSED</v>
      </c>
    </row>
    <row r="678" spans="1:14" ht="30">
      <c r="A678" s="64" t="s">
        <v>714</v>
      </c>
      <c r="B678" s="98" t="e">
        <f>VLOOKUP([2]!Table27[[#This Row],[Location 
(drop-down)]],'[2]List source'!D$2:E$59,2,FALSE)</f>
        <v>#N/A</v>
      </c>
      <c r="C678" s="99" t="s">
        <v>189</v>
      </c>
      <c r="D678" s="223" t="e">
        <f t="shared" si="20"/>
        <v>#N/A</v>
      </c>
      <c r="E678" s="227" t="s">
        <v>1978</v>
      </c>
      <c r="F678" s="165" t="s">
        <v>1520</v>
      </c>
      <c r="G678" s="227" t="e">
        <f>MID(LEFT(#REF!, FIND(",",#REF!) - 1), FIND("{token}", SUBSTITUTE(#REF!, " ", "{token}", 2)) + 1, LEN(#REF!))</f>
        <v>#REF!</v>
      </c>
      <c r="H678" s="236" t="s">
        <v>1979</v>
      </c>
      <c r="I678" s="230">
        <v>45426</v>
      </c>
      <c r="J678" s="230" t="s">
        <v>108</v>
      </c>
      <c r="K678" s="226">
        <v>45552</v>
      </c>
      <c r="L678" s="92"/>
      <c r="M678" s="222">
        <v>479</v>
      </c>
      <c r="N678" s="2" t="str">
        <f t="shared" ca="1" si="21"/>
        <v>CLOSED</v>
      </c>
    </row>
    <row r="679" spans="1:14" ht="30">
      <c r="A679" s="64" t="s">
        <v>39</v>
      </c>
      <c r="B679" s="98" t="e">
        <f>VLOOKUP([2]!Table27[[#This Row],[Location 
(drop-down)]],'[2]List source'!D$2:E$59,2,FALSE)</f>
        <v>#N/A</v>
      </c>
      <c r="C679" s="99" t="s">
        <v>615</v>
      </c>
      <c r="D679" s="223" t="e">
        <f t="shared" si="20"/>
        <v>#N/A</v>
      </c>
      <c r="E679" s="227" t="s">
        <v>2693</v>
      </c>
      <c r="F679" s="165" t="e" cm="1">
        <f t="array" aca="1" ref="F679" ca="1">MID(LEFT(#REF!, INDEX(_xlfn._xlws.FILTER(ROW(INDIRECT("1:" &amp; LEN(#REF!))), (48 &lt;= CODE(MID(#REF!, ROW(INDIRECT("1:" &amp; LEN(#REF!))), 1))) * (CODE(MID(#REF!, ROW(INDIRECT("1:" &amp; LEN(#REF!))), 1)) &lt;= 57)), 1) - 1), FIND(":",#REF!) + 2, LEN(#REF!))</f>
        <v>#REF!</v>
      </c>
      <c r="G679" s="227" t="e">
        <f>MID(LEFT(#REF!, FIND(",",#REF!) - 1), FIND("{token}", SUBSTITUTE(#REF!, " ", "{token}", 2)) + 1, LEN(#REF!))</f>
        <v>#REF!</v>
      </c>
      <c r="H679" s="165">
        <v>2.0099999999999998</v>
      </c>
      <c r="I679" s="230">
        <v>45307</v>
      </c>
      <c r="J679" s="230" t="s">
        <v>239</v>
      </c>
      <c r="K679" s="226">
        <v>45553</v>
      </c>
      <c r="L679" s="92"/>
      <c r="M679" s="222">
        <v>92</v>
      </c>
      <c r="N679" s="2" t="str">
        <f t="shared" ca="1" si="21"/>
        <v>CLOSED</v>
      </c>
    </row>
    <row r="680" spans="1:14" ht="30">
      <c r="A680" s="64" t="s">
        <v>39</v>
      </c>
      <c r="B680" s="98" t="e">
        <f>VLOOKUP([2]!Table27[[#This Row],[Location 
(drop-down)]],'[2]List source'!D$2:E$59,2,FALSE)</f>
        <v>#N/A</v>
      </c>
      <c r="C680" s="99" t="s">
        <v>652</v>
      </c>
      <c r="D680" s="223" t="e">
        <f t="shared" si="20"/>
        <v>#N/A</v>
      </c>
      <c r="E680" s="227" t="s">
        <v>2123</v>
      </c>
      <c r="F680" s="165" t="e" cm="1">
        <f t="array" aca="1" ref="F680" ca="1">MID(LEFT(#REF!, INDEX(_xlfn._xlws.FILTER(ROW(INDIRECT("1:" &amp; LEN(#REF!))), (48 &lt;= CODE(MID(#REF!, ROW(INDIRECT("1:" &amp; LEN(#REF!))), 1))) * (CODE(MID(#REF!, ROW(INDIRECT("1:" &amp; LEN(#REF!))), 1)) &lt;= 57)), 1) - 1), FIND(":",#REF!) + 2, LEN(#REF!))</f>
        <v>#REF!</v>
      </c>
      <c r="G680" s="227" t="e">
        <f>MID(LEFT(#REF!, FIND(",",#REF!) - 1), FIND("{token}", SUBSTITUTE(#REF!, " ", "{token}", 2)) + 1, LEN(#REF!))</f>
        <v>#REF!</v>
      </c>
      <c r="H680" s="165">
        <v>2.17</v>
      </c>
      <c r="I680" s="230">
        <v>45327</v>
      </c>
      <c r="J680" s="230" t="s">
        <v>239</v>
      </c>
      <c r="K680" s="226">
        <v>45553</v>
      </c>
      <c r="L680" s="165"/>
      <c r="M680" s="222">
        <v>109</v>
      </c>
      <c r="N680" s="2" t="str">
        <f t="shared" ca="1" si="21"/>
        <v>CLOSED</v>
      </c>
    </row>
    <row r="681" spans="1:14" ht="30">
      <c r="A681" s="64" t="s">
        <v>714</v>
      </c>
      <c r="B681" s="98" t="e">
        <f>VLOOKUP([2]!Table27[[#This Row],[Location 
(drop-down)]],'[2]List source'!D$2:E$59,2,FALSE)</f>
        <v>#N/A</v>
      </c>
      <c r="C681" s="99" t="s">
        <v>947</v>
      </c>
      <c r="D681" s="223" t="e">
        <f t="shared" si="20"/>
        <v>#N/A</v>
      </c>
      <c r="E681" s="240" t="s">
        <v>2694</v>
      </c>
      <c r="F681" s="2" t="e" cm="1">
        <f t="array" aca="1" ref="F681" ca="1">MID(LEFT(#REF!, INDEX(_xlfn._xlws.FILTER(ROW(INDIRECT("1:" &amp; LEN(#REF!))), (48 &lt;= CODE(MID(#REF!, ROW(INDIRECT("1:" &amp; LEN(#REF!))), 1))) * (CODE(MID(#REF!, ROW(INDIRECT("1:" &amp; LEN(#REF!))), 1)) &lt;= 57)), 1) - 1), FIND(":",#REF!) + 2, LEN(#REF!))</f>
        <v>#REF!</v>
      </c>
      <c r="G681" s="240" t="e">
        <f>MID(LEFT(#REF!, FIND(",",#REF!) - 1), FIND("{token}", SUBSTITUTE(#REF!, " ", "{token}", 2)) + 1, LEN(#REF!))</f>
        <v>#REF!</v>
      </c>
      <c r="H681" s="254" t="s">
        <v>2695</v>
      </c>
      <c r="I681" s="260">
        <v>45376</v>
      </c>
      <c r="J681" s="230" t="s">
        <v>108</v>
      </c>
      <c r="K681" s="258">
        <v>45553</v>
      </c>
      <c r="L681" s="165"/>
      <c r="M681" s="222">
        <v>150</v>
      </c>
      <c r="N681" s="2" t="str">
        <f t="shared" ca="1" si="21"/>
        <v>CLOSED</v>
      </c>
    </row>
    <row r="682" spans="1:14" ht="30">
      <c r="A682" s="64" t="s">
        <v>39</v>
      </c>
      <c r="B682" s="98" t="e">
        <f>VLOOKUP([2]!Table27[[#This Row],[Location 
(drop-down)]],'[2]List source'!D$2:E$59,2,FALSE)</f>
        <v>#N/A</v>
      </c>
      <c r="C682" s="99" t="s">
        <v>479</v>
      </c>
      <c r="D682" s="223" t="e">
        <f t="shared" si="20"/>
        <v>#N/A</v>
      </c>
      <c r="E682" s="228" t="s">
        <v>2696</v>
      </c>
      <c r="F682" s="229" t="e" cm="1">
        <f t="array" aca="1" ref="F682" ca="1">MID(LEFT(#REF!, INDEX(_xlfn._xlws.FILTER(ROW(INDIRECT("1:" &amp; LEN(#REF!))), (48 &lt;= CODE(MID(#REF!, ROW(INDIRECT("1:" &amp; LEN(#REF!))), 1))) * (CODE(MID(#REF!, ROW(INDIRECT("1:" &amp; LEN(#REF!))), 1)) &lt;= 57)), 1) - 1), FIND(":",#REF!) + 2, LEN(#REF!))</f>
        <v>#REF!</v>
      </c>
      <c r="G682" s="228" t="e">
        <f>MID(LEFT(#REF!, FIND(",",#REF!) - 1), FIND("{token}", SUBSTITUTE(#REF!, " ", "{token}", 2)) + 1, LEN(#REF!))</f>
        <v>#REF!</v>
      </c>
      <c r="H682" s="241" t="s">
        <v>1977</v>
      </c>
      <c r="I682" s="230">
        <v>45412</v>
      </c>
      <c r="J682" s="230" t="s">
        <v>239</v>
      </c>
      <c r="K682" s="226">
        <v>45553</v>
      </c>
      <c r="L682" s="92"/>
      <c r="M682" s="222">
        <v>268</v>
      </c>
      <c r="N682" s="2" t="str">
        <f t="shared" ca="1" si="21"/>
        <v>CLOSED</v>
      </c>
    </row>
    <row r="683" spans="1:14" ht="30">
      <c r="A683" s="64" t="s">
        <v>485</v>
      </c>
      <c r="B683" s="98" t="e">
        <f>VLOOKUP([2]!Table27[[#This Row],[Location 
(drop-down)]],'[2]List source'!D$2:E$59,2,FALSE)</f>
        <v>#N/A</v>
      </c>
      <c r="C683" s="99" t="s">
        <v>280</v>
      </c>
      <c r="D683" s="223" t="e">
        <f t="shared" si="20"/>
        <v>#N/A</v>
      </c>
      <c r="E683" s="227" t="s">
        <v>2697</v>
      </c>
      <c r="F683" s="165" t="s">
        <v>1566</v>
      </c>
      <c r="G683" s="227" t="e">
        <f>MID(LEFT(#REF!, FIND(",",#REF!) - 1), FIND("{token}", SUBSTITUTE(#REF!, " ", "{token}", 2)) + 1, LEN(#REF!))</f>
        <v>#REF!</v>
      </c>
      <c r="H683" s="165">
        <v>2.41</v>
      </c>
      <c r="I683" s="230">
        <v>45427</v>
      </c>
      <c r="J683" s="230" t="s">
        <v>327</v>
      </c>
      <c r="K683" s="226">
        <v>45553</v>
      </c>
      <c r="L683" s="92"/>
      <c r="M683" s="222">
        <v>512</v>
      </c>
      <c r="N683" s="2" t="str">
        <f t="shared" ca="1" si="21"/>
        <v>CLOSED</v>
      </c>
    </row>
    <row r="684" spans="1:14" ht="30">
      <c r="A684" s="64" t="s">
        <v>125</v>
      </c>
      <c r="B684" s="98" t="e">
        <f>VLOOKUP([2]!Table27[[#This Row],[Location 
(drop-down)]],'[2]List source'!D$2:E$59,2,FALSE)</f>
        <v>#N/A</v>
      </c>
      <c r="C684" s="99" t="s">
        <v>2698</v>
      </c>
      <c r="D684" s="223" t="e">
        <f t="shared" si="20"/>
        <v>#N/A</v>
      </c>
      <c r="E684" s="227" t="s">
        <v>2699</v>
      </c>
      <c r="F684" s="165" t="e" cm="1">
        <f t="array" aca="1" ref="F684" ca="1">MID(LEFT(#REF!, INDEX(_xlfn._xlws.FILTER(ROW(INDIRECT("1:" &amp; LEN(#REF!))), (48 &lt;= CODE(MID(#REF!, ROW(INDIRECT("1:" &amp; LEN(#REF!))), 1))) * (CODE(MID(#REF!, ROW(INDIRECT("1:" &amp; LEN(#REF!))), 1)) &lt;= 57)), 1) - 1), FIND(":",#REF!) + 2, LEN(#REF!))</f>
        <v>#REF!</v>
      </c>
      <c r="G684" s="227" t="e">
        <f>MID(LEFT(#REF!, FIND(",",#REF!) - 1), FIND("{token}", SUBSTITUTE(#REF!, " ", "{token}", 2)) + 1, LEN(#REF!))</f>
        <v>#REF!</v>
      </c>
      <c r="H684" s="165">
        <v>4.45</v>
      </c>
      <c r="I684" s="230">
        <v>45495</v>
      </c>
      <c r="J684" s="230" t="s">
        <v>34</v>
      </c>
      <c r="K684" s="226">
        <v>45553</v>
      </c>
      <c r="L684" s="165" t="s">
        <v>1505</v>
      </c>
      <c r="M684" s="222">
        <v>669</v>
      </c>
      <c r="N684" s="2" t="str">
        <f t="shared" ca="1" si="21"/>
        <v>CLOSED</v>
      </c>
    </row>
    <row r="685" spans="1:14" ht="30">
      <c r="A685" s="64" t="s">
        <v>160</v>
      </c>
      <c r="B685" s="98" t="e">
        <f>VLOOKUP([2]!Table27[[#This Row],[Location 
(drop-down)]],'[2]List source'!D$2:E$59,2,FALSE)</f>
        <v>#N/A</v>
      </c>
      <c r="C685" s="99" t="s">
        <v>2700</v>
      </c>
      <c r="D685" s="223" t="e">
        <f t="shared" si="20"/>
        <v>#N/A</v>
      </c>
      <c r="E685" s="227" t="s">
        <v>2701</v>
      </c>
      <c r="F685" s="165" t="e" cm="1">
        <f t="array" aca="1" ref="F685" ca="1">MID(LEFT(#REF!, INDEX(_xlfn._xlws.FILTER(ROW(INDIRECT("1:" &amp; LEN(#REF!))), (48 &lt;= CODE(MID(#REF!, ROW(INDIRECT("1:" &amp; LEN(#REF!))), 1))) * (CODE(MID(#REF!, ROW(INDIRECT("1:" &amp; LEN(#REF!))), 1)) &lt;= 57)), 1) - 1), FIND(":",#REF!) + 2, LEN(#REF!))</f>
        <v>#REF!</v>
      </c>
      <c r="G685" s="227" t="e">
        <f>MID(LEFT(#REF!, FIND(",",#REF!) - 1), FIND("{token}", SUBSTITUTE(#REF!, " ", "{token}", 2)) + 1, LEN(#REF!))</f>
        <v>#REF!</v>
      </c>
      <c r="H685" s="165">
        <v>4.58</v>
      </c>
      <c r="I685" s="230">
        <v>45513</v>
      </c>
      <c r="J685" s="230" t="s">
        <v>327</v>
      </c>
      <c r="K685" s="226">
        <v>45553</v>
      </c>
      <c r="L685" s="165"/>
      <c r="M685" s="222">
        <v>778</v>
      </c>
      <c r="N685" s="2" t="str">
        <f t="shared" ca="1" si="21"/>
        <v>CLOSED</v>
      </c>
    </row>
    <row r="686" spans="1:14" ht="30">
      <c r="A686" s="64" t="s">
        <v>294</v>
      </c>
      <c r="B686" s="98" t="e">
        <f>VLOOKUP([2]!Table27[[#This Row],[Location 
(drop-down)]],'[2]List source'!D$2:E$59,2,FALSE)</f>
        <v>#N/A</v>
      </c>
      <c r="C686" s="99" t="s">
        <v>414</v>
      </c>
      <c r="D686" s="223" t="e">
        <f t="shared" si="20"/>
        <v>#N/A</v>
      </c>
      <c r="E686" s="242" t="s">
        <v>2702</v>
      </c>
      <c r="F686" s="245" t="s">
        <v>1811</v>
      </c>
      <c r="G686" s="242" t="e">
        <f>MID(LEFT(#REF!, FIND(",",#REF!) - 1), FIND("{token}", SUBSTITUTE(#REF!, " ", "{token}", 2)) + 1, LEN(#REF!))</f>
        <v>#REF!</v>
      </c>
      <c r="H686" s="18">
        <v>4.2699999999999996</v>
      </c>
      <c r="I686" s="230">
        <v>45412</v>
      </c>
      <c r="J686" s="230" t="s">
        <v>327</v>
      </c>
      <c r="K686" s="226">
        <v>45554</v>
      </c>
      <c r="L686" s="165"/>
      <c r="M686" s="222">
        <v>319</v>
      </c>
      <c r="N686" s="2" t="str">
        <f t="shared" ca="1" si="21"/>
        <v>CLOSED</v>
      </c>
    </row>
    <row r="687" spans="1:14" ht="30">
      <c r="A687" s="64" t="s">
        <v>294</v>
      </c>
      <c r="B687" s="98" t="e">
        <f>VLOOKUP([2]!Table27[[#This Row],[Location 
(drop-down)]],'[2]List source'!D$2:E$59,2,FALSE)</f>
        <v>#N/A</v>
      </c>
      <c r="C687" s="99" t="s">
        <v>1335</v>
      </c>
      <c r="D687" s="223" t="e">
        <f t="shared" si="20"/>
        <v>#N/A</v>
      </c>
      <c r="E687" s="227" t="s">
        <v>1961</v>
      </c>
      <c r="F687" s="165" t="s">
        <v>1520</v>
      </c>
      <c r="G687" s="227" t="e">
        <f>MID(LEFT(#REF!, FIND(",",#REF!) - 1), FIND("{token}", SUBSTITUTE(#REF!, " ", "{token}", 2)) + 1, LEN(#REF!))</f>
        <v>#REF!</v>
      </c>
      <c r="H687" s="236" t="s">
        <v>1962</v>
      </c>
      <c r="I687" s="230">
        <v>45426</v>
      </c>
      <c r="J687" s="230" t="s">
        <v>239</v>
      </c>
      <c r="K687" s="226">
        <v>45554</v>
      </c>
      <c r="L687" s="165"/>
      <c r="M687" s="222">
        <v>458</v>
      </c>
      <c r="N687" s="2" t="str">
        <f t="shared" ca="1" si="21"/>
        <v>CLOSED</v>
      </c>
    </row>
    <row r="688" spans="1:14" ht="30">
      <c r="A688" s="64" t="s">
        <v>294</v>
      </c>
      <c r="B688" s="98" t="e">
        <f>VLOOKUP([2]!Table27[[#This Row],[Location 
(drop-down)]],'[2]List source'!D$2:E$59,2,FALSE)</f>
        <v>#N/A</v>
      </c>
      <c r="C688" s="99" t="s">
        <v>1336</v>
      </c>
      <c r="D688" s="223" t="e">
        <f t="shared" si="20"/>
        <v>#N/A</v>
      </c>
      <c r="E688" s="227" t="s">
        <v>2703</v>
      </c>
      <c r="F688" s="165" t="s">
        <v>1520</v>
      </c>
      <c r="G688" s="227" t="e">
        <f>MID(LEFT(#REF!, FIND(",",#REF!) - 1), FIND("{token}", SUBSTITUTE(#REF!, " ", "{token}", 2)) + 1, LEN(#REF!))</f>
        <v>#REF!</v>
      </c>
      <c r="H688" s="236" t="s">
        <v>2704</v>
      </c>
      <c r="I688" s="230">
        <v>45426</v>
      </c>
      <c r="J688" s="230" t="s">
        <v>327</v>
      </c>
      <c r="K688" s="226">
        <v>45554</v>
      </c>
      <c r="L688" s="165"/>
      <c r="M688" s="222">
        <v>459</v>
      </c>
      <c r="N688" s="2" t="str">
        <f t="shared" ca="1" si="21"/>
        <v>CLOSED</v>
      </c>
    </row>
    <row r="689" spans="1:14" ht="30">
      <c r="A689" s="64" t="s">
        <v>294</v>
      </c>
      <c r="B689" s="98" t="e">
        <f>VLOOKUP([2]!Table27[[#This Row],[Location 
(drop-down)]],'[2]List source'!D$2:E$59,2,FALSE)</f>
        <v>#N/A</v>
      </c>
      <c r="C689" s="99" t="s">
        <v>912</v>
      </c>
      <c r="D689" s="223" t="e">
        <f t="shared" si="20"/>
        <v>#N/A</v>
      </c>
      <c r="E689" s="227" t="s">
        <v>2705</v>
      </c>
      <c r="F689" s="165" t="s">
        <v>1566</v>
      </c>
      <c r="G689" s="227" t="e">
        <f>MID(LEFT(#REF!, FIND(",",#REF!) - 1), FIND("{token}", SUBSTITUTE(#REF!, " ", "{token}", 2)) + 1, LEN(#REF!))</f>
        <v>#REF!</v>
      </c>
      <c r="H689" s="165">
        <v>11.5</v>
      </c>
      <c r="I689" s="230">
        <v>45427</v>
      </c>
      <c r="J689" s="230" t="s">
        <v>327</v>
      </c>
      <c r="K689" s="226">
        <v>45554</v>
      </c>
      <c r="L689" s="165"/>
      <c r="M689" s="222">
        <v>509</v>
      </c>
      <c r="N689" s="2" t="str">
        <f t="shared" ca="1" si="21"/>
        <v>CLOSED</v>
      </c>
    </row>
    <row r="690" spans="1:14" ht="30">
      <c r="A690" s="64" t="s">
        <v>125</v>
      </c>
      <c r="B690" s="98" t="e">
        <f>VLOOKUP([2]!Table27[[#This Row],[Location 
(drop-down)]],'[2]List source'!D$2:E$59,2,FALSE)</f>
        <v>#N/A</v>
      </c>
      <c r="C690" s="99" t="s">
        <v>2706</v>
      </c>
      <c r="D690" s="223" t="e">
        <f t="shared" si="20"/>
        <v>#N/A</v>
      </c>
      <c r="E690" s="227" t="s">
        <v>2707</v>
      </c>
      <c r="F690" s="165" t="e" cm="1">
        <f t="array" aca="1" ref="F690" ca="1">MID(LEFT(#REF!, INDEX(_xlfn._xlws.FILTER(ROW(INDIRECT("1:" &amp; LEN(#REF!))), (48 &lt;= CODE(MID(#REF!, ROW(INDIRECT("1:" &amp; LEN(#REF!))), 1))) * (CODE(MID(#REF!, ROW(INDIRECT("1:" &amp; LEN(#REF!))), 1)) &lt;= 57)), 1) - 1), FIND(":",#REF!) + 2, LEN(#REF!))</f>
        <v>#REF!</v>
      </c>
      <c r="G690" s="227" t="e">
        <f>MID(LEFT(#REF!, FIND(",",#REF!) - 1), FIND("{token}", SUBSTITUTE(#REF!, " ", "{token}", 2)) + 1, LEN(#REF!))</f>
        <v>#REF!</v>
      </c>
      <c r="H690" s="165">
        <v>2.42</v>
      </c>
      <c r="I690" s="230">
        <v>45495</v>
      </c>
      <c r="J690" s="230" t="s">
        <v>239</v>
      </c>
      <c r="K690" s="226">
        <v>45554</v>
      </c>
      <c r="L690" s="165"/>
      <c r="M690" s="222">
        <v>679</v>
      </c>
      <c r="N690" s="2" t="str">
        <f t="shared" ca="1" si="21"/>
        <v>CLOSED</v>
      </c>
    </row>
    <row r="691" spans="1:14" ht="18.75">
      <c r="A691" s="64" t="s">
        <v>890</v>
      </c>
      <c r="B691" s="98" t="e">
        <f>VLOOKUP([2]!Table27[[#This Row],[Location 
(drop-down)]],'[2]List source'!D$2:E$59,2,FALSE)</f>
        <v>#N/A</v>
      </c>
      <c r="C691" s="99" t="s">
        <v>2708</v>
      </c>
      <c r="D691" s="223" t="e">
        <f t="shared" si="20"/>
        <v>#N/A</v>
      </c>
      <c r="E691" s="227" t="s">
        <v>2701</v>
      </c>
      <c r="F691" s="165" t="e" cm="1">
        <f t="array" aca="1" ref="F691" ca="1">MID(LEFT(#REF!, INDEX(_xlfn._xlws.FILTER(ROW(INDIRECT("1:" &amp; LEN(#REF!))), (48 &lt;= CODE(MID(#REF!, ROW(INDIRECT("1:" &amp; LEN(#REF!))), 1))) * (CODE(MID(#REF!, ROW(INDIRECT("1:" &amp; LEN(#REF!))), 1)) &lt;= 57)), 1) - 1), FIND(":",#REF!) + 2, LEN(#REF!))</f>
        <v>#REF!</v>
      </c>
      <c r="G691" s="227" t="e">
        <f>MID(LEFT(#REF!, FIND(",",#REF!) - 1), FIND("{token}", SUBSTITUTE(#REF!, " ", "{token}", 2)) + 1, LEN(#REF!))</f>
        <v>#REF!</v>
      </c>
      <c r="H691" s="165">
        <v>4.58</v>
      </c>
      <c r="I691" s="230">
        <v>45513</v>
      </c>
      <c r="J691" s="230" t="s">
        <v>239</v>
      </c>
      <c r="K691" s="226">
        <v>45554</v>
      </c>
      <c r="L691" s="165"/>
      <c r="M691" s="222">
        <v>777</v>
      </c>
      <c r="N691" s="2" t="str">
        <f t="shared" ca="1" si="21"/>
        <v>CLOSED</v>
      </c>
    </row>
    <row r="692" spans="1:14" ht="15">
      <c r="A692" s="64" t="s">
        <v>43</v>
      </c>
      <c r="B692" s="98" t="e">
        <f>VLOOKUP([2]!Table27[[#This Row],[Location 
(drop-down)]],'[2]List source'!D$2:E$59,2,FALSE)</f>
        <v>#N/A</v>
      </c>
      <c r="C692" s="99" t="s">
        <v>2709</v>
      </c>
      <c r="D692" s="212" t="e">
        <f t="shared" si="20"/>
        <v>#N/A</v>
      </c>
      <c r="E692" s="227" t="s">
        <v>2710</v>
      </c>
      <c r="F692" s="165" t="e" cm="1">
        <f t="array" aca="1" ref="F692" ca="1">MID(LEFT(#REF!, INDEX(_xlfn._xlws.FILTER(ROW(INDIRECT("1:" &amp; LEN(#REF!))), (48 &lt;= CODE(MID(#REF!, ROW(INDIRECT("1:" &amp; LEN(#REF!))), 1))) * (CODE(MID(#REF!, ROW(INDIRECT("1:" &amp; LEN(#REF!))), 1)) &lt;= 57)), 1) - 1), FIND(":",#REF!) + 2, LEN(#REF!))</f>
        <v>#REF!</v>
      </c>
      <c r="G692" s="227" t="s">
        <v>2711</v>
      </c>
      <c r="H692" s="165">
        <v>-2.39</v>
      </c>
      <c r="I692" s="230">
        <v>45555</v>
      </c>
      <c r="J692" s="230" t="s">
        <v>34</v>
      </c>
      <c r="K692" s="226">
        <v>45555</v>
      </c>
      <c r="L692" s="165" t="s">
        <v>1671</v>
      </c>
      <c r="M692" s="222">
        <v>1001</v>
      </c>
      <c r="N692" s="2" t="str">
        <f t="shared" ca="1" si="21"/>
        <v>CLOSED</v>
      </c>
    </row>
    <row r="693" spans="1:14" ht="30">
      <c r="A693" s="64" t="s">
        <v>591</v>
      </c>
      <c r="B693" s="98" t="e">
        <f>VLOOKUP([2]!Table27[[#This Row],[Location 
(drop-down)]],'[2]List source'!D$2:E$59,2,FALSE)</f>
        <v>#N/A</v>
      </c>
      <c r="C693" s="99" t="s">
        <v>2712</v>
      </c>
      <c r="D693" s="309" t="e">
        <f t="shared" si="20"/>
        <v>#N/A</v>
      </c>
      <c r="E693" s="227" t="s">
        <v>2713</v>
      </c>
      <c r="F693" s="165" t="e" cm="1">
        <f t="array" aca="1" ref="F693" ca="1">MID(LEFT(#REF!, INDEX(_xlfn._xlws.FILTER(ROW(INDIRECT("1:" &amp; LEN(#REF!))), (48 &lt;= CODE(MID(#REF!, ROW(INDIRECT("1:" &amp; LEN(#REF!))), 1))) * (CODE(MID(#REF!, ROW(INDIRECT("1:" &amp; LEN(#REF!))), 1)) &lt;= 57)), 1) - 1), FIND(":",#REF!) + 2, LEN(#REF!))</f>
        <v>#REF!</v>
      </c>
      <c r="G693" s="227" t="e">
        <f>MID(LEFT(#REF!, FIND(",",#REF!) - 1), FIND("{token}", SUBSTITUTE(#REF!, " ", "{token}", 2)) + 1, LEN(#REF!))</f>
        <v>#REF!</v>
      </c>
      <c r="H693" s="165">
        <v>2.35</v>
      </c>
      <c r="I693" s="230">
        <v>45534</v>
      </c>
      <c r="J693" s="230" t="s">
        <v>29</v>
      </c>
      <c r="K693" s="226">
        <v>45558</v>
      </c>
      <c r="L693" s="165"/>
      <c r="M693" s="222">
        <v>859</v>
      </c>
      <c r="N693" s="2" t="str">
        <f t="shared" ca="1" si="21"/>
        <v>CLOSED</v>
      </c>
    </row>
    <row r="694" spans="1:14" ht="30">
      <c r="A694" s="64" t="s">
        <v>39</v>
      </c>
      <c r="B694" s="98" t="e">
        <f>VLOOKUP([2]!Table27[[#This Row],[Location 
(drop-down)]],'[2]List source'!D$2:E$59,2,FALSE)</f>
        <v>#N/A</v>
      </c>
      <c r="C694" s="99" t="s">
        <v>35</v>
      </c>
      <c r="D694" s="223" t="e">
        <f t="shared" si="20"/>
        <v>#N/A</v>
      </c>
      <c r="E694" s="227" t="s">
        <v>2714</v>
      </c>
      <c r="F694" s="165" t="e" cm="1">
        <f t="array" aca="1" ref="F694" ca="1">MID(LEFT(#REF!, INDEX(_xlfn._xlws.FILTER(ROW(INDIRECT("1:" &amp; LEN(#REF!))), (48 &lt;= CODE(MID(#REF!, ROW(INDIRECT("1:" &amp; LEN(#REF!))), 1))) * (CODE(MID(#REF!, ROW(INDIRECT("1:" &amp; LEN(#REF!))), 1)) &lt;= 57)), 1) - 1), FIND(":",#REF!) + 2, LEN(#REF!))</f>
        <v>#REF!</v>
      </c>
      <c r="G694" s="227" t="e">
        <f>MID(LEFT(#REF!, FIND(",",#REF!) - 1), FIND("{token}", SUBSTITUTE(#REF!, " ", "{token}", 2)) + 1, LEN(#REF!))</f>
        <v>#REF!</v>
      </c>
      <c r="H694" s="236">
        <v>6.24</v>
      </c>
      <c r="I694" s="230">
        <v>45301</v>
      </c>
      <c r="J694" s="230" t="s">
        <v>239</v>
      </c>
      <c r="K694" s="226">
        <v>45559</v>
      </c>
      <c r="L694" s="322"/>
      <c r="M694" s="222">
        <v>3</v>
      </c>
      <c r="N694" s="2" t="str">
        <f t="shared" ca="1" si="21"/>
        <v>CLOSED</v>
      </c>
    </row>
    <row r="695" spans="1:14" ht="30">
      <c r="A695" s="64" t="s">
        <v>73</v>
      </c>
      <c r="B695" s="98" t="e">
        <f>VLOOKUP([2]!Table27[[#This Row],[Location 
(drop-down)]],'[2]List source'!D$2:E$59,2,FALSE)</f>
        <v>#N/A</v>
      </c>
      <c r="C695" s="99" t="s">
        <v>410</v>
      </c>
      <c r="D695" s="223" t="e">
        <f t="shared" si="20"/>
        <v>#N/A</v>
      </c>
      <c r="E695" s="227" t="s">
        <v>2715</v>
      </c>
      <c r="F695" s="165" t="e" cm="1">
        <f t="array" aca="1" ref="F695" ca="1">MID(LEFT(#REF!, INDEX(_xlfn._xlws.FILTER(ROW(INDIRECT("1:" &amp; LEN(#REF!))), (48 &lt;= CODE(MID(#REF!, ROW(INDIRECT("1:" &amp; LEN(#REF!))), 1))) * (CODE(MID(#REF!, ROW(INDIRECT("1:" &amp; LEN(#REF!))), 1)) &lt;= 57)), 1) - 1), FIND(":",#REF!) + 2, LEN(#REF!))</f>
        <v>#REF!</v>
      </c>
      <c r="G695" s="227" t="e">
        <f>MID(LEFT(#REF!, FIND(",",#REF!) - 1), FIND("{token}", SUBSTITUTE(#REF!, " ", "{token}", 2)) + 1, LEN(#REF!))</f>
        <v>#REF!</v>
      </c>
      <c r="H695" s="165" t="s">
        <v>2716</v>
      </c>
      <c r="I695" s="230">
        <v>45306</v>
      </c>
      <c r="J695" s="230" t="s">
        <v>239</v>
      </c>
      <c r="K695" s="226">
        <v>45559</v>
      </c>
      <c r="L695" s="165"/>
      <c r="M695" s="222">
        <v>42</v>
      </c>
      <c r="N695" s="2" t="str">
        <f t="shared" ca="1" si="21"/>
        <v>CLOSED</v>
      </c>
    </row>
    <row r="696" spans="1:14" ht="30">
      <c r="A696" s="64" t="s">
        <v>73</v>
      </c>
      <c r="B696" s="98" t="e">
        <f>VLOOKUP([2]!Table27[[#This Row],[Location 
(drop-down)]],'[2]List source'!D$2:E$59,2,FALSE)</f>
        <v>#N/A</v>
      </c>
      <c r="C696" s="99" t="s">
        <v>537</v>
      </c>
      <c r="D696" s="223" t="e">
        <f t="shared" si="20"/>
        <v>#N/A</v>
      </c>
      <c r="E696" s="227" t="s">
        <v>2717</v>
      </c>
      <c r="F696" s="165" t="e" cm="1">
        <f t="array" aca="1" ref="F696" ca="1">MID(LEFT(#REF!, INDEX(_xlfn._xlws.FILTER(ROW(INDIRECT("1:" &amp; LEN(#REF!))), (48 &lt;= CODE(MID(#REF!, ROW(INDIRECT("1:" &amp; LEN(#REF!))), 1))) * (CODE(MID(#REF!, ROW(INDIRECT("1:" &amp; LEN(#REF!))), 1)) &lt;= 57)), 1) - 1), FIND(":",#REF!) + 2, LEN(#REF!))</f>
        <v>#REF!</v>
      </c>
      <c r="G696" s="227" t="e">
        <f>MID(LEFT(#REF!, FIND(",",#REF!) - 1), FIND("{token}", SUBSTITUTE(#REF!, " ", "{token}", 2)) + 1, LEN(#REF!))</f>
        <v>#REF!</v>
      </c>
      <c r="H696" s="165" t="s">
        <v>2718</v>
      </c>
      <c r="I696" s="260">
        <v>45387</v>
      </c>
      <c r="J696" s="230" t="s">
        <v>34</v>
      </c>
      <c r="K696" s="226">
        <v>45559</v>
      </c>
      <c r="L696" s="165" t="s">
        <v>1505</v>
      </c>
      <c r="M696" s="222">
        <v>175</v>
      </c>
      <c r="N696" s="2" t="str">
        <f t="shared" ca="1" si="21"/>
        <v>CLOSED</v>
      </c>
    </row>
    <row r="697" spans="1:14" ht="30">
      <c r="A697" s="64" t="s">
        <v>73</v>
      </c>
      <c r="B697" s="98" t="e">
        <f>VLOOKUP([2]!Table27[[#This Row],[Location 
(drop-down)]],'[2]List source'!D$2:E$59,2,FALSE)</f>
        <v>#N/A</v>
      </c>
      <c r="C697" s="99" t="s">
        <v>496</v>
      </c>
      <c r="D697" s="223" t="e">
        <f t="shared" si="20"/>
        <v>#N/A</v>
      </c>
      <c r="E697" s="227" t="s">
        <v>2719</v>
      </c>
      <c r="F697" s="165" t="e" cm="1">
        <f t="array" aca="1" ref="F697" ca="1">MID(LEFT(#REF!, INDEX(_xlfn._xlws.FILTER(ROW(INDIRECT("1:" &amp; LEN(#REF!))), (48 &lt;= CODE(MID(#REF!, ROW(INDIRECT("1:" &amp; LEN(#REF!))), 1))) * (CODE(MID(#REF!, ROW(INDIRECT("1:" &amp; LEN(#REF!))), 1)) &lt;= 57)), 1) - 1), FIND(":",#REF!) + 2, LEN(#REF!))</f>
        <v>#REF!</v>
      </c>
      <c r="G697" s="227" t="e">
        <f>MID(LEFT(#REF!, FIND(",",#REF!) - 1), FIND("{token}", SUBSTITUTE(#REF!, " ", "{token}", 2)) + 1, LEN(#REF!))</f>
        <v>#REF!</v>
      </c>
      <c r="H697" s="165">
        <v>93.87</v>
      </c>
      <c r="I697" s="260">
        <v>45387</v>
      </c>
      <c r="J697" s="230" t="s">
        <v>34</v>
      </c>
      <c r="K697" s="226">
        <v>45559</v>
      </c>
      <c r="L697" s="165" t="s">
        <v>1505</v>
      </c>
      <c r="M697" s="222">
        <v>177</v>
      </c>
      <c r="N697" s="2" t="str">
        <f t="shared" ca="1" si="21"/>
        <v>CLOSED</v>
      </c>
    </row>
    <row r="698" spans="1:14" ht="30">
      <c r="A698" s="64" t="s">
        <v>358</v>
      </c>
      <c r="B698" s="98" t="e">
        <f>VLOOKUP([2]!Table27[[#This Row],[Location 
(drop-down)]],'[2]List source'!D$2:E$59,2,FALSE)</f>
        <v>#N/A</v>
      </c>
      <c r="C698" s="99" t="s">
        <v>2720</v>
      </c>
      <c r="D698" s="223" t="e">
        <f t="shared" si="20"/>
        <v>#N/A</v>
      </c>
      <c r="E698" s="227" t="s">
        <v>2721</v>
      </c>
      <c r="F698" s="165" t="e" cm="1">
        <f t="array" aca="1" ref="F698" ca="1">MID(LEFT(#REF!, INDEX(_xlfn._xlws.FILTER(ROW(INDIRECT("1:" &amp; LEN(#REF!))), (48 &lt;= CODE(MID(#REF!, ROW(INDIRECT("1:" &amp; LEN(#REF!))), 1))) * (CODE(MID(#REF!, ROW(INDIRECT("1:" &amp; LEN(#REF!))), 1)) &lt;= 57)), 1) - 1), FIND(":",#REF!) + 2, LEN(#REF!))</f>
        <v>#REF!</v>
      </c>
      <c r="G698" s="227" t="e">
        <f>MID(LEFT(#REF!, FIND(",",#REF!) - 1), FIND("{token}", SUBSTITUTE(#REF!, " ", "{token}", 2)) + 1, LEN(#REF!))</f>
        <v>#REF!</v>
      </c>
      <c r="H698" s="165">
        <v>3.37</v>
      </c>
      <c r="I698" s="230">
        <v>45513</v>
      </c>
      <c r="J698" s="230" t="s">
        <v>310</v>
      </c>
      <c r="K698" s="226">
        <v>45559</v>
      </c>
      <c r="L698" s="165"/>
      <c r="M698" s="222">
        <v>770</v>
      </c>
      <c r="N698" s="2" t="str">
        <f t="shared" ca="1" si="21"/>
        <v>CLOSED</v>
      </c>
    </row>
    <row r="699" spans="1:14" ht="30">
      <c r="A699" s="64" t="s">
        <v>358</v>
      </c>
      <c r="B699" s="98" t="e">
        <f>VLOOKUP([2]!Table27[[#This Row],[Location 
(drop-down)]],'[2]List source'!D$2:E$59,2,FALSE)</f>
        <v>#N/A</v>
      </c>
      <c r="C699" s="99" t="s">
        <v>2722</v>
      </c>
      <c r="D699" s="223" t="e">
        <f t="shared" si="20"/>
        <v>#N/A</v>
      </c>
      <c r="E699" s="227" t="s">
        <v>2723</v>
      </c>
      <c r="F699" s="165" t="e" cm="1">
        <f t="array" aca="1" ref="F699" ca="1">MID(LEFT(#REF!, INDEX(_xlfn._xlws.FILTER(ROW(INDIRECT("1:" &amp; LEN(#REF!))), (48 &lt;= CODE(MID(#REF!, ROW(INDIRECT("1:" &amp; LEN(#REF!))), 1))) * (CODE(MID(#REF!, ROW(INDIRECT("1:" &amp; LEN(#REF!))), 1)) &lt;= 57)), 1) - 1), FIND(":",#REF!) + 2, LEN(#REF!))</f>
        <v>#REF!</v>
      </c>
      <c r="G699" s="227" t="e">
        <f>MID(LEFT(#REF!, FIND(",",#REF!) - 1), FIND("{token}", SUBSTITUTE(#REF!, " ", "{token}", 2)) + 1, LEN(#REF!))</f>
        <v>#REF!</v>
      </c>
      <c r="H699" s="236" t="s">
        <v>2724</v>
      </c>
      <c r="I699" s="230">
        <v>45513</v>
      </c>
      <c r="J699" s="230" t="s">
        <v>310</v>
      </c>
      <c r="K699" s="226">
        <v>45559</v>
      </c>
      <c r="L699" s="165"/>
      <c r="M699" s="222">
        <v>771</v>
      </c>
      <c r="N699" s="2" t="str">
        <f t="shared" ca="1" si="21"/>
        <v>CLOSED</v>
      </c>
    </row>
    <row r="700" spans="1:14" ht="18.75">
      <c r="A700" s="64" t="s">
        <v>314</v>
      </c>
      <c r="B700" s="98" t="e">
        <f>VLOOKUP([2]!Table27[[#This Row],[Location 
(drop-down)]],'[2]List source'!D$2:E$59,2,FALSE)</f>
        <v>#N/A</v>
      </c>
      <c r="C700" s="99" t="s">
        <v>2725</v>
      </c>
      <c r="D700" s="309" t="e">
        <f t="shared" si="20"/>
        <v>#N/A</v>
      </c>
      <c r="E700" s="227" t="s">
        <v>2726</v>
      </c>
      <c r="F700" s="165" t="e" cm="1">
        <f t="array" aca="1" ref="F700" ca="1">MID(LEFT(#REF!, INDEX(_xlfn._xlws.FILTER(ROW(INDIRECT("1:" &amp; LEN(#REF!))), (48 &lt;= CODE(MID(#REF!, ROW(INDIRECT("1:" &amp; LEN(#REF!))), 1))) * (CODE(MID(#REF!, ROW(INDIRECT("1:" &amp; LEN(#REF!))), 1)) &lt;= 57)), 1) - 1), FIND(":",#REF!) + 2, LEN(#REF!))</f>
        <v>#REF!</v>
      </c>
      <c r="G700" s="227" t="e">
        <f>MID(LEFT(#REF!, FIND(",",#REF!) - 1), FIND("{token}", SUBSTITUTE(#REF!, " ", "{token}", 2)) + 1, LEN(#REF!))</f>
        <v>#REF!</v>
      </c>
      <c r="H700" s="165">
        <v>5.33</v>
      </c>
      <c r="I700" s="230">
        <v>45533</v>
      </c>
      <c r="J700" s="230" t="s">
        <v>34</v>
      </c>
      <c r="K700" s="226">
        <v>45559</v>
      </c>
      <c r="L700" s="165" t="s">
        <v>1505</v>
      </c>
      <c r="M700" s="222">
        <v>826</v>
      </c>
      <c r="N700" s="2" t="str">
        <f t="shared" ca="1" si="21"/>
        <v>CLOSED</v>
      </c>
    </row>
    <row r="701" spans="1:14" ht="30">
      <c r="A701" s="64" t="s">
        <v>591</v>
      </c>
      <c r="B701" s="98" t="e">
        <f>VLOOKUP([2]!Table27[[#This Row],[Location 
(drop-down)]],'[2]List source'!D$2:E$59,2,FALSE)</f>
        <v>#N/A</v>
      </c>
      <c r="C701" s="99" t="s">
        <v>2727</v>
      </c>
      <c r="D701" s="309" t="e">
        <f t="shared" si="20"/>
        <v>#N/A</v>
      </c>
      <c r="E701" s="227" t="s">
        <v>2728</v>
      </c>
      <c r="F701" s="165" t="e" cm="1">
        <f t="array" aca="1" ref="F701" ca="1">MID(LEFT(#REF!, INDEX(_xlfn._xlws.FILTER(ROW(INDIRECT("1:" &amp; LEN(#REF!))), (48 &lt;= CODE(MID(#REF!, ROW(INDIRECT("1:" &amp; LEN(#REF!))), 1))) * (CODE(MID(#REF!, ROW(INDIRECT("1:" &amp; LEN(#REF!))), 1)) &lt;= 57)), 1) - 1), FIND(":",#REF!) + 2, LEN(#REF!))</f>
        <v>#REF!</v>
      </c>
      <c r="G701" s="227" t="e">
        <f>MID(LEFT(#REF!, FIND(",",#REF!) - 1), FIND("{token}", SUBSTITUTE(#REF!, " ", "{token}", 2)) + 1, LEN(#REF!))</f>
        <v>#REF!</v>
      </c>
      <c r="H701" s="236" t="s">
        <v>1579</v>
      </c>
      <c r="I701" s="230">
        <v>45534</v>
      </c>
      <c r="J701" s="230" t="s">
        <v>29</v>
      </c>
      <c r="K701" s="226">
        <v>45559</v>
      </c>
      <c r="L701" s="165"/>
      <c r="M701" s="222">
        <v>858</v>
      </c>
      <c r="N701" s="2" t="str">
        <f t="shared" ca="1" si="21"/>
        <v>CLOSED</v>
      </c>
    </row>
    <row r="702" spans="1:14" ht="18.75">
      <c r="A702" s="64" t="s">
        <v>314</v>
      </c>
      <c r="B702" s="98" t="e">
        <f>VLOOKUP([2]!Table27[[#This Row],[Location 
(drop-down)]],'[2]List source'!D$2:E$59,2,FALSE)</f>
        <v>#N/A</v>
      </c>
      <c r="C702" s="99" t="s">
        <v>2729</v>
      </c>
      <c r="D702" s="309" t="e">
        <f t="shared" si="20"/>
        <v>#N/A</v>
      </c>
      <c r="E702" s="227" t="s">
        <v>2730</v>
      </c>
      <c r="F702" s="165" t="e" cm="1">
        <f t="array" aca="1" ref="F702" ca="1">MID(LEFT(#REF!, INDEX(_xlfn._xlws.FILTER(ROW(INDIRECT("1:" &amp; LEN(#REF!))), (48 &lt;= CODE(MID(#REF!, ROW(INDIRECT("1:" &amp; LEN(#REF!))), 1))) * (CODE(MID(#REF!, ROW(INDIRECT("1:" &amp; LEN(#REF!))), 1)) &lt;= 57)), 1) - 1), FIND(":",#REF!) + 2, LEN(#REF!))</f>
        <v>#REF!</v>
      </c>
      <c r="G702" s="227" t="e">
        <f>MID(LEFT(#REF!, FIND(",",#REF!) - 1), FIND("{token}", SUBSTITUTE(#REF!, " ", "{token}", 2)) + 1, LEN(#REF!))</f>
        <v>#REF!</v>
      </c>
      <c r="H702" s="165">
        <v>5.53</v>
      </c>
      <c r="I702" s="230">
        <v>45534</v>
      </c>
      <c r="J702" s="230" t="s">
        <v>34</v>
      </c>
      <c r="K702" s="226">
        <v>45559</v>
      </c>
      <c r="L702" s="165" t="s">
        <v>1505</v>
      </c>
      <c r="M702" s="222">
        <v>874</v>
      </c>
      <c r="N702" s="2" t="str">
        <f t="shared" ca="1" si="21"/>
        <v>CLOSED</v>
      </c>
    </row>
    <row r="703" spans="1:14" ht="30">
      <c r="A703" s="64" t="s">
        <v>73</v>
      </c>
      <c r="B703" s="98" t="e">
        <f>VLOOKUP([2]!Table27[[#This Row],[Location 
(drop-down)]],'[2]List source'!D$2:E$59,2,FALSE)</f>
        <v>#N/A</v>
      </c>
      <c r="C703" s="99" t="s">
        <v>1230</v>
      </c>
      <c r="D703" s="223" t="e">
        <f t="shared" si="20"/>
        <v>#N/A</v>
      </c>
      <c r="E703" s="227" t="s">
        <v>2731</v>
      </c>
      <c r="F703" s="165" t="e" cm="1">
        <f t="array" aca="1" ref="F703" ca="1">MID(LEFT(#REF!, INDEX(_xlfn._xlws.FILTER(ROW(INDIRECT("1:" &amp; LEN(#REF!))), (48 &lt;= CODE(MID(#REF!, ROW(INDIRECT("1:" &amp; LEN(#REF!))), 1))) * (CODE(MID(#REF!, ROW(INDIRECT("1:" &amp; LEN(#REF!))), 1)) &lt;= 57)), 1) - 1), FIND(":",#REF!) + 2, LEN(#REF!))</f>
        <v>#REF!</v>
      </c>
      <c r="G703" s="227" t="e">
        <f>MID(LEFT(#REF!, FIND(",",#REF!) - 1), FIND("{token}", SUBSTITUTE(#REF!, " ", "{token}", 2)) + 1, LEN(#REF!))</f>
        <v>#REF!</v>
      </c>
      <c r="H703" s="165" t="s">
        <v>1579</v>
      </c>
      <c r="I703" s="260">
        <v>45387</v>
      </c>
      <c r="J703" s="230" t="s">
        <v>239</v>
      </c>
      <c r="K703" s="226">
        <v>45561</v>
      </c>
      <c r="L703" s="165"/>
      <c r="M703" s="222">
        <v>174</v>
      </c>
      <c r="N703" s="2" t="str">
        <f t="shared" ca="1" si="21"/>
        <v>CLOSED</v>
      </c>
    </row>
    <row r="704" spans="1:14" ht="30">
      <c r="A704" s="64" t="s">
        <v>73</v>
      </c>
      <c r="B704" s="98" t="e">
        <f>VLOOKUP([2]!Table27[[#This Row],[Location 
(drop-down)]],'[2]List source'!D$2:E$59,2,FALSE)</f>
        <v>#N/A</v>
      </c>
      <c r="C704" s="99" t="s">
        <v>1363</v>
      </c>
      <c r="D704" s="223" t="e">
        <f t="shared" si="20"/>
        <v>#N/A</v>
      </c>
      <c r="E704" s="227" t="s">
        <v>2732</v>
      </c>
      <c r="F704" s="165" t="e" cm="1">
        <f t="array" aca="1" ref="F704" ca="1">MID(LEFT(#REF!, INDEX(_xlfn._xlws.FILTER(ROW(INDIRECT("1:" &amp; LEN(#REF!))), (48 &lt;= CODE(MID(#REF!, ROW(INDIRECT("1:" &amp; LEN(#REF!))), 1))) * (CODE(MID(#REF!, ROW(INDIRECT("1:" &amp; LEN(#REF!))), 1)) &lt;= 57)), 1) - 1), FIND(":",#REF!) + 2, LEN(#REF!))</f>
        <v>#REF!</v>
      </c>
      <c r="G704" s="227" t="e">
        <f>MID(LEFT(#REF!, FIND(",",#REF!) - 1), FIND("{token}", SUBSTITUTE(#REF!, " ", "{token}", 2)) + 1, LEN(#REF!))</f>
        <v>#REF!</v>
      </c>
      <c r="H704" s="165" t="s">
        <v>2733</v>
      </c>
      <c r="I704" s="230">
        <v>45412</v>
      </c>
      <c r="J704" s="230" t="s">
        <v>239</v>
      </c>
      <c r="K704" s="226">
        <v>45561</v>
      </c>
      <c r="L704" s="165"/>
      <c r="M704" s="222">
        <v>291</v>
      </c>
      <c r="N704" s="2" t="str">
        <f t="shared" ca="1" si="21"/>
        <v>CLOSED</v>
      </c>
    </row>
    <row r="705" spans="1:14" ht="30">
      <c r="A705" s="64" t="s">
        <v>73</v>
      </c>
      <c r="B705" s="98" t="e">
        <f>VLOOKUP([2]!Table27[[#This Row],[Location 
(drop-down)]],'[2]List source'!D$2:E$59,2,FALSE)</f>
        <v>#N/A</v>
      </c>
      <c r="C705" s="99" t="s">
        <v>788</v>
      </c>
      <c r="D705" s="223" t="e">
        <f t="shared" si="20"/>
        <v>#N/A</v>
      </c>
      <c r="E705" s="227" t="s">
        <v>2734</v>
      </c>
      <c r="F705" s="165" t="e" cm="1">
        <f t="array" aca="1" ref="F705" ca="1">MID(LEFT(#REF!, INDEX(_xlfn._xlws.FILTER(ROW(INDIRECT("1:" &amp; LEN(#REF!))), (48 &lt;= CODE(MID(#REF!, ROW(INDIRECT("1:" &amp; LEN(#REF!))), 1))) * (CODE(MID(#REF!, ROW(INDIRECT("1:" &amp; LEN(#REF!))), 1)) &lt;= 57)), 1) - 1), FIND(":",#REF!) + 2, LEN(#REF!))</f>
        <v>#REF!</v>
      </c>
      <c r="G705" s="227" t="e">
        <f>MID(LEFT(#REF!, FIND(",",#REF!) - 1), FIND("{token}", SUBSTITUTE(#REF!, " ", "{token}", 2)) + 1, LEN(#REF!))</f>
        <v>#REF!</v>
      </c>
      <c r="H705" s="236" t="s">
        <v>2735</v>
      </c>
      <c r="I705" s="230">
        <v>45412</v>
      </c>
      <c r="J705" s="230" t="s">
        <v>239</v>
      </c>
      <c r="K705" s="226">
        <v>45562</v>
      </c>
      <c r="L705" s="165"/>
      <c r="M705" s="222">
        <v>292</v>
      </c>
      <c r="N705" s="2" t="str">
        <f t="shared" ca="1" si="21"/>
        <v>CLOSED</v>
      </c>
    </row>
    <row r="706" spans="1:14" ht="30">
      <c r="A706" s="64" t="s">
        <v>73</v>
      </c>
      <c r="B706" s="98" t="e">
        <f>VLOOKUP([2]!Table27[[#This Row],[Location 
(drop-down)]],'[2]List source'!D$2:E$59,2,FALSE)</f>
        <v>#N/A</v>
      </c>
      <c r="C706" s="99" t="s">
        <v>1451</v>
      </c>
      <c r="D706" s="223" t="e">
        <f t="shared" ref="D706:D769" si="22">"PTO" &amp; C706 &amp; "-" &amp; B706 &amp; "-" &amp; "23"</f>
        <v>#N/A</v>
      </c>
      <c r="E706" s="227" t="s">
        <v>2736</v>
      </c>
      <c r="F706" s="165" t="e" cm="1">
        <f t="array" aca="1" ref="F706" ca="1">MID(LEFT(#REF!, INDEX(_xlfn._xlws.FILTER(ROW(INDIRECT("1:" &amp; LEN(#REF!))), (48 &lt;= CODE(MID(#REF!, ROW(INDIRECT("1:" &amp; LEN(#REF!))), 1))) * (CODE(MID(#REF!, ROW(INDIRECT("1:" &amp; LEN(#REF!))), 1)) &lt;= 57)), 1) - 1), FIND(":",#REF!) + 2, LEN(#REF!))</f>
        <v>#REF!</v>
      </c>
      <c r="G706" s="227" t="e">
        <f>MID(LEFT(#REF!, FIND(",",#REF!) - 1), FIND("{token}", SUBSTITUTE(#REF!, " ", "{token}", 2)) + 1, LEN(#REF!))</f>
        <v>#REF!</v>
      </c>
      <c r="H706" s="236" t="s">
        <v>2012</v>
      </c>
      <c r="I706" s="230">
        <v>45412</v>
      </c>
      <c r="J706" s="230" t="s">
        <v>239</v>
      </c>
      <c r="K706" s="226">
        <v>45562</v>
      </c>
      <c r="L706" s="165"/>
      <c r="M706" s="222">
        <v>293</v>
      </c>
      <c r="N706" s="2" t="str">
        <f t="shared" ca="1" si="21"/>
        <v>CLOSED</v>
      </c>
    </row>
    <row r="707" spans="1:14" ht="30">
      <c r="A707" s="64" t="s">
        <v>125</v>
      </c>
      <c r="B707" s="98" t="e">
        <f>VLOOKUP([2]!Table27[[#This Row],[Location 
(drop-down)]],'[2]List source'!D$2:E$59,2,FALSE)</f>
        <v>#N/A</v>
      </c>
      <c r="C707" s="99" t="s">
        <v>2737</v>
      </c>
      <c r="D707" s="223" t="e">
        <f t="shared" si="22"/>
        <v>#N/A</v>
      </c>
      <c r="E707" s="227" t="s">
        <v>2738</v>
      </c>
      <c r="F707" s="165" t="e" cm="1">
        <f t="array" aca="1" ref="F707" ca="1">MID(LEFT(#REF!, INDEX(_xlfn._xlws.FILTER(ROW(INDIRECT("1:" &amp; LEN(#REF!))), (48 &lt;= CODE(MID(#REF!, ROW(INDIRECT("1:" &amp; LEN(#REF!))), 1))) * (CODE(MID(#REF!, ROW(INDIRECT("1:" &amp; LEN(#REF!))), 1)) &lt;= 57)), 1) - 1), FIND(":",#REF!) + 2, LEN(#REF!))</f>
        <v>#REF!</v>
      </c>
      <c r="G707" s="227" t="e">
        <f>MID(LEFT(#REF!, FIND(",",#REF!) - 1), FIND("{token}", SUBSTITUTE(#REF!, " ", "{token}", 2)) + 1, LEN(#REF!))</f>
        <v>#REF!</v>
      </c>
      <c r="H707" s="165">
        <v>3.75</v>
      </c>
      <c r="I707" s="230">
        <v>45495</v>
      </c>
      <c r="J707" s="230" t="s">
        <v>239</v>
      </c>
      <c r="K707" s="226">
        <v>45562</v>
      </c>
      <c r="L707" s="165"/>
      <c r="M707" s="222">
        <v>667</v>
      </c>
      <c r="N707" s="2" t="str">
        <f t="shared" ca="1" si="21"/>
        <v>CLOSED</v>
      </c>
    </row>
    <row r="708" spans="1:14" ht="30">
      <c r="A708" s="64" t="s">
        <v>125</v>
      </c>
      <c r="B708" s="98" t="e">
        <f>VLOOKUP([2]!Table27[[#This Row],[Location 
(drop-down)]],'[2]List source'!D$2:E$59,2,FALSE)</f>
        <v>#N/A</v>
      </c>
      <c r="C708" s="99" t="s">
        <v>2739</v>
      </c>
      <c r="D708" s="223" t="e">
        <f t="shared" si="22"/>
        <v>#N/A</v>
      </c>
      <c r="E708" s="227" t="s">
        <v>2740</v>
      </c>
      <c r="F708" s="165" t="e" cm="1">
        <f t="array" aca="1" ref="F708" ca="1">MID(LEFT(#REF!, INDEX(_xlfn._xlws.FILTER(ROW(INDIRECT("1:" &amp; LEN(#REF!))), (48 &lt;= CODE(MID(#REF!, ROW(INDIRECT("1:" &amp; LEN(#REF!))), 1))) * (CODE(MID(#REF!, ROW(INDIRECT("1:" &amp; LEN(#REF!))), 1)) &lt;= 57)), 1) - 1), FIND(":",#REF!) + 2, LEN(#REF!))</f>
        <v>#REF!</v>
      </c>
      <c r="G708" s="227" t="e">
        <f>MID(LEFT(#REF!, FIND(",",#REF!) - 1), FIND("{token}", SUBSTITUTE(#REF!, " ", "{token}", 2)) + 1, LEN(#REF!))</f>
        <v>#REF!</v>
      </c>
      <c r="H708" s="165">
        <v>-20.92</v>
      </c>
      <c r="I708" s="230">
        <v>45513</v>
      </c>
      <c r="J708" s="230" t="s">
        <v>239</v>
      </c>
      <c r="K708" s="226">
        <v>45562</v>
      </c>
      <c r="L708" s="165"/>
      <c r="M708" s="222">
        <v>751</v>
      </c>
      <c r="N708" s="2" t="str">
        <f t="shared" ca="1" si="21"/>
        <v>CLOSED</v>
      </c>
    </row>
    <row r="709" spans="1:14" ht="18.75">
      <c r="A709" s="64" t="s">
        <v>156</v>
      </c>
      <c r="B709" s="98" t="e">
        <f>VLOOKUP([2]!Table27[[#This Row],[Location 
(drop-down)]],'[2]List source'!D$2:E$59,2,FALSE)</f>
        <v>#N/A</v>
      </c>
      <c r="C709" s="99" t="s">
        <v>2741</v>
      </c>
      <c r="D709" s="309" t="e">
        <f t="shared" si="22"/>
        <v>#N/A</v>
      </c>
      <c r="E709" s="227" t="s">
        <v>2742</v>
      </c>
      <c r="F709" s="165" t="e" cm="1">
        <f t="array" aca="1" ref="F709" ca="1">MID(LEFT(#REF!, INDEX(_xlfn._xlws.FILTER(ROW(INDIRECT("1:" &amp; LEN(#REF!))), (48 &lt;= CODE(MID(#REF!, ROW(INDIRECT("1:" &amp; LEN(#REF!))), 1))) * (CODE(MID(#REF!, ROW(INDIRECT("1:" &amp; LEN(#REF!))), 1)) &lt;= 57)), 1) - 1), FIND(":",#REF!) + 2, LEN(#REF!))</f>
        <v>#REF!</v>
      </c>
      <c r="G709" s="227" t="e">
        <f>MID(LEFT(#REF!, FIND(",",#REF!) - 1), FIND("{token}", SUBSTITUTE(#REF!, " ", "{token}", 2)) + 1, LEN(#REF!))</f>
        <v>#REF!</v>
      </c>
      <c r="H709" s="165">
        <v>4.05</v>
      </c>
      <c r="I709" s="230">
        <v>45534</v>
      </c>
      <c r="J709" s="230" t="s">
        <v>34</v>
      </c>
      <c r="K709" s="226">
        <v>45565</v>
      </c>
      <c r="L709" s="165" t="s">
        <v>1505</v>
      </c>
      <c r="M709" s="222">
        <v>850</v>
      </c>
      <c r="N709" s="2" t="str">
        <f t="shared" ca="1" si="21"/>
        <v>CLOSED</v>
      </c>
    </row>
    <row r="710" spans="1:14" ht="18.75">
      <c r="A710" s="64" t="s">
        <v>314</v>
      </c>
      <c r="B710" s="98" t="e">
        <f>VLOOKUP([2]!Table27[[#This Row],[Location 
(drop-down)]],'[2]List source'!D$2:E$59,2,FALSE)</f>
        <v>#N/A</v>
      </c>
      <c r="C710" s="99" t="s">
        <v>670</v>
      </c>
      <c r="D710" s="223" t="e">
        <f t="shared" si="22"/>
        <v>#N/A</v>
      </c>
      <c r="E710" s="227" t="s">
        <v>2743</v>
      </c>
      <c r="F710" s="165" t="e" cm="1">
        <f t="array" aca="1" ref="F710" ca="1">MID(LEFT(#REF!, INDEX(_xlfn._xlws.FILTER(ROW(INDIRECT("1:" &amp; LEN(#REF!))), (48 &lt;= CODE(MID(#REF!, ROW(INDIRECT("1:" &amp; LEN(#REF!))), 1))) * (CODE(MID(#REF!, ROW(INDIRECT("1:" &amp; LEN(#REF!))), 1)) &lt;= 57)), 1) - 1), FIND(":",#REF!) + 2, LEN(#REF!))</f>
        <v>#REF!</v>
      </c>
      <c r="G710" s="227" t="e">
        <f>MID(LEFT(#REF!, FIND(",",#REF!) - 1), FIND("{token}", SUBSTITUTE(#REF!, " ", "{token}", 2)) + 1, LEN(#REF!))</f>
        <v>#REF!</v>
      </c>
      <c r="H710" s="246" t="s">
        <v>2744</v>
      </c>
      <c r="I710" s="230">
        <v>45307</v>
      </c>
      <c r="J710" s="230" t="s">
        <v>239</v>
      </c>
      <c r="K710" s="226">
        <v>45566</v>
      </c>
      <c r="L710" s="165"/>
      <c r="M710" s="222">
        <v>62</v>
      </c>
      <c r="N710" s="2" t="str">
        <f t="shared" ca="1" si="21"/>
        <v>CLOSED</v>
      </c>
    </row>
    <row r="711" spans="1:14" ht="18.75">
      <c r="A711" s="64" t="s">
        <v>314</v>
      </c>
      <c r="B711" s="98" t="e">
        <f>VLOOKUP([2]!Table27[[#This Row],[Location 
(drop-down)]],'[2]List source'!D$2:E$59,2,FALSE)</f>
        <v>#N/A</v>
      </c>
      <c r="C711" s="99" t="s">
        <v>977</v>
      </c>
      <c r="D711" s="223" t="e">
        <f t="shared" si="22"/>
        <v>#N/A</v>
      </c>
      <c r="E711" s="227" t="s">
        <v>2745</v>
      </c>
      <c r="F711" s="165" t="e" cm="1">
        <f t="array" aca="1" ref="F711" ca="1">MID(LEFT(#REF!, INDEX(_xlfn._xlws.FILTER(ROW(INDIRECT("1:" &amp; LEN(#REF!))), (48 &lt;= CODE(MID(#REF!, ROW(INDIRECT("1:" &amp; LEN(#REF!))), 1))) * (CODE(MID(#REF!, ROW(INDIRECT("1:" &amp; LEN(#REF!))), 1)) &lt;= 57)), 1) - 1), FIND(":",#REF!) + 2, LEN(#REF!))</f>
        <v>#REF!</v>
      </c>
      <c r="G711" s="227" t="e">
        <f>MID(LEFT(#REF!, FIND(",",#REF!) - 1), FIND("{token}", SUBSTITUTE(#REF!, " ", "{token}", 2)) + 1, LEN(#REF!))</f>
        <v>#REF!</v>
      </c>
      <c r="H711" s="236" t="s">
        <v>2746</v>
      </c>
      <c r="I711" s="260">
        <v>45407</v>
      </c>
      <c r="J711" s="230" t="s">
        <v>239</v>
      </c>
      <c r="K711" s="226">
        <v>45566</v>
      </c>
      <c r="L711" s="165"/>
      <c r="M711" s="222">
        <v>237</v>
      </c>
      <c r="N711" s="2" t="str">
        <f t="shared" ca="1" si="21"/>
        <v>CLOSED</v>
      </c>
    </row>
    <row r="712" spans="1:14" ht="18.75">
      <c r="A712" s="64" t="s">
        <v>314</v>
      </c>
      <c r="B712" s="98" t="e">
        <f>VLOOKUP([2]!Table27[[#This Row],[Location 
(drop-down)]],'[2]List source'!D$2:E$59,2,FALSE)</f>
        <v>#N/A</v>
      </c>
      <c r="C712" s="99" t="s">
        <v>1083</v>
      </c>
      <c r="D712" s="223" t="e">
        <f t="shared" si="22"/>
        <v>#N/A</v>
      </c>
      <c r="E712" s="227" t="s">
        <v>2747</v>
      </c>
      <c r="F712" s="165" t="s">
        <v>1566</v>
      </c>
      <c r="G712" s="227" t="e">
        <f>MID(LEFT(#REF!, FIND(",",#REF!) - 1), FIND("{token}", SUBSTITUTE(#REF!, " ", "{token}", 2)) + 1, LEN(#REF!))</f>
        <v>#REF!</v>
      </c>
      <c r="H712" s="165">
        <v>-21.43</v>
      </c>
      <c r="I712" s="230">
        <v>45418</v>
      </c>
      <c r="J712" s="230" t="s">
        <v>239</v>
      </c>
      <c r="K712" s="226">
        <v>45566</v>
      </c>
      <c r="L712" s="165"/>
      <c r="M712" s="222">
        <v>398</v>
      </c>
      <c r="N712" s="2" t="str">
        <f t="shared" ca="1" si="21"/>
        <v>CLOSED</v>
      </c>
    </row>
    <row r="713" spans="1:14" ht="30">
      <c r="A713" s="64" t="s">
        <v>73</v>
      </c>
      <c r="B713" s="98" t="e">
        <f>VLOOKUP([2]!Table27[[#This Row],[Location 
(drop-down)]],'[2]List source'!D$2:E$59,2,FALSE)</f>
        <v>#N/A</v>
      </c>
      <c r="C713" s="99" t="s">
        <v>2748</v>
      </c>
      <c r="D713" s="223" t="e">
        <f t="shared" si="22"/>
        <v>#N/A</v>
      </c>
      <c r="E713" s="227" t="s">
        <v>2749</v>
      </c>
      <c r="F713" s="165" t="e" cm="1">
        <f t="array" aca="1" ref="F713" ca="1">MID(LEFT(#REF!, INDEX(_xlfn._xlws.FILTER(ROW(INDIRECT("1:" &amp; LEN(#REF!))), (48 &lt;= CODE(MID(#REF!, ROW(INDIRECT("1:" &amp; LEN(#REF!))), 1))) * (CODE(MID(#REF!, ROW(INDIRECT("1:" &amp; LEN(#REF!))), 1)) &lt;= 57)), 1) - 1), FIND(":",#REF!) + 2, LEN(#REF!))</f>
        <v>#REF!</v>
      </c>
      <c r="G713" s="227" t="e">
        <f>MID(LEFT(#REF!, FIND(",",#REF!) - 1), FIND("{token}", SUBSTITUTE(#REF!, " ", "{token}", 2)) + 1, LEN(#REF!))</f>
        <v>#REF!</v>
      </c>
      <c r="H713" s="165">
        <v>5.55</v>
      </c>
      <c r="I713" s="230">
        <v>45435</v>
      </c>
      <c r="J713" s="230" t="s">
        <v>239</v>
      </c>
      <c r="K713" s="226">
        <v>45566</v>
      </c>
      <c r="L713" s="165"/>
      <c r="M713" s="222">
        <v>644</v>
      </c>
      <c r="N713" s="2" t="str">
        <f t="shared" ca="1" si="21"/>
        <v>CLOSED</v>
      </c>
    </row>
    <row r="714" spans="1:14" ht="30">
      <c r="A714" s="64" t="s">
        <v>73</v>
      </c>
      <c r="B714" s="98" t="e">
        <f>VLOOKUP([2]!Table27[[#This Row],[Location 
(drop-down)]],'[2]List source'!D$2:E$59,2,FALSE)</f>
        <v>#N/A</v>
      </c>
      <c r="C714" s="99" t="s">
        <v>2750</v>
      </c>
      <c r="D714" s="309" t="e">
        <f t="shared" si="22"/>
        <v>#N/A</v>
      </c>
      <c r="E714" s="227" t="s">
        <v>2751</v>
      </c>
      <c r="F714" s="165" t="e" cm="1">
        <f t="array" aca="1" ref="F714" ca="1">MID(LEFT(#REF!, INDEX(_xlfn._xlws.FILTER(ROW(INDIRECT("1:" &amp; LEN(#REF!))), (48 &lt;= CODE(MID(#REF!, ROW(INDIRECT("1:" &amp; LEN(#REF!))), 1))) * (CODE(MID(#REF!, ROW(INDIRECT("1:" &amp; LEN(#REF!))), 1)) &lt;= 57)), 1) - 1), FIND(":",#REF!) + 2, LEN(#REF!))</f>
        <v>#REF!</v>
      </c>
      <c r="G714" s="227" t="e">
        <f>MID(LEFT(#REF!, FIND(",",#REF!) - 1), FIND("{token}", SUBSTITUTE(#REF!, " ", "{token}", 2)) + 1, LEN(#REF!))</f>
        <v>#REF!</v>
      </c>
      <c r="H714" s="165">
        <v>2.15</v>
      </c>
      <c r="I714" s="230">
        <v>45534</v>
      </c>
      <c r="J714" s="230" t="s">
        <v>239</v>
      </c>
      <c r="K714" s="226">
        <v>45566</v>
      </c>
      <c r="L714" s="165"/>
      <c r="M714" s="222">
        <v>879</v>
      </c>
      <c r="N714" s="2" t="str">
        <f t="shared" ca="1" si="21"/>
        <v>CLOSED</v>
      </c>
    </row>
    <row r="715" spans="1:14" ht="30">
      <c r="A715" s="64" t="s">
        <v>73</v>
      </c>
      <c r="B715" s="98" t="e">
        <f>VLOOKUP([2]!Table27[[#This Row],[Location 
(drop-down)]],'[2]List source'!D$2:E$59,2,FALSE)</f>
        <v>#N/A</v>
      </c>
      <c r="C715" s="99" t="s">
        <v>2752</v>
      </c>
      <c r="D715" s="309" t="e">
        <f t="shared" si="22"/>
        <v>#N/A</v>
      </c>
      <c r="E715" s="227" t="s">
        <v>2753</v>
      </c>
      <c r="F715" s="165" t="e" cm="1">
        <f t="array" aca="1" ref="F715" ca="1">MID(LEFT(#REF!, INDEX(_xlfn._xlws.FILTER(ROW(INDIRECT("1:" &amp; LEN(#REF!))), (48 &lt;= CODE(MID(#REF!, ROW(INDIRECT("1:" &amp; LEN(#REF!))), 1))) * (CODE(MID(#REF!, ROW(INDIRECT("1:" &amp; LEN(#REF!))), 1)) &lt;= 57)), 1) - 1), FIND(":",#REF!) + 2, LEN(#REF!))</f>
        <v>#REF!</v>
      </c>
      <c r="G715" s="227" t="e">
        <f>MID(LEFT(#REF!, FIND(",",#REF!) - 1), FIND("{token}", SUBSTITUTE(#REF!, " ", "{token}", 2)) + 1, LEN(#REF!))</f>
        <v>#REF!</v>
      </c>
      <c r="H715" s="236" t="s">
        <v>2754</v>
      </c>
      <c r="I715" s="230">
        <v>45534</v>
      </c>
      <c r="J715" s="230" t="s">
        <v>239</v>
      </c>
      <c r="K715" s="226">
        <v>45566</v>
      </c>
      <c r="L715" s="165"/>
      <c r="M715" s="222">
        <v>880</v>
      </c>
      <c r="N715" s="2" t="str">
        <f t="shared" ca="1" si="21"/>
        <v>CLOSED</v>
      </c>
    </row>
    <row r="716" spans="1:14" ht="30">
      <c r="A716" s="64" t="s">
        <v>591</v>
      </c>
      <c r="B716" s="98" t="e">
        <f>VLOOKUP([2]!Table27[[#This Row],[Location 
(drop-down)]],'[2]List source'!D$2:E$59,2,FALSE)</f>
        <v>#N/A</v>
      </c>
      <c r="C716" s="99" t="s">
        <v>2755</v>
      </c>
      <c r="D716" s="309" t="e">
        <f t="shared" si="22"/>
        <v>#N/A</v>
      </c>
      <c r="E716" s="227" t="s">
        <v>2756</v>
      </c>
      <c r="F716" s="165" t="e" cm="1">
        <f t="array" aca="1" ref="F716" ca="1">MID(LEFT(#REF!, INDEX(_xlfn._xlws.FILTER(ROW(INDIRECT("1:" &amp; LEN(#REF!))), (48 &lt;= CODE(MID(#REF!, ROW(INDIRECT("1:" &amp; LEN(#REF!))), 1))) * (CODE(MID(#REF!, ROW(INDIRECT("1:" &amp; LEN(#REF!))), 1)) &lt;= 57)), 1) - 1), FIND(":",#REF!) + 2, LEN(#REF!))</f>
        <v>#REF!</v>
      </c>
      <c r="G716" s="227" t="e">
        <f>MID(LEFT(#REF!, FIND(",",#REF!) - 1), FIND("{token}", SUBSTITUTE(#REF!, " ", "{token}", 2)) + 1, LEN(#REF!))</f>
        <v>#REF!</v>
      </c>
      <c r="H716" s="236" t="s">
        <v>2757</v>
      </c>
      <c r="I716" s="230">
        <v>45534</v>
      </c>
      <c r="J716" s="230" t="s">
        <v>29</v>
      </c>
      <c r="K716" s="226">
        <v>45567</v>
      </c>
      <c r="L716" s="165"/>
      <c r="M716" s="222">
        <v>860</v>
      </c>
      <c r="N716" s="2" t="str">
        <f t="shared" ca="1" si="21"/>
        <v>CLOSED</v>
      </c>
    </row>
    <row r="717" spans="1:14" ht="18.75">
      <c r="A717" s="64" t="s">
        <v>15</v>
      </c>
      <c r="B717" s="98" t="e">
        <f>VLOOKUP([2]!Table27[[#This Row],[Location 
(drop-down)]],'[2]List source'!D$2:E$59,2,FALSE)</f>
        <v>#N/A</v>
      </c>
      <c r="C717" s="99" t="s">
        <v>1027</v>
      </c>
      <c r="D717" s="223" t="e">
        <f t="shared" si="22"/>
        <v>#N/A</v>
      </c>
      <c r="E717" s="227" t="s">
        <v>2758</v>
      </c>
      <c r="F717" s="165" t="s">
        <v>1566</v>
      </c>
      <c r="G717" s="227" t="e">
        <f>MID(LEFT(#REF!, FIND(",",#REF!) - 1), FIND("{token}", SUBSTITUTE(#REF!, " ", "{token}", 2)) + 1, LEN(#REF!))</f>
        <v>#REF!</v>
      </c>
      <c r="H717" s="165">
        <v>-9.15</v>
      </c>
      <c r="I717" s="230">
        <v>45418</v>
      </c>
      <c r="J717" s="230" t="s">
        <v>34</v>
      </c>
      <c r="K717" s="226">
        <v>45569</v>
      </c>
      <c r="L717" s="165" t="s">
        <v>1505</v>
      </c>
      <c r="M717" s="222">
        <v>413</v>
      </c>
      <c r="N717" s="2" t="str">
        <f t="shared" ca="1" si="21"/>
        <v>CLOSED</v>
      </c>
    </row>
    <row r="718" spans="1:14" ht="30">
      <c r="A718" s="64" t="s">
        <v>119</v>
      </c>
      <c r="B718" s="98" t="e">
        <f>VLOOKUP([2]!Table27[[#This Row],[Location 
(drop-down)]],'[2]List source'!D$2:E$59,2,FALSE)</f>
        <v>#N/A</v>
      </c>
      <c r="C718" s="99" t="s">
        <v>250</v>
      </c>
      <c r="D718" s="223" t="e">
        <f t="shared" si="22"/>
        <v>#N/A</v>
      </c>
      <c r="E718" s="227" t="s">
        <v>2759</v>
      </c>
      <c r="F718" s="165" t="s">
        <v>1520</v>
      </c>
      <c r="G718" s="227" t="e">
        <f>MID(LEFT(#REF!, FIND(",",#REF!) - 1), FIND("{token}", SUBSTITUTE(#REF!, " ", "{token}", 2)) + 1, LEN(#REF!))</f>
        <v>#REF!</v>
      </c>
      <c r="H718" s="236" t="s">
        <v>2335</v>
      </c>
      <c r="I718" s="230">
        <v>45426</v>
      </c>
      <c r="J718" s="230" t="s">
        <v>239</v>
      </c>
      <c r="K718" s="226">
        <v>45573</v>
      </c>
      <c r="L718" s="165"/>
      <c r="M718" s="222">
        <v>451</v>
      </c>
      <c r="N718" s="2" t="str">
        <f t="shared" ca="1" si="21"/>
        <v>CLOSED</v>
      </c>
    </row>
    <row r="719" spans="1:14" ht="30">
      <c r="A719" s="64" t="s">
        <v>125</v>
      </c>
      <c r="B719" s="98" t="e">
        <f>VLOOKUP([2]!Table27[[#This Row],[Location 
(drop-down)]],'[2]List source'!D$2:E$59,2,FALSE)</f>
        <v>#N/A</v>
      </c>
      <c r="C719" s="99" t="s">
        <v>2760</v>
      </c>
      <c r="D719" s="223" t="e">
        <f t="shared" si="22"/>
        <v>#N/A</v>
      </c>
      <c r="E719" s="227" t="s">
        <v>2761</v>
      </c>
      <c r="F719" s="165" t="e" cm="1">
        <f t="array" aca="1" ref="F719" ca="1">MID(LEFT(#REF!, INDEX(_xlfn._xlws.FILTER(ROW(INDIRECT("1:" &amp; LEN(#REF!))), (48 &lt;= CODE(MID(#REF!, ROW(INDIRECT("1:" &amp; LEN(#REF!))), 1))) * (CODE(MID(#REF!, ROW(INDIRECT("1:" &amp; LEN(#REF!))), 1)) &lt;= 57)), 1) - 1), FIND(":",#REF!) + 2, LEN(#REF!))</f>
        <v>#REF!</v>
      </c>
      <c r="G719" s="227" t="e">
        <f>MID(LEFT(#REF!, FIND(",",#REF!) - 1), FIND("{token}", SUBSTITUTE(#REF!, " ", "{token}", 2)) + 1, LEN(#REF!))</f>
        <v>#REF!</v>
      </c>
      <c r="H719" s="165">
        <v>8.57</v>
      </c>
      <c r="I719" s="230">
        <v>45513</v>
      </c>
      <c r="J719" s="230" t="s">
        <v>239</v>
      </c>
      <c r="K719" s="226">
        <v>45573</v>
      </c>
      <c r="L719" s="165"/>
      <c r="M719" s="222">
        <v>782</v>
      </c>
      <c r="N719" s="2" t="str">
        <f t="shared" ca="1" si="21"/>
        <v>CLOSED</v>
      </c>
    </row>
    <row r="720" spans="1:14" ht="18.75">
      <c r="A720" s="64" t="s">
        <v>156</v>
      </c>
      <c r="B720" s="98" t="e">
        <f>VLOOKUP([2]!Table27[[#This Row],[Location 
(drop-down)]],'[2]List source'!D$2:E$59,2,FALSE)</f>
        <v>#N/A</v>
      </c>
      <c r="C720" s="99" t="s">
        <v>377</v>
      </c>
      <c r="D720" s="223" t="e">
        <f t="shared" si="22"/>
        <v>#N/A</v>
      </c>
      <c r="E720" s="240" t="s">
        <v>2762</v>
      </c>
      <c r="F720" s="2" t="e" cm="1">
        <f t="array" aca="1" ref="F720" ca="1">MID(LEFT(#REF!, INDEX(_xlfn._xlws.FILTER(ROW(INDIRECT("1:" &amp; LEN(#REF!))), (48 &lt;= CODE(MID(#REF!, ROW(INDIRECT("1:" &amp; LEN(#REF!))), 1))) * (CODE(MID(#REF!, ROW(INDIRECT("1:" &amp; LEN(#REF!))), 1)) &lt;= 57)), 1) - 1), FIND(":",#REF!) + 2, LEN(#REF!))</f>
        <v>#REF!</v>
      </c>
      <c r="G720" s="240" t="e">
        <f>MID(LEFT(#REF!, FIND(",",#REF!) - 1), FIND("{token}", SUBSTITUTE(#REF!, " ", "{token}", 2)) + 1, LEN(#REF!))</f>
        <v>#REF!</v>
      </c>
      <c r="H720" s="2">
        <v>-2.2400000000000002</v>
      </c>
      <c r="I720" s="230">
        <v>45306</v>
      </c>
      <c r="J720" s="230" t="s">
        <v>29</v>
      </c>
      <c r="K720" s="226">
        <v>45574</v>
      </c>
      <c r="L720" s="165"/>
      <c r="M720" s="222">
        <v>25</v>
      </c>
      <c r="N720" s="2" t="str">
        <f t="shared" ca="1" si="21"/>
        <v>CLOSED</v>
      </c>
    </row>
    <row r="721" spans="1:14" ht="30">
      <c r="A721" s="64" t="s">
        <v>432</v>
      </c>
      <c r="B721" s="98" t="e">
        <f>VLOOKUP([2]!Table27[[#This Row],[Location 
(drop-down)]],'[2]List source'!D$2:E$59,2,FALSE)</f>
        <v>#N/A</v>
      </c>
      <c r="C721" s="99" t="s">
        <v>989</v>
      </c>
      <c r="D721" s="223" t="e">
        <f t="shared" si="22"/>
        <v>#N/A</v>
      </c>
      <c r="E721" s="227" t="s">
        <v>2763</v>
      </c>
      <c r="F721" s="165" t="e" cm="1">
        <f t="array" aca="1" ref="F721" ca="1">MID(LEFT(#REF!, INDEX(_xlfn._xlws.FILTER(ROW(INDIRECT("1:" &amp; LEN(#REF!))), (48 &lt;= CODE(MID(#REF!, ROW(INDIRECT("1:" &amp; LEN(#REF!))), 1))) * (CODE(MID(#REF!, ROW(INDIRECT("1:" &amp; LEN(#REF!))), 1)) &lt;= 57)), 1) - 1), FIND(":",#REF!) + 2, LEN(#REF!))</f>
        <v>#REF!</v>
      </c>
      <c r="G721" s="227" t="e">
        <f>MID(LEFT(#REF!, FIND(",",#REF!) - 1), FIND("{token}", SUBSTITUTE(#REF!, " ", "{token}", 2)) + 1, LEN(#REF!))</f>
        <v>#REF!</v>
      </c>
      <c r="H721" s="165">
        <v>7.75</v>
      </c>
      <c r="I721" s="260">
        <v>45407</v>
      </c>
      <c r="J721" s="230" t="s">
        <v>108</v>
      </c>
      <c r="K721" s="226">
        <v>45574</v>
      </c>
      <c r="L721" s="204"/>
      <c r="M721" s="222">
        <v>240</v>
      </c>
      <c r="N721" s="2" t="str">
        <f t="shared" ca="1" si="21"/>
        <v>CLOSED</v>
      </c>
    </row>
    <row r="722" spans="1:14" ht="30">
      <c r="A722" s="64" t="s">
        <v>432</v>
      </c>
      <c r="B722" s="98" t="e">
        <f>VLOOKUP([2]!Table27[[#This Row],[Location 
(drop-down)]],'[2]List source'!D$2:E$59,2,FALSE)</f>
        <v>#N/A</v>
      </c>
      <c r="C722" s="99" t="s">
        <v>677</v>
      </c>
      <c r="D722" s="223" t="e">
        <f t="shared" si="22"/>
        <v>#N/A</v>
      </c>
      <c r="E722" s="227" t="s">
        <v>2764</v>
      </c>
      <c r="F722" s="165" t="e" cm="1">
        <f t="array" aca="1" ref="F722" ca="1">MID(LEFT(#REF!, INDEX(_xlfn._xlws.FILTER(ROW(INDIRECT("1:" &amp; LEN(#REF!))), (48 &lt;= CODE(MID(#REF!, ROW(INDIRECT("1:" &amp; LEN(#REF!))), 1))) * (CODE(MID(#REF!, ROW(INDIRECT("1:" &amp; LEN(#REF!))), 1)) &lt;= 57)), 1) - 1), FIND(":",#REF!) + 2, LEN(#REF!))</f>
        <v>#REF!</v>
      </c>
      <c r="G722" s="227" t="e">
        <f>MID(LEFT(#REF!, FIND(",",#REF!) - 1), FIND("{token}", SUBSTITUTE(#REF!, " ", "{token}", 2)) + 1, LEN(#REF!))</f>
        <v>#REF!</v>
      </c>
      <c r="H722" s="165">
        <v>5.01</v>
      </c>
      <c r="I722" s="260">
        <v>45407</v>
      </c>
      <c r="J722" s="230" t="s">
        <v>108</v>
      </c>
      <c r="K722" s="226">
        <v>45574</v>
      </c>
      <c r="L722" s="227"/>
      <c r="M722" s="222">
        <v>241</v>
      </c>
      <c r="N722" s="2" t="str">
        <f t="shared" ca="1" si="21"/>
        <v>CLOSED</v>
      </c>
    </row>
    <row r="723" spans="1:14" ht="30">
      <c r="A723" s="124" t="s">
        <v>432</v>
      </c>
      <c r="B723" s="98" t="e">
        <f>VLOOKUP([2]!Table27[[#This Row],[Location 
(drop-down)]],'[2]List source'!D$2:E$59,2,FALSE)</f>
        <v>#N/A</v>
      </c>
      <c r="C723" s="99" t="s">
        <v>1190</v>
      </c>
      <c r="D723" s="223" t="e">
        <f t="shared" si="22"/>
        <v>#N/A</v>
      </c>
      <c r="E723" s="227" t="s">
        <v>2765</v>
      </c>
      <c r="F723" s="165" t="e" cm="1">
        <f t="array" aca="1" ref="F723" ca="1">MID(LEFT(#REF!, INDEX(_xlfn._xlws.FILTER(ROW(INDIRECT("1:" &amp; LEN(#REF!))), (48 &lt;= CODE(MID(#REF!, ROW(INDIRECT("1:" &amp; LEN(#REF!))), 1))) * (CODE(MID(#REF!, ROW(INDIRECT("1:" &amp; LEN(#REF!))), 1)) &lt;= 57)), 1) - 1), FIND(":",#REF!) + 2, LEN(#REF!))</f>
        <v>#REF!</v>
      </c>
      <c r="G723" s="227" t="e">
        <f>MID(LEFT(#REF!, FIND(",",#REF!) - 1), FIND("{token}", SUBSTITUTE(#REF!, " ", "{token}", 2)) + 1, LEN(#REF!))</f>
        <v>#REF!</v>
      </c>
      <c r="H723" s="92">
        <v>9.58</v>
      </c>
      <c r="I723" s="230">
        <v>45420</v>
      </c>
      <c r="J723" s="230" t="s">
        <v>108</v>
      </c>
      <c r="K723" s="320">
        <v>45574</v>
      </c>
      <c r="L723" s="274"/>
      <c r="M723" s="297">
        <v>420</v>
      </c>
      <c r="N723" s="2" t="str">
        <f t="shared" ca="1" si="21"/>
        <v>CLOSED</v>
      </c>
    </row>
    <row r="724" spans="1:14" ht="30">
      <c r="A724" s="64" t="s">
        <v>714</v>
      </c>
      <c r="B724" s="98" t="e">
        <f>VLOOKUP([2]!Table27[[#This Row],[Location 
(drop-down)]],'[2]List source'!D$2:E$59,2,FALSE)</f>
        <v>#N/A</v>
      </c>
      <c r="C724" s="99" t="s">
        <v>146</v>
      </c>
      <c r="D724" s="223" t="e">
        <f t="shared" si="22"/>
        <v>#N/A</v>
      </c>
      <c r="E724" s="227" t="s">
        <v>2766</v>
      </c>
      <c r="F724" s="165" t="s">
        <v>1520</v>
      </c>
      <c r="G724" s="227" t="e">
        <f>MID(LEFT(#REF!, FIND(",",#REF!) - 1), FIND("{token}", SUBSTITUTE(#REF!, " ", "{token}", 2)) + 1, LEN(#REF!))</f>
        <v>#REF!</v>
      </c>
      <c r="H724" s="236" t="s">
        <v>2767</v>
      </c>
      <c r="I724" s="230">
        <v>45426</v>
      </c>
      <c r="J724" s="230" t="s">
        <v>29</v>
      </c>
      <c r="K724" s="226">
        <v>45574</v>
      </c>
      <c r="L724" s="165"/>
      <c r="M724" s="222">
        <v>480</v>
      </c>
      <c r="N724" s="2" t="str">
        <f t="shared" ca="1" si="21"/>
        <v>CLOSED</v>
      </c>
    </row>
    <row r="725" spans="1:14" ht="30">
      <c r="A725" s="64" t="s">
        <v>432</v>
      </c>
      <c r="B725" s="98" t="e">
        <f>VLOOKUP([2]!Table27[[#This Row],[Location 
(drop-down)]],'[2]List source'!D$2:E$59,2,FALSE)</f>
        <v>#N/A</v>
      </c>
      <c r="C725" s="99" t="s">
        <v>164</v>
      </c>
      <c r="D725" s="223" t="e">
        <f t="shared" si="22"/>
        <v>#N/A</v>
      </c>
      <c r="E725" s="227" t="s">
        <v>2768</v>
      </c>
      <c r="F725" s="323" t="s">
        <v>1566</v>
      </c>
      <c r="G725" s="251" t="e">
        <f>MID(LEFT(#REF!, FIND(",",#REF!) - 1), FIND("{token}", SUBSTITUTE(#REF!, " ", "{token}", 2)) + 1, LEN(#REF!))</f>
        <v>#REF!</v>
      </c>
      <c r="H725" s="324">
        <v>2.5299999999999998</v>
      </c>
      <c r="I725" s="230">
        <v>45427</v>
      </c>
      <c r="J725" s="230" t="s">
        <v>108</v>
      </c>
      <c r="K725" s="226">
        <v>45574</v>
      </c>
      <c r="L725" s="165"/>
      <c r="M725" s="222">
        <v>494</v>
      </c>
      <c r="N725" s="2" t="str">
        <f t="shared" ca="1" si="21"/>
        <v>CLOSED</v>
      </c>
    </row>
    <row r="726" spans="1:14" ht="30">
      <c r="A726" s="64" t="s">
        <v>591</v>
      </c>
      <c r="B726" s="98" t="e">
        <f>VLOOKUP([2]!Table27[[#This Row],[Location 
(drop-down)]],'[2]List source'!D$2:E$59,2,FALSE)</f>
        <v>#N/A</v>
      </c>
      <c r="C726" s="99" t="s">
        <v>2769</v>
      </c>
      <c r="D726" s="309" t="e">
        <f t="shared" si="22"/>
        <v>#N/A</v>
      </c>
      <c r="E726" s="190" t="s">
        <v>2770</v>
      </c>
      <c r="F726" s="325" t="e" cm="1">
        <f t="array" aca="1" ref="F726" ca="1">MID(LEFT(#REF!, INDEX(_xlfn._xlws.FILTER(ROW(INDIRECT("1:" &amp; LEN(#REF!))), (48 &lt;= CODE(MID(#REF!, ROW(INDIRECT("1:" &amp; LEN(#REF!))), 1))) * (CODE(MID(#REF!, ROW(INDIRECT("1:" &amp; LEN(#REF!))), 1)) &lt;= 57)), 1) - 1), FIND(":",#REF!) + 2, LEN(#REF!))</f>
        <v>#REF!</v>
      </c>
      <c r="G726" s="252" t="e">
        <f>MID(LEFT(#REF!, FIND(",",#REF!) - 1), FIND("{token}", SUBSTITUTE(#REF!, " ", "{token}", 2)) + 1, LEN(#REF!))</f>
        <v>#REF!</v>
      </c>
      <c r="H726" s="326" t="s">
        <v>1762</v>
      </c>
      <c r="I726" s="230">
        <v>45534</v>
      </c>
      <c r="J726" s="230" t="s">
        <v>29</v>
      </c>
      <c r="K726" s="226">
        <v>45574</v>
      </c>
      <c r="L726" s="165"/>
      <c r="M726" s="222">
        <v>861</v>
      </c>
      <c r="N726" s="2" t="str">
        <f t="shared" ca="1" si="21"/>
        <v>CLOSED</v>
      </c>
    </row>
    <row r="727" spans="1:14" ht="30">
      <c r="A727" s="64" t="s">
        <v>119</v>
      </c>
      <c r="B727" s="98" t="e">
        <f>VLOOKUP([2]!Table27[[#This Row],[Location 
(drop-down)]],'[2]List source'!D$2:E$59,2,FALSE)</f>
        <v>#N/A</v>
      </c>
      <c r="C727" s="99" t="s">
        <v>534</v>
      </c>
      <c r="D727" s="223" t="e">
        <f t="shared" si="22"/>
        <v>#N/A</v>
      </c>
      <c r="E727" s="227" t="s">
        <v>2771</v>
      </c>
      <c r="F727" s="214" t="s">
        <v>1566</v>
      </c>
      <c r="G727" s="215" t="e">
        <f>MID(LEFT(#REF!, FIND(",",#REF!) - 1), FIND("{token}", SUBSTITUTE(#REF!, " ", "{token}", 2)) + 1, LEN(#REF!))</f>
        <v>#REF!</v>
      </c>
      <c r="H727" s="165">
        <v>11.57</v>
      </c>
      <c r="I727" s="230">
        <v>45427</v>
      </c>
      <c r="J727" s="230" t="s">
        <v>34</v>
      </c>
      <c r="K727" s="226">
        <v>45575</v>
      </c>
      <c r="L727" s="165" t="s">
        <v>1505</v>
      </c>
      <c r="M727" s="222">
        <v>497</v>
      </c>
      <c r="N727" s="2" t="str">
        <f t="shared" ca="1" si="21"/>
        <v>CLOSED</v>
      </c>
    </row>
    <row r="728" spans="1:14" ht="30">
      <c r="A728" s="64" t="s">
        <v>432</v>
      </c>
      <c r="B728" s="98" t="e">
        <f>VLOOKUP([2]!Table27[[#This Row],[Location 
(drop-down)]],'[2]List source'!D$2:E$59,2,FALSE)</f>
        <v>#N/A</v>
      </c>
      <c r="C728" s="99" t="s">
        <v>274</v>
      </c>
      <c r="D728" s="223" t="e">
        <f t="shared" si="22"/>
        <v>#N/A</v>
      </c>
      <c r="E728" s="228" t="s">
        <v>2772</v>
      </c>
      <c r="F728" s="229" t="e" cm="1">
        <f t="array" aca="1" ref="F728" ca="1">MID(LEFT(#REF!, INDEX(_xlfn._xlws.FILTER(ROW(INDIRECT("1:" &amp; LEN(#REF!))), (48 &lt;= CODE(MID(#REF!, ROW(INDIRECT("1:" &amp; LEN(#REF!))), 1))) * (CODE(MID(#REF!, ROW(INDIRECT("1:" &amp; LEN(#REF!))), 1)) &lt;= 57)), 1) - 1), FIND(":",#REF!) + 2, LEN(#REF!))</f>
        <v>#REF!</v>
      </c>
      <c r="G728" s="228" t="e">
        <f>MID(LEFT(#REF!, FIND(",",#REF!) - 1), FIND("{token}", SUBSTITUTE(#REF!, " ", "{token}", 2)) + 1, LEN(#REF!))</f>
        <v>#REF!</v>
      </c>
      <c r="H728" s="241" t="s">
        <v>2773</v>
      </c>
      <c r="I728" s="230">
        <v>45412</v>
      </c>
      <c r="J728" s="230" t="s">
        <v>108</v>
      </c>
      <c r="K728" s="226">
        <v>45576</v>
      </c>
      <c r="L728" s="204"/>
      <c r="M728" s="222">
        <v>270</v>
      </c>
      <c r="N728" s="2" t="str">
        <f t="shared" ref="N728:N791" ca="1" si="23">IF(ISBLANK(K728), TODAY()-(I728), "CLOSED")</f>
        <v>CLOSED</v>
      </c>
    </row>
    <row r="729" spans="1:14" ht="30">
      <c r="A729" s="64" t="s">
        <v>432</v>
      </c>
      <c r="B729" s="98" t="e">
        <f>VLOOKUP([2]!Table27[[#This Row],[Location 
(drop-down)]],'[2]List source'!D$2:E$59,2,FALSE)</f>
        <v>#N/A</v>
      </c>
      <c r="C729" s="99" t="s">
        <v>1292</v>
      </c>
      <c r="D729" s="223" t="e">
        <f t="shared" si="22"/>
        <v>#N/A</v>
      </c>
      <c r="E729" s="227" t="s">
        <v>2774</v>
      </c>
      <c r="F729" s="165" t="e" cm="1">
        <f t="array" aca="1" ref="F729" ca="1">MID(LEFT(#REF!, INDEX(_xlfn._xlws.FILTER(ROW(INDIRECT("1:" &amp; LEN(#REF!))), (48 &lt;= CODE(MID(#REF!, ROW(INDIRECT("1:" &amp; LEN(#REF!))), 1))) * (CODE(MID(#REF!, ROW(INDIRECT("1:" &amp; LEN(#REF!))), 1)) &lt;= 57)), 1) - 1), FIND(":",#REF!) + 2, LEN(#REF!))</f>
        <v>#REF!</v>
      </c>
      <c r="G729" s="227" t="e">
        <f>MID(LEFT(#REF!, FIND(",",#REF!) - 1), FIND("{token}", SUBSTITUTE(#REF!, " ", "{token}", 2)) + 1, LEN(#REF!))</f>
        <v>#REF!</v>
      </c>
      <c r="H729" s="165">
        <v>2.97</v>
      </c>
      <c r="I729" s="230">
        <v>45420</v>
      </c>
      <c r="J729" s="230" t="s">
        <v>108</v>
      </c>
      <c r="K729" s="226">
        <v>45576</v>
      </c>
      <c r="L729" s="165"/>
      <c r="M729" s="222">
        <v>421</v>
      </c>
      <c r="N729" s="2" t="str">
        <f t="shared" ca="1" si="23"/>
        <v>CLOSED</v>
      </c>
    </row>
    <row r="730" spans="1:14" ht="30">
      <c r="A730" s="128" t="s">
        <v>119</v>
      </c>
      <c r="B730" s="98" t="e">
        <f>VLOOKUP([2]!Table27[[#This Row],[Location 
(drop-down)]],'[2]List source'!D$2:E$59,2,FALSE)</f>
        <v>#N/A</v>
      </c>
      <c r="C730" s="129" t="s">
        <v>1403</v>
      </c>
      <c r="D730" s="327" t="e">
        <f t="shared" si="22"/>
        <v>#N/A</v>
      </c>
      <c r="E730" s="328" t="s">
        <v>2775</v>
      </c>
      <c r="F730" s="329" t="s">
        <v>1520</v>
      </c>
      <c r="G730" s="328" t="e">
        <f>MID(LEFT(#REF!, FIND(",",#REF!) - 1), FIND("{token}", SUBSTITUTE(#REF!, " ", "{token}", 2)) + 1, LEN(#REF!))</f>
        <v>#REF!</v>
      </c>
      <c r="H730" s="330">
        <v>2.2400000000000002</v>
      </c>
      <c r="I730" s="331">
        <v>45426</v>
      </c>
      <c r="J730" s="331" t="s">
        <v>239</v>
      </c>
      <c r="K730" s="332">
        <v>45576</v>
      </c>
      <c r="L730" s="165"/>
      <c r="M730" s="222">
        <v>452</v>
      </c>
      <c r="N730" s="2" t="str">
        <f t="shared" ca="1" si="23"/>
        <v>CLOSED</v>
      </c>
    </row>
    <row r="731" spans="1:14" ht="30">
      <c r="A731" s="85" t="s">
        <v>119</v>
      </c>
      <c r="B731" s="98" t="e">
        <f>VLOOKUP([2]!Table27[[#This Row],[Location 
(drop-down)]],'[2]List source'!D$2:E$59,2,FALSE)</f>
        <v>#N/A</v>
      </c>
      <c r="C731" s="117" t="s">
        <v>528</v>
      </c>
      <c r="D731" s="333" t="e">
        <f t="shared" si="22"/>
        <v>#N/A</v>
      </c>
      <c r="E731" s="334" t="s">
        <v>2776</v>
      </c>
      <c r="F731" s="335" t="s">
        <v>1566</v>
      </c>
      <c r="G731" s="334" t="e">
        <f>MID(LEFT(#REF!, FIND(",",#REF!) - 1), FIND("{token}", SUBSTITUTE(#REF!, " ", "{token}", 2)) + 1, LEN(#REF!))</f>
        <v>#REF!</v>
      </c>
      <c r="H731" s="336" t="s">
        <v>2777</v>
      </c>
      <c r="I731" s="337">
        <v>45427</v>
      </c>
      <c r="J731" s="337" t="s">
        <v>239</v>
      </c>
      <c r="K731" s="338">
        <v>45576</v>
      </c>
      <c r="L731" s="165"/>
      <c r="M731" s="222">
        <v>498</v>
      </c>
      <c r="N731" s="2" t="str">
        <f t="shared" ca="1" si="23"/>
        <v>CLOSED</v>
      </c>
    </row>
    <row r="732" spans="1:14" ht="30">
      <c r="A732" s="128" t="s">
        <v>119</v>
      </c>
      <c r="B732" s="98" t="e">
        <f>VLOOKUP([2]!Table27[[#This Row],[Location 
(drop-down)]],'[2]List source'!D$2:E$59,2,FALSE)</f>
        <v>#N/A</v>
      </c>
      <c r="C732" s="129" t="s">
        <v>2778</v>
      </c>
      <c r="D732" s="327" t="e">
        <f t="shared" si="22"/>
        <v>#N/A</v>
      </c>
      <c r="E732" s="339" t="s">
        <v>2779</v>
      </c>
      <c r="F732" s="329" t="e" cm="1">
        <f t="array" aca="1" ref="F732" ca="1">MID(LEFT(#REF!, INDEX(_xlfn._xlws.FILTER(ROW(INDIRECT("1:" &amp; LEN(#REF!))), (48 &lt;= CODE(MID(#REF!, ROW(INDIRECT("1:" &amp; LEN(#REF!))), 1))) * (CODE(MID(#REF!, ROW(INDIRECT("1:" &amp; LEN(#REF!))), 1)) &lt;= 57)), 1) - 1), FIND(":",#REF!) + 2, LEN(#REF!))</f>
        <v>#REF!</v>
      </c>
      <c r="G732" s="339" t="e">
        <f>MID(LEFT(#REF!, FIND(",",#REF!) - 1), FIND("{token}", SUBSTITUTE(#REF!, " ", "{token}", 2)) + 1, LEN(#REF!))</f>
        <v>#REF!</v>
      </c>
      <c r="H732" s="329">
        <v>2.5</v>
      </c>
      <c r="I732" s="331">
        <v>45435</v>
      </c>
      <c r="J732" s="331" t="s">
        <v>239</v>
      </c>
      <c r="K732" s="332">
        <v>45576</v>
      </c>
      <c r="L732" s="165"/>
      <c r="M732" s="222">
        <v>548</v>
      </c>
      <c r="N732" s="2" t="str">
        <f t="shared" ca="1" si="23"/>
        <v>CLOSED</v>
      </c>
    </row>
    <row r="733" spans="1:14" ht="30">
      <c r="A733" s="64" t="s">
        <v>73</v>
      </c>
      <c r="B733" s="98" t="e">
        <f>VLOOKUP([2]!Table27[[#This Row],[Location 
(drop-down)]],'[2]List source'!D$2:E$59,2,FALSE)</f>
        <v>#N/A</v>
      </c>
      <c r="C733" s="99" t="s">
        <v>2780</v>
      </c>
      <c r="D733" s="223" t="e">
        <f t="shared" si="22"/>
        <v>#N/A</v>
      </c>
      <c r="E733" s="227" t="s">
        <v>2781</v>
      </c>
      <c r="F733" s="165" t="e" cm="1">
        <f t="array" aca="1" ref="F733" ca="1">MID(LEFT(#REF!, INDEX(_xlfn._xlws.FILTER(ROW(INDIRECT("1:" &amp; LEN(#REF!))), (48 &lt;= CODE(MID(#REF!, ROW(INDIRECT("1:" &amp; LEN(#REF!))), 1))) * (CODE(MID(#REF!, ROW(INDIRECT("1:" &amp; LEN(#REF!))), 1)) &lt;= 57)), 1) - 1), FIND(":",#REF!) + 2, LEN(#REF!))</f>
        <v>#REF!</v>
      </c>
      <c r="G733" s="227" t="e">
        <f>MID(LEFT(#REF!, FIND(",",#REF!) - 1), FIND("{token}", SUBSTITUTE(#REF!, " ", "{token}", 2)) + 1, LEN(#REF!))</f>
        <v>#REF!</v>
      </c>
      <c r="H733" s="165" t="s">
        <v>2782</v>
      </c>
      <c r="I733" s="230">
        <v>45435</v>
      </c>
      <c r="J733" s="230" t="s">
        <v>239</v>
      </c>
      <c r="K733" s="226">
        <v>45581</v>
      </c>
      <c r="L733" s="165"/>
      <c r="M733" s="222">
        <v>629</v>
      </c>
      <c r="N733" s="2" t="str">
        <f t="shared" ca="1" si="23"/>
        <v>CLOSED</v>
      </c>
    </row>
    <row r="734" spans="1:14" ht="30">
      <c r="A734" s="64" t="s">
        <v>73</v>
      </c>
      <c r="B734" s="98" t="e">
        <f>VLOOKUP([2]!Table27[[#This Row],[Location 
(drop-down)]],'[2]List source'!D$2:E$59,2,FALSE)</f>
        <v>#N/A</v>
      </c>
      <c r="C734" s="99" t="s">
        <v>2783</v>
      </c>
      <c r="D734" s="223" t="e">
        <f t="shared" si="22"/>
        <v>#N/A</v>
      </c>
      <c r="E734" s="227" t="s">
        <v>2784</v>
      </c>
      <c r="F734" s="165" t="e" cm="1">
        <f t="array" aca="1" ref="F734" ca="1">MID(LEFT(#REF!, INDEX(_xlfn._xlws.FILTER(ROW(INDIRECT("1:" &amp; LEN(#REF!))), (48 &lt;= CODE(MID(#REF!, ROW(INDIRECT("1:" &amp; LEN(#REF!))), 1))) * (CODE(MID(#REF!, ROW(INDIRECT("1:" &amp; LEN(#REF!))), 1)) &lt;= 57)), 1) - 1), FIND(":",#REF!) + 2, LEN(#REF!))</f>
        <v>#REF!</v>
      </c>
      <c r="G734" s="227" t="e">
        <f>MID(LEFT(#REF!, FIND(",",#REF!) - 1), FIND("{token}", SUBSTITUTE(#REF!, " ", "{token}", 2)) + 1, LEN(#REF!))</f>
        <v>#REF!</v>
      </c>
      <c r="H734" s="236" t="s">
        <v>2785</v>
      </c>
      <c r="I734" s="230">
        <v>45513</v>
      </c>
      <c r="J734" s="230" t="s">
        <v>239</v>
      </c>
      <c r="K734" s="226">
        <v>45581</v>
      </c>
      <c r="L734" s="165"/>
      <c r="M734" s="222">
        <v>761</v>
      </c>
      <c r="N734" s="2" t="str">
        <f t="shared" ca="1" si="23"/>
        <v>CLOSED</v>
      </c>
    </row>
    <row r="735" spans="1:14" ht="30">
      <c r="A735" s="64" t="s">
        <v>73</v>
      </c>
      <c r="B735" s="98" t="e">
        <f>VLOOKUP([2]!Table27[[#This Row],[Location 
(drop-down)]],'[2]List source'!D$2:E$59,2,FALSE)</f>
        <v>#N/A</v>
      </c>
      <c r="C735" s="99" t="s">
        <v>2786</v>
      </c>
      <c r="D735" s="223" t="e">
        <f t="shared" si="22"/>
        <v>#N/A</v>
      </c>
      <c r="E735" s="227" t="s">
        <v>2787</v>
      </c>
      <c r="F735" s="165" t="e" cm="1">
        <f t="array" aca="1" ref="F735" ca="1">MID(LEFT(#REF!, INDEX(_xlfn._xlws.FILTER(ROW(INDIRECT("1:" &amp; LEN(#REF!))), (48 &lt;= CODE(MID(#REF!, ROW(INDIRECT("1:" &amp; LEN(#REF!))), 1))) * (CODE(MID(#REF!, ROW(INDIRECT("1:" &amp; LEN(#REF!))), 1)) &lt;= 57)), 1) - 1), FIND(":",#REF!) + 2, LEN(#REF!))</f>
        <v>#REF!</v>
      </c>
      <c r="G735" s="227" t="e">
        <f>MID(LEFT(#REF!, FIND(",",#REF!) - 1), FIND("{token}", SUBSTITUTE(#REF!, " ", "{token}", 2)) + 1, LEN(#REF!))</f>
        <v>#REF!</v>
      </c>
      <c r="H735" s="236" t="s">
        <v>2788</v>
      </c>
      <c r="I735" s="230">
        <v>45513</v>
      </c>
      <c r="J735" s="230" t="s">
        <v>239</v>
      </c>
      <c r="K735" s="226">
        <v>45581</v>
      </c>
      <c r="L735" s="165"/>
      <c r="M735" s="222">
        <v>762</v>
      </c>
      <c r="N735" s="2" t="str">
        <f t="shared" ca="1" si="23"/>
        <v>CLOSED</v>
      </c>
    </row>
    <row r="736" spans="1:14" ht="15">
      <c r="A736" s="64" t="s">
        <v>167</v>
      </c>
      <c r="B736" s="98" t="e">
        <f>VLOOKUP([2]!Table27[[#This Row],[Location 
(drop-down)]],'[2]List source'!D$2:E$59,2,FALSE)</f>
        <v>#N/A</v>
      </c>
      <c r="C736" s="99" t="s">
        <v>2789</v>
      </c>
      <c r="D736" s="212" t="e">
        <f t="shared" si="22"/>
        <v>#N/A</v>
      </c>
      <c r="E736" s="227" t="s">
        <v>2790</v>
      </c>
      <c r="F736" s="165" t="s">
        <v>1520</v>
      </c>
      <c r="G736" s="227" t="e">
        <f>MID(LEFT(#REF!, FIND(",",#REF!) - 1), FIND("{token}", SUBSTITUTE(#REF!, " ", "{token}", 2)) + 1, LEN(#REF!))</f>
        <v>#REF!</v>
      </c>
      <c r="H736" s="236" t="s">
        <v>2791</v>
      </c>
      <c r="I736" s="230">
        <v>45582</v>
      </c>
      <c r="J736" s="230" t="s">
        <v>34</v>
      </c>
      <c r="K736" s="226">
        <v>45582</v>
      </c>
      <c r="L736" s="165" t="s">
        <v>1671</v>
      </c>
      <c r="M736" s="222">
        <v>1006</v>
      </c>
      <c r="N736" s="2" t="str">
        <f t="shared" ca="1" si="23"/>
        <v>CLOSED</v>
      </c>
    </row>
    <row r="737" spans="1:14" ht="30">
      <c r="A737" s="64" t="s">
        <v>294</v>
      </c>
      <c r="B737" s="98" t="e">
        <f>VLOOKUP([2]!Table27[[#This Row],[Location 
(drop-down)]],'[2]List source'!D$2:E$59,2,FALSE)</f>
        <v>#N/A</v>
      </c>
      <c r="C737" s="99" t="s">
        <v>2792</v>
      </c>
      <c r="D737" s="212" t="e">
        <f t="shared" si="22"/>
        <v>#N/A</v>
      </c>
      <c r="E737" s="227" t="s">
        <v>2793</v>
      </c>
      <c r="F737" s="165" t="s">
        <v>1520</v>
      </c>
      <c r="G737" s="227" t="e">
        <f>MID(LEFT(#REF!, FIND(",",#REF!) - 1), FIND("{token}", SUBSTITUTE(#REF!, " ", "{token}", 2)) + 1, LEN(#REF!))</f>
        <v>#REF!</v>
      </c>
      <c r="H737" s="165">
        <v>2.2000000000000002</v>
      </c>
      <c r="I737" s="230">
        <v>45582</v>
      </c>
      <c r="J737" s="230" t="s">
        <v>34</v>
      </c>
      <c r="K737" s="226">
        <v>45582</v>
      </c>
      <c r="L737" s="165" t="s">
        <v>1671</v>
      </c>
      <c r="M737" s="222">
        <v>1007</v>
      </c>
      <c r="N737" s="2" t="str">
        <f t="shared" ca="1" si="23"/>
        <v>CLOSED</v>
      </c>
    </row>
    <row r="738" spans="1:14" ht="30">
      <c r="A738" s="64" t="s">
        <v>500</v>
      </c>
      <c r="B738" s="98" t="e">
        <f>VLOOKUP([2]!Table27[[#This Row],[Location 
(drop-down)]],'[2]List source'!D$2:E$59,2,FALSE)</f>
        <v>#N/A</v>
      </c>
      <c r="C738" s="99" t="s">
        <v>2794</v>
      </c>
      <c r="D738" s="212" t="e">
        <f t="shared" si="22"/>
        <v>#N/A</v>
      </c>
      <c r="E738" s="227" t="s">
        <v>2795</v>
      </c>
      <c r="F738" s="165" t="s">
        <v>1520</v>
      </c>
      <c r="G738" s="227" t="e">
        <f>MID(LEFT(#REF!, FIND(",",#REF!) - 1), FIND("{token}", SUBSTITUTE(#REF!, " ", "{token}", 2)) + 1, LEN(#REF!))</f>
        <v>#REF!</v>
      </c>
      <c r="H738" s="165">
        <v>2.78</v>
      </c>
      <c r="I738" s="230">
        <v>45582</v>
      </c>
      <c r="J738" s="230" t="s">
        <v>34</v>
      </c>
      <c r="K738" s="226">
        <v>45582</v>
      </c>
      <c r="L738" s="165" t="s">
        <v>1671</v>
      </c>
      <c r="M738" s="222">
        <v>1015</v>
      </c>
      <c r="N738" s="2" t="str">
        <f t="shared" ca="1" si="23"/>
        <v>CLOSED</v>
      </c>
    </row>
    <row r="739" spans="1:14" ht="30">
      <c r="A739" s="64" t="s">
        <v>500</v>
      </c>
      <c r="B739" s="98" t="e">
        <f>VLOOKUP([2]!Table27[[#This Row],[Location 
(drop-down)]],'[2]List source'!D$2:E$59,2,FALSE)</f>
        <v>#N/A</v>
      </c>
      <c r="C739" s="99" t="s">
        <v>2796</v>
      </c>
      <c r="D739" s="212" t="e">
        <f t="shared" si="22"/>
        <v>#N/A</v>
      </c>
      <c r="E739" s="227" t="s">
        <v>2797</v>
      </c>
      <c r="F739" s="165" t="s">
        <v>1520</v>
      </c>
      <c r="G739" s="227" t="e">
        <f>MID(LEFT(#REF!, FIND(",",#REF!) - 1), FIND("{token}", SUBSTITUTE(#REF!, " ", "{token}", 2)) + 1, LEN(#REF!))</f>
        <v>#REF!</v>
      </c>
      <c r="H739" s="165">
        <v>2.9</v>
      </c>
      <c r="I739" s="230">
        <v>45582</v>
      </c>
      <c r="J739" s="230" t="s">
        <v>34</v>
      </c>
      <c r="K739" s="226">
        <v>45582</v>
      </c>
      <c r="L739" s="165" t="s">
        <v>1671</v>
      </c>
      <c r="M739" s="222">
        <v>1016</v>
      </c>
      <c r="N739" s="2" t="str">
        <f t="shared" ca="1" si="23"/>
        <v>CLOSED</v>
      </c>
    </row>
    <row r="740" spans="1:14" ht="30">
      <c r="A740" s="64" t="s">
        <v>202</v>
      </c>
      <c r="B740" s="98" t="e">
        <f>VLOOKUP([2]!Table27[[#This Row],[Location 
(drop-down)]],'[2]List source'!D$2:E$59,2,FALSE)</f>
        <v>#N/A</v>
      </c>
      <c r="C740" s="99" t="s">
        <v>2798</v>
      </c>
      <c r="D740" s="212" t="e">
        <f t="shared" si="22"/>
        <v>#N/A</v>
      </c>
      <c r="E740" s="227" t="s">
        <v>2799</v>
      </c>
      <c r="F740" s="165" t="s">
        <v>1520</v>
      </c>
      <c r="G740" s="227" t="e">
        <f>MID(LEFT(#REF!, FIND(",",#REF!) - 1), FIND("{token}", SUBSTITUTE(#REF!, " ", "{token}", 2)) + 1, LEN(#REF!))</f>
        <v>#REF!</v>
      </c>
      <c r="H740" s="236" t="s">
        <v>2004</v>
      </c>
      <c r="I740" s="230">
        <v>45582</v>
      </c>
      <c r="J740" s="230" t="s">
        <v>34</v>
      </c>
      <c r="K740" s="226">
        <v>45582</v>
      </c>
      <c r="L740" s="165" t="s">
        <v>1505</v>
      </c>
      <c r="M740" s="222">
        <v>1019</v>
      </c>
      <c r="N740" s="2" t="str">
        <f t="shared" ca="1" si="23"/>
        <v>CLOSED</v>
      </c>
    </row>
    <row r="741" spans="1:14" ht="15">
      <c r="A741" s="64" t="s">
        <v>15</v>
      </c>
      <c r="B741" s="98" t="e">
        <f>VLOOKUP([2]!Table27[[#This Row],[Location 
(drop-down)]],'[2]List source'!D$2:E$59,2,FALSE)</f>
        <v>#N/A</v>
      </c>
      <c r="C741" s="148" t="s">
        <v>2800</v>
      </c>
      <c r="D741" s="212" t="e">
        <f t="shared" si="22"/>
        <v>#N/A</v>
      </c>
      <c r="E741" s="227" t="s">
        <v>2801</v>
      </c>
      <c r="F741" s="165" t="s">
        <v>1520</v>
      </c>
      <c r="G741" s="227" t="e">
        <f>MID(LEFT(#REF!, FIND(",",#REF!) - 1), FIND("{token}", SUBSTITUTE(#REF!, " ", "{token}", 2)) + 1, LEN(#REF!))</f>
        <v>#REF!</v>
      </c>
      <c r="H741" s="236" t="s">
        <v>2549</v>
      </c>
      <c r="I741" s="230">
        <v>45582</v>
      </c>
      <c r="J741" s="230" t="s">
        <v>34</v>
      </c>
      <c r="K741" s="226">
        <v>45582</v>
      </c>
      <c r="L741" s="165" t="s">
        <v>1671</v>
      </c>
      <c r="M741" s="222">
        <v>1022</v>
      </c>
      <c r="N741" s="2" t="str">
        <f t="shared" ca="1" si="23"/>
        <v>CLOSED</v>
      </c>
    </row>
    <row r="742" spans="1:14" ht="15">
      <c r="A742" s="64" t="s">
        <v>15</v>
      </c>
      <c r="B742" s="98" t="e">
        <f>VLOOKUP([2]!Table27[[#This Row],[Location 
(drop-down)]],'[2]List source'!D$2:E$59,2,FALSE)</f>
        <v>#N/A</v>
      </c>
      <c r="C742" s="148" t="s">
        <v>2802</v>
      </c>
      <c r="D742" s="212" t="e">
        <f t="shared" si="22"/>
        <v>#N/A</v>
      </c>
      <c r="E742" s="227" t="s">
        <v>2803</v>
      </c>
      <c r="F742" s="165" t="s">
        <v>1520</v>
      </c>
      <c r="G742" s="227" t="e">
        <f>MID(LEFT(#REF!, FIND(",",#REF!) - 1), FIND("{token}", SUBSTITUTE(#REF!, " ", "{token}", 2)) + 1, LEN(#REF!))</f>
        <v>#REF!</v>
      </c>
      <c r="H742" s="236" t="s">
        <v>1971</v>
      </c>
      <c r="I742" s="230">
        <v>45582</v>
      </c>
      <c r="J742" s="230" t="s">
        <v>34</v>
      </c>
      <c r="K742" s="226">
        <v>45582</v>
      </c>
      <c r="L742" s="165" t="s">
        <v>1505</v>
      </c>
      <c r="M742" s="222">
        <v>1025</v>
      </c>
      <c r="N742" s="2" t="str">
        <f t="shared" ca="1" si="23"/>
        <v>CLOSED</v>
      </c>
    </row>
    <row r="743" spans="1:14" ht="30">
      <c r="A743" s="64" t="s">
        <v>125</v>
      </c>
      <c r="B743" s="98" t="e">
        <f>VLOOKUP([2]!Table27[[#This Row],[Location 
(drop-down)]],'[2]List source'!D$2:E$59,2,FALSE)</f>
        <v>#N/A</v>
      </c>
      <c r="C743" s="148" t="s">
        <v>2804</v>
      </c>
      <c r="D743" s="212" t="e">
        <f t="shared" si="22"/>
        <v>#N/A</v>
      </c>
      <c r="E743" s="227" t="s">
        <v>2805</v>
      </c>
      <c r="F743" s="165" t="s">
        <v>2274</v>
      </c>
      <c r="G743" s="227" t="s">
        <v>1606</v>
      </c>
      <c r="H743" s="165">
        <v>2.09</v>
      </c>
      <c r="I743" s="230">
        <v>45582</v>
      </c>
      <c r="J743" s="230" t="s">
        <v>34</v>
      </c>
      <c r="K743" s="226">
        <v>45582</v>
      </c>
      <c r="L743" s="165" t="s">
        <v>1671</v>
      </c>
      <c r="M743" s="222">
        <v>1030</v>
      </c>
      <c r="N743" s="2" t="str">
        <f t="shared" ca="1" si="23"/>
        <v>CLOSED</v>
      </c>
    </row>
    <row r="744" spans="1:14" ht="30">
      <c r="A744" s="64" t="s">
        <v>119</v>
      </c>
      <c r="B744" s="98" t="e">
        <f>VLOOKUP([2]!Table27[[#This Row],[Location 
(drop-down)]],'[2]List source'!D$2:E$59,2,FALSE)</f>
        <v>#N/A</v>
      </c>
      <c r="C744" s="148" t="s">
        <v>2806</v>
      </c>
      <c r="D744" s="212" t="e">
        <f t="shared" si="22"/>
        <v>#N/A</v>
      </c>
      <c r="E744" s="227" t="s">
        <v>2807</v>
      </c>
      <c r="F744" s="165" t="s">
        <v>2274</v>
      </c>
      <c r="G744" s="227" t="e">
        <f>MID(LEFT(#REF!, FIND(",",#REF!) - 1), FIND("{token}", SUBSTITUTE(#REF!, " ", "{token}", 2)) + 1, LEN(#REF!))</f>
        <v>#REF!</v>
      </c>
      <c r="H744" s="165">
        <v>2.33</v>
      </c>
      <c r="I744" s="230">
        <v>45582</v>
      </c>
      <c r="J744" s="230" t="s">
        <v>34</v>
      </c>
      <c r="K744" s="226">
        <v>45582</v>
      </c>
      <c r="L744" s="165" t="s">
        <v>1505</v>
      </c>
      <c r="M744" s="222">
        <v>1031</v>
      </c>
      <c r="N744" s="2" t="str">
        <f t="shared" ca="1" si="23"/>
        <v>CLOSED</v>
      </c>
    </row>
    <row r="745" spans="1:14" ht="30">
      <c r="A745" s="64" t="s">
        <v>399</v>
      </c>
      <c r="B745" s="98" t="e">
        <f>VLOOKUP([2]!Table27[[#This Row],[Location 
(drop-down)]],'[2]List source'!D$2:E$59,2,FALSE)</f>
        <v>#N/A</v>
      </c>
      <c r="C745" s="148" t="s">
        <v>2808</v>
      </c>
      <c r="D745" s="212" t="e">
        <f t="shared" si="22"/>
        <v>#N/A</v>
      </c>
      <c r="E745" s="227" t="s">
        <v>2809</v>
      </c>
      <c r="F745" s="165" t="s">
        <v>1520</v>
      </c>
      <c r="G745" s="227" t="e">
        <f>MID(LEFT(#REF!, FIND(",",#REF!) - 1), FIND("{token}", SUBSTITUTE(#REF!, " ", "{token}", 2)) + 1, LEN(#REF!))</f>
        <v>#REF!</v>
      </c>
      <c r="H745" s="165">
        <v>2.17</v>
      </c>
      <c r="I745" s="230">
        <v>45582</v>
      </c>
      <c r="J745" s="230" t="s">
        <v>34</v>
      </c>
      <c r="K745" s="226">
        <v>45583</v>
      </c>
      <c r="L745" s="165" t="s">
        <v>1505</v>
      </c>
      <c r="M745" s="222">
        <v>1026</v>
      </c>
      <c r="N745" s="2" t="str">
        <f t="shared" ca="1" si="23"/>
        <v>CLOSED</v>
      </c>
    </row>
    <row r="746" spans="1:14" ht="30">
      <c r="A746" s="64" t="s">
        <v>485</v>
      </c>
      <c r="B746" s="98" t="e">
        <f>VLOOKUP([2]!Table27[[#This Row],[Location 
(drop-down)]],'[2]List source'!D$2:E$59,2,FALSE)</f>
        <v>#N/A</v>
      </c>
      <c r="C746" s="148" t="s">
        <v>697</v>
      </c>
      <c r="D746" s="223" t="e">
        <f t="shared" si="22"/>
        <v>#N/A</v>
      </c>
      <c r="E746" s="227" t="s">
        <v>2810</v>
      </c>
      <c r="F746" s="165" t="e" cm="1">
        <f t="array" aca="1" ref="F746" ca="1">MID(LEFT(#REF!, INDEX(_xlfn._xlws.FILTER(ROW(INDIRECT("1:" &amp; LEN(#REF!))), (48 &lt;= CODE(MID(#REF!, ROW(INDIRECT("1:" &amp; LEN(#REF!))), 1))) * (CODE(MID(#REF!, ROW(INDIRECT("1:" &amp; LEN(#REF!))), 1)) &lt;= 57)), 1) - 1), FIND(":",#REF!) + 2, LEN(#REF!))</f>
        <v>#REF!</v>
      </c>
      <c r="G746" s="227" t="e">
        <f>MID(LEFT(#REF!, FIND(",",#REF!) - 1), FIND("{token}", SUBSTITUTE(#REF!, " ", "{token}", 2)) + 1, LEN(#REF!))</f>
        <v>#REF!</v>
      </c>
      <c r="H746" s="236" t="s">
        <v>1683</v>
      </c>
      <c r="I746" s="260">
        <v>45406</v>
      </c>
      <c r="J746" s="230" t="s">
        <v>239</v>
      </c>
      <c r="K746" s="226">
        <v>45586</v>
      </c>
      <c r="L746" s="165"/>
      <c r="M746" s="222">
        <v>229</v>
      </c>
      <c r="N746" s="2" t="str">
        <f t="shared" ca="1" si="23"/>
        <v>CLOSED</v>
      </c>
    </row>
    <row r="747" spans="1:14" ht="30">
      <c r="A747" s="64" t="s">
        <v>39</v>
      </c>
      <c r="B747" s="98" t="e">
        <f>VLOOKUP([2]!Table27[[#This Row],[Location 
(drop-down)]],'[2]List source'!D$2:E$59,2,FALSE)</f>
        <v>#N/A</v>
      </c>
      <c r="C747" s="148" t="s">
        <v>1397</v>
      </c>
      <c r="D747" s="223" t="e">
        <f t="shared" si="22"/>
        <v>#N/A</v>
      </c>
      <c r="E747" s="227" t="s">
        <v>2811</v>
      </c>
      <c r="F747" s="165" t="s">
        <v>1520</v>
      </c>
      <c r="G747" s="227" t="e">
        <f>MID(LEFT(#REF!, FIND(",",#REF!) - 1), FIND("{token}", SUBSTITUTE(#REF!, " ", "{token}", 2)) + 1, LEN(#REF!))</f>
        <v>#REF!</v>
      </c>
      <c r="H747" s="236" t="s">
        <v>2812</v>
      </c>
      <c r="I747" s="230">
        <v>45426</v>
      </c>
      <c r="J747" s="230" t="s">
        <v>239</v>
      </c>
      <c r="K747" s="226">
        <v>45586</v>
      </c>
      <c r="L747" s="165"/>
      <c r="M747" s="222">
        <v>447</v>
      </c>
      <c r="N747" s="2" t="str">
        <f t="shared" ca="1" si="23"/>
        <v>CLOSED</v>
      </c>
    </row>
    <row r="748" spans="1:14" ht="30">
      <c r="A748" s="64" t="s">
        <v>80</v>
      </c>
      <c r="B748" s="98" t="e">
        <f>VLOOKUP([2]!Table27[[#This Row],[Location 
(drop-down)]],'[2]List source'!D$2:E$59,2,FALSE)</f>
        <v>#N/A</v>
      </c>
      <c r="C748" s="148" t="s">
        <v>2813</v>
      </c>
      <c r="D748" s="309" t="e">
        <f t="shared" si="22"/>
        <v>#N/A</v>
      </c>
      <c r="E748" s="227" t="s">
        <v>2814</v>
      </c>
      <c r="F748" s="165" t="e" cm="1">
        <f t="array" aca="1" ref="F748" ca="1">MID(LEFT(#REF!, INDEX(_xlfn._xlws.FILTER(ROW(INDIRECT("1:" &amp; LEN(#REF!))), (48 &lt;= CODE(MID(#REF!, ROW(INDIRECT("1:" &amp; LEN(#REF!))), 1))) * (CODE(MID(#REF!, ROW(INDIRECT("1:" &amp; LEN(#REF!))), 1)) &lt;= 57)), 1) - 1), FIND(":",#REF!) + 2, LEN(#REF!))</f>
        <v>#REF!</v>
      </c>
      <c r="G748" s="227" t="e">
        <f>MID(LEFT(#REF!, FIND(",",#REF!) - 1), FIND("{token}", SUBSTITUTE(#REF!, " ", "{token}", 2)) + 1, LEN(#REF!))</f>
        <v>#REF!</v>
      </c>
      <c r="H748" s="236" t="s">
        <v>2815</v>
      </c>
      <c r="I748" s="230">
        <v>45533</v>
      </c>
      <c r="J748" s="230" t="s">
        <v>34</v>
      </c>
      <c r="K748" s="226">
        <v>45586</v>
      </c>
      <c r="L748" s="165" t="s">
        <v>2816</v>
      </c>
      <c r="M748" s="222">
        <v>821</v>
      </c>
      <c r="N748" s="2" t="str">
        <f t="shared" ca="1" si="23"/>
        <v>CLOSED</v>
      </c>
    </row>
    <row r="749" spans="1:14" ht="30">
      <c r="A749" s="64" t="s">
        <v>80</v>
      </c>
      <c r="B749" s="98" t="e">
        <f>VLOOKUP([2]!Table27[[#This Row],[Location 
(drop-down)]],'[2]List source'!D$2:E$59,2,FALSE)</f>
        <v>#N/A</v>
      </c>
      <c r="C749" s="148" t="s">
        <v>2817</v>
      </c>
      <c r="D749" s="309" t="e">
        <f t="shared" si="22"/>
        <v>#N/A</v>
      </c>
      <c r="E749" s="227" t="s">
        <v>2818</v>
      </c>
      <c r="F749" s="165" t="e" cm="1">
        <f t="array" aca="1" ref="F749" ca="1">MID(LEFT(#REF!, INDEX(_xlfn._xlws.FILTER(ROW(INDIRECT("1:" &amp; LEN(#REF!))), (48 &lt;= CODE(MID(#REF!, ROW(INDIRECT("1:" &amp; LEN(#REF!))), 1))) * (CODE(MID(#REF!, ROW(INDIRECT("1:" &amp; LEN(#REF!))), 1)) &lt;= 57)), 1) - 1), FIND(":",#REF!) + 2, LEN(#REF!))</f>
        <v>#REF!</v>
      </c>
      <c r="G749" s="227" t="e">
        <f>MID(LEFT(#REF!, FIND(",",#REF!) - 1), FIND("{token}", SUBSTITUTE(#REF!, " ", "{token}", 2)) + 1, LEN(#REF!))</f>
        <v>#REF!</v>
      </c>
      <c r="H749" s="165">
        <v>4.78</v>
      </c>
      <c r="I749" s="230">
        <v>45534</v>
      </c>
      <c r="J749" s="230" t="s">
        <v>239</v>
      </c>
      <c r="K749" s="226">
        <v>45586</v>
      </c>
      <c r="L749" s="165"/>
      <c r="M749" s="222">
        <v>868</v>
      </c>
      <c r="N749" s="2" t="str">
        <f t="shared" ca="1" si="23"/>
        <v>CLOSED</v>
      </c>
    </row>
    <row r="750" spans="1:14" ht="30">
      <c r="A750" s="64" t="s">
        <v>485</v>
      </c>
      <c r="B750" s="98" t="e">
        <f>VLOOKUP([2]!Table27[[#This Row],[Location 
(drop-down)]],'[2]List source'!D$2:E$59,2,FALSE)</f>
        <v>#N/A</v>
      </c>
      <c r="C750" s="148" t="s">
        <v>492</v>
      </c>
      <c r="D750" s="223" t="e">
        <f t="shared" si="22"/>
        <v>#N/A</v>
      </c>
      <c r="E750" s="227" t="s">
        <v>2819</v>
      </c>
      <c r="F750" s="165" t="s">
        <v>1520</v>
      </c>
      <c r="G750" s="227" t="e">
        <f>MID(LEFT(#REF!, FIND(",",#REF!) - 1), FIND("{token}", SUBSTITUTE(#REF!, " ", "{token}", 2)) + 1, LEN(#REF!))</f>
        <v>#REF!</v>
      </c>
      <c r="H750" s="236" t="s">
        <v>2820</v>
      </c>
      <c r="I750" s="230">
        <v>45426</v>
      </c>
      <c r="J750" s="230" t="s">
        <v>239</v>
      </c>
      <c r="K750" s="226">
        <v>45587</v>
      </c>
      <c r="L750" s="165"/>
      <c r="M750" s="222">
        <v>465</v>
      </c>
      <c r="N750" s="2" t="str">
        <f t="shared" ca="1" si="23"/>
        <v>CLOSED</v>
      </c>
    </row>
    <row r="751" spans="1:14" ht="30">
      <c r="A751" s="64" t="s">
        <v>714</v>
      </c>
      <c r="B751" s="98" t="e">
        <f>VLOOKUP([2]!Table27[[#This Row],[Location 
(drop-down)]],'[2]List source'!D$2:E$59,2,FALSE)</f>
        <v>#N/A</v>
      </c>
      <c r="C751" s="148" t="s">
        <v>1358</v>
      </c>
      <c r="D751" s="223" t="e">
        <f t="shared" si="22"/>
        <v>#N/A</v>
      </c>
      <c r="E751" s="227" t="s">
        <v>2821</v>
      </c>
      <c r="F751" s="165" t="s">
        <v>1566</v>
      </c>
      <c r="G751" s="227" t="e">
        <f>MID(LEFT(#REF!, FIND(",",#REF!) - 1), FIND("{token}", SUBSTITUTE(#REF!, " ", "{token}", 2)) + 1, LEN(#REF!))</f>
        <v>#REF!</v>
      </c>
      <c r="H751" s="165">
        <v>2.14</v>
      </c>
      <c r="I751" s="230">
        <v>45427</v>
      </c>
      <c r="J751" s="230" t="s">
        <v>108</v>
      </c>
      <c r="K751" s="226">
        <v>45587</v>
      </c>
      <c r="L751" s="165"/>
      <c r="M751" s="222">
        <v>527</v>
      </c>
      <c r="N751" s="2" t="str">
        <f t="shared" ca="1" si="23"/>
        <v>CLOSED</v>
      </c>
    </row>
    <row r="752" spans="1:14" ht="18.75">
      <c r="A752" s="64" t="s">
        <v>23</v>
      </c>
      <c r="B752" s="98" t="e">
        <f>VLOOKUP([2]!Table27[[#This Row],[Location 
(drop-down)]],'[2]List source'!D$2:E$59,2,FALSE)</f>
        <v>#N/A</v>
      </c>
      <c r="C752" s="148" t="s">
        <v>2822</v>
      </c>
      <c r="D752" s="309" t="e">
        <f t="shared" si="22"/>
        <v>#N/A</v>
      </c>
      <c r="E752" s="227" t="s">
        <v>2823</v>
      </c>
      <c r="F752" s="165" t="s">
        <v>1520</v>
      </c>
      <c r="G752" s="227" t="e">
        <f>MID(LEFT(#REF!, FIND(",",#REF!) - 1), FIND("{token}", SUBSTITUTE(#REF!, " ", "{token}", 2)) + 1, LEN(#REF!))</f>
        <v>#REF!</v>
      </c>
      <c r="H752" s="165">
        <v>4.7699999999999996</v>
      </c>
      <c r="I752" s="230">
        <v>45547</v>
      </c>
      <c r="J752" s="230" t="s">
        <v>29</v>
      </c>
      <c r="K752" s="226">
        <v>45587</v>
      </c>
      <c r="L752" s="165"/>
      <c r="M752" s="222">
        <v>987</v>
      </c>
      <c r="N752" s="2" t="str">
        <f t="shared" ca="1" si="23"/>
        <v>CLOSED</v>
      </c>
    </row>
    <row r="753" spans="1:14" ht="30">
      <c r="A753" s="64" t="s">
        <v>125</v>
      </c>
      <c r="B753" s="98" t="e">
        <f>VLOOKUP([2]!Table27[[#This Row],[Location 
(drop-down)]],'[2]List source'!D$2:E$59,2,FALSE)</f>
        <v>#N/A</v>
      </c>
      <c r="C753" s="148" t="s">
        <v>2824</v>
      </c>
      <c r="D753" s="309" t="e">
        <f t="shared" si="22"/>
        <v>#N/A</v>
      </c>
      <c r="E753" s="227" t="s">
        <v>2825</v>
      </c>
      <c r="F753" s="165" t="s">
        <v>1520</v>
      </c>
      <c r="G753" s="227" t="e">
        <f>MID(LEFT(#REF!, FIND(",",#REF!) - 1), FIND("{token}", SUBSTITUTE(#REF!, " ", "{token}", 2)) + 1, LEN(#REF!))</f>
        <v>#REF!</v>
      </c>
      <c r="H753" s="236" t="s">
        <v>2533</v>
      </c>
      <c r="I753" s="230">
        <v>45548</v>
      </c>
      <c r="J753" s="230" t="s">
        <v>239</v>
      </c>
      <c r="K753" s="226">
        <v>45587</v>
      </c>
      <c r="L753" s="165"/>
      <c r="M753" s="222">
        <v>997</v>
      </c>
      <c r="N753" s="2" t="str">
        <f t="shared" ca="1" si="23"/>
        <v>CLOSED</v>
      </c>
    </row>
    <row r="754" spans="1:14" ht="30">
      <c r="A754" s="64" t="s">
        <v>73</v>
      </c>
      <c r="B754" s="98" t="e">
        <f>VLOOKUP([2]!Table27[[#This Row],[Location 
(drop-down)]],'[2]List source'!D$2:E$59,2,FALSE)</f>
        <v>#N/A</v>
      </c>
      <c r="C754" s="148" t="s">
        <v>656</v>
      </c>
      <c r="D754" s="223" t="e">
        <f t="shared" si="22"/>
        <v>#N/A</v>
      </c>
      <c r="E754" s="227" t="s">
        <v>2826</v>
      </c>
      <c r="F754" s="165" t="e" cm="1">
        <f t="array" aca="1" ref="F754" ca="1">MID(LEFT(#REF!, INDEX(_xlfn._xlws.FILTER(ROW(INDIRECT("1:" &amp; LEN(#REF!))), (48 &lt;= CODE(MID(#REF!, ROW(INDIRECT("1:" &amp; LEN(#REF!))), 1))) * (CODE(MID(#REF!, ROW(INDIRECT("1:" &amp; LEN(#REF!))), 1)) &lt;= 57)), 1) - 1), FIND(":",#REF!) + 2, LEN(#REF!))</f>
        <v>#REF!</v>
      </c>
      <c r="G754" s="227" t="e">
        <f>MID(LEFT(#REF!, FIND(",",#REF!) - 1), FIND("{token}", SUBSTITUTE(#REF!, " ", "{token}", 2)) + 1, LEN(#REF!))</f>
        <v>#REF!</v>
      </c>
      <c r="H754" s="165">
        <v>3.67</v>
      </c>
      <c r="I754" s="260">
        <v>45387</v>
      </c>
      <c r="J754" s="230" t="s">
        <v>239</v>
      </c>
      <c r="K754" s="226">
        <v>45588</v>
      </c>
      <c r="L754" s="165"/>
      <c r="M754" s="222">
        <v>176</v>
      </c>
      <c r="N754" s="2" t="str">
        <f t="shared" ca="1" si="23"/>
        <v>CLOSED</v>
      </c>
    </row>
    <row r="755" spans="1:14" ht="30">
      <c r="A755" s="64" t="s">
        <v>73</v>
      </c>
      <c r="B755" s="98" t="e">
        <f>VLOOKUP([2]!Table27[[#This Row],[Location 
(drop-down)]],'[2]List source'!D$2:E$59,2,FALSE)</f>
        <v>#N/A</v>
      </c>
      <c r="C755" s="148" t="s">
        <v>1246</v>
      </c>
      <c r="D755" s="223" t="e">
        <f t="shared" si="22"/>
        <v>#N/A</v>
      </c>
      <c r="E755" s="227" t="s">
        <v>2827</v>
      </c>
      <c r="F755" s="165" t="e" cm="1">
        <f t="array" aca="1" ref="F755" ca="1">MID(LEFT(#REF!, INDEX(_xlfn._xlws.FILTER(ROW(INDIRECT("1:" &amp; LEN(#REF!))), (48 &lt;= CODE(MID(#REF!, ROW(INDIRECT("1:" &amp; LEN(#REF!))), 1))) * (CODE(MID(#REF!, ROW(INDIRECT("1:" &amp; LEN(#REF!))), 1)) &lt;= 57)), 1) - 1), FIND(":",#REF!) + 2, LEN(#REF!))</f>
        <v>#REF!</v>
      </c>
      <c r="G755" s="227" t="e">
        <f>MID(LEFT(#REF!, FIND(",",#REF!) - 1), FIND("{token}", SUBSTITUTE(#REF!, " ", "{token}", 2)) + 1, LEN(#REF!))</f>
        <v>#REF!</v>
      </c>
      <c r="H755" s="165">
        <v>4.91</v>
      </c>
      <c r="I755" s="260">
        <v>45397</v>
      </c>
      <c r="J755" s="230" t="s">
        <v>239</v>
      </c>
      <c r="K755" s="226">
        <v>45588</v>
      </c>
      <c r="L755" s="165"/>
      <c r="M755" s="222">
        <v>199</v>
      </c>
      <c r="N755" s="2" t="str">
        <f t="shared" ca="1" si="23"/>
        <v>CLOSED</v>
      </c>
    </row>
    <row r="756" spans="1:14" ht="30">
      <c r="A756" s="64" t="s">
        <v>73</v>
      </c>
      <c r="B756" s="98" t="e">
        <f>VLOOKUP([2]!Table27[[#This Row],[Location 
(drop-down)]],'[2]List source'!D$2:E$59,2,FALSE)</f>
        <v>#N/A</v>
      </c>
      <c r="C756" s="148" t="s">
        <v>1248</v>
      </c>
      <c r="D756" s="223" t="e">
        <f t="shared" si="22"/>
        <v>#N/A</v>
      </c>
      <c r="E756" s="227" t="s">
        <v>2828</v>
      </c>
      <c r="F756" s="165" t="e" cm="1">
        <f t="array" aca="1" ref="F756" ca="1">MID(LEFT(#REF!, INDEX(_xlfn._xlws.FILTER(ROW(INDIRECT("1:" &amp; LEN(#REF!))), (48 &lt;= CODE(MID(#REF!, ROW(INDIRECT("1:" &amp; LEN(#REF!))), 1))) * (CODE(MID(#REF!, ROW(INDIRECT("1:" &amp; LEN(#REF!))), 1)) &lt;= 57)), 1) - 1), FIND(":",#REF!) + 2, LEN(#REF!))</f>
        <v>#REF!</v>
      </c>
      <c r="G756" s="227" t="e">
        <f>MID(LEFT(#REF!, FIND(",",#REF!) - 1), FIND("{token}", SUBSTITUTE(#REF!, " ", "{token}", 2)) + 1, LEN(#REF!))</f>
        <v>#REF!</v>
      </c>
      <c r="H756" s="165">
        <v>72.31</v>
      </c>
      <c r="I756" s="260">
        <v>45397</v>
      </c>
      <c r="J756" s="230" t="s">
        <v>34</v>
      </c>
      <c r="K756" s="226">
        <v>45588</v>
      </c>
      <c r="L756" s="165" t="s">
        <v>1505</v>
      </c>
      <c r="M756" s="222">
        <v>200</v>
      </c>
      <c r="N756" s="2" t="str">
        <f t="shared" ca="1" si="23"/>
        <v>CLOSED</v>
      </c>
    </row>
    <row r="757" spans="1:14" ht="30">
      <c r="A757" s="64" t="s">
        <v>714</v>
      </c>
      <c r="B757" s="98" t="e">
        <f>VLOOKUP([2]!Table27[[#This Row],[Location 
(drop-down)]],'[2]List source'!D$2:E$59,2,FALSE)</f>
        <v>#N/A</v>
      </c>
      <c r="C757" s="148" t="s">
        <v>1146</v>
      </c>
      <c r="D757" s="223" t="e">
        <f t="shared" si="22"/>
        <v>#N/A</v>
      </c>
      <c r="E757" s="227" t="s">
        <v>2829</v>
      </c>
      <c r="F757" s="165" t="s">
        <v>1566</v>
      </c>
      <c r="G757" s="227" t="e">
        <f>MID(LEFT(#REF!, FIND(",",#REF!) - 1), FIND("{token}", SUBSTITUTE(#REF!, " ", "{token}", 2)) + 1, LEN(#REF!))</f>
        <v>#REF!</v>
      </c>
      <c r="H757" s="165">
        <v>-2.0499999999999998</v>
      </c>
      <c r="I757" s="230">
        <v>45418</v>
      </c>
      <c r="J757" s="230" t="s">
        <v>108</v>
      </c>
      <c r="K757" s="226">
        <v>45588</v>
      </c>
      <c r="L757" s="165"/>
      <c r="M757" s="222">
        <v>418</v>
      </c>
      <c r="N757" s="2" t="str">
        <f t="shared" ca="1" si="23"/>
        <v>CLOSED</v>
      </c>
    </row>
    <row r="758" spans="1:14" ht="30">
      <c r="A758" s="64" t="s">
        <v>125</v>
      </c>
      <c r="B758" s="98" t="e">
        <f>VLOOKUP([2]!Table27[[#This Row],[Location 
(drop-down)]],'[2]List source'!D$2:E$59,2,FALSE)</f>
        <v>#N/A</v>
      </c>
      <c r="C758" s="148" t="s">
        <v>2830</v>
      </c>
      <c r="D758" s="223" t="e">
        <f t="shared" si="22"/>
        <v>#N/A</v>
      </c>
      <c r="E758" s="227" t="s">
        <v>2831</v>
      </c>
      <c r="F758" s="165" t="e" cm="1">
        <f t="array" aca="1" ref="F758" ca="1">MID(LEFT(#REF!, INDEX(_xlfn._xlws.FILTER(ROW(INDIRECT("1:" &amp; LEN(#REF!))), (48 &lt;= CODE(MID(#REF!, ROW(INDIRECT("1:" &amp; LEN(#REF!))), 1))) * (CODE(MID(#REF!, ROW(INDIRECT("1:" &amp; LEN(#REF!))), 1)) &lt;= 57)), 1) - 1), FIND(":",#REF!) + 2, LEN(#REF!))</f>
        <v>#REF!</v>
      </c>
      <c r="G758" s="227" t="e">
        <f>MID(LEFT(#REF!, FIND(",",#REF!) - 1), FIND("{token}", SUBSTITUTE(#REF!, " ", "{token}", 2)) + 1, LEN(#REF!))</f>
        <v>#REF!</v>
      </c>
      <c r="H758" s="165">
        <v>4.37</v>
      </c>
      <c r="I758" s="230">
        <v>45513</v>
      </c>
      <c r="J758" s="230" t="s">
        <v>239</v>
      </c>
      <c r="K758" s="226">
        <v>45588</v>
      </c>
      <c r="L758" s="165"/>
      <c r="M758" s="222">
        <v>781</v>
      </c>
      <c r="N758" s="2" t="str">
        <f t="shared" ca="1" si="23"/>
        <v>CLOSED</v>
      </c>
    </row>
    <row r="759" spans="1:14" ht="18.75">
      <c r="A759" s="64" t="s">
        <v>314</v>
      </c>
      <c r="B759" s="98" t="e">
        <f>VLOOKUP([2]!Table27[[#This Row],[Location 
(drop-down)]],'[2]List source'!D$2:E$59,2,FALSE)</f>
        <v>#N/A</v>
      </c>
      <c r="C759" s="148" t="s">
        <v>2832</v>
      </c>
      <c r="D759" s="309" t="e">
        <f t="shared" si="22"/>
        <v>#N/A</v>
      </c>
      <c r="E759" s="227" t="s">
        <v>2833</v>
      </c>
      <c r="F759" s="165" t="e" cm="1">
        <f t="array" aca="1" ref="F759" ca="1">MID(LEFT(#REF!, INDEX(_xlfn._xlws.FILTER(ROW(INDIRECT("1:" &amp; LEN(#REF!))), (48 &lt;= CODE(MID(#REF!, ROW(INDIRECT("1:" &amp; LEN(#REF!))), 1))) * (CODE(MID(#REF!, ROW(INDIRECT("1:" &amp; LEN(#REF!))), 1)) &lt;= 57)), 1) - 1), FIND(":",#REF!) + 2, LEN(#REF!))</f>
        <v>#REF!</v>
      </c>
      <c r="G759" s="227" t="e">
        <f>MID(LEFT(#REF!, FIND(",",#REF!) - 1), FIND("{token}", SUBSTITUTE(#REF!, " ", "{token}", 2)) + 1, LEN(#REF!))</f>
        <v>#REF!</v>
      </c>
      <c r="H759" s="165" t="s">
        <v>2834</v>
      </c>
      <c r="I759" s="230">
        <v>45533</v>
      </c>
      <c r="J759" s="230" t="s">
        <v>239</v>
      </c>
      <c r="K759" s="226">
        <v>45588</v>
      </c>
      <c r="L759" s="165"/>
      <c r="M759" s="222">
        <v>828</v>
      </c>
      <c r="N759" s="2" t="str">
        <f t="shared" ca="1" si="23"/>
        <v>CLOSED</v>
      </c>
    </row>
    <row r="760" spans="1:14" ht="30">
      <c r="A760" s="64" t="s">
        <v>518</v>
      </c>
      <c r="B760" s="98" t="e">
        <f>VLOOKUP([2]!Table27[[#This Row],[Location 
(drop-down)]],'[2]List source'!D$2:E$59,2,FALSE)</f>
        <v>#N/A</v>
      </c>
      <c r="C760" s="148" t="s">
        <v>2835</v>
      </c>
      <c r="D760" s="309" t="e">
        <f t="shared" si="22"/>
        <v>#N/A</v>
      </c>
      <c r="E760" s="227" t="s">
        <v>2836</v>
      </c>
      <c r="F760" s="165" t="e" cm="1">
        <f t="array" aca="1" ref="F760" ca="1">MID(LEFT(#REF!, INDEX(_xlfn._xlws.FILTER(ROW(INDIRECT("1:" &amp; LEN(#REF!))), (48 &lt;= CODE(MID(#REF!, ROW(INDIRECT("1:" &amp; LEN(#REF!))), 1))) * (CODE(MID(#REF!, ROW(INDIRECT("1:" &amp; LEN(#REF!))), 1)) &lt;= 57)), 1) - 1), FIND(":",#REF!) + 2, LEN(#REF!))</f>
        <v>#REF!</v>
      </c>
      <c r="G760" s="227" t="e">
        <f>MID(LEFT(#REF!, FIND(",",#REF!) - 1), FIND("{token}", SUBSTITUTE(#REF!, " ", "{token}", 2)) + 1, LEN(#REF!))</f>
        <v>#REF!</v>
      </c>
      <c r="H760" s="165">
        <v>3.27</v>
      </c>
      <c r="I760" s="230">
        <v>45546</v>
      </c>
      <c r="J760" s="230" t="s">
        <v>108</v>
      </c>
      <c r="K760" s="226">
        <v>45588</v>
      </c>
      <c r="L760" s="165"/>
      <c r="M760" s="222">
        <v>982</v>
      </c>
      <c r="N760" s="2" t="str">
        <f t="shared" ca="1" si="23"/>
        <v>CLOSED</v>
      </c>
    </row>
    <row r="761" spans="1:14" ht="30">
      <c r="A761" s="64" t="s">
        <v>114</v>
      </c>
      <c r="B761" s="98" t="e">
        <f>VLOOKUP([2]!Table27[[#This Row],[Location 
(drop-down)]],'[2]List source'!D$2:E$59,2,FALSE)</f>
        <v>#N/A</v>
      </c>
      <c r="C761" s="148" t="s">
        <v>2837</v>
      </c>
      <c r="D761" s="223" t="e">
        <f t="shared" si="22"/>
        <v>#N/A</v>
      </c>
      <c r="E761" s="227" t="s">
        <v>2838</v>
      </c>
      <c r="F761" s="165" t="s">
        <v>2279</v>
      </c>
      <c r="G761" s="227" t="e">
        <f>MID(LEFT(#REF!, FIND(",",#REF!) - 1), FIND("{token}", SUBSTITUTE(#REF!, " ", "{token}", 2)) + 1, LEN(#REF!))</f>
        <v>#REF!</v>
      </c>
      <c r="H761" s="165">
        <v>23</v>
      </c>
      <c r="I761" s="230">
        <v>45510</v>
      </c>
      <c r="J761" s="230" t="s">
        <v>47</v>
      </c>
      <c r="K761" s="226">
        <v>45589</v>
      </c>
      <c r="L761" s="165"/>
      <c r="M761" s="222">
        <v>738</v>
      </c>
      <c r="N761" s="2" t="str">
        <f t="shared" ca="1" si="23"/>
        <v>CLOSED</v>
      </c>
    </row>
    <row r="762" spans="1:14" ht="30">
      <c r="A762" s="64" t="s">
        <v>432</v>
      </c>
      <c r="B762" s="98" t="e">
        <f>VLOOKUP([2]!Table27[[#This Row],[Location 
(drop-down)]],'[2]List source'!D$2:E$59,2,FALSE)</f>
        <v>#N/A</v>
      </c>
      <c r="C762" s="148" t="s">
        <v>2839</v>
      </c>
      <c r="D762" s="309" t="e">
        <f t="shared" si="22"/>
        <v>#N/A</v>
      </c>
      <c r="E762" s="227" t="s">
        <v>2840</v>
      </c>
      <c r="F762" s="165" t="s">
        <v>1520</v>
      </c>
      <c r="G762" s="227" t="e">
        <f>MID(LEFT(#REF!, FIND(",",#REF!) - 1), FIND("{token}", SUBSTITUTE(#REF!, " ", "{token}", 2)) + 1, LEN(#REF!))</f>
        <v>#REF!</v>
      </c>
      <c r="H762" s="165">
        <v>2.2999999999999998</v>
      </c>
      <c r="I762" s="230">
        <v>45548</v>
      </c>
      <c r="J762" s="230" t="s">
        <v>108</v>
      </c>
      <c r="K762" s="226">
        <v>45589</v>
      </c>
      <c r="L762" s="165"/>
      <c r="M762" s="222">
        <v>992</v>
      </c>
      <c r="N762" s="2" t="str">
        <f t="shared" ca="1" si="23"/>
        <v>CLOSED</v>
      </c>
    </row>
    <row r="763" spans="1:14" ht="18.75">
      <c r="A763" s="64" t="s">
        <v>139</v>
      </c>
      <c r="B763" s="98" t="e">
        <f>VLOOKUP([2]!Table27[[#This Row],[Location 
(drop-down)]],'[2]List source'!D$2:E$59,2,FALSE)</f>
        <v>#N/A</v>
      </c>
      <c r="C763" s="148" t="s">
        <v>963</v>
      </c>
      <c r="D763" s="223" t="e">
        <f t="shared" si="22"/>
        <v>#N/A</v>
      </c>
      <c r="E763" s="227" t="s">
        <v>2697</v>
      </c>
      <c r="F763" s="165" t="s">
        <v>1566</v>
      </c>
      <c r="G763" s="227" t="e">
        <f>MID(LEFT(#REF!, FIND(",",#REF!) - 1), FIND("{token}", SUBSTITUTE(#REF!, " ", "{token}", 2)) + 1, LEN(#REF!))</f>
        <v>#REF!</v>
      </c>
      <c r="H763" s="165">
        <v>2.41</v>
      </c>
      <c r="I763" s="230">
        <v>45427</v>
      </c>
      <c r="J763" s="230" t="s">
        <v>1619</v>
      </c>
      <c r="K763" s="226">
        <v>45590</v>
      </c>
      <c r="L763" s="165"/>
      <c r="M763" s="222">
        <v>520</v>
      </c>
      <c r="N763" s="2" t="str">
        <f t="shared" ca="1" si="23"/>
        <v>CLOSED</v>
      </c>
    </row>
    <row r="764" spans="1:14" ht="18.75">
      <c r="A764" s="64" t="s">
        <v>139</v>
      </c>
      <c r="B764" s="98" t="e">
        <f>VLOOKUP([2]!Table27[[#This Row],[Location 
(drop-down)]],'[2]List source'!D$2:E$59,2,FALSE)</f>
        <v>#N/A</v>
      </c>
      <c r="C764" s="148" t="s">
        <v>2841</v>
      </c>
      <c r="D764" s="223" t="e">
        <f t="shared" si="22"/>
        <v>#N/A</v>
      </c>
      <c r="E764" s="227" t="s">
        <v>2842</v>
      </c>
      <c r="F764" s="165" t="e" cm="1">
        <f t="array" aca="1" ref="F764" ca="1">MID(LEFT(#REF!, INDEX(_xlfn._xlws.FILTER(ROW(INDIRECT("1:" &amp; LEN(#REF!))), (48 &lt;= CODE(MID(#REF!, ROW(INDIRECT("1:" &amp; LEN(#REF!))), 1))) * (CODE(MID(#REF!, ROW(INDIRECT("1:" &amp; LEN(#REF!))), 1)) &lt;= 57)), 1) - 1), FIND(":",#REF!) + 2, LEN(#REF!))</f>
        <v>#REF!</v>
      </c>
      <c r="G764" s="227" t="e">
        <f>MID(LEFT(#REF!, FIND(",",#REF!) - 1), FIND("{token}", SUBSTITUTE(#REF!, " ", "{token}", 2)) + 1, LEN(#REF!))</f>
        <v>#REF!</v>
      </c>
      <c r="H764" s="236" t="s">
        <v>2843</v>
      </c>
      <c r="I764" s="230">
        <v>45435</v>
      </c>
      <c r="J764" s="230" t="s">
        <v>1619</v>
      </c>
      <c r="K764" s="226">
        <v>45590</v>
      </c>
      <c r="L764" s="165"/>
      <c r="M764" s="222">
        <v>575</v>
      </c>
      <c r="N764" s="2" t="str">
        <f t="shared" ca="1" si="23"/>
        <v>CLOSED</v>
      </c>
    </row>
    <row r="765" spans="1:14" ht="30">
      <c r="A765" s="64" t="s">
        <v>39</v>
      </c>
      <c r="B765" s="98" t="e">
        <f>VLOOKUP([2]!Table27[[#This Row],[Location 
(drop-down)]],'[2]List source'!D$2:E$59,2,FALSE)</f>
        <v>#N/A</v>
      </c>
      <c r="C765" s="148" t="s">
        <v>2844</v>
      </c>
      <c r="D765" s="223" t="e">
        <f t="shared" si="22"/>
        <v>#N/A</v>
      </c>
      <c r="E765" s="227" t="s">
        <v>2326</v>
      </c>
      <c r="F765" s="165" t="e" cm="1">
        <f t="array" aca="1" ref="F765" ca="1">MID(LEFT(#REF!, INDEX(_xlfn._xlws.FILTER(ROW(INDIRECT("1:" &amp; LEN(#REF!))), (48 &lt;= CODE(MID(#REF!, ROW(INDIRECT("1:" &amp; LEN(#REF!))), 1))) * (CODE(MID(#REF!, ROW(INDIRECT("1:" &amp; LEN(#REF!))), 1)) &lt;= 57)), 1) - 1), FIND(":",#REF!) + 2, LEN(#REF!))</f>
        <v>#REF!</v>
      </c>
      <c r="G765" s="227" t="e">
        <f>MID(LEFT(#REF!, FIND(",",#REF!) - 1), FIND("{token}", SUBSTITUTE(#REF!, " ", "{token}", 2)) + 1, LEN(#REF!))</f>
        <v>#REF!</v>
      </c>
      <c r="H765" s="165" t="s">
        <v>1579</v>
      </c>
      <c r="I765" s="230">
        <v>45513</v>
      </c>
      <c r="J765" s="230" t="s">
        <v>34</v>
      </c>
      <c r="K765" s="226">
        <v>45590</v>
      </c>
      <c r="L765" s="165" t="s">
        <v>1505</v>
      </c>
      <c r="M765" s="222">
        <v>775</v>
      </c>
      <c r="N765" s="2" t="str">
        <f t="shared" ca="1" si="23"/>
        <v>CLOSED</v>
      </c>
    </row>
    <row r="766" spans="1:14" ht="18.75">
      <c r="A766" s="64" t="s">
        <v>139</v>
      </c>
      <c r="B766" s="98" t="e">
        <f>VLOOKUP([2]!Table27[[#This Row],[Location 
(drop-down)]],'[2]List source'!D$2:E$59,2,FALSE)</f>
        <v>#N/A</v>
      </c>
      <c r="C766" s="148" t="s">
        <v>2845</v>
      </c>
      <c r="D766" s="309" t="e">
        <f t="shared" si="22"/>
        <v>#N/A</v>
      </c>
      <c r="E766" s="227" t="s">
        <v>2846</v>
      </c>
      <c r="F766" s="165" t="e" cm="1">
        <f t="array" aca="1" ref="F766" ca="1">MID(LEFT(#REF!, INDEX(_xlfn._xlws.FILTER(ROW(INDIRECT("1:" &amp; LEN(#REF!))), (48 &lt;= CODE(MID(#REF!, ROW(INDIRECT("1:" &amp; LEN(#REF!))), 1))) * (CODE(MID(#REF!, ROW(INDIRECT("1:" &amp; LEN(#REF!))), 1)) &lt;= 57)), 1) - 1), FIND(":",#REF!) + 2, LEN(#REF!))</f>
        <v>#REF!</v>
      </c>
      <c r="G766" s="227" t="e">
        <f>MID(LEFT(#REF!, FIND(",",#REF!) - 1), FIND("{token}", SUBSTITUTE(#REF!, " ", "{token}", 2)) + 1, LEN(#REF!))</f>
        <v>#REF!</v>
      </c>
      <c r="H766" s="165">
        <v>3.31</v>
      </c>
      <c r="I766" s="230">
        <v>45534</v>
      </c>
      <c r="J766" s="230" t="s">
        <v>1619</v>
      </c>
      <c r="K766" s="226">
        <v>45590</v>
      </c>
      <c r="L766" s="165"/>
      <c r="M766" s="222">
        <v>892</v>
      </c>
      <c r="N766" s="2" t="str">
        <f t="shared" ca="1" si="23"/>
        <v>CLOSED</v>
      </c>
    </row>
    <row r="767" spans="1:14" ht="18.75">
      <c r="A767" s="64" t="s">
        <v>15</v>
      </c>
      <c r="B767" s="98" t="e">
        <f>VLOOKUP([2]!Table27[[#This Row],[Location 
(drop-down)]],'[2]List source'!D$2:E$59,2,FALSE)</f>
        <v>#N/A</v>
      </c>
      <c r="C767" s="148" t="s">
        <v>91</v>
      </c>
      <c r="D767" s="223" t="e">
        <f t="shared" si="22"/>
        <v>#N/A</v>
      </c>
      <c r="E767" s="227" t="s">
        <v>2847</v>
      </c>
      <c r="F767" s="198" t="s">
        <v>1913</v>
      </c>
      <c r="G767" s="227" t="e">
        <f>MID(LEFT(#REF!, FIND(",",#REF!) - 1), FIND("{token}", SUBSTITUTE(#REF!, " ", "{token}", 2)) + 1, LEN(#REF!))</f>
        <v>#REF!</v>
      </c>
      <c r="H767" s="165">
        <v>4.8600000000000003</v>
      </c>
      <c r="I767" s="230">
        <v>45422</v>
      </c>
      <c r="J767" s="230" t="s">
        <v>21</v>
      </c>
      <c r="K767" s="226">
        <v>45593</v>
      </c>
      <c r="L767" s="165"/>
      <c r="M767" s="222">
        <v>440</v>
      </c>
      <c r="N767" s="2" t="str">
        <f t="shared" ca="1" si="23"/>
        <v>CLOSED</v>
      </c>
    </row>
    <row r="768" spans="1:14" ht="18.75">
      <c r="A768" s="64" t="s">
        <v>15</v>
      </c>
      <c r="B768" s="98" t="e">
        <f>VLOOKUP([2]!Table27[[#This Row],[Location 
(drop-down)]],'[2]List source'!D$2:E$59,2,FALSE)</f>
        <v>#N/A</v>
      </c>
      <c r="C768" s="148" t="s">
        <v>1232</v>
      </c>
      <c r="D768" s="223" t="e">
        <f t="shared" si="22"/>
        <v>#N/A</v>
      </c>
      <c r="E768" s="227" t="s">
        <v>2848</v>
      </c>
      <c r="F768" s="198" t="s">
        <v>1913</v>
      </c>
      <c r="G768" s="227" t="e">
        <f>MID(LEFT(#REF!, FIND(",",#REF!) - 1), FIND("{token}", SUBSTITUTE(#REF!, " ", "{token}", 2)) + 1, LEN(#REF!))</f>
        <v>#REF!</v>
      </c>
      <c r="H768" s="165">
        <v>5.48</v>
      </c>
      <c r="I768" s="230">
        <v>45422</v>
      </c>
      <c r="J768" s="230" t="s">
        <v>21</v>
      </c>
      <c r="K768" s="226">
        <v>45593</v>
      </c>
      <c r="L768" s="165"/>
      <c r="M768" s="222">
        <v>442</v>
      </c>
      <c r="N768" s="2" t="str">
        <f t="shared" ca="1" si="23"/>
        <v>CLOSED</v>
      </c>
    </row>
    <row r="769" spans="1:14" ht="18.75">
      <c r="A769" s="64" t="s">
        <v>15</v>
      </c>
      <c r="B769" s="98" t="e">
        <f>VLOOKUP([2]!Table27[[#This Row],[Location 
(drop-down)]],'[2]List source'!D$2:E$59,2,FALSE)</f>
        <v>#N/A</v>
      </c>
      <c r="C769" s="148" t="s">
        <v>1285</v>
      </c>
      <c r="D769" s="223" t="e">
        <f t="shared" si="22"/>
        <v>#N/A</v>
      </c>
      <c r="E769" s="227" t="s">
        <v>2849</v>
      </c>
      <c r="F769" s="198" t="s">
        <v>1913</v>
      </c>
      <c r="G769" s="227" t="e">
        <f>MID(LEFT(#REF!, FIND(",",#REF!) - 1), FIND("{token}", SUBSTITUTE(#REF!, " ", "{token}", 2)) + 1, LEN(#REF!))</f>
        <v>#REF!</v>
      </c>
      <c r="H769" s="236" t="s">
        <v>2850</v>
      </c>
      <c r="I769" s="230">
        <v>45422</v>
      </c>
      <c r="J769" s="230" t="s">
        <v>21</v>
      </c>
      <c r="K769" s="226">
        <v>45593</v>
      </c>
      <c r="L769" s="165"/>
      <c r="M769" s="222">
        <v>443</v>
      </c>
      <c r="N769" s="2" t="str">
        <f t="shared" ca="1" si="23"/>
        <v>CLOSED</v>
      </c>
    </row>
    <row r="770" spans="1:14" ht="30">
      <c r="A770" s="64" t="s">
        <v>39</v>
      </c>
      <c r="B770" s="98" t="e">
        <f>VLOOKUP([2]!Table27[[#This Row],[Location 
(drop-down)]],'[2]List source'!D$2:E$59,2,FALSE)</f>
        <v>#N/A</v>
      </c>
      <c r="C770" s="148" t="s">
        <v>2851</v>
      </c>
      <c r="D770" s="223" t="e">
        <f t="shared" ref="D770:D833" si="24">"PTO" &amp; C770 &amp; "-" &amp; B770 &amp; "-" &amp; "23"</f>
        <v>#N/A</v>
      </c>
      <c r="E770" s="227" t="s">
        <v>2852</v>
      </c>
      <c r="F770" s="165" t="e" cm="1">
        <f t="array" aca="1" ref="F770" ca="1">MID(LEFT(#REF!, INDEX(_xlfn._xlws.FILTER(ROW(INDIRECT("1:" &amp; LEN(#REF!))), (48 &lt;= CODE(MID(#REF!, ROW(INDIRECT("1:" &amp; LEN(#REF!))), 1))) * (CODE(MID(#REF!, ROW(INDIRECT("1:" &amp; LEN(#REF!))), 1)) &lt;= 57)), 1) - 1), FIND(":",#REF!) + 2, LEN(#REF!))</f>
        <v>#REF!</v>
      </c>
      <c r="G770" s="227" t="e">
        <f>MID(LEFT(#REF!, FIND(",",#REF!) - 1), FIND("{token}", SUBSTITUTE(#REF!, " ", "{token}", 2)) + 1, LEN(#REF!))</f>
        <v>#REF!</v>
      </c>
      <c r="H770" s="165">
        <v>700</v>
      </c>
      <c r="I770" s="230">
        <v>45495</v>
      </c>
      <c r="J770" s="230" t="s">
        <v>34</v>
      </c>
      <c r="K770" s="226">
        <v>45593</v>
      </c>
      <c r="L770" s="165" t="s">
        <v>1505</v>
      </c>
      <c r="M770" s="222">
        <v>674</v>
      </c>
      <c r="N770" s="2" t="str">
        <f t="shared" ca="1" si="23"/>
        <v>CLOSED</v>
      </c>
    </row>
    <row r="771" spans="1:14" ht="30">
      <c r="A771" s="85" t="s">
        <v>39</v>
      </c>
      <c r="B771" s="98" t="e">
        <f>VLOOKUP([2]!Table27[[#This Row],[Location 
(drop-down)]],'[2]List source'!D$2:E$59,2,FALSE)</f>
        <v>#N/A</v>
      </c>
      <c r="C771" s="178" t="s">
        <v>2853</v>
      </c>
      <c r="D771" s="333" t="e">
        <f t="shared" si="24"/>
        <v>#N/A</v>
      </c>
      <c r="E771" s="227" t="s">
        <v>2854</v>
      </c>
      <c r="F771" s="165" t="e" cm="1">
        <f t="array" aca="1" ref="F771" ca="1">MID(LEFT(#REF!, INDEX(_xlfn._xlws.FILTER(ROW(INDIRECT("1:" &amp; LEN(#REF!))), (48 &lt;= CODE(MID(#REF!, ROW(INDIRECT("1:" &amp; LEN(#REF!))), 1))) * (CODE(MID(#REF!, ROW(INDIRECT("1:" &amp; LEN(#REF!))), 1)) &lt;= 57)), 1) - 1), FIND(":",#REF!) + 2, LEN(#REF!))</f>
        <v>#REF!</v>
      </c>
      <c r="G771" s="227" t="e">
        <f>MID(LEFT(#REF!, FIND(",",#REF!) - 1), FIND("{token}", SUBSTITUTE(#REF!, " ", "{token}", 2)) + 1, LEN(#REF!))</f>
        <v>#REF!</v>
      </c>
      <c r="H771" s="165">
        <v>2.0699999999999998</v>
      </c>
      <c r="I771" s="230">
        <v>45513</v>
      </c>
      <c r="J771" s="337" t="s">
        <v>327</v>
      </c>
      <c r="K771" s="338">
        <v>45593</v>
      </c>
      <c r="L771" s="165"/>
      <c r="M771" s="222">
        <v>776</v>
      </c>
      <c r="N771" s="2" t="str">
        <f t="shared" ca="1" si="23"/>
        <v>CLOSED</v>
      </c>
    </row>
    <row r="772" spans="1:14" ht="18.75">
      <c r="A772" s="64" t="s">
        <v>15</v>
      </c>
      <c r="B772" s="98" t="e">
        <f>VLOOKUP([2]!Table27[[#This Row],[Location 
(drop-down)]],'[2]List source'!D$2:E$59,2,FALSE)</f>
        <v>#N/A</v>
      </c>
      <c r="C772" s="148" t="s">
        <v>2855</v>
      </c>
      <c r="D772" s="309" t="e">
        <f t="shared" si="24"/>
        <v>#N/A</v>
      </c>
      <c r="E772" s="227" t="s">
        <v>2856</v>
      </c>
      <c r="F772" s="165" t="e" cm="1">
        <f t="array" aca="1" ref="F772" ca="1">MID(LEFT(#REF!, INDEX(_xlfn._xlws.FILTER(ROW(INDIRECT("1:" &amp; LEN(#REF!))), (48 &lt;= CODE(MID(#REF!, ROW(INDIRECT("1:" &amp; LEN(#REF!))), 1))) * (CODE(MID(#REF!, ROW(INDIRECT("1:" &amp; LEN(#REF!))), 1)) &lt;= 57)), 1) - 1), FIND(":",#REF!) + 2, LEN(#REF!))</f>
        <v>#REF!</v>
      </c>
      <c r="G772" s="227" t="e">
        <f>MID(LEFT(#REF!, FIND(",",#REF!) - 1), FIND("{token}", SUBSTITUTE(#REF!, " ", "{token}", 2)) + 1, LEN(#REF!))</f>
        <v>#REF!</v>
      </c>
      <c r="H772" s="236" t="s">
        <v>2857</v>
      </c>
      <c r="I772" s="230">
        <v>45534</v>
      </c>
      <c r="J772" s="230" t="s">
        <v>21</v>
      </c>
      <c r="K772" s="226">
        <v>45593</v>
      </c>
      <c r="L772" s="165"/>
      <c r="M772" s="222">
        <v>895</v>
      </c>
      <c r="N772" s="2" t="str">
        <f t="shared" ca="1" si="23"/>
        <v>CLOSED</v>
      </c>
    </row>
    <row r="773" spans="1:14" ht="30">
      <c r="A773" s="64" t="s">
        <v>432</v>
      </c>
      <c r="B773" s="98" t="e">
        <f>VLOOKUP([2]!Table27[[#This Row],[Location 
(drop-down)]],'[2]List source'!D$2:E$59,2,FALSE)</f>
        <v>#N/A</v>
      </c>
      <c r="C773" s="148" t="s">
        <v>2858</v>
      </c>
      <c r="D773" s="212" t="e">
        <f t="shared" si="24"/>
        <v>#N/A</v>
      </c>
      <c r="E773" s="227" t="s">
        <v>2859</v>
      </c>
      <c r="F773" s="165" t="e" cm="1">
        <f t="array" aca="1" ref="F773" ca="1">MID(LEFT(#REF!, INDEX(_xlfn._xlws.FILTER(ROW(INDIRECT("1:" &amp; LEN(#REF!))), (48 &lt;= CODE(MID(#REF!, ROW(INDIRECT("1:" &amp; LEN(#REF!))), 1))) * (CODE(MID(#REF!, ROW(INDIRECT("1:" &amp; LEN(#REF!))), 1)) &lt;= 57)), 1) - 1), FIND(":",#REF!) + 2, LEN(#REF!))</f>
        <v>#REF!</v>
      </c>
      <c r="G773" s="227" t="e">
        <f>MID(LEFT(#REF!, FIND(",",#REF!) - 1), FIND("{token}", SUBSTITUTE(#REF!, " ", "{token}", 2)) + 1, LEN(#REF!))</f>
        <v>#REF!</v>
      </c>
      <c r="H773" s="165">
        <v>2.2400000000000002</v>
      </c>
      <c r="I773" s="230">
        <v>45593</v>
      </c>
      <c r="J773" s="230" t="s">
        <v>34</v>
      </c>
      <c r="K773" s="226">
        <v>45593</v>
      </c>
      <c r="L773" s="165" t="s">
        <v>1562</v>
      </c>
      <c r="M773" s="222">
        <v>1043</v>
      </c>
      <c r="N773" s="2" t="str">
        <f t="shared" ca="1" si="23"/>
        <v>CLOSED</v>
      </c>
    </row>
    <row r="774" spans="1:14" ht="30">
      <c r="A774" s="64" t="s">
        <v>432</v>
      </c>
      <c r="B774" s="98" t="e">
        <f>VLOOKUP([2]!Table27[[#This Row],[Location 
(drop-down)]],'[2]List source'!D$2:E$59,2,FALSE)</f>
        <v>#N/A</v>
      </c>
      <c r="C774" s="148" t="s">
        <v>2860</v>
      </c>
      <c r="D774" s="212" t="e">
        <f t="shared" si="24"/>
        <v>#N/A</v>
      </c>
      <c r="E774" s="227" t="s">
        <v>2861</v>
      </c>
      <c r="F774" s="165" t="e" cm="1">
        <f t="array" aca="1" ref="F774" ca="1">MID(LEFT(#REF!, INDEX(_xlfn._xlws.FILTER(ROW(INDIRECT("1:" &amp; LEN(#REF!))), (48 &lt;= CODE(MID(#REF!, ROW(INDIRECT("1:" &amp; LEN(#REF!))), 1))) * (CODE(MID(#REF!, ROW(INDIRECT("1:" &amp; LEN(#REF!))), 1)) &lt;= 57)), 1) - 1), FIND(":",#REF!) + 2, LEN(#REF!))</f>
        <v>#REF!</v>
      </c>
      <c r="G774" s="227" t="e">
        <f>MID(LEFT(#REF!, FIND(",",#REF!) - 1), FIND("{token}", SUBSTITUTE(#REF!, " ", "{token}", 2)) + 1, LEN(#REF!))</f>
        <v>#REF!</v>
      </c>
      <c r="H774" s="236" t="s">
        <v>2862</v>
      </c>
      <c r="I774" s="230">
        <v>45593</v>
      </c>
      <c r="J774" s="230" t="s">
        <v>34</v>
      </c>
      <c r="K774" s="226">
        <v>45593</v>
      </c>
      <c r="L774" s="165" t="s">
        <v>1562</v>
      </c>
      <c r="M774" s="222">
        <v>1044</v>
      </c>
      <c r="N774" s="2" t="str">
        <f t="shared" ca="1" si="23"/>
        <v>CLOSED</v>
      </c>
    </row>
    <row r="775" spans="1:14" ht="30">
      <c r="A775" s="64" t="s">
        <v>591</v>
      </c>
      <c r="B775" s="98" t="e">
        <f>VLOOKUP([2]!Table27[[#This Row],[Location 
(drop-down)]],'[2]List source'!D$2:E$59,2,FALSE)</f>
        <v>#N/A</v>
      </c>
      <c r="C775" s="148" t="s">
        <v>2863</v>
      </c>
      <c r="D775" s="212" t="e">
        <f t="shared" si="24"/>
        <v>#N/A</v>
      </c>
      <c r="E775" s="227" t="s">
        <v>2864</v>
      </c>
      <c r="F775" s="165" t="e" cm="1">
        <f t="array" aca="1" ref="F775" ca="1">MID(LEFT(#REF!, INDEX(_xlfn._xlws.FILTER(ROW(INDIRECT("1:" &amp; LEN(#REF!))), (48 &lt;= CODE(MID(#REF!, ROW(INDIRECT("1:" &amp; LEN(#REF!))), 1))) * (CODE(MID(#REF!, ROW(INDIRECT("1:" &amp; LEN(#REF!))), 1)) &lt;= 57)), 1) - 1), FIND(":",#REF!) + 2, LEN(#REF!))</f>
        <v>#REF!</v>
      </c>
      <c r="G775" s="227" t="e">
        <f>MID(LEFT(#REF!, FIND(",",#REF!) - 1), FIND("{token}", SUBSTITUTE(#REF!, " ", "{token}", 2)) + 1, LEN(#REF!))</f>
        <v>#REF!</v>
      </c>
      <c r="H775" s="165">
        <v>2.0099999999999998</v>
      </c>
      <c r="I775" s="230">
        <v>45593</v>
      </c>
      <c r="J775" s="230" t="s">
        <v>34</v>
      </c>
      <c r="K775" s="226">
        <v>45593</v>
      </c>
      <c r="L775" s="165" t="s">
        <v>1562</v>
      </c>
      <c r="M775" s="222">
        <v>1045</v>
      </c>
      <c r="N775" s="2" t="str">
        <f t="shared" ca="1" si="23"/>
        <v>CLOSED</v>
      </c>
    </row>
    <row r="776" spans="1:14" ht="30">
      <c r="A776" s="64" t="s">
        <v>119</v>
      </c>
      <c r="B776" s="98" t="e">
        <f>VLOOKUP([2]!Table27[[#This Row],[Location 
(drop-down)]],'[2]List source'!D$2:E$59,2,FALSE)</f>
        <v>#N/A</v>
      </c>
      <c r="C776" s="148" t="s">
        <v>2865</v>
      </c>
      <c r="D776" s="212" t="e">
        <f t="shared" si="24"/>
        <v>#N/A</v>
      </c>
      <c r="E776" s="227" t="s">
        <v>2866</v>
      </c>
      <c r="F776" s="165" t="e" cm="1">
        <f t="array" aca="1" ref="F776" ca="1">MID(LEFT(#REF!, INDEX(_xlfn._xlws.FILTER(ROW(INDIRECT("1:" &amp; LEN(#REF!))), (48 &lt;= CODE(MID(#REF!, ROW(INDIRECT("1:" &amp; LEN(#REF!))), 1))) * (CODE(MID(#REF!, ROW(INDIRECT("1:" &amp; LEN(#REF!))), 1)) &lt;= 57)), 1) - 1), FIND(":",#REF!) + 2, LEN(#REF!))</f>
        <v>#REF!</v>
      </c>
      <c r="G776" s="227" t="e">
        <f>MID(LEFT(#REF!, FIND(",",#REF!) - 1), FIND("{token}", SUBSTITUTE(#REF!, " ", "{token}", 2)) + 1, LEN(#REF!))</f>
        <v>#REF!</v>
      </c>
      <c r="H776" s="165">
        <v>-2.11</v>
      </c>
      <c r="I776" s="230">
        <v>45593</v>
      </c>
      <c r="J776" s="230" t="s">
        <v>34</v>
      </c>
      <c r="K776" s="226">
        <v>45593</v>
      </c>
      <c r="L776" s="165" t="s">
        <v>1562</v>
      </c>
      <c r="M776" s="222">
        <v>1047</v>
      </c>
      <c r="N776" s="2" t="str">
        <f t="shared" ca="1" si="23"/>
        <v>CLOSED</v>
      </c>
    </row>
    <row r="777" spans="1:14" ht="15">
      <c r="A777" s="64" t="s">
        <v>64</v>
      </c>
      <c r="B777" s="98" t="e">
        <f>VLOOKUP([2]!Table27[[#This Row],[Location 
(drop-down)]],'[2]List source'!D$2:E$59,2,FALSE)</f>
        <v>#N/A</v>
      </c>
      <c r="C777" s="148" t="s">
        <v>2867</v>
      </c>
      <c r="D777" s="212" t="e">
        <f t="shared" si="24"/>
        <v>#N/A</v>
      </c>
      <c r="E777" s="227" t="s">
        <v>2868</v>
      </c>
      <c r="F777" s="165" t="e" cm="1">
        <f t="array" aca="1" ref="F777" ca="1">MID(LEFT(#REF!, INDEX(_xlfn._xlws.FILTER(ROW(INDIRECT("1:" &amp; LEN(#REF!))), (48 &lt;= CODE(MID(#REF!, ROW(INDIRECT("1:" &amp; LEN(#REF!))), 1))) * (CODE(MID(#REF!, ROW(INDIRECT("1:" &amp; LEN(#REF!))), 1)) &lt;= 57)), 1) - 1), FIND(":",#REF!) + 2, LEN(#REF!))</f>
        <v>#REF!</v>
      </c>
      <c r="G777" s="227" t="e">
        <f>MID(LEFT(#REF!, FIND(",",#REF!) - 1), FIND("{token}", SUBSTITUTE(#REF!, " ", "{token}", 2)) + 1, LEN(#REF!))</f>
        <v>#REF!</v>
      </c>
      <c r="H777" s="236" t="s">
        <v>2869</v>
      </c>
      <c r="I777" s="230">
        <v>45593</v>
      </c>
      <c r="J777" s="230" t="s">
        <v>34</v>
      </c>
      <c r="K777" s="226">
        <v>45593</v>
      </c>
      <c r="L777" s="259" t="s">
        <v>1671</v>
      </c>
      <c r="M777" s="222">
        <v>1048</v>
      </c>
      <c r="N777" s="2" t="str">
        <f t="shared" ca="1" si="23"/>
        <v>CLOSED</v>
      </c>
    </row>
    <row r="778" spans="1:14" ht="15">
      <c r="A778" s="64" t="s">
        <v>53</v>
      </c>
      <c r="B778" s="98" t="e">
        <f>VLOOKUP([2]!Table27[[#This Row],[Location 
(drop-down)]],'[2]List source'!D$2:E$59,2,FALSE)</f>
        <v>#N/A</v>
      </c>
      <c r="C778" s="148" t="s">
        <v>2870</v>
      </c>
      <c r="D778" s="212" t="e">
        <f t="shared" si="24"/>
        <v>#N/A</v>
      </c>
      <c r="E778" s="227" t="s">
        <v>2871</v>
      </c>
      <c r="F778" s="165" t="e" cm="1">
        <f t="array" aca="1" ref="F778" ca="1">MID(LEFT(#REF!, INDEX(_xlfn._xlws.FILTER(ROW(INDIRECT("1:" &amp; LEN(#REF!))), (48 &lt;= CODE(MID(#REF!, ROW(INDIRECT("1:" &amp; LEN(#REF!))), 1))) * (CODE(MID(#REF!, ROW(INDIRECT("1:" &amp; LEN(#REF!))), 1)) &lt;= 57)), 1) - 1), FIND(":",#REF!) + 2, LEN(#REF!))</f>
        <v>#REF!</v>
      </c>
      <c r="G778" s="227" t="e">
        <f>MID(LEFT(#REF!, FIND(",",#REF!) - 1), FIND("{token}", SUBSTITUTE(#REF!, " ", "{token}", 2)) + 1, LEN(#REF!))</f>
        <v>#REF!</v>
      </c>
      <c r="H778" s="165">
        <v>176.47</v>
      </c>
      <c r="I778" s="230">
        <v>45593</v>
      </c>
      <c r="J778" s="230" t="s">
        <v>34</v>
      </c>
      <c r="K778" s="226">
        <v>45593</v>
      </c>
      <c r="L778" s="165" t="s">
        <v>1505</v>
      </c>
      <c r="M778" s="222">
        <v>1049</v>
      </c>
      <c r="N778" s="2" t="str">
        <f t="shared" ca="1" si="23"/>
        <v>CLOSED</v>
      </c>
    </row>
    <row r="779" spans="1:14" ht="30">
      <c r="A779" s="64" t="s">
        <v>485</v>
      </c>
      <c r="B779" s="98" t="e">
        <f>VLOOKUP([2]!Table27[[#This Row],[Location 
(drop-down)]],'[2]List source'!D$2:E$59,2,FALSE)</f>
        <v>#N/A</v>
      </c>
      <c r="C779" s="148" t="s">
        <v>2872</v>
      </c>
      <c r="D779" s="212" t="e">
        <f t="shared" si="24"/>
        <v>#N/A</v>
      </c>
      <c r="E779" s="227" t="s">
        <v>2873</v>
      </c>
      <c r="F779" s="165" t="e" cm="1">
        <f t="array" aca="1" ref="F779" ca="1">MID(LEFT(#REF!, INDEX(_xlfn._xlws.FILTER(ROW(INDIRECT("1:" &amp; LEN(#REF!))), (48 &lt;= CODE(MID(#REF!, ROW(INDIRECT("1:" &amp; LEN(#REF!))), 1))) * (CODE(MID(#REF!, ROW(INDIRECT("1:" &amp; LEN(#REF!))), 1)) &lt;= 57)), 1) - 1), FIND(":",#REF!) + 2, LEN(#REF!))</f>
        <v>#REF!</v>
      </c>
      <c r="G779" s="227" t="e">
        <f>MID(LEFT(#REF!, FIND(",",#REF!) - 1), FIND("{token}", SUBSTITUTE(#REF!, " ", "{token}", 2)) + 1, LEN(#REF!))</f>
        <v>#REF!</v>
      </c>
      <c r="H779" s="236" t="s">
        <v>2874</v>
      </c>
      <c r="I779" s="230">
        <v>45593</v>
      </c>
      <c r="J779" s="230" t="s">
        <v>34</v>
      </c>
      <c r="K779" s="226">
        <v>45593</v>
      </c>
      <c r="L779" s="259" t="s">
        <v>1671</v>
      </c>
      <c r="M779" s="222">
        <v>1052</v>
      </c>
      <c r="N779" s="2" t="str">
        <f t="shared" ca="1" si="23"/>
        <v>CLOSED</v>
      </c>
    </row>
    <row r="780" spans="1:14" ht="30">
      <c r="A780" s="64" t="s">
        <v>714</v>
      </c>
      <c r="B780" s="98" t="e">
        <f>VLOOKUP([2]!Table27[[#This Row],[Location 
(drop-down)]],'[2]List source'!D$2:E$59,2,FALSE)</f>
        <v>#N/A</v>
      </c>
      <c r="C780" s="148" t="s">
        <v>1144</v>
      </c>
      <c r="D780" s="223" t="e">
        <f t="shared" si="24"/>
        <v>#N/A</v>
      </c>
      <c r="E780" s="227" t="s">
        <v>2875</v>
      </c>
      <c r="F780" s="165" t="s">
        <v>1566</v>
      </c>
      <c r="G780" s="227" t="e">
        <f>MID(LEFT(#REF!, FIND(",",#REF!) - 1), FIND("{token}", SUBSTITUTE(#REF!, " ", "{token}", 2)) + 1, LEN(#REF!))</f>
        <v>#REF!</v>
      </c>
      <c r="H780" s="165">
        <v>-2.2000000000000002</v>
      </c>
      <c r="I780" s="230">
        <v>45418</v>
      </c>
      <c r="J780" s="230"/>
      <c r="K780" s="226">
        <v>45594</v>
      </c>
      <c r="L780" s="165"/>
      <c r="M780" s="222">
        <v>417</v>
      </c>
      <c r="N780" s="2" t="str">
        <f t="shared" ca="1" si="23"/>
        <v>CLOSED</v>
      </c>
    </row>
    <row r="781" spans="1:14" ht="18.75">
      <c r="A781" s="64" t="s">
        <v>15</v>
      </c>
      <c r="B781" s="98" t="e">
        <f>VLOOKUP([2]!Table27[[#This Row],[Location 
(drop-down)]],'[2]List source'!D$2:E$59,2,FALSE)</f>
        <v>#N/A</v>
      </c>
      <c r="C781" s="148" t="s">
        <v>315</v>
      </c>
      <c r="D781" s="223" t="e">
        <f t="shared" si="24"/>
        <v>#N/A</v>
      </c>
      <c r="E781" s="227" t="s">
        <v>2876</v>
      </c>
      <c r="F781" s="165" t="s">
        <v>1909</v>
      </c>
      <c r="G781" s="227" t="e">
        <f>MID(LEFT(#REF!, FIND(",",#REF!) - 1), FIND("{token}", SUBSTITUTE(#REF!, " ", "{token}", 2)) + 1, LEN(#REF!))</f>
        <v>#REF!</v>
      </c>
      <c r="H781" s="236" t="s">
        <v>2877</v>
      </c>
      <c r="I781" s="230">
        <v>45422</v>
      </c>
      <c r="J781" s="230" t="s">
        <v>21</v>
      </c>
      <c r="K781" s="226">
        <v>45594</v>
      </c>
      <c r="L781" s="165"/>
      <c r="M781" s="222">
        <v>435</v>
      </c>
      <c r="N781" s="2" t="str">
        <f t="shared" ca="1" si="23"/>
        <v>CLOSED</v>
      </c>
    </row>
    <row r="782" spans="1:14" ht="30">
      <c r="A782" s="64" t="s">
        <v>714</v>
      </c>
      <c r="B782" s="98" t="e">
        <f>VLOOKUP([2]!Table27[[#This Row],[Location 
(drop-down)]],'[2]List source'!D$2:E$59,2,FALSE)</f>
        <v>#N/A</v>
      </c>
      <c r="C782" s="148" t="s">
        <v>2878</v>
      </c>
      <c r="D782" s="223" t="e">
        <f t="shared" si="24"/>
        <v>#N/A</v>
      </c>
      <c r="E782" s="227" t="s">
        <v>2879</v>
      </c>
      <c r="F782" s="165" t="s">
        <v>1566</v>
      </c>
      <c r="G782" s="227" t="e">
        <f>MID(LEFT(#REF!, FIND(",",#REF!) - 1), FIND("{token}", SUBSTITUTE(#REF!, " ", "{token}", 2)) + 1, LEN(#REF!))</f>
        <v>#REF!</v>
      </c>
      <c r="H782" s="236" t="s">
        <v>2880</v>
      </c>
      <c r="I782" s="230">
        <v>45427</v>
      </c>
      <c r="J782" s="230"/>
      <c r="K782" s="226">
        <v>45594</v>
      </c>
      <c r="L782" s="165"/>
      <c r="M782" s="222">
        <v>528</v>
      </c>
      <c r="N782" s="2" t="str">
        <f t="shared" ca="1" si="23"/>
        <v>CLOSED</v>
      </c>
    </row>
    <row r="783" spans="1:14" ht="30">
      <c r="A783" s="64" t="s">
        <v>485</v>
      </c>
      <c r="B783" s="98" t="e">
        <f>VLOOKUP([2]!Table27[[#This Row],[Location 
(drop-down)]],'[2]List source'!D$2:E$59,2,FALSE)</f>
        <v>#N/A</v>
      </c>
      <c r="C783" s="148" t="s">
        <v>2881</v>
      </c>
      <c r="D783" s="212" t="e">
        <f t="shared" si="24"/>
        <v>#N/A</v>
      </c>
      <c r="E783" s="227" t="s">
        <v>2882</v>
      </c>
      <c r="F783" s="165" t="e" cm="1">
        <f t="array" aca="1" ref="F783" ca="1">MID(LEFT(#REF!, INDEX(_xlfn._xlws.FILTER(ROW(INDIRECT("1:" &amp; LEN(#REF!))), (48 &lt;= CODE(MID(#REF!, ROW(INDIRECT("1:" &amp; LEN(#REF!))), 1))) * (CODE(MID(#REF!, ROW(INDIRECT("1:" &amp; LEN(#REF!))), 1)) &lt;= 57)), 1) - 1), FIND(":",#REF!) + 2, LEN(#REF!))</f>
        <v>#REF!</v>
      </c>
      <c r="G783" s="227" t="e">
        <f>MID(LEFT(#REF!, FIND(",",#REF!) - 1), FIND("{token}", SUBSTITUTE(#REF!, " ", "{token}", 2)) + 1, LEN(#REF!))</f>
        <v>#REF!</v>
      </c>
      <c r="H783" s="165">
        <v>2.12</v>
      </c>
      <c r="I783" s="230">
        <v>45594</v>
      </c>
      <c r="J783" s="230" t="s">
        <v>34</v>
      </c>
      <c r="K783" s="226">
        <v>45594</v>
      </c>
      <c r="L783" s="259" t="s">
        <v>1671</v>
      </c>
      <c r="M783" s="222">
        <v>1054</v>
      </c>
      <c r="N783" s="2" t="str">
        <f t="shared" ca="1" si="23"/>
        <v>CLOSED</v>
      </c>
    </row>
    <row r="784" spans="1:14" ht="15">
      <c r="A784" s="176" t="s">
        <v>500</v>
      </c>
      <c r="B784" s="98" t="e">
        <f>VLOOKUP([2]!Table27[[#This Row],[Location 
(drop-down)]],'[2]List source'!D$2:E$59,2,FALSE)</f>
        <v>#N/A</v>
      </c>
      <c r="C784" s="148" t="s">
        <v>2883</v>
      </c>
      <c r="D784" s="212" t="e">
        <f t="shared" si="24"/>
        <v>#N/A</v>
      </c>
      <c r="E784" s="227" t="s">
        <v>2884</v>
      </c>
      <c r="F784" s="165" t="e" cm="1">
        <f t="array" aca="1" ref="F784" ca="1">MID(LEFT(#REF!, INDEX(_xlfn._xlws.FILTER(ROW(INDIRECT("1:" &amp; LEN(#REF!))), (48 &lt;= CODE(MID(#REF!, ROW(INDIRECT("1:" &amp; LEN(#REF!))), 1))) * (CODE(MID(#REF!, ROW(INDIRECT("1:" &amp; LEN(#REF!))), 1)) &lt;= 57)), 1) - 1), FIND(":",#REF!) + 2, LEN(#REF!))</f>
        <v>#REF!</v>
      </c>
      <c r="G784" s="227" t="e">
        <f>MID(LEFT(#REF!, FIND(",",#REF!) - 1), FIND("{token}", SUBSTITUTE(#REF!, " ", "{token}", 2)) + 1, LEN(#REF!))</f>
        <v>#REF!</v>
      </c>
      <c r="H784" s="236" t="s">
        <v>2885</v>
      </c>
      <c r="I784" s="230">
        <v>45594</v>
      </c>
      <c r="J784" s="230" t="s">
        <v>34</v>
      </c>
      <c r="K784" s="226">
        <v>45594</v>
      </c>
      <c r="L784" s="165" t="s">
        <v>1505</v>
      </c>
      <c r="M784" s="222">
        <v>1059</v>
      </c>
      <c r="N784" s="2" t="str">
        <f t="shared" ca="1" si="23"/>
        <v>CLOSED</v>
      </c>
    </row>
    <row r="785" spans="1:14" ht="18.75">
      <c r="A785" s="64" t="s">
        <v>139</v>
      </c>
      <c r="B785" s="98" t="e">
        <f>VLOOKUP([2]!Table27[[#This Row],[Location 
(drop-down)]],'[2]List source'!D$2:E$59,2,FALSE)</f>
        <v>#N/A</v>
      </c>
      <c r="C785" s="148" t="s">
        <v>381</v>
      </c>
      <c r="D785" s="223" t="e">
        <f t="shared" si="24"/>
        <v>#N/A</v>
      </c>
      <c r="E785" s="227" t="s">
        <v>2886</v>
      </c>
      <c r="F785" s="165" t="e" cm="1">
        <f t="array" aca="1" ref="F785" ca="1">MID(LEFT(#REF!, INDEX(_xlfn._xlws.FILTER(ROW(INDIRECT("1:" &amp; LEN(#REF!))), (48 &lt;= CODE(MID(#REF!, ROW(INDIRECT("1:" &amp; LEN(#REF!))), 1))) * (CODE(MID(#REF!, ROW(INDIRECT("1:" &amp; LEN(#REF!))), 1)) &lt;= 57)), 1) - 1), FIND(":",#REF!) + 2, LEN(#REF!))</f>
        <v>#REF!</v>
      </c>
      <c r="G785" s="227" t="e">
        <f>MID(LEFT(#REF!, FIND(",",#REF!) - 1), FIND("{token}", SUBSTITUTE(#REF!, " ", "{token}", 2)) + 1, LEN(#REF!))</f>
        <v>#REF!</v>
      </c>
      <c r="H785" s="165">
        <v>-3.01</v>
      </c>
      <c r="I785" s="230">
        <v>45301</v>
      </c>
      <c r="J785" s="230" t="s">
        <v>1619</v>
      </c>
      <c r="K785" s="226">
        <v>45595</v>
      </c>
      <c r="L785" s="165"/>
      <c r="M785" s="222">
        <v>17</v>
      </c>
      <c r="N785" s="2" t="str">
        <f t="shared" ca="1" si="23"/>
        <v>CLOSED</v>
      </c>
    </row>
    <row r="786" spans="1:14" ht="30">
      <c r="A786" s="64" t="s">
        <v>399</v>
      </c>
      <c r="B786" s="98" t="e">
        <f>VLOOKUP([2]!Table27[[#This Row],[Location 
(drop-down)]],'[2]List source'!D$2:E$59,2,FALSE)</f>
        <v>#N/A</v>
      </c>
      <c r="C786" s="148" t="s">
        <v>592</v>
      </c>
      <c r="D786" s="223" t="e">
        <f t="shared" si="24"/>
        <v>#N/A</v>
      </c>
      <c r="E786" s="240" t="s">
        <v>2887</v>
      </c>
      <c r="F786" s="2" t="e" cm="1">
        <f t="array" aca="1" ref="F786" ca="1">MID(LEFT(#REF!, INDEX(_xlfn._xlws.FILTER(ROW(INDIRECT("1:" &amp; LEN(#REF!))), (48 &lt;= CODE(MID(#REF!, ROW(INDIRECT("1:" &amp; LEN(#REF!))), 1))) * (CODE(MID(#REF!, ROW(INDIRECT("1:" &amp; LEN(#REF!))), 1)) &lt;= 57)), 1) - 1), FIND(":",#REF!) + 2, LEN(#REF!))</f>
        <v>#REF!</v>
      </c>
      <c r="G786" s="240" t="e">
        <f>MID(LEFT(#REF!, FIND(",",#REF!) - 1), FIND("{token}", SUBSTITUTE(#REF!, " ", "{token}", 2)) + 1, LEN(#REF!))</f>
        <v>#REF!</v>
      </c>
      <c r="H786" s="340" t="s">
        <v>2888</v>
      </c>
      <c r="I786" s="230">
        <v>45376</v>
      </c>
      <c r="J786" s="230" t="s">
        <v>21</v>
      </c>
      <c r="K786" s="226">
        <v>45595</v>
      </c>
      <c r="L786" s="165"/>
      <c r="M786" s="222">
        <v>143</v>
      </c>
      <c r="N786" s="2" t="str">
        <f t="shared" ca="1" si="23"/>
        <v>CLOSED</v>
      </c>
    </row>
    <row r="787" spans="1:14" ht="18.75">
      <c r="A787" s="64" t="s">
        <v>103</v>
      </c>
      <c r="B787" s="98" t="e">
        <f>VLOOKUP([2]!Table27[[#This Row],[Location 
(drop-down)]],'[2]List source'!D$2:E$59,2,FALSE)</f>
        <v>#N/A</v>
      </c>
      <c r="C787" s="148" t="s">
        <v>2889</v>
      </c>
      <c r="D787" s="223" t="e">
        <f t="shared" si="24"/>
        <v>#N/A</v>
      </c>
      <c r="E787" s="227" t="s">
        <v>2890</v>
      </c>
      <c r="F787" s="165" t="e" cm="1">
        <f t="array" aca="1" ref="F787" ca="1">MID(LEFT(#REF!, INDEX(_xlfn._xlws.FILTER(ROW(INDIRECT("1:" &amp; LEN(#REF!))), (48 &lt;= CODE(MID(#REF!, ROW(INDIRECT("1:" &amp; LEN(#REF!))), 1))) * (CODE(MID(#REF!, ROW(INDIRECT("1:" &amp; LEN(#REF!))), 1)) &lt;= 57)), 1) - 1), FIND(":",#REF!) + 2, LEN(#REF!))</f>
        <v>#REF!</v>
      </c>
      <c r="G787" s="227" t="e">
        <f>MID(LEFT(#REF!, FIND(",",#REF!) - 1), FIND("{token}", SUBSTITUTE(#REF!, " ", "{token}", 2)) + 1, LEN(#REF!))</f>
        <v>#REF!</v>
      </c>
      <c r="H787" s="236" t="s">
        <v>2318</v>
      </c>
      <c r="I787" s="230">
        <v>45435</v>
      </c>
      <c r="J787" s="230" t="s">
        <v>310</v>
      </c>
      <c r="K787" s="226">
        <v>45595</v>
      </c>
      <c r="L787" s="165"/>
      <c r="M787" s="222">
        <v>550</v>
      </c>
      <c r="N787" s="2" t="str">
        <f t="shared" ca="1" si="23"/>
        <v>CLOSED</v>
      </c>
    </row>
    <row r="788" spans="1:14" ht="30">
      <c r="A788" s="64" t="s">
        <v>500</v>
      </c>
      <c r="B788" s="98" t="e">
        <f>VLOOKUP([2]!Table27[[#This Row],[Location 
(drop-down)]],'[2]List source'!D$2:E$59,2,FALSE)</f>
        <v>#N/A</v>
      </c>
      <c r="C788" s="148" t="s">
        <v>2891</v>
      </c>
      <c r="D788" s="223" t="e">
        <f t="shared" si="24"/>
        <v>#N/A</v>
      </c>
      <c r="E788" s="227" t="s">
        <v>2892</v>
      </c>
      <c r="F788" s="165" t="e" cm="1">
        <f t="array" aca="1" ref="F788" ca="1">MID(LEFT(#REF!, INDEX(_xlfn._xlws.FILTER(ROW(INDIRECT("1:" &amp; LEN(#REF!))), (48 &lt;= CODE(MID(#REF!, ROW(INDIRECT("1:" &amp; LEN(#REF!))), 1))) * (CODE(MID(#REF!, ROW(INDIRECT("1:" &amp; LEN(#REF!))), 1)) &lt;= 57)), 1) - 1), FIND(":",#REF!) + 2, LEN(#REF!))</f>
        <v>#REF!</v>
      </c>
      <c r="G788" s="227" t="e">
        <f>MID(LEFT(#REF!, FIND(",",#REF!) - 1), FIND("{token}", SUBSTITUTE(#REF!, " ", "{token}", 2)) + 1, LEN(#REF!))</f>
        <v>#REF!</v>
      </c>
      <c r="H788" s="165">
        <v>10.08</v>
      </c>
      <c r="I788" s="230">
        <v>45509</v>
      </c>
      <c r="J788" s="230" t="s">
        <v>310</v>
      </c>
      <c r="K788" s="226">
        <v>45595</v>
      </c>
      <c r="L788" s="165"/>
      <c r="M788" s="222">
        <v>693</v>
      </c>
      <c r="N788" s="2" t="str">
        <f t="shared" ca="1" si="23"/>
        <v>CLOSED</v>
      </c>
    </row>
    <row r="789" spans="1:14" ht="30">
      <c r="A789" s="64" t="s">
        <v>518</v>
      </c>
      <c r="B789" s="98" t="e">
        <f>VLOOKUP([2]!Table27[[#This Row],[Location 
(drop-down)]],'[2]List source'!D$2:E$59,2,FALSE)</f>
        <v>#N/A</v>
      </c>
      <c r="C789" s="148" t="s">
        <v>2893</v>
      </c>
      <c r="D789" s="212" t="e">
        <f t="shared" si="24"/>
        <v>#N/A</v>
      </c>
      <c r="E789" s="227" t="s">
        <v>2894</v>
      </c>
      <c r="F789" s="165" t="e" cm="1">
        <f t="array" aca="1" ref="F789" ca="1">MID(LEFT(#REF!, INDEX(_xlfn._xlws.FILTER(ROW(INDIRECT("1:" &amp; LEN(#REF!))), (48 &lt;= CODE(MID(#REF!, ROW(INDIRECT("1:" &amp; LEN(#REF!))), 1))) * (CODE(MID(#REF!, ROW(INDIRECT("1:" &amp; LEN(#REF!))), 1)) &lt;= 57)), 1) - 1), FIND(":",#REF!) + 2, LEN(#REF!))</f>
        <v>#REF!</v>
      </c>
      <c r="G789" s="227" t="e">
        <f>MID(LEFT(#REF!, FIND(",",#REF!) - 1), FIND("{token}", SUBSTITUTE(#REF!, " ", "{token}", 2)) + 1, LEN(#REF!))</f>
        <v>#REF!</v>
      </c>
      <c r="H789" s="165" t="s">
        <v>2895</v>
      </c>
      <c r="I789" s="230">
        <v>45595</v>
      </c>
      <c r="J789" s="230" t="s">
        <v>34</v>
      </c>
      <c r="K789" s="226">
        <v>45595</v>
      </c>
      <c r="L789" s="165" t="s">
        <v>1505</v>
      </c>
      <c r="M789" s="222">
        <v>1060</v>
      </c>
      <c r="N789" s="2" t="str">
        <f t="shared" ca="1" si="23"/>
        <v>CLOSED</v>
      </c>
    </row>
    <row r="790" spans="1:14" ht="30">
      <c r="A790" s="64" t="s">
        <v>714</v>
      </c>
      <c r="B790" s="98" t="e">
        <f>VLOOKUP([2]!Table27[[#This Row],[Location 
(drop-down)]],'[2]List source'!D$2:E$59,2,FALSE)</f>
        <v>#N/A</v>
      </c>
      <c r="C790" s="148" t="s">
        <v>2896</v>
      </c>
      <c r="D790" s="212" t="e">
        <f t="shared" si="24"/>
        <v>#N/A</v>
      </c>
      <c r="E790" s="227" t="s">
        <v>2897</v>
      </c>
      <c r="F790" s="165" t="e" cm="1">
        <f t="array" aca="1" ref="F790" ca="1">MID(LEFT(#REF!, INDEX(_xlfn._xlws.FILTER(ROW(INDIRECT("1:" &amp; LEN(#REF!))), (48 &lt;= CODE(MID(#REF!, ROW(INDIRECT("1:" &amp; LEN(#REF!))), 1))) * (CODE(MID(#REF!, ROW(INDIRECT("1:" &amp; LEN(#REF!))), 1)) &lt;= 57)), 1) - 1), FIND(":",#REF!) + 2, LEN(#REF!))</f>
        <v>#REF!</v>
      </c>
      <c r="G790" s="227" t="e">
        <f>MID(LEFT(#REF!, FIND(",",#REF!) - 1), FIND("{token}", SUBSTITUTE(#REF!, " ", "{token}", 2)) + 1, LEN(#REF!))</f>
        <v>#REF!</v>
      </c>
      <c r="H790" s="165">
        <v>105</v>
      </c>
      <c r="I790" s="230">
        <v>45595</v>
      </c>
      <c r="J790" s="230" t="s">
        <v>34</v>
      </c>
      <c r="K790" s="226">
        <v>45595</v>
      </c>
      <c r="L790" s="165" t="s">
        <v>1505</v>
      </c>
      <c r="M790" s="222">
        <v>1062</v>
      </c>
      <c r="N790" s="2" t="str">
        <f t="shared" ca="1" si="23"/>
        <v>CLOSED</v>
      </c>
    </row>
    <row r="791" spans="1:14" ht="30">
      <c r="A791" s="64" t="s">
        <v>500</v>
      </c>
      <c r="B791" s="98" t="e">
        <f>VLOOKUP([2]!Table27[[#This Row],[Location 
(drop-down)]],'[2]List source'!D$2:E$59,2,FALSE)</f>
        <v>#N/A</v>
      </c>
      <c r="C791" s="148" t="s">
        <v>2898</v>
      </c>
      <c r="D791" s="223" t="e">
        <f t="shared" si="24"/>
        <v>#N/A</v>
      </c>
      <c r="E791" s="227" t="s">
        <v>2899</v>
      </c>
      <c r="F791" s="165" t="e" cm="1">
        <f t="array" aca="1" ref="F791" ca="1">MID(LEFT(#REF!, INDEX(_xlfn._xlws.FILTER(ROW(INDIRECT("1:" &amp; LEN(#REF!))), (48 &lt;= CODE(MID(#REF!, ROW(INDIRECT("1:" &amp; LEN(#REF!))), 1))) * (CODE(MID(#REF!, ROW(INDIRECT("1:" &amp; LEN(#REF!))), 1)) &lt;= 57)), 1) - 1), FIND(":",#REF!) + 2, LEN(#REF!))</f>
        <v>#REF!</v>
      </c>
      <c r="G791" s="227" t="e">
        <f>MID(LEFT(#REF!, FIND(",",#REF!) - 1), FIND("{token}", SUBSTITUTE(#REF!, " ", "{token}", 2)) + 1, LEN(#REF!))</f>
        <v>#REF!</v>
      </c>
      <c r="H791" s="165" t="s">
        <v>2900</v>
      </c>
      <c r="I791" s="230">
        <v>45435</v>
      </c>
      <c r="J791" s="230" t="s">
        <v>310</v>
      </c>
      <c r="K791" s="226">
        <v>45596</v>
      </c>
      <c r="L791" s="165"/>
      <c r="M791" s="222">
        <v>573</v>
      </c>
      <c r="N791" s="2" t="str">
        <f t="shared" ca="1" si="23"/>
        <v>CLOSED</v>
      </c>
    </row>
    <row r="792" spans="1:14" ht="30">
      <c r="A792" s="64" t="s">
        <v>500</v>
      </c>
      <c r="B792" s="98" t="e">
        <f>VLOOKUP([2]!Table27[[#This Row],[Location 
(drop-down)]],'[2]List source'!D$2:E$59,2,FALSE)</f>
        <v>#N/A</v>
      </c>
      <c r="C792" s="148" t="s">
        <v>2901</v>
      </c>
      <c r="D792" s="223" t="e">
        <f t="shared" si="24"/>
        <v>#N/A</v>
      </c>
      <c r="E792" s="227" t="s">
        <v>2902</v>
      </c>
      <c r="F792" s="165" t="e" cm="1">
        <f t="array" aca="1" ref="F792" ca="1">MID(LEFT(#REF!, INDEX(_xlfn._xlws.FILTER(ROW(INDIRECT("1:" &amp; LEN(#REF!))), (48 &lt;= CODE(MID(#REF!, ROW(INDIRECT("1:" &amp; LEN(#REF!))), 1))) * (CODE(MID(#REF!, ROW(INDIRECT("1:" &amp; LEN(#REF!))), 1)) &lt;= 57)), 1) - 1), FIND(":",#REF!) + 2, LEN(#REF!))</f>
        <v>#REF!</v>
      </c>
      <c r="G792" s="227" t="e">
        <f>MID(LEFT(#REF!, FIND(",",#REF!) - 1), FIND("{token}", SUBSTITUTE(#REF!, " ", "{token}", 2)) + 1, LEN(#REF!))</f>
        <v>#REF!</v>
      </c>
      <c r="H792" s="236" t="s">
        <v>2903</v>
      </c>
      <c r="I792" s="230">
        <v>45509</v>
      </c>
      <c r="J792" s="230" t="s">
        <v>310</v>
      </c>
      <c r="K792" s="226">
        <v>45596</v>
      </c>
      <c r="L792" s="165"/>
      <c r="M792" s="222">
        <v>696</v>
      </c>
      <c r="N792" s="2" t="str">
        <f t="shared" ref="N792:N855" ca="1" si="25">IF(ISBLANK(K792), TODAY()-(I792), "CLOSED")</f>
        <v>CLOSED</v>
      </c>
    </row>
    <row r="793" spans="1:14" ht="18.75">
      <c r="A793" s="64" t="s">
        <v>103</v>
      </c>
      <c r="B793" s="98" t="e">
        <f>VLOOKUP([2]!Table27[[#This Row],[Location 
(drop-down)]],'[2]List source'!D$2:E$59,2,FALSE)</f>
        <v>#N/A</v>
      </c>
      <c r="C793" s="148" t="s">
        <v>2904</v>
      </c>
      <c r="D793" s="223" t="e">
        <f t="shared" si="24"/>
        <v>#N/A</v>
      </c>
      <c r="E793" s="227" t="s">
        <v>2905</v>
      </c>
      <c r="F793" s="165" t="e" cm="1">
        <f t="array" aca="1" ref="F793" ca="1">MID(LEFT(#REF!, INDEX(_xlfn._xlws.FILTER(ROW(INDIRECT("1:" &amp; LEN(#REF!))), (48 &lt;= CODE(MID(#REF!, ROW(INDIRECT("1:" &amp; LEN(#REF!))), 1))) * (CODE(MID(#REF!, ROW(INDIRECT("1:" &amp; LEN(#REF!))), 1)) &lt;= 57)), 1) - 1), FIND(":",#REF!) + 2, LEN(#REF!))</f>
        <v>#REF!</v>
      </c>
      <c r="G793" s="227" t="e">
        <f>MID(LEFT(#REF!, FIND(",",#REF!) - 1), FIND("{token}", SUBSTITUTE(#REF!, " ", "{token}", 2)) + 1, LEN(#REF!))</f>
        <v>#REF!</v>
      </c>
      <c r="H793" s="198" t="s">
        <v>2906</v>
      </c>
      <c r="I793" s="230">
        <v>45509</v>
      </c>
      <c r="J793" s="230" t="s">
        <v>310</v>
      </c>
      <c r="K793" s="226">
        <v>45596</v>
      </c>
      <c r="L793" s="165"/>
      <c r="M793" s="222">
        <v>700</v>
      </c>
      <c r="N793" s="2" t="str">
        <f t="shared" ca="1" si="25"/>
        <v>CLOSED</v>
      </c>
    </row>
    <row r="794" spans="1:14" ht="30">
      <c r="A794" s="64" t="s">
        <v>500</v>
      </c>
      <c r="B794" s="98" t="e">
        <f>VLOOKUP([2]!Table27[[#This Row],[Location 
(drop-down)]],'[2]List source'!D$2:E$59,2,FALSE)</f>
        <v>#N/A</v>
      </c>
      <c r="C794" s="148" t="s">
        <v>2907</v>
      </c>
      <c r="D794" s="223" t="e">
        <f t="shared" si="24"/>
        <v>#N/A</v>
      </c>
      <c r="E794" s="227" t="s">
        <v>2908</v>
      </c>
      <c r="F794" s="165" t="e" cm="1">
        <f t="array" aca="1" ref="F794" ca="1">MID(LEFT(#REF!, INDEX(_xlfn._xlws.FILTER(ROW(INDIRECT("1:" &amp; LEN(#REF!))), (48 &lt;= CODE(MID(#REF!, ROW(INDIRECT("1:" &amp; LEN(#REF!))), 1))) * (CODE(MID(#REF!, ROW(INDIRECT("1:" &amp; LEN(#REF!))), 1)) &lt;= 57)), 1) - 1), FIND(":",#REF!) + 2, LEN(#REF!))</f>
        <v>#REF!</v>
      </c>
      <c r="G794" s="227" t="e">
        <f>MID(LEFT(#REF!, FIND(",",#REF!) - 1), FIND("{token}", SUBSTITUTE(#REF!, " ", "{token}", 2)) + 1, LEN(#REF!))</f>
        <v>#REF!</v>
      </c>
      <c r="H794" s="165">
        <v>4.22</v>
      </c>
      <c r="I794" s="230">
        <v>45513</v>
      </c>
      <c r="J794" s="230" t="s">
        <v>310</v>
      </c>
      <c r="K794" s="226">
        <v>45596</v>
      </c>
      <c r="L794" s="165"/>
      <c r="M794" s="222">
        <v>766</v>
      </c>
      <c r="N794" s="2" t="str">
        <f t="shared" ca="1" si="25"/>
        <v>CLOSED</v>
      </c>
    </row>
    <row r="795" spans="1:14" ht="30">
      <c r="A795" s="90" t="s">
        <v>500</v>
      </c>
      <c r="B795" s="98" t="e">
        <f>VLOOKUP([2]!Table27[[#This Row],[Location 
(drop-down)]],'[2]List source'!D$2:E$59,2,FALSE)</f>
        <v>#N/A</v>
      </c>
      <c r="C795" s="177" t="s">
        <v>2909</v>
      </c>
      <c r="D795" s="341" t="e">
        <f t="shared" si="24"/>
        <v>#N/A</v>
      </c>
      <c r="E795" s="227" t="s">
        <v>2910</v>
      </c>
      <c r="F795" s="165" t="e" cm="1">
        <f t="array" aca="1" ref="F795" ca="1">MID(LEFT(#REF!, INDEX(_xlfn._xlws.FILTER(ROW(INDIRECT("1:" &amp; LEN(#REF!))), (48 &lt;= CODE(MID(#REF!, ROW(INDIRECT("1:" &amp; LEN(#REF!))), 1))) * (CODE(MID(#REF!, ROW(INDIRECT("1:" &amp; LEN(#REF!))), 1)) &lt;= 57)), 1) - 1), FIND(":",#REF!) + 2, LEN(#REF!))</f>
        <v>#REF!</v>
      </c>
      <c r="G795" s="227" t="e">
        <f>MID(LEFT(#REF!, FIND(",",#REF!) - 1), FIND("{token}", SUBSTITUTE(#REF!, " ", "{token}", 2)) + 1, LEN(#REF!))</f>
        <v>#REF!</v>
      </c>
      <c r="H795" s="165" t="s">
        <v>2911</v>
      </c>
      <c r="I795" s="230">
        <v>45533</v>
      </c>
      <c r="J795" s="342" t="s">
        <v>34</v>
      </c>
      <c r="K795" s="221">
        <v>45596</v>
      </c>
      <c r="L795" s="165" t="s">
        <v>2912</v>
      </c>
      <c r="M795" s="222">
        <v>835</v>
      </c>
      <c r="N795" s="2" t="str">
        <f t="shared" ca="1" si="25"/>
        <v>CLOSED</v>
      </c>
    </row>
    <row r="796" spans="1:14" ht="30">
      <c r="A796" s="64" t="s">
        <v>500</v>
      </c>
      <c r="B796" s="98" t="e">
        <f>VLOOKUP([2]!Table27[[#This Row],[Location 
(drop-down)]],'[2]List source'!D$2:E$59,2,FALSE)</f>
        <v>#N/A</v>
      </c>
      <c r="C796" s="148" t="s">
        <v>2913</v>
      </c>
      <c r="D796" s="309" t="e">
        <f t="shared" si="24"/>
        <v>#N/A</v>
      </c>
      <c r="E796" s="227" t="s">
        <v>2914</v>
      </c>
      <c r="F796" s="165" t="e" cm="1">
        <f t="array" aca="1" ref="F796" ca="1">MID(LEFT(#REF!, INDEX(_xlfn._xlws.FILTER(ROW(INDIRECT("1:" &amp; LEN(#REF!))), (48 &lt;= CODE(MID(#REF!, ROW(INDIRECT("1:" &amp; LEN(#REF!))), 1))) * (CODE(MID(#REF!, ROW(INDIRECT("1:" &amp; LEN(#REF!))), 1)) &lt;= 57)), 1) - 1), FIND(":",#REF!) + 2, LEN(#REF!))</f>
        <v>#REF!</v>
      </c>
      <c r="G796" s="227" t="e">
        <f>MID(LEFT(#REF!, FIND(",",#REF!) - 1), FIND("{token}", SUBSTITUTE(#REF!, " ", "{token}", 2)) + 1, LEN(#REF!))</f>
        <v>#REF!</v>
      </c>
      <c r="H796" s="165" t="s">
        <v>2915</v>
      </c>
      <c r="I796" s="230">
        <v>45533</v>
      </c>
      <c r="J796" s="230" t="s">
        <v>310</v>
      </c>
      <c r="K796" s="226">
        <v>45596</v>
      </c>
      <c r="L796" s="165"/>
      <c r="M796" s="222">
        <v>836</v>
      </c>
      <c r="N796" s="2" t="str">
        <f t="shared" ca="1" si="25"/>
        <v>CLOSED</v>
      </c>
    </row>
    <row r="797" spans="1:14" ht="30">
      <c r="A797" s="64" t="s">
        <v>500</v>
      </c>
      <c r="B797" s="98" t="e">
        <f>VLOOKUP([2]!Table27[[#This Row],[Location 
(drop-down)]],'[2]List source'!D$2:E$59,2,FALSE)</f>
        <v>#N/A</v>
      </c>
      <c r="C797" s="148" t="s">
        <v>2916</v>
      </c>
      <c r="D797" s="309" t="e">
        <f t="shared" si="24"/>
        <v>#N/A</v>
      </c>
      <c r="E797" s="227" t="s">
        <v>2917</v>
      </c>
      <c r="F797" s="165" t="e" cm="1">
        <f t="array" aca="1" ref="F797" ca="1">MID(LEFT(#REF!, INDEX(_xlfn._xlws.FILTER(ROW(INDIRECT("1:" &amp; LEN(#REF!))), (48 &lt;= CODE(MID(#REF!, ROW(INDIRECT("1:" &amp; LEN(#REF!))), 1))) * (CODE(MID(#REF!, ROW(INDIRECT("1:" &amp; LEN(#REF!))), 1)) &lt;= 57)), 1) - 1), FIND(":",#REF!) + 2, LEN(#REF!))</f>
        <v>#REF!</v>
      </c>
      <c r="G797" s="227" t="e">
        <f>MID(LEFT(#REF!, FIND(",",#REF!) - 1), FIND("{token}", SUBSTITUTE(#REF!, " ", "{token}", 2)) + 1, LEN(#REF!))</f>
        <v>#REF!</v>
      </c>
      <c r="H797" s="236" t="s">
        <v>2918</v>
      </c>
      <c r="I797" s="230">
        <v>45533</v>
      </c>
      <c r="J797" s="230" t="s">
        <v>310</v>
      </c>
      <c r="K797" s="226">
        <v>45596</v>
      </c>
      <c r="L797" s="165"/>
      <c r="M797" s="222">
        <v>837</v>
      </c>
      <c r="N797" s="2" t="str">
        <f t="shared" ca="1" si="25"/>
        <v>CLOSED</v>
      </c>
    </row>
    <row r="798" spans="1:14" ht="30">
      <c r="A798" s="64" t="s">
        <v>500</v>
      </c>
      <c r="B798" s="98" t="e">
        <f>VLOOKUP([2]!Table27[[#This Row],[Location 
(drop-down)]],'[2]List source'!D$2:E$59,2,FALSE)</f>
        <v>#N/A</v>
      </c>
      <c r="C798" s="148" t="s">
        <v>2919</v>
      </c>
      <c r="D798" s="309" t="e">
        <f t="shared" si="24"/>
        <v>#N/A</v>
      </c>
      <c r="E798" s="227" t="s">
        <v>2920</v>
      </c>
      <c r="F798" s="165" t="e" cm="1">
        <f t="array" aca="1" ref="F798" ca="1">MID(LEFT(#REF!, INDEX(_xlfn._xlws.FILTER(ROW(INDIRECT("1:" &amp; LEN(#REF!))), (48 &lt;= CODE(MID(#REF!, ROW(INDIRECT("1:" &amp; LEN(#REF!))), 1))) * (CODE(MID(#REF!, ROW(INDIRECT("1:" &amp; LEN(#REF!))), 1)) &lt;= 57)), 1) - 1), FIND(":",#REF!) + 2, LEN(#REF!))</f>
        <v>#REF!</v>
      </c>
      <c r="G798" s="227" t="e">
        <f>MID(LEFT(#REF!, FIND(",",#REF!) - 1), FIND("{token}", SUBSTITUTE(#REF!, " ", "{token}", 2)) + 1, LEN(#REF!))</f>
        <v>#REF!</v>
      </c>
      <c r="H798" s="165" t="s">
        <v>2921</v>
      </c>
      <c r="I798" s="230">
        <v>45534</v>
      </c>
      <c r="J798" s="230" t="s">
        <v>310</v>
      </c>
      <c r="K798" s="226">
        <v>45596</v>
      </c>
      <c r="L798" s="165"/>
      <c r="M798" s="222">
        <v>885</v>
      </c>
      <c r="N798" s="2" t="str">
        <f t="shared" ca="1" si="25"/>
        <v>CLOSED</v>
      </c>
    </row>
    <row r="799" spans="1:14" ht="30">
      <c r="A799" s="64" t="s">
        <v>500</v>
      </c>
      <c r="B799" s="98" t="e">
        <f>VLOOKUP([2]!Table27[[#This Row],[Location 
(drop-down)]],'[2]List source'!D$2:E$59,2,FALSE)</f>
        <v>#N/A</v>
      </c>
      <c r="C799" s="148" t="s">
        <v>2922</v>
      </c>
      <c r="D799" s="309" t="e">
        <f t="shared" si="24"/>
        <v>#N/A</v>
      </c>
      <c r="E799" s="227" t="s">
        <v>2923</v>
      </c>
      <c r="F799" s="165" t="e" cm="1">
        <f t="array" aca="1" ref="F799" ca="1">MID(LEFT(#REF!, INDEX(_xlfn._xlws.FILTER(ROW(INDIRECT("1:" &amp; LEN(#REF!))), (48 &lt;= CODE(MID(#REF!, ROW(INDIRECT("1:" &amp; LEN(#REF!))), 1))) * (CODE(MID(#REF!, ROW(INDIRECT("1:" &amp; LEN(#REF!))), 1)) &lt;= 57)), 1) - 1), FIND(":",#REF!) + 2, LEN(#REF!))</f>
        <v>#REF!</v>
      </c>
      <c r="G799" s="227" t="e">
        <f>MID(LEFT(#REF!, FIND(",",#REF!) - 1), FIND("{token}", SUBSTITUTE(#REF!, " ", "{token}", 2)) + 1, LEN(#REF!))</f>
        <v>#REF!</v>
      </c>
      <c r="H799" s="236" t="s">
        <v>2202</v>
      </c>
      <c r="I799" s="230">
        <v>45534</v>
      </c>
      <c r="J799" s="230" t="s">
        <v>310</v>
      </c>
      <c r="K799" s="226">
        <v>45596</v>
      </c>
      <c r="L799" s="165"/>
      <c r="M799" s="222">
        <v>888</v>
      </c>
      <c r="N799" s="2" t="str">
        <f t="shared" ca="1" si="25"/>
        <v>CLOSED</v>
      </c>
    </row>
    <row r="800" spans="1:14" ht="30">
      <c r="A800" s="64" t="s">
        <v>500</v>
      </c>
      <c r="B800" s="98" t="e">
        <f>VLOOKUP([2]!Table27[[#This Row],[Location 
(drop-down)]],'[2]List source'!D$2:E$59,2,FALSE)</f>
        <v>#N/A</v>
      </c>
      <c r="C800" s="148" t="s">
        <v>2924</v>
      </c>
      <c r="D800" s="309" t="e">
        <f t="shared" si="24"/>
        <v>#N/A</v>
      </c>
      <c r="E800" s="227" t="s">
        <v>2925</v>
      </c>
      <c r="F800" s="165" t="e" cm="1">
        <f t="array" aca="1" ref="F800" ca="1">MID(LEFT(#REF!, INDEX(_xlfn._xlws.FILTER(ROW(INDIRECT("1:" &amp; LEN(#REF!))), (48 &lt;= CODE(MID(#REF!, ROW(INDIRECT("1:" &amp; LEN(#REF!))), 1))) * (CODE(MID(#REF!, ROW(INDIRECT("1:" &amp; LEN(#REF!))), 1)) &lt;= 57)), 1) - 1), FIND(":",#REF!) + 2, LEN(#REF!))</f>
        <v>#REF!</v>
      </c>
      <c r="G800" s="227" t="e">
        <f>MID(LEFT(#REF!, FIND(",",#REF!) - 1), FIND("{token}", SUBSTITUTE(#REF!, " ", "{token}", 2)) + 1, LEN(#REF!))</f>
        <v>#REF!</v>
      </c>
      <c r="H800" s="165">
        <v>2.19</v>
      </c>
      <c r="I800" s="230">
        <v>45540</v>
      </c>
      <c r="J800" s="230" t="s">
        <v>310</v>
      </c>
      <c r="K800" s="226">
        <v>45596</v>
      </c>
      <c r="L800" s="165"/>
      <c r="M800" s="222">
        <v>919</v>
      </c>
      <c r="N800" s="2" t="str">
        <f t="shared" ca="1" si="25"/>
        <v>CLOSED</v>
      </c>
    </row>
    <row r="801" spans="1:14" ht="18.75">
      <c r="A801" s="64" t="s">
        <v>15</v>
      </c>
      <c r="B801" s="98" t="e">
        <f>VLOOKUP([2]!Table27[[#This Row],[Location 
(drop-down)]],'[2]List source'!D$2:E$59,2,FALSE)</f>
        <v>#N/A</v>
      </c>
      <c r="C801" s="148" t="s">
        <v>1139</v>
      </c>
      <c r="D801" s="223" t="e">
        <f t="shared" si="24"/>
        <v>#N/A</v>
      </c>
      <c r="E801" s="240" t="s">
        <v>2926</v>
      </c>
      <c r="F801" s="2" t="e" cm="1">
        <f t="array" aca="1" ref="F801" ca="1">MID(LEFT(#REF!, INDEX(_xlfn._xlws.FILTER(ROW(INDIRECT("1:" &amp; LEN(#REF!))), (48 &lt;= CODE(MID(#REF!, ROW(INDIRECT("1:" &amp; LEN(#REF!))), 1))) * (CODE(MID(#REF!, ROW(INDIRECT("1:" &amp; LEN(#REF!))), 1)) &lt;= 57)), 1) - 1), FIND(":",#REF!) + 2, LEN(#REF!))</f>
        <v>#REF!</v>
      </c>
      <c r="G801" s="240" t="e">
        <f>MID(LEFT(#REF!, FIND(",",#REF!) - 1), FIND("{token}", SUBSTITUTE(#REF!, " ", "{token}", 2)) + 1, LEN(#REF!))</f>
        <v>#REF!</v>
      </c>
      <c r="H801" s="2">
        <v>3.07</v>
      </c>
      <c r="I801" s="230">
        <v>45376</v>
      </c>
      <c r="J801" s="230" t="s">
        <v>34</v>
      </c>
      <c r="K801" s="226">
        <v>45597</v>
      </c>
      <c r="L801" s="165" t="s">
        <v>1505</v>
      </c>
      <c r="M801" s="222">
        <v>139</v>
      </c>
      <c r="N801" s="2" t="str">
        <f t="shared" ca="1" si="25"/>
        <v>CLOSED</v>
      </c>
    </row>
    <row r="802" spans="1:14" ht="30">
      <c r="A802" s="64" t="s">
        <v>119</v>
      </c>
      <c r="B802" s="98" t="e">
        <f>VLOOKUP([2]!Table27[[#This Row],[Location 
(drop-down)]],'[2]List source'!D$2:E$59,2,FALSE)</f>
        <v>#N/A</v>
      </c>
      <c r="C802" s="148" t="s">
        <v>2927</v>
      </c>
      <c r="D802" s="223" t="e">
        <f t="shared" si="24"/>
        <v>#N/A</v>
      </c>
      <c r="E802" s="227" t="s">
        <v>2928</v>
      </c>
      <c r="F802" s="165" t="e" cm="1">
        <f t="array" aca="1" ref="F802" ca="1">MID(LEFT(#REF!, INDEX(_xlfn._xlws.FILTER(ROW(INDIRECT("1:" &amp; LEN(#REF!))), (48 &lt;= CODE(MID(#REF!, ROW(INDIRECT("1:" &amp; LEN(#REF!))), 1))) * (CODE(MID(#REF!, ROW(INDIRECT("1:" &amp; LEN(#REF!))), 1)) &lt;= 57)), 1) - 1), FIND(":",#REF!) + 2, LEN(#REF!))</f>
        <v>#REF!</v>
      </c>
      <c r="G802" s="227" t="e">
        <f>MID(LEFT(#REF!, FIND(",",#REF!) - 1), FIND("{token}", SUBSTITUTE(#REF!, " ", "{token}", 2)) + 1, LEN(#REF!))</f>
        <v>#REF!</v>
      </c>
      <c r="H802" s="165">
        <v>3.07</v>
      </c>
      <c r="I802" s="230">
        <v>45513</v>
      </c>
      <c r="J802" s="230" t="s">
        <v>239</v>
      </c>
      <c r="K802" s="226">
        <v>45597</v>
      </c>
      <c r="L802" s="165"/>
      <c r="M802" s="222">
        <v>753</v>
      </c>
      <c r="N802" s="2" t="str">
        <f t="shared" ca="1" si="25"/>
        <v>CLOSED</v>
      </c>
    </row>
    <row r="803" spans="1:14" ht="30">
      <c r="A803" s="64" t="s">
        <v>39</v>
      </c>
      <c r="B803" s="98" t="e">
        <f>VLOOKUP([2]!Table27[[#This Row],[Location 
(drop-down)]],'[2]List source'!D$2:E$59,2,FALSE)</f>
        <v>#N/A</v>
      </c>
      <c r="C803" s="148" t="s">
        <v>2929</v>
      </c>
      <c r="D803" s="223" t="e">
        <f t="shared" si="24"/>
        <v>#N/A</v>
      </c>
      <c r="E803" s="227" t="s">
        <v>2930</v>
      </c>
      <c r="F803" s="165" t="e" cm="1">
        <f t="array" aca="1" ref="F803" ca="1">MID(LEFT(#REF!, INDEX(_xlfn._xlws.FILTER(ROW(INDIRECT("1:" &amp; LEN(#REF!))), (48 &lt;= CODE(MID(#REF!, ROW(INDIRECT("1:" &amp; LEN(#REF!))), 1))) * (CODE(MID(#REF!, ROW(INDIRECT("1:" &amp; LEN(#REF!))), 1)) &lt;= 57)), 1) - 1), FIND(":",#REF!) + 2, LEN(#REF!))</f>
        <v>#REF!</v>
      </c>
      <c r="G803" s="227" t="e">
        <f>MID(LEFT(#REF!, FIND(",",#REF!) - 1), FIND("{token}", SUBSTITUTE(#REF!, " ", "{token}", 2)) + 1, LEN(#REF!))</f>
        <v>#REF!</v>
      </c>
      <c r="H803" s="236" t="s">
        <v>2931</v>
      </c>
      <c r="I803" s="230">
        <v>45533</v>
      </c>
      <c r="J803" s="230" t="s">
        <v>327</v>
      </c>
      <c r="K803" s="226">
        <v>45597</v>
      </c>
      <c r="L803" s="165"/>
      <c r="M803" s="222">
        <v>808</v>
      </c>
      <c r="N803" s="2" t="str">
        <f t="shared" ca="1" si="25"/>
        <v>CLOSED</v>
      </c>
    </row>
    <row r="804" spans="1:14" ht="18.75">
      <c r="A804" s="90" t="s">
        <v>167</v>
      </c>
      <c r="B804" s="98" t="e">
        <f>VLOOKUP([2]!Table27[[#This Row],[Location 
(drop-down)]],'[2]List source'!D$2:E$59,2,FALSE)</f>
        <v>#N/A</v>
      </c>
      <c r="C804" s="177" t="s">
        <v>2932</v>
      </c>
      <c r="D804" s="341" t="e">
        <f t="shared" si="24"/>
        <v>#N/A</v>
      </c>
      <c r="E804" s="227" t="s">
        <v>2933</v>
      </c>
      <c r="F804" s="165" t="e" cm="1">
        <f t="array" aca="1" ref="F804" ca="1">MID(LEFT(#REF!, INDEX(_xlfn._xlws.FILTER(ROW(INDIRECT("1:" &amp; LEN(#REF!))), (48 &lt;= CODE(MID(#REF!, ROW(INDIRECT("1:" &amp; LEN(#REF!))), 1))) * (CODE(MID(#REF!, ROW(INDIRECT("1:" &amp; LEN(#REF!))), 1)) &lt;= 57)), 1) - 1), FIND(":",#REF!) + 2, LEN(#REF!))</f>
        <v>#REF!</v>
      </c>
      <c r="G804" s="227" t="e">
        <f>MID(LEFT(#REF!, FIND(",",#REF!) - 1), FIND("{token}", SUBSTITUTE(#REF!, " ", "{token}", 2)) + 1, LEN(#REF!))</f>
        <v>#REF!</v>
      </c>
      <c r="H804" s="165">
        <v>7.69</v>
      </c>
      <c r="I804" s="230">
        <v>45533</v>
      </c>
      <c r="J804" s="342" t="s">
        <v>2934</v>
      </c>
      <c r="K804" s="221">
        <v>45597</v>
      </c>
      <c r="L804" s="165"/>
      <c r="M804" s="222">
        <v>824</v>
      </c>
      <c r="N804" s="2" t="str">
        <f t="shared" ca="1" si="25"/>
        <v>CLOSED</v>
      </c>
    </row>
    <row r="805" spans="1:14" ht="18.75">
      <c r="A805" s="64" t="s">
        <v>15</v>
      </c>
      <c r="B805" s="98" t="e">
        <f>VLOOKUP([2]!Table27[[#This Row],[Location 
(drop-down)]],'[2]List source'!D$2:E$59,2,FALSE)</f>
        <v>#N/A</v>
      </c>
      <c r="C805" s="148" t="s">
        <v>386</v>
      </c>
      <c r="D805" s="223" t="e">
        <f t="shared" si="24"/>
        <v>#N/A</v>
      </c>
      <c r="E805" s="240" t="s">
        <v>2935</v>
      </c>
      <c r="F805" s="2" t="e" cm="1">
        <f t="array" aca="1" ref="F805" ca="1">MID(LEFT(#REF!, INDEX(_xlfn._xlws.FILTER(ROW(INDIRECT("1:" &amp; LEN(#REF!))), (48 &lt;= CODE(MID(#REF!, ROW(INDIRECT("1:" &amp; LEN(#REF!))), 1))) * (CODE(MID(#REF!, ROW(INDIRECT("1:" &amp; LEN(#REF!))), 1)) &lt;= 57)), 1) - 1), FIND(":",#REF!) + 2, LEN(#REF!))</f>
        <v>#REF!</v>
      </c>
      <c r="G805" s="240" t="e">
        <f>MID(LEFT(#REF!, FIND(",",#REF!) - 1), FIND("{token}", SUBSTITUTE(#REF!, " ", "{token}", 2)) + 1, LEN(#REF!))</f>
        <v>#REF!</v>
      </c>
      <c r="H805" s="254" t="s">
        <v>2936</v>
      </c>
      <c r="I805" s="230">
        <v>45376</v>
      </c>
      <c r="J805" s="230" t="s">
        <v>21</v>
      </c>
      <c r="K805" s="226">
        <v>45600</v>
      </c>
      <c r="L805" s="165"/>
      <c r="M805" s="222">
        <v>142</v>
      </c>
      <c r="N805" s="2" t="str">
        <f t="shared" ca="1" si="25"/>
        <v>CLOSED</v>
      </c>
    </row>
    <row r="806" spans="1:14" ht="18.75">
      <c r="A806" s="64" t="s">
        <v>15</v>
      </c>
      <c r="B806" s="98" t="e">
        <f>VLOOKUP([2]!Table27[[#This Row],[Location 
(drop-down)]],'[2]List source'!D$2:E$59,2,FALSE)</f>
        <v>#N/A</v>
      </c>
      <c r="C806" s="148" t="s">
        <v>978</v>
      </c>
      <c r="D806" s="223" t="e">
        <f t="shared" si="24"/>
        <v>#N/A</v>
      </c>
      <c r="E806" s="227" t="s">
        <v>2937</v>
      </c>
      <c r="F806" s="165" t="e" cm="1">
        <f t="array" aca="1" ref="F806" ca="1">MID(LEFT(#REF!, INDEX(_xlfn._xlws.FILTER(ROW(INDIRECT("1:" &amp; LEN(#REF!))), (48 &lt;= CODE(MID(#REF!, ROW(INDIRECT("1:" &amp; LEN(#REF!))), 1))) * (CODE(MID(#REF!, ROW(INDIRECT("1:" &amp; LEN(#REF!))), 1)) &lt;= 57)), 1) - 1), FIND(":",#REF!) + 2, LEN(#REF!))</f>
        <v>#REF!</v>
      </c>
      <c r="G806" s="227" t="e">
        <f>MID(LEFT(#REF!, FIND(",",#REF!) - 1), FIND("{token}", SUBSTITUTE(#REF!, " ", "{token}", 2)) + 1, LEN(#REF!))</f>
        <v>#REF!</v>
      </c>
      <c r="H806" s="246" t="s">
        <v>2938</v>
      </c>
      <c r="I806" s="260">
        <v>45407</v>
      </c>
      <c r="J806" s="230" t="s">
        <v>21</v>
      </c>
      <c r="K806" s="226">
        <v>45600</v>
      </c>
      <c r="L806" s="165"/>
      <c r="M806" s="222">
        <v>239</v>
      </c>
      <c r="N806" s="2" t="str">
        <f t="shared" ca="1" si="25"/>
        <v>CLOSED</v>
      </c>
    </row>
    <row r="807" spans="1:14" ht="18.75">
      <c r="A807" s="64" t="s">
        <v>15</v>
      </c>
      <c r="B807" s="98" t="e">
        <f>VLOOKUP([2]!Table27[[#This Row],[Location 
(drop-down)]],'[2]List source'!D$2:E$59,2,FALSE)</f>
        <v>#N/A</v>
      </c>
      <c r="C807" s="148" t="s">
        <v>470</v>
      </c>
      <c r="D807" s="223" t="e">
        <f t="shared" si="24"/>
        <v>#N/A</v>
      </c>
      <c r="E807" s="343" t="s">
        <v>2939</v>
      </c>
      <c r="F807" s="344" t="e" cm="1">
        <f t="array" aca="1" ref="F807" ca="1">MID(LEFT(#REF!, INDEX(_xlfn._xlws.FILTER(ROW(INDIRECT("1:" &amp; LEN(#REF!))), (48 &lt;= CODE(MID(#REF!, ROW(INDIRECT("1:" &amp; LEN(#REF!))), 1))) * (CODE(MID(#REF!, ROW(INDIRECT("1:" &amp; LEN(#REF!))), 1)) &lt;= 57)), 1) - 1), FIND(":",#REF!) + 2, LEN(#REF!))</f>
        <v>#REF!</v>
      </c>
      <c r="G807" s="343" t="e">
        <f>MID(LEFT(#REF!, FIND(",",#REF!) - 1), FIND("{token}", SUBSTITUTE(#REF!, " ", "{token}", 2)) + 1, LEN(#REF!))</f>
        <v>#REF!</v>
      </c>
      <c r="H807" s="344">
        <v>11.49</v>
      </c>
      <c r="I807" s="230">
        <v>45301</v>
      </c>
      <c r="J807" s="230" t="s">
        <v>21</v>
      </c>
      <c r="K807" s="226">
        <v>45601</v>
      </c>
      <c r="L807" s="165"/>
      <c r="M807" s="222">
        <v>13</v>
      </c>
      <c r="N807" s="2" t="str">
        <f t="shared" ca="1" si="25"/>
        <v>CLOSED</v>
      </c>
    </row>
    <row r="808" spans="1:14" ht="18.75">
      <c r="A808" s="64" t="s">
        <v>15</v>
      </c>
      <c r="B808" s="98" t="e">
        <f>VLOOKUP([2]!Table27[[#This Row],[Location 
(drop-down)]],'[2]List source'!D$2:E$59,2,FALSE)</f>
        <v>#N/A</v>
      </c>
      <c r="C808" s="148" t="s">
        <v>2940</v>
      </c>
      <c r="D808" s="223" t="e">
        <f t="shared" si="24"/>
        <v>#N/A</v>
      </c>
      <c r="E808" s="227" t="s">
        <v>2941</v>
      </c>
      <c r="F808" s="165" t="s">
        <v>1988</v>
      </c>
      <c r="G808" s="227" t="e">
        <f>MID(LEFT(#REF!, FIND(",",#REF!) - 1), FIND("{token}", SUBSTITUTE(#REF!, " ", "{token}", 2)) + 1, LEN(#REF!))</f>
        <v>#REF!</v>
      </c>
      <c r="H808" s="165">
        <v>7.17</v>
      </c>
      <c r="I808" s="230">
        <v>45434</v>
      </c>
      <c r="J808" s="230" t="s">
        <v>21</v>
      </c>
      <c r="K808" s="226">
        <v>45601</v>
      </c>
      <c r="L808" s="165"/>
      <c r="M808" s="222">
        <v>541</v>
      </c>
      <c r="N808" s="2" t="str">
        <f t="shared" ca="1" si="25"/>
        <v>CLOSED</v>
      </c>
    </row>
    <row r="809" spans="1:14" ht="30">
      <c r="A809" s="64" t="s">
        <v>714</v>
      </c>
      <c r="B809" s="98" t="e">
        <f>VLOOKUP([2]!Table27[[#This Row],[Location 
(drop-down)]],'[2]List source'!D$2:E$59,2,FALSE)</f>
        <v>#N/A</v>
      </c>
      <c r="C809" s="148" t="s">
        <v>2942</v>
      </c>
      <c r="D809" s="309" t="e">
        <f t="shared" si="24"/>
        <v>#N/A</v>
      </c>
      <c r="E809" s="227" t="s">
        <v>2943</v>
      </c>
      <c r="F809" s="165" t="e" cm="1">
        <f t="array" aca="1" ref="F809" ca="1">MID(LEFT(#REF!, INDEX(_xlfn._xlws.FILTER(ROW(INDIRECT("1:" &amp; LEN(#REF!))), (48 &lt;= CODE(MID(#REF!, ROW(INDIRECT("1:" &amp; LEN(#REF!))), 1))) * (CODE(MID(#REF!, ROW(INDIRECT("1:" &amp; LEN(#REF!))), 1)) &lt;= 57)), 1) - 1), FIND(":",#REF!) + 2, LEN(#REF!))</f>
        <v>#REF!</v>
      </c>
      <c r="G809" s="227" t="e">
        <f>MID(LEFT(#REF!, FIND(",",#REF!) - 1), FIND("{token}", SUBSTITUTE(#REF!, " ", "{token}", 2)) + 1, LEN(#REF!))</f>
        <v>#REF!</v>
      </c>
      <c r="H809" s="165">
        <v>4.96</v>
      </c>
      <c r="I809" s="230">
        <v>45533</v>
      </c>
      <c r="J809" s="230" t="s">
        <v>29</v>
      </c>
      <c r="K809" s="226">
        <v>45601</v>
      </c>
      <c r="L809" s="165"/>
      <c r="M809" s="222">
        <v>847</v>
      </c>
      <c r="N809" s="2" t="str">
        <f t="shared" ca="1" si="25"/>
        <v>CLOSED</v>
      </c>
    </row>
    <row r="810" spans="1:14" ht="30">
      <c r="A810" s="64" t="s">
        <v>202</v>
      </c>
      <c r="B810" s="98" t="e">
        <f>VLOOKUP([2]!Table27[[#This Row],[Location 
(drop-down)]],'[2]List source'!D$2:E$59,2,FALSE)</f>
        <v>#N/A</v>
      </c>
      <c r="C810" s="148" t="s">
        <v>2944</v>
      </c>
      <c r="D810" s="309" t="e">
        <f t="shared" si="24"/>
        <v>#N/A</v>
      </c>
      <c r="E810" s="227" t="s">
        <v>2945</v>
      </c>
      <c r="F810" s="165" t="e" cm="1">
        <f t="array" aca="1" ref="F810" ca="1">MID(LEFT(#REF!, INDEX(_xlfn._xlws.FILTER(ROW(INDIRECT("1:" &amp; LEN(#REF!))), (48 &lt;= CODE(MID(#REF!, ROW(INDIRECT("1:" &amp; LEN(#REF!))), 1))) * (CODE(MID(#REF!, ROW(INDIRECT("1:" &amp; LEN(#REF!))), 1)) &lt;= 57)), 1) - 1), FIND(":",#REF!) + 2, LEN(#REF!))</f>
        <v>#REF!</v>
      </c>
      <c r="G810" s="227" t="e">
        <f>MID(LEFT(#REF!, FIND(",",#REF!) - 1), FIND("{token}", SUBSTITUTE(#REF!, " ", "{token}", 2)) + 1, LEN(#REF!))</f>
        <v>#REF!</v>
      </c>
      <c r="H810" s="236" t="s">
        <v>2946</v>
      </c>
      <c r="I810" s="230">
        <v>45540</v>
      </c>
      <c r="J810" s="230" t="s">
        <v>21</v>
      </c>
      <c r="K810" s="226">
        <v>45601</v>
      </c>
      <c r="L810" s="165"/>
      <c r="M810" s="222">
        <v>921</v>
      </c>
      <c r="N810" s="2" t="str">
        <f t="shared" ca="1" si="25"/>
        <v>CLOSED</v>
      </c>
    </row>
    <row r="811" spans="1:14" ht="18.75">
      <c r="A811" s="64" t="s">
        <v>15</v>
      </c>
      <c r="B811" s="98" t="e">
        <f>VLOOKUP([2]!Table27[[#This Row],[Location 
(drop-down)]],'[2]List source'!D$2:E$59,2,FALSE)</f>
        <v>#N/A</v>
      </c>
      <c r="C811" s="148" t="s">
        <v>389</v>
      </c>
      <c r="D811" s="223" t="e">
        <f t="shared" si="24"/>
        <v>#N/A</v>
      </c>
      <c r="E811" s="240" t="s">
        <v>2947</v>
      </c>
      <c r="F811" s="2" t="e" cm="1">
        <f t="array" aca="1" ref="F811" ca="1">MID(LEFT(#REF!, INDEX(_xlfn._xlws.FILTER(ROW(INDIRECT("1:" &amp; LEN(#REF!))), (48 &lt;= CODE(MID(#REF!, ROW(INDIRECT("1:" &amp; LEN(#REF!))), 1))) * (CODE(MID(#REF!, ROW(INDIRECT("1:" &amp; LEN(#REF!))), 1)) &lt;= 57)), 1) - 1), FIND(":",#REF!) + 2, LEN(#REF!))</f>
        <v>#REF!</v>
      </c>
      <c r="G811" s="240" t="e">
        <f>MID(LEFT(#REF!, FIND(",",#REF!) - 1), FIND("{token}", SUBSTITUTE(#REF!, " ", "{token}", 2)) + 1, LEN(#REF!))</f>
        <v>#REF!</v>
      </c>
      <c r="H811" s="2">
        <v>2.6</v>
      </c>
      <c r="I811" s="230">
        <v>45376</v>
      </c>
      <c r="J811" s="230" t="s">
        <v>21</v>
      </c>
      <c r="K811" s="226">
        <v>45602</v>
      </c>
      <c r="L811" s="165"/>
      <c r="M811" s="222">
        <v>140</v>
      </c>
      <c r="N811" s="2" t="str">
        <f t="shared" ca="1" si="25"/>
        <v>CLOSED</v>
      </c>
    </row>
    <row r="812" spans="1:14" ht="18.75">
      <c r="A812" s="64" t="s">
        <v>15</v>
      </c>
      <c r="B812" s="98" t="e">
        <f>VLOOKUP([2]!Table27[[#This Row],[Location 
(drop-down)]],'[2]List source'!D$2:E$59,2,FALSE)</f>
        <v>#N/A</v>
      </c>
      <c r="C812" s="148" t="s">
        <v>383</v>
      </c>
      <c r="D812" s="223" t="e">
        <f t="shared" si="24"/>
        <v>#N/A</v>
      </c>
      <c r="E812" s="240" t="s">
        <v>2948</v>
      </c>
      <c r="F812" s="2" t="e" cm="1">
        <f t="array" aca="1" ref="F812" ca="1">MID(LEFT(#REF!, INDEX(_xlfn._xlws.FILTER(ROW(INDIRECT("1:" &amp; LEN(#REF!))), (48 &lt;= CODE(MID(#REF!, ROW(INDIRECT("1:" &amp; LEN(#REF!))), 1))) * (CODE(MID(#REF!, ROW(INDIRECT("1:" &amp; LEN(#REF!))), 1)) &lt;= 57)), 1) - 1), FIND(":",#REF!) + 2, LEN(#REF!))</f>
        <v>#REF!</v>
      </c>
      <c r="G812" s="240" t="e">
        <f>MID(LEFT(#REF!, FIND(",",#REF!) - 1), FIND("{token}", SUBSTITUTE(#REF!, " ", "{token}", 2)) + 1, LEN(#REF!))</f>
        <v>#REF!</v>
      </c>
      <c r="H812" s="2" t="s">
        <v>2949</v>
      </c>
      <c r="I812" s="260">
        <v>45376</v>
      </c>
      <c r="J812" s="230" t="s">
        <v>21</v>
      </c>
      <c r="K812" s="226">
        <v>45602</v>
      </c>
      <c r="L812" s="165"/>
      <c r="M812" s="222">
        <v>141</v>
      </c>
      <c r="N812" s="2" t="str">
        <f t="shared" ca="1" si="25"/>
        <v>CLOSED</v>
      </c>
    </row>
    <row r="813" spans="1:14" ht="18.75">
      <c r="A813" s="64" t="s">
        <v>15</v>
      </c>
      <c r="B813" s="98" t="e">
        <f>VLOOKUP([2]!Table27[[#This Row],[Location 
(drop-down)]],'[2]List source'!D$2:E$59,2,FALSE)</f>
        <v>#N/A</v>
      </c>
      <c r="C813" s="148" t="s">
        <v>100</v>
      </c>
      <c r="D813" s="223" t="e">
        <f t="shared" si="24"/>
        <v>#N/A</v>
      </c>
      <c r="E813" s="227" t="s">
        <v>2950</v>
      </c>
      <c r="F813" s="198" t="s">
        <v>1913</v>
      </c>
      <c r="G813" s="227" t="e">
        <f>MID(LEFT(#REF!, FIND(",",#REF!) - 1), FIND("{token}", SUBSTITUTE(#REF!, " ", "{token}", 2)) + 1, LEN(#REF!))</f>
        <v>#REF!</v>
      </c>
      <c r="H813" s="165">
        <v>5.39</v>
      </c>
      <c r="I813" s="230">
        <v>45422</v>
      </c>
      <c r="J813" s="230" t="s">
        <v>21</v>
      </c>
      <c r="K813" s="226">
        <v>45603</v>
      </c>
      <c r="L813" s="165"/>
      <c r="M813" s="222">
        <v>441</v>
      </c>
      <c r="N813" s="2" t="str">
        <f t="shared" ca="1" si="25"/>
        <v>CLOSED</v>
      </c>
    </row>
    <row r="814" spans="1:14" ht="18.75">
      <c r="A814" s="64" t="s">
        <v>15</v>
      </c>
      <c r="B814" s="98" t="e">
        <f>VLOOKUP([2]!Table27[[#This Row],[Location 
(drop-down)]],'[2]List source'!D$2:E$59,2,FALSE)</f>
        <v>#N/A</v>
      </c>
      <c r="C814" s="148" t="s">
        <v>744</v>
      </c>
      <c r="D814" s="223" t="e">
        <f t="shared" si="24"/>
        <v>#N/A</v>
      </c>
      <c r="E814" s="227" t="s">
        <v>2951</v>
      </c>
      <c r="F814" s="165" t="s">
        <v>1520</v>
      </c>
      <c r="G814" s="227" t="e">
        <f>MID(LEFT(#REF!, FIND(",",#REF!) - 1), FIND("{token}", SUBSTITUTE(#REF!, " ", "{token}", 2)) + 1, LEN(#REF!))</f>
        <v>#REF!</v>
      </c>
      <c r="H814" s="165">
        <v>189.79</v>
      </c>
      <c r="I814" s="230">
        <v>45426</v>
      </c>
      <c r="J814" s="230" t="s">
        <v>21</v>
      </c>
      <c r="K814" s="226">
        <v>45603</v>
      </c>
      <c r="L814" s="165"/>
      <c r="M814" s="222">
        <v>474</v>
      </c>
      <c r="N814" s="2" t="str">
        <f t="shared" ca="1" si="25"/>
        <v>CLOSED</v>
      </c>
    </row>
    <row r="815" spans="1:14" ht="30">
      <c r="A815" s="64" t="s">
        <v>119</v>
      </c>
      <c r="B815" s="98" t="e">
        <f>VLOOKUP([2]!Table27[[#This Row],[Location 
(drop-down)]],'[2]List source'!D$2:E$59,2,FALSE)</f>
        <v>#N/A</v>
      </c>
      <c r="C815" s="148" t="s">
        <v>2952</v>
      </c>
      <c r="D815" s="212" t="e">
        <f t="shared" si="24"/>
        <v>#N/A</v>
      </c>
      <c r="E815" s="227" t="s">
        <v>2953</v>
      </c>
      <c r="F815" s="165" t="s">
        <v>1520</v>
      </c>
      <c r="G815" s="227" t="e">
        <f>MID(LEFT(#REF!, FIND(",",#REF!) - 1), FIND("{token}", SUBSTITUTE(#REF!, " ", "{token}", 2)) + 1, LEN(#REF!))</f>
        <v>#REF!</v>
      </c>
      <c r="H815" s="236" t="s">
        <v>2754</v>
      </c>
      <c r="I815" s="230">
        <v>45582</v>
      </c>
      <c r="J815" s="230" t="s">
        <v>239</v>
      </c>
      <c r="K815" s="226">
        <v>45607</v>
      </c>
      <c r="L815" s="165"/>
      <c r="M815" s="222">
        <v>1002</v>
      </c>
      <c r="N815" s="2" t="str">
        <f t="shared" ca="1" si="25"/>
        <v>CLOSED</v>
      </c>
    </row>
    <row r="816" spans="1:14" ht="30">
      <c r="A816" s="64" t="s">
        <v>119</v>
      </c>
      <c r="B816" s="98" t="e">
        <f>VLOOKUP([2]!Table27[[#This Row],[Location 
(drop-down)]],'[2]List source'!D$2:E$59,2,FALSE)</f>
        <v>#N/A</v>
      </c>
      <c r="C816" s="148" t="s">
        <v>2954</v>
      </c>
      <c r="D816" s="212" t="e">
        <f t="shared" si="24"/>
        <v>#N/A</v>
      </c>
      <c r="E816" s="227" t="s">
        <v>2955</v>
      </c>
      <c r="F816" s="165" t="e" cm="1">
        <f t="array" aca="1" ref="F816" ca="1">MID(LEFT(#REF!, INDEX(_xlfn._xlws.FILTER(ROW(INDIRECT("1:" &amp; LEN(#REF!))), (48 &lt;= CODE(MID(#REF!, ROW(INDIRECT("1:" &amp; LEN(#REF!))), 1))) * (CODE(MID(#REF!, ROW(INDIRECT("1:" &amp; LEN(#REF!))), 1)) &lt;= 57)), 1) - 1), FIND(":",#REF!) + 2, LEN(#REF!))</f>
        <v>#REF!</v>
      </c>
      <c r="G816" s="227" t="e">
        <f>MID(LEFT(#REF!, FIND(",",#REF!) - 1), FIND("{token}", SUBSTITUTE(#REF!, " ", "{token}", 2)) + 1, LEN(#REF!))</f>
        <v>#REF!</v>
      </c>
      <c r="H816" s="236" t="s">
        <v>2956</v>
      </c>
      <c r="I816" s="230">
        <v>45593</v>
      </c>
      <c r="J816" s="230" t="s">
        <v>239</v>
      </c>
      <c r="K816" s="226">
        <v>45607</v>
      </c>
      <c r="L816" s="165"/>
      <c r="M816" s="222">
        <v>1046</v>
      </c>
      <c r="N816" s="2" t="str">
        <f t="shared" ca="1" si="25"/>
        <v>CLOSED</v>
      </c>
    </row>
    <row r="817" spans="1:14" ht="18.75">
      <c r="A817" s="64" t="s">
        <v>156</v>
      </c>
      <c r="B817" s="98" t="e">
        <f>VLOOKUP([2]!Table27[[#This Row],[Location 
(drop-down)]],'[2]List source'!D$2:E$59,2,FALSE)</f>
        <v>#N/A</v>
      </c>
      <c r="C817" s="148" t="s">
        <v>763</v>
      </c>
      <c r="D817" s="223" t="e">
        <f t="shared" si="24"/>
        <v>#N/A</v>
      </c>
      <c r="E817" s="115" t="s">
        <v>2957</v>
      </c>
      <c r="F817" s="236" t="e" cm="1">
        <f t="array" aca="1" ref="F817" ca="1">MID(LEFT(#REF!, INDEX(_xlfn._xlws.FILTER(ROW(INDIRECT("1:" &amp; LEN(#REF!))), (48 &lt;= CODE(MID(#REF!, ROW(INDIRECT("1:" &amp; LEN(#REF!))), 1))) * (CODE(MID(#REF!, ROW(INDIRECT("1:" &amp; LEN(#REF!))), 1)) &lt;= 57)), 1) - 1), FIND(":",#REF!) + 2, LEN(#REF!))</f>
        <v>#REF!</v>
      </c>
      <c r="G817" s="345" t="e">
        <f>MID(LEFT(#REF!, FIND(",",#REF!) - 1), FIND("{token}", SUBSTITUTE(#REF!, " ", "{token}", 2)) + 1, LEN(#REF!))</f>
        <v>#REF!</v>
      </c>
      <c r="H817" s="236">
        <v>12.14</v>
      </c>
      <c r="I817" s="230">
        <v>45301</v>
      </c>
      <c r="J817" s="230" t="s">
        <v>29</v>
      </c>
      <c r="K817" s="226">
        <v>45610</v>
      </c>
      <c r="L817" s="165"/>
      <c r="M817" s="222">
        <v>2</v>
      </c>
      <c r="N817" s="2" t="str">
        <f t="shared" ca="1" si="25"/>
        <v>CLOSED</v>
      </c>
    </row>
    <row r="818" spans="1:14" ht="30">
      <c r="A818" s="64" t="s">
        <v>500</v>
      </c>
      <c r="B818" s="98" t="e">
        <f>VLOOKUP([2]!Table27[[#This Row],[Location 
(drop-down)]],'[2]List source'!D$2:E$59,2,FALSE)</f>
        <v>#N/A</v>
      </c>
      <c r="C818" s="148" t="s">
        <v>1134</v>
      </c>
      <c r="D818" s="223" t="e">
        <f t="shared" si="24"/>
        <v>#N/A</v>
      </c>
      <c r="E818" s="227" t="s">
        <v>2958</v>
      </c>
      <c r="F818" s="165" t="e" cm="1">
        <f t="array" aca="1" ref="F818" ca="1">MID(LEFT(#REF!, INDEX(_xlfn._xlws.FILTER(ROW(INDIRECT("1:" &amp; LEN(#REF!))), (48 &lt;= CODE(MID(#REF!, ROW(INDIRECT("1:" &amp; LEN(#REF!))), 1))) * (CODE(MID(#REF!, ROW(INDIRECT("1:" &amp; LEN(#REF!))), 1)) &lt;= 57)), 1) - 1), FIND(":",#REF!) + 2, LEN(#REF!))</f>
        <v>#REF!</v>
      </c>
      <c r="G818" s="201" t="e">
        <f>MID(LEFT(#REF!, FIND(",",#REF!) - 1), FIND("{token}", SUBSTITUTE(#REF!, " ", "{token}", 2)) + 1, LEN(#REF!))</f>
        <v>#REF!</v>
      </c>
      <c r="H818" s="165" t="s">
        <v>2959</v>
      </c>
      <c r="I818" s="230">
        <v>45376</v>
      </c>
      <c r="J818" s="230" t="s">
        <v>310</v>
      </c>
      <c r="K818" s="226">
        <v>45610</v>
      </c>
      <c r="L818" s="165"/>
      <c r="M818" s="222">
        <v>133</v>
      </c>
      <c r="N818" s="2" t="str">
        <f t="shared" ca="1" si="25"/>
        <v>CLOSED</v>
      </c>
    </row>
    <row r="819" spans="1:14" ht="30">
      <c r="A819" s="64" t="s">
        <v>500</v>
      </c>
      <c r="B819" s="98" t="e">
        <f>VLOOKUP([2]!Table27[[#This Row],[Location 
(drop-down)]],'[2]List source'!D$2:E$59,2,FALSE)</f>
        <v>#N/A</v>
      </c>
      <c r="C819" s="148" t="s">
        <v>1136</v>
      </c>
      <c r="D819" s="223" t="e">
        <f t="shared" si="24"/>
        <v>#N/A</v>
      </c>
      <c r="E819" s="227" t="s">
        <v>2960</v>
      </c>
      <c r="F819" s="165" t="e" cm="1">
        <f t="array" aca="1" ref="F819" ca="1">MID(LEFT(#REF!, INDEX(_xlfn._xlws.FILTER(ROW(INDIRECT("1:" &amp; LEN(#REF!))), (48 &lt;= CODE(MID(#REF!, ROW(INDIRECT("1:" &amp; LEN(#REF!))), 1))) * (CODE(MID(#REF!, ROW(INDIRECT("1:" &amp; LEN(#REF!))), 1)) &lt;= 57)), 1) - 1), FIND(":",#REF!) + 2, LEN(#REF!))</f>
        <v>#REF!</v>
      </c>
      <c r="G819" s="201" t="e">
        <f>MID(LEFT(#REF!, FIND(",",#REF!) - 1), FIND("{token}", SUBSTITUTE(#REF!, " ", "{token}", 2)) + 1, LEN(#REF!))</f>
        <v>#REF!</v>
      </c>
      <c r="H819" s="236" t="s">
        <v>2961</v>
      </c>
      <c r="I819" s="230">
        <v>45376</v>
      </c>
      <c r="J819" s="230" t="s">
        <v>310</v>
      </c>
      <c r="K819" s="226">
        <v>45610</v>
      </c>
      <c r="L819" s="165"/>
      <c r="M819" s="222">
        <v>134</v>
      </c>
      <c r="N819" s="2" t="str">
        <f t="shared" ca="1" si="25"/>
        <v>CLOSED</v>
      </c>
    </row>
    <row r="820" spans="1:14" ht="18.75">
      <c r="A820" s="64" t="s">
        <v>139</v>
      </c>
      <c r="B820" s="98" t="e">
        <f>VLOOKUP([2]!Table27[[#This Row],[Location 
(drop-down)]],'[2]List source'!D$2:E$59,2,FALSE)</f>
        <v>#N/A</v>
      </c>
      <c r="C820" s="148" t="s">
        <v>58</v>
      </c>
      <c r="D820" s="223" t="e">
        <f t="shared" si="24"/>
        <v>#N/A</v>
      </c>
      <c r="E820" s="228" t="s">
        <v>2962</v>
      </c>
      <c r="F820" s="229" t="s">
        <v>1769</v>
      </c>
      <c r="G820" s="228" t="e">
        <f>MID(LEFT(#REF!, FIND(",",#REF!) - 1), FIND("{token}", SUBSTITUTE(#REF!, " ", "{token}", 2)) + 1, LEN(#REF!))</f>
        <v>#REF!</v>
      </c>
      <c r="H820" s="229">
        <v>-2.06</v>
      </c>
      <c r="I820" s="230">
        <v>45411</v>
      </c>
      <c r="J820" s="230" t="s">
        <v>310</v>
      </c>
      <c r="K820" s="226">
        <v>45610</v>
      </c>
      <c r="L820" s="204"/>
      <c r="M820" s="222">
        <v>266</v>
      </c>
      <c r="N820" s="2" t="str">
        <f t="shared" ca="1" si="25"/>
        <v>CLOSED</v>
      </c>
    </row>
    <row r="821" spans="1:14" ht="30">
      <c r="A821" s="64" t="s">
        <v>714</v>
      </c>
      <c r="B821" s="98" t="e">
        <f>VLOOKUP([2]!Table27[[#This Row],[Location 
(drop-down)]],'[2]List source'!D$2:E$59,2,FALSE)</f>
        <v>#N/A</v>
      </c>
      <c r="C821" s="148" t="s">
        <v>598</v>
      </c>
      <c r="D821" s="223" t="e">
        <f t="shared" si="24"/>
        <v>#N/A</v>
      </c>
      <c r="E821" s="227" t="s">
        <v>2963</v>
      </c>
      <c r="F821" s="165" t="s">
        <v>1520</v>
      </c>
      <c r="G821" s="227" t="e">
        <f>MID(LEFT(#REF!, FIND(",",#REF!) - 1), FIND("{token}", SUBSTITUTE(#REF!, " ", "{token}", 2)) + 1, LEN(#REF!))</f>
        <v>#REF!</v>
      </c>
      <c r="H821" s="165">
        <v>4.95</v>
      </c>
      <c r="I821" s="230">
        <v>45426</v>
      </c>
      <c r="J821" s="230" t="s">
        <v>29</v>
      </c>
      <c r="K821" s="226">
        <v>45610</v>
      </c>
      <c r="L821" s="165"/>
      <c r="M821" s="222">
        <v>483</v>
      </c>
      <c r="N821" s="2" t="str">
        <f t="shared" ca="1" si="25"/>
        <v>CLOSED</v>
      </c>
    </row>
    <row r="822" spans="1:14" ht="18.75">
      <c r="A822" s="64" t="s">
        <v>139</v>
      </c>
      <c r="B822" s="98" t="e">
        <f>VLOOKUP([2]!Table27[[#This Row],[Location 
(drop-down)]],'[2]List source'!D$2:E$59,2,FALSE)</f>
        <v>#N/A</v>
      </c>
      <c r="C822" s="148" t="s">
        <v>2964</v>
      </c>
      <c r="D822" s="223" t="e">
        <f t="shared" si="24"/>
        <v>#N/A</v>
      </c>
      <c r="E822" s="227" t="s">
        <v>2965</v>
      </c>
      <c r="F822" s="165" t="e" cm="1">
        <f t="array" aca="1" ref="F822" ca="1">MID(LEFT(#REF!, INDEX(_xlfn._xlws.FILTER(ROW(INDIRECT("1:" &amp; LEN(#REF!))), (48 &lt;= CODE(MID(#REF!, ROW(INDIRECT("1:" &amp; LEN(#REF!))), 1))) * (CODE(MID(#REF!, ROW(INDIRECT("1:" &amp; LEN(#REF!))), 1)) &lt;= 57)), 1) - 1), FIND(":",#REF!) + 2, LEN(#REF!))</f>
        <v>#REF!</v>
      </c>
      <c r="G822" s="227" t="e">
        <f>MID(LEFT(#REF!, FIND(",",#REF!) - 1), FIND("{token}", SUBSTITUTE(#REF!, " ", "{token}", 2)) + 1, LEN(#REF!))</f>
        <v>#REF!</v>
      </c>
      <c r="H822" s="236" t="s">
        <v>1653</v>
      </c>
      <c r="I822" s="230">
        <v>45435</v>
      </c>
      <c r="J822" s="230" t="s">
        <v>310</v>
      </c>
      <c r="K822" s="226">
        <v>45610</v>
      </c>
      <c r="L822" s="165"/>
      <c r="M822" s="222">
        <v>637</v>
      </c>
      <c r="N822" s="2" t="str">
        <f t="shared" ca="1" si="25"/>
        <v>CLOSED</v>
      </c>
    </row>
    <row r="823" spans="1:14" ht="18.75">
      <c r="A823" s="124" t="s">
        <v>462</v>
      </c>
      <c r="B823" s="98" t="e">
        <f>VLOOKUP([2]!Table27[[#This Row],[Location 
(drop-down)]],'[2]List source'!D$2:E$59,2,FALSE)</f>
        <v>#N/A</v>
      </c>
      <c r="C823" s="179" t="s">
        <v>2966</v>
      </c>
      <c r="D823" s="223" t="e">
        <f t="shared" si="24"/>
        <v>#N/A</v>
      </c>
      <c r="E823" s="251" t="s">
        <v>2967</v>
      </c>
      <c r="F823" s="274" t="e" cm="1">
        <f t="array" aca="1" ref="F823" ca="1">MID(LEFT(#REF!, INDEX(_xlfn._xlws.FILTER(ROW(INDIRECT("1:" &amp; LEN(#REF!))), (48 &lt;= CODE(MID(#REF!, ROW(INDIRECT("1:" &amp; LEN(#REF!))), 1))) * (CODE(MID(#REF!, ROW(INDIRECT("1:" &amp; LEN(#REF!))), 1)) &lt;= 57)), 1) - 1), FIND(":",#REF!) + 2, LEN(#REF!))</f>
        <v>#REF!</v>
      </c>
      <c r="G823" s="251" t="e">
        <f>MID(LEFT(#REF!, FIND(",",#REF!) - 1), FIND("{token}", SUBSTITUTE(#REF!, " ", "{token}", 2)) + 1, LEN(#REF!))</f>
        <v>#REF!</v>
      </c>
      <c r="H823" s="274">
        <v>4.1500000000000004</v>
      </c>
      <c r="I823" s="230">
        <v>45510</v>
      </c>
      <c r="J823" s="230" t="s">
        <v>29</v>
      </c>
      <c r="K823" s="226">
        <v>45610</v>
      </c>
      <c r="L823" s="165"/>
      <c r="M823" s="222">
        <v>713</v>
      </c>
      <c r="N823" s="2" t="str">
        <f t="shared" ca="1" si="25"/>
        <v>CLOSED</v>
      </c>
    </row>
    <row r="824" spans="1:14" ht="30">
      <c r="A824" s="124" t="s">
        <v>358</v>
      </c>
      <c r="B824" s="98" t="e">
        <f>VLOOKUP([2]!Table27[[#This Row],[Location 
(drop-down)]],'[2]List source'!D$2:E$59,2,FALSE)</f>
        <v>#N/A</v>
      </c>
      <c r="C824" s="179" t="s">
        <v>2968</v>
      </c>
      <c r="D824" s="212" t="e">
        <f t="shared" si="24"/>
        <v>#N/A</v>
      </c>
      <c r="E824" s="251" t="s">
        <v>2969</v>
      </c>
      <c r="F824" s="274" t="s">
        <v>1520</v>
      </c>
      <c r="G824" s="251" t="e">
        <f>MID(LEFT(#REF!, FIND(",",#REF!) - 1), FIND("{token}", SUBSTITUTE(#REF!, " ", "{token}", 2)) + 1, LEN(#REF!))</f>
        <v>#REF!</v>
      </c>
      <c r="H824" s="274">
        <v>2.5</v>
      </c>
      <c r="I824" s="304">
        <v>45582</v>
      </c>
      <c r="J824" s="304" t="s">
        <v>310</v>
      </c>
      <c r="K824" s="320">
        <v>45610</v>
      </c>
      <c r="L824" s="274"/>
      <c r="M824" s="297">
        <v>1020</v>
      </c>
      <c r="N824" s="2" t="str">
        <f t="shared" ca="1" si="25"/>
        <v>CLOSED</v>
      </c>
    </row>
    <row r="825" spans="1:14" ht="30">
      <c r="A825" s="124" t="s">
        <v>358</v>
      </c>
      <c r="B825" s="98" t="e">
        <f>VLOOKUP([2]!Table27[[#This Row],[Location 
(drop-down)]],'[2]List source'!D$2:E$59,2,FALSE)</f>
        <v>#N/A</v>
      </c>
      <c r="C825" s="179" t="s">
        <v>2970</v>
      </c>
      <c r="D825" s="212" t="e">
        <f t="shared" si="24"/>
        <v>#N/A</v>
      </c>
      <c r="E825" s="251" t="s">
        <v>2971</v>
      </c>
      <c r="F825" s="274" t="s">
        <v>1520</v>
      </c>
      <c r="G825" s="251" t="e">
        <f>MID(LEFT(#REF!, FIND(",",#REF!) - 1), FIND("{token}", SUBSTITUTE(#REF!, " ", "{token}", 2)) + 1, LEN(#REF!))</f>
        <v>#REF!</v>
      </c>
      <c r="H825" s="274">
        <v>4.84</v>
      </c>
      <c r="I825" s="304">
        <v>45582</v>
      </c>
      <c r="J825" s="304" t="s">
        <v>310</v>
      </c>
      <c r="K825" s="320">
        <v>45610</v>
      </c>
      <c r="L825" s="274"/>
      <c r="M825" s="297">
        <v>1021</v>
      </c>
      <c r="N825" s="2" t="str">
        <f t="shared" ca="1" si="25"/>
        <v>CLOSED</v>
      </c>
    </row>
    <row r="826" spans="1:14" ht="30">
      <c r="A826" s="124" t="s">
        <v>114</v>
      </c>
      <c r="B826" s="98" t="e">
        <f>VLOOKUP([2]!Table27[[#This Row],[Location 
(drop-down)]],'[2]List source'!D$2:E$59,2,FALSE)</f>
        <v>#N/A</v>
      </c>
      <c r="C826" s="179" t="s">
        <v>297</v>
      </c>
      <c r="D826" s="223" t="e">
        <f t="shared" si="24"/>
        <v>#N/A</v>
      </c>
      <c r="E826" s="346" t="s">
        <v>2972</v>
      </c>
      <c r="F826" s="347" t="e" cm="1">
        <f t="array" aca="1" ref="F826" ca="1">MID(LEFT(#REF!, INDEX(_xlfn._xlws.FILTER(ROW(INDIRECT("1:" &amp; LEN(#REF!))), (48 &lt;= CODE(MID(#REF!, ROW(INDIRECT("1:" &amp; LEN(#REF!))), 1))) * (CODE(MID(#REF!, ROW(INDIRECT("1:" &amp; LEN(#REF!))), 1)) &lt;= 57)), 1) - 1), FIND(":",#REF!) + 2, LEN(#REF!))</f>
        <v>#REF!</v>
      </c>
      <c r="G826" s="346" t="e">
        <f>MID(LEFT(#REF!, FIND(",",#REF!) - 1), FIND("{token}", SUBSTITUTE(#REF!, " ", "{token}", 2)) + 1, LEN(#REF!))</f>
        <v>#REF!</v>
      </c>
      <c r="H826" s="347">
        <v>8.89</v>
      </c>
      <c r="I826" s="304">
        <v>45307</v>
      </c>
      <c r="J826" s="304" t="s">
        <v>21</v>
      </c>
      <c r="K826" s="320">
        <v>45615</v>
      </c>
      <c r="L826" s="274"/>
      <c r="M826" s="297">
        <v>90</v>
      </c>
      <c r="N826" s="2" t="str">
        <f t="shared" ca="1" si="25"/>
        <v>CLOSED</v>
      </c>
    </row>
    <row r="827" spans="1:14" ht="30">
      <c r="A827" s="124" t="s">
        <v>114</v>
      </c>
      <c r="B827" s="98" t="e">
        <f>VLOOKUP([2]!Table27[[#This Row],[Location 
(drop-down)]],'[2]List source'!D$2:E$59,2,FALSE)</f>
        <v>#N/A</v>
      </c>
      <c r="C827" s="179" t="s">
        <v>2973</v>
      </c>
      <c r="D827" s="223" t="e">
        <f t="shared" si="24"/>
        <v>#N/A</v>
      </c>
      <c r="E827" s="251" t="s">
        <v>2974</v>
      </c>
      <c r="F827" s="274" t="e" cm="1">
        <f t="array" aca="1" ref="F827" ca="1">MID(LEFT(#REF!, INDEX(_xlfn._xlws.FILTER(ROW(INDIRECT("1:" &amp; LEN(#REF!))), (48 &lt;= CODE(MID(#REF!, ROW(INDIRECT("1:" &amp; LEN(#REF!))), 1))) * (CODE(MID(#REF!, ROW(INDIRECT("1:" &amp; LEN(#REF!))), 1)) &lt;= 57)), 1) - 1), FIND(":",#REF!) + 2, LEN(#REF!))</f>
        <v>#REF!</v>
      </c>
      <c r="G827" s="251" t="e">
        <f>MID(LEFT(#REF!, FIND(",",#REF!) - 1), FIND("{token}", SUBSTITUTE(#REF!, " ", "{token}", 2)) + 1, LEN(#REF!))</f>
        <v>#REF!</v>
      </c>
      <c r="H827" s="303" t="s">
        <v>2975</v>
      </c>
      <c r="I827" s="304">
        <v>45495</v>
      </c>
      <c r="J827" s="304" t="s">
        <v>21</v>
      </c>
      <c r="K827" s="320">
        <v>45615</v>
      </c>
      <c r="L827" s="165"/>
      <c r="M827" s="297">
        <v>689</v>
      </c>
      <c r="N827" s="2" t="str">
        <f t="shared" ca="1" si="25"/>
        <v>CLOSED</v>
      </c>
    </row>
    <row r="828" spans="1:14" ht="18.75">
      <c r="A828" s="124" t="s">
        <v>15</v>
      </c>
      <c r="B828" s="98" t="e">
        <f>VLOOKUP([2]!Table27[[#This Row],[Location 
(drop-down)]],'[2]List source'!D$2:E$59,2,FALSE)</f>
        <v>#N/A</v>
      </c>
      <c r="C828" s="179" t="s">
        <v>2976</v>
      </c>
      <c r="D828" s="223" t="e">
        <f t="shared" si="24"/>
        <v>#N/A</v>
      </c>
      <c r="E828" s="251" t="s">
        <v>2977</v>
      </c>
      <c r="F828" s="274" t="e" cm="1">
        <f t="array" aca="1" ref="F828" ca="1">MID(LEFT(#REF!, INDEX(_xlfn._xlws.FILTER(ROW(INDIRECT("1:" &amp; LEN(#REF!))), (48 &lt;= CODE(MID(#REF!, ROW(INDIRECT("1:" &amp; LEN(#REF!))), 1))) * (CODE(MID(#REF!, ROW(INDIRECT("1:" &amp; LEN(#REF!))), 1)) &lt;= 57)), 1) - 1), FIND(":",#REF!) + 2, LEN(#REF!))</f>
        <v>#REF!</v>
      </c>
      <c r="G828" s="251" t="e">
        <f>MID(LEFT(#REF!, FIND(",",#REF!) - 1), FIND("{token}", SUBSTITUTE(#REF!, " ", "{token}", 2)) + 1, LEN(#REF!))</f>
        <v>#REF!</v>
      </c>
      <c r="H828" s="274">
        <v>2.67</v>
      </c>
      <c r="I828" s="304">
        <v>45513</v>
      </c>
      <c r="J828" s="304" t="s">
        <v>21</v>
      </c>
      <c r="K828" s="320">
        <v>45615</v>
      </c>
      <c r="L828" s="274"/>
      <c r="M828" s="297">
        <v>801</v>
      </c>
      <c r="N828" s="2" t="str">
        <f t="shared" ca="1" si="25"/>
        <v>CLOSED</v>
      </c>
    </row>
    <row r="829" spans="1:14" ht="30">
      <c r="A829" s="124" t="s">
        <v>294</v>
      </c>
      <c r="B829" s="98" t="e">
        <f>VLOOKUP([2]!Table27[[#This Row],[Location 
(drop-down)]],'[2]List source'!D$2:E$59,2,FALSE)</f>
        <v>#N/A</v>
      </c>
      <c r="C829" s="179" t="s">
        <v>1389</v>
      </c>
      <c r="D829" s="223" t="e">
        <f t="shared" si="24"/>
        <v>#N/A</v>
      </c>
      <c r="E829" s="251" t="s">
        <v>2978</v>
      </c>
      <c r="F829" s="274" t="s">
        <v>1566</v>
      </c>
      <c r="G829" s="251" t="e">
        <f>MID(LEFT(#REF!, FIND(",",#REF!) - 1), FIND("{token}", SUBSTITUTE(#REF!, " ", "{token}", 2)) + 1, LEN(#REF!))</f>
        <v>#REF!</v>
      </c>
      <c r="H829" s="274">
        <v>-36.06</v>
      </c>
      <c r="I829" s="304">
        <v>45418</v>
      </c>
      <c r="J829" s="304" t="s">
        <v>327</v>
      </c>
      <c r="K829" s="320">
        <v>45616</v>
      </c>
      <c r="L829" s="274"/>
      <c r="M829" s="297">
        <v>401</v>
      </c>
      <c r="N829" s="2" t="str">
        <f t="shared" ca="1" si="25"/>
        <v>CLOSED</v>
      </c>
    </row>
    <row r="830" spans="1:14" ht="30">
      <c r="A830" s="124" t="s">
        <v>294</v>
      </c>
      <c r="B830" s="98" t="e">
        <f>VLOOKUP([2]!Table27[[#This Row],[Location 
(drop-down)]],'[2]List source'!D$2:E$59,2,FALSE)</f>
        <v>#N/A</v>
      </c>
      <c r="C830" s="179" t="s">
        <v>1391</v>
      </c>
      <c r="D830" s="223" t="e">
        <f t="shared" si="24"/>
        <v>#N/A</v>
      </c>
      <c r="E830" s="251" t="s">
        <v>2979</v>
      </c>
      <c r="F830" s="274" t="s">
        <v>1566</v>
      </c>
      <c r="G830" s="251" t="e">
        <f>MID(LEFT(#REF!, FIND(",",#REF!) - 1), FIND("{token}", SUBSTITUTE(#REF!, " ", "{token}", 2)) + 1, LEN(#REF!))</f>
        <v>#REF!</v>
      </c>
      <c r="H830" s="274">
        <v>-36.619999999999997</v>
      </c>
      <c r="I830" s="304">
        <v>45418</v>
      </c>
      <c r="J830" s="304" t="s">
        <v>327</v>
      </c>
      <c r="K830" s="320">
        <v>45616</v>
      </c>
      <c r="L830" s="274"/>
      <c r="M830" s="297">
        <v>402</v>
      </c>
      <c r="N830" s="2" t="str">
        <f t="shared" ca="1" si="25"/>
        <v>CLOSED</v>
      </c>
    </row>
    <row r="831" spans="1:14" ht="18.75">
      <c r="A831" s="124" t="s">
        <v>64</v>
      </c>
      <c r="B831" s="98" t="e">
        <f>VLOOKUP([2]!Table27[[#This Row],[Location 
(drop-down)]],'[2]List source'!D$2:E$59,2,FALSE)</f>
        <v>#N/A</v>
      </c>
      <c r="C831" s="179" t="s">
        <v>2980</v>
      </c>
      <c r="D831" s="223" t="e">
        <f t="shared" si="24"/>
        <v>#N/A</v>
      </c>
      <c r="E831" s="251" t="s">
        <v>2981</v>
      </c>
      <c r="F831" s="274" t="e" cm="1">
        <f t="array" aca="1" ref="F831" ca="1">MID(LEFT(#REF!, INDEX(_xlfn._xlws.FILTER(ROW(INDIRECT("1:" &amp; LEN(#REF!))), (48 &lt;= CODE(MID(#REF!, ROW(INDIRECT("1:" &amp; LEN(#REF!))), 1))) * (CODE(MID(#REF!, ROW(INDIRECT("1:" &amp; LEN(#REF!))), 1)) &lt;= 57)), 1) - 1), FIND(":",#REF!) + 2, LEN(#REF!))</f>
        <v>#REF!</v>
      </c>
      <c r="G831" s="251" t="e">
        <f>MID(LEFT(#REF!, FIND(",",#REF!) - 1), FIND("{token}", SUBSTITUTE(#REF!, " ", "{token}", 2)) + 1, LEN(#REF!))</f>
        <v>#REF!</v>
      </c>
      <c r="H831" s="274">
        <v>10</v>
      </c>
      <c r="I831" s="304">
        <v>45495</v>
      </c>
      <c r="J831" s="304" t="s">
        <v>239</v>
      </c>
      <c r="K831" s="320">
        <v>45616</v>
      </c>
      <c r="L831" s="274"/>
      <c r="M831" s="297">
        <v>670</v>
      </c>
      <c r="N831" s="2" t="str">
        <f t="shared" ca="1" si="25"/>
        <v>CLOSED</v>
      </c>
    </row>
    <row r="832" spans="1:14" ht="18.75">
      <c r="A832" s="124" t="s">
        <v>64</v>
      </c>
      <c r="B832" s="98" t="e">
        <f>VLOOKUP([2]!Table27[[#This Row],[Location 
(drop-down)]],'[2]List source'!D$2:E$59,2,FALSE)</f>
        <v>#N/A</v>
      </c>
      <c r="C832" s="179" t="s">
        <v>2982</v>
      </c>
      <c r="D832" s="223" t="e">
        <f t="shared" si="24"/>
        <v>#N/A</v>
      </c>
      <c r="E832" s="251" t="s">
        <v>2983</v>
      </c>
      <c r="F832" s="274" t="e" cm="1">
        <f t="array" aca="1" ref="F832" ca="1">MID(LEFT(#REF!, INDEX(_xlfn._xlws.FILTER(ROW(INDIRECT("1:" &amp; LEN(#REF!))), (48 &lt;= CODE(MID(#REF!, ROW(INDIRECT("1:" &amp; LEN(#REF!))), 1))) * (CODE(MID(#REF!, ROW(INDIRECT("1:" &amp; LEN(#REF!))), 1)) &lt;= 57)), 1) - 1), FIND(":",#REF!) + 2, LEN(#REF!))</f>
        <v>#REF!</v>
      </c>
      <c r="G832" s="251" t="e">
        <f>MID(LEFT(#REF!, FIND(",",#REF!) - 1), FIND("{token}", SUBSTITUTE(#REF!, " ", "{token}", 2)) + 1, LEN(#REF!))</f>
        <v>#REF!</v>
      </c>
      <c r="H832" s="303" t="s">
        <v>2984</v>
      </c>
      <c r="I832" s="304">
        <v>45495</v>
      </c>
      <c r="J832" s="304" t="s">
        <v>239</v>
      </c>
      <c r="K832" s="320">
        <v>45616</v>
      </c>
      <c r="L832" s="274"/>
      <c r="M832" s="297">
        <v>671</v>
      </c>
      <c r="N832" s="2" t="str">
        <f t="shared" ca="1" si="25"/>
        <v>CLOSED</v>
      </c>
    </row>
    <row r="833" spans="1:14" ht="18.75">
      <c r="A833" s="124" t="s">
        <v>64</v>
      </c>
      <c r="B833" s="98" t="e">
        <f>VLOOKUP([2]!Table27[[#This Row],[Location 
(drop-down)]],'[2]List source'!D$2:E$59,2,FALSE)</f>
        <v>#N/A</v>
      </c>
      <c r="C833" s="179" t="s">
        <v>2985</v>
      </c>
      <c r="D833" s="223" t="e">
        <f t="shared" si="24"/>
        <v>#N/A</v>
      </c>
      <c r="E833" s="251" t="s">
        <v>2986</v>
      </c>
      <c r="F833" s="274" t="e" cm="1">
        <f t="array" aca="1" ref="F833" ca="1">MID(LEFT(#REF!, INDEX(_xlfn._xlws.FILTER(ROW(INDIRECT("1:" &amp; LEN(#REF!))), (48 &lt;= CODE(MID(#REF!, ROW(INDIRECT("1:" &amp; LEN(#REF!))), 1))) * (CODE(MID(#REF!, ROW(INDIRECT("1:" &amp; LEN(#REF!))), 1)) &lt;= 57)), 1) - 1), FIND(":",#REF!) + 2, LEN(#REF!))</f>
        <v>#REF!</v>
      </c>
      <c r="G833" s="251" t="e">
        <f>MID(LEFT(#REF!, FIND(",",#REF!) - 1), FIND("{token}", SUBSTITUTE(#REF!, " ", "{token}", 2)) + 1, LEN(#REF!))</f>
        <v>#REF!</v>
      </c>
      <c r="H833" s="274">
        <v>3.31</v>
      </c>
      <c r="I833" s="304">
        <v>45495</v>
      </c>
      <c r="J833" s="304" t="s">
        <v>239</v>
      </c>
      <c r="K833" s="320">
        <v>45616</v>
      </c>
      <c r="L833" s="274"/>
      <c r="M833" s="297">
        <v>682</v>
      </c>
      <c r="N833" s="2" t="str">
        <f t="shared" ca="1" si="25"/>
        <v>CLOSED</v>
      </c>
    </row>
    <row r="834" spans="1:14" ht="30">
      <c r="A834" s="124" t="s">
        <v>399</v>
      </c>
      <c r="B834" s="98" t="e">
        <f>VLOOKUP([2]!Table27[[#This Row],[Location 
(drop-down)]],'[2]List source'!D$2:E$59,2,FALSE)</f>
        <v>#N/A</v>
      </c>
      <c r="C834" s="179" t="s">
        <v>354</v>
      </c>
      <c r="D834" s="223" t="e">
        <f t="shared" ref="D834:D897" si="26">"PTO" &amp; C834 &amp; "-" &amp; B834 &amp; "-" &amp; "23"</f>
        <v>#N/A</v>
      </c>
      <c r="E834" s="251" t="s">
        <v>2987</v>
      </c>
      <c r="F834" s="274" t="e" cm="1">
        <f t="array" aca="1" ref="F834" ca="1">MID(LEFT(#REF!, INDEX(_xlfn._xlws.FILTER(ROW(INDIRECT("1:" &amp; LEN(#REF!))), (48 &lt;= CODE(MID(#REF!, ROW(INDIRECT("1:" &amp; LEN(#REF!))), 1))) * (CODE(MID(#REF!, ROW(INDIRECT("1:" &amp; LEN(#REF!))), 1)) &lt;= 57)), 1) - 1), FIND(":",#REF!) + 2, LEN(#REF!))</f>
        <v>#REF!</v>
      </c>
      <c r="G834" s="251" t="e">
        <f>MID(LEFT(#REF!, FIND(",",#REF!) - 1), FIND("{token}", SUBSTITUTE(#REF!, " ", "{token}", 2)) + 1, LEN(#REF!))</f>
        <v>#REF!</v>
      </c>
      <c r="H834" s="274">
        <v>2.4700000000000002</v>
      </c>
      <c r="I834" s="304">
        <v>45307</v>
      </c>
      <c r="J834" s="263" t="s">
        <v>21</v>
      </c>
      <c r="K834" s="348">
        <v>45617</v>
      </c>
      <c r="L834" s="274"/>
      <c r="M834" s="297">
        <v>84</v>
      </c>
      <c r="N834" s="2" t="str">
        <f t="shared" ca="1" si="25"/>
        <v>CLOSED</v>
      </c>
    </row>
    <row r="835" spans="1:14" ht="18.75">
      <c r="A835" s="124" t="s">
        <v>15</v>
      </c>
      <c r="B835" s="98" t="e">
        <f>VLOOKUP([2]!Table27[[#This Row],[Location 
(drop-down)]],'[2]List source'!D$2:E$59,2,FALSE)</f>
        <v>#N/A</v>
      </c>
      <c r="C835" s="179" t="s">
        <v>140</v>
      </c>
      <c r="D835" s="223" t="e">
        <f t="shared" si="26"/>
        <v>#N/A</v>
      </c>
      <c r="E835" s="251" t="s">
        <v>2988</v>
      </c>
      <c r="F835" s="274" t="s">
        <v>1520</v>
      </c>
      <c r="G835" s="251" t="e">
        <f>MID(LEFT(#REF!, FIND(",",#REF!) - 1), FIND("{token}", SUBSTITUTE(#REF!, " ", "{token}", 2)) + 1, LEN(#REF!))</f>
        <v>#REF!</v>
      </c>
      <c r="H835" s="303" t="s">
        <v>1683</v>
      </c>
      <c r="I835" s="304">
        <v>45426</v>
      </c>
      <c r="J835" s="304" t="s">
        <v>21</v>
      </c>
      <c r="K835" s="320">
        <v>45617</v>
      </c>
      <c r="L835" s="165"/>
      <c r="M835" s="297">
        <v>473</v>
      </c>
      <c r="N835" s="2" t="str">
        <f t="shared" ca="1" si="25"/>
        <v>CLOSED</v>
      </c>
    </row>
    <row r="836" spans="1:14" ht="30">
      <c r="A836" s="124" t="s">
        <v>185</v>
      </c>
      <c r="B836" s="98" t="e">
        <f>VLOOKUP([2]!Table27[[#This Row],[Location 
(drop-down)]],'[2]List source'!D$2:E$59,2,FALSE)</f>
        <v>#N/A</v>
      </c>
      <c r="C836" s="179" t="s">
        <v>2989</v>
      </c>
      <c r="D836" s="223" t="e">
        <f t="shared" si="26"/>
        <v>#N/A</v>
      </c>
      <c r="E836" s="251" t="s">
        <v>2990</v>
      </c>
      <c r="F836" s="274" t="e" cm="1">
        <f t="array" aca="1" ref="F836" ca="1">MID(LEFT(#REF!, INDEX(_xlfn._xlws.FILTER(ROW(INDIRECT("1:" &amp; LEN(#REF!))), (48 &lt;= CODE(MID(#REF!, ROW(INDIRECT("1:" &amp; LEN(#REF!))), 1))) * (CODE(MID(#REF!, ROW(INDIRECT("1:" &amp; LEN(#REF!))), 1)) &lt;= 57)), 1) - 1), FIND(":",#REF!) + 2, LEN(#REF!))</f>
        <v>#REF!</v>
      </c>
      <c r="G836" s="251" t="e">
        <f>MID(LEFT(#REF!, FIND(",",#REF!) - 1), FIND("{token}", SUBSTITUTE(#REF!, " ", "{token}", 2)) + 1, LEN(#REF!))</f>
        <v>#REF!</v>
      </c>
      <c r="H836" s="274" t="s">
        <v>2991</v>
      </c>
      <c r="I836" s="304">
        <v>45435</v>
      </c>
      <c r="J836" s="304" t="s">
        <v>29</v>
      </c>
      <c r="K836" s="320">
        <v>45617</v>
      </c>
      <c r="L836" s="274"/>
      <c r="M836" s="297">
        <v>558</v>
      </c>
      <c r="N836" s="2" t="str">
        <f t="shared" ca="1" si="25"/>
        <v>CLOSED</v>
      </c>
    </row>
    <row r="837" spans="1:14" ht="30">
      <c r="A837" s="124" t="s">
        <v>500</v>
      </c>
      <c r="B837" s="98" t="e">
        <f>VLOOKUP([2]!Table27[[#This Row],[Location 
(drop-down)]],'[2]List source'!D$2:E$59,2,FALSE)</f>
        <v>#N/A</v>
      </c>
      <c r="C837" s="179" t="s">
        <v>2992</v>
      </c>
      <c r="D837" s="309" t="e">
        <f t="shared" si="26"/>
        <v>#N/A</v>
      </c>
      <c r="E837" s="251" t="s">
        <v>2993</v>
      </c>
      <c r="F837" s="274" t="e" cm="1">
        <f t="array" aca="1" ref="F837" ca="1">MID(LEFT(#REF!, INDEX(_xlfn._xlws.FILTER(ROW(INDIRECT("1:" &amp; LEN(#REF!))), (48 &lt;= CODE(MID(#REF!, ROW(INDIRECT("1:" &amp; LEN(#REF!))), 1))) * (CODE(MID(#REF!, ROW(INDIRECT("1:" &amp; LEN(#REF!))), 1)) &lt;= 57)), 1) - 1), FIND(":",#REF!) + 2, LEN(#REF!))</f>
        <v>#REF!</v>
      </c>
      <c r="G837" s="251" t="e">
        <f>MID(LEFT(#REF!, FIND(",",#REF!) - 1), FIND("{token}", SUBSTITUTE(#REF!, " ", "{token}", 2)) + 1, LEN(#REF!))</f>
        <v>#REF!</v>
      </c>
      <c r="H837" s="303" t="s">
        <v>2994</v>
      </c>
      <c r="I837" s="304">
        <v>45541</v>
      </c>
      <c r="J837" s="304" t="s">
        <v>310</v>
      </c>
      <c r="K837" s="320">
        <v>45627</v>
      </c>
      <c r="L837" s="274"/>
      <c r="M837" s="297">
        <v>953</v>
      </c>
      <c r="N837" s="2" t="str">
        <f t="shared" ca="1" si="25"/>
        <v>CLOSED</v>
      </c>
    </row>
    <row r="838" spans="1:14" ht="18.75">
      <c r="A838" s="124" t="s">
        <v>462</v>
      </c>
      <c r="B838" s="98" t="e">
        <f>VLOOKUP([2]!Table27[[#This Row],[Location 
(drop-down)]],'[2]List source'!D$2:E$59,2,FALSE)</f>
        <v>#N/A</v>
      </c>
      <c r="C838" s="179" t="s">
        <v>1430</v>
      </c>
      <c r="D838" s="223" t="e">
        <f t="shared" si="26"/>
        <v>#N/A</v>
      </c>
      <c r="E838" s="251" t="s">
        <v>2995</v>
      </c>
      <c r="F838" s="274" t="s">
        <v>1520</v>
      </c>
      <c r="G838" s="251" t="e">
        <f>MID(LEFT(#REF!, FIND(",",#REF!) - 1), FIND("{token}", SUBSTITUTE(#REF!, " ", "{token}", 2)) + 1, LEN(#REF!))</f>
        <v>#REF!</v>
      </c>
      <c r="H838" s="274">
        <v>11.8</v>
      </c>
      <c r="I838" s="304">
        <v>45411</v>
      </c>
      <c r="J838" s="304" t="s">
        <v>29</v>
      </c>
      <c r="K838" s="320">
        <v>45628</v>
      </c>
      <c r="L838" s="274"/>
      <c r="M838" s="297">
        <v>259</v>
      </c>
      <c r="N838" s="2" t="str">
        <f t="shared" ca="1" si="25"/>
        <v>CLOSED</v>
      </c>
    </row>
    <row r="839" spans="1:14" ht="30">
      <c r="A839" s="124" t="s">
        <v>500</v>
      </c>
      <c r="B839" s="98" t="e">
        <f>VLOOKUP([2]!Table27[[#This Row],[Location 
(drop-down)]],'[2]List source'!D$2:E$59,2,FALSE)</f>
        <v>#N/A</v>
      </c>
      <c r="C839" s="179" t="s">
        <v>833</v>
      </c>
      <c r="D839" s="223" t="e">
        <f t="shared" si="26"/>
        <v>#N/A</v>
      </c>
      <c r="E839" s="251" t="s">
        <v>2996</v>
      </c>
      <c r="F839" s="274" t="s">
        <v>1769</v>
      </c>
      <c r="G839" s="251" t="e">
        <f>MID(LEFT(#REF!, FIND(",",#REF!) - 1), FIND("{token}", SUBSTITUTE(#REF!, " ", "{token}", 2)) + 1, LEN(#REF!))</f>
        <v>#REF!</v>
      </c>
      <c r="H839" s="274">
        <v>5.34</v>
      </c>
      <c r="I839" s="304">
        <v>45412</v>
      </c>
      <c r="J839" s="304" t="s">
        <v>310</v>
      </c>
      <c r="K839" s="320">
        <v>45628</v>
      </c>
      <c r="L839" s="274"/>
      <c r="M839" s="297">
        <v>311</v>
      </c>
      <c r="N839" s="2" t="str">
        <f t="shared" ca="1" si="25"/>
        <v>CLOSED</v>
      </c>
    </row>
    <row r="840" spans="1:14" ht="30">
      <c r="A840" s="124" t="s">
        <v>500</v>
      </c>
      <c r="B840" s="98" t="e">
        <f>VLOOKUP([2]!Table27[[#This Row],[Location 
(drop-down)]],'[2]List source'!D$2:E$59,2,FALSE)</f>
        <v>#N/A</v>
      </c>
      <c r="C840" s="179" t="s">
        <v>466</v>
      </c>
      <c r="D840" s="223" t="e">
        <f t="shared" si="26"/>
        <v>#N/A</v>
      </c>
      <c r="E840" s="251" t="s">
        <v>2997</v>
      </c>
      <c r="F840" s="274" t="s">
        <v>1520</v>
      </c>
      <c r="G840" s="251" t="e">
        <f>MID(LEFT(#REF!, FIND(",",#REF!) - 1), FIND("{token}", SUBSTITUTE(#REF!, " ", "{token}", 2)) + 1, LEN(#REF!))</f>
        <v>#REF!</v>
      </c>
      <c r="H840" s="303" t="s">
        <v>1880</v>
      </c>
      <c r="I840" s="304">
        <v>45426</v>
      </c>
      <c r="J840" s="304" t="s">
        <v>310</v>
      </c>
      <c r="K840" s="320">
        <v>45628</v>
      </c>
      <c r="L840" s="274"/>
      <c r="M840" s="297">
        <v>466</v>
      </c>
      <c r="N840" s="2" t="str">
        <f t="shared" ca="1" si="25"/>
        <v>CLOSED</v>
      </c>
    </row>
    <row r="841" spans="1:14" ht="30">
      <c r="A841" s="124" t="s">
        <v>500</v>
      </c>
      <c r="B841" s="98" t="e">
        <f>VLOOKUP([2]!Table27[[#This Row],[Location 
(drop-down)]],'[2]List source'!D$2:E$59,2,FALSE)</f>
        <v>#N/A</v>
      </c>
      <c r="C841" s="179" t="s">
        <v>2998</v>
      </c>
      <c r="D841" s="223" t="e">
        <f t="shared" si="26"/>
        <v>#N/A</v>
      </c>
      <c r="E841" s="251" t="s">
        <v>2999</v>
      </c>
      <c r="F841" s="274" t="e" cm="1">
        <f t="array" aca="1" ref="F841" ca="1">MID(LEFT(#REF!, INDEX(_xlfn._xlws.FILTER(ROW(INDIRECT("1:" &amp; LEN(#REF!))), (48 &lt;= CODE(MID(#REF!, ROW(INDIRECT("1:" &amp; LEN(#REF!))), 1))) * (CODE(MID(#REF!, ROW(INDIRECT("1:" &amp; LEN(#REF!))), 1)) &lt;= 57)), 1) - 1), FIND(":",#REF!) + 2, LEN(#REF!))</f>
        <v>#REF!</v>
      </c>
      <c r="G841" s="251" t="e">
        <f>MID(LEFT(#REF!, FIND(",",#REF!) - 1), FIND("{token}", SUBSTITUTE(#REF!, " ", "{token}", 2)) + 1, LEN(#REF!))</f>
        <v>#REF!</v>
      </c>
      <c r="H841" s="303" t="s">
        <v>3000</v>
      </c>
      <c r="I841" s="304">
        <v>45435</v>
      </c>
      <c r="J841" s="304" t="s">
        <v>310</v>
      </c>
      <c r="K841" s="320">
        <v>45628</v>
      </c>
      <c r="L841" s="274"/>
      <c r="M841" s="297">
        <v>602</v>
      </c>
      <c r="N841" s="2" t="str">
        <f t="shared" ca="1" si="25"/>
        <v>CLOSED</v>
      </c>
    </row>
    <row r="842" spans="1:14" ht="30">
      <c r="A842" s="124" t="s">
        <v>500</v>
      </c>
      <c r="B842" s="98" t="e">
        <f>VLOOKUP([2]!Table27[[#This Row],[Location 
(drop-down)]],'[2]List source'!D$2:E$59,2,FALSE)</f>
        <v>#N/A</v>
      </c>
      <c r="C842" s="179" t="s">
        <v>3001</v>
      </c>
      <c r="D842" s="309" t="e">
        <f t="shared" si="26"/>
        <v>#N/A</v>
      </c>
      <c r="E842" s="251" t="s">
        <v>3002</v>
      </c>
      <c r="F842" s="274" t="e" cm="1">
        <f t="array" aca="1" ref="F842" ca="1">MID(LEFT(#REF!, INDEX(_xlfn._xlws.FILTER(ROW(INDIRECT("1:" &amp; LEN(#REF!))), (48 &lt;= CODE(MID(#REF!, ROW(INDIRECT("1:" &amp; LEN(#REF!))), 1))) * (CODE(MID(#REF!, ROW(INDIRECT("1:" &amp; LEN(#REF!))), 1)) &lt;= 57)), 1) - 1), FIND(":",#REF!) + 2, LEN(#REF!))</f>
        <v>#REF!</v>
      </c>
      <c r="G842" s="251" t="e">
        <f>MID(LEFT(#REF!, FIND(",",#REF!) - 1), FIND("{token}", SUBSTITUTE(#REF!, " ", "{token}", 2)) + 1, LEN(#REF!))</f>
        <v>#REF!</v>
      </c>
      <c r="H842" s="274">
        <v>2.67</v>
      </c>
      <c r="I842" s="304">
        <v>45541</v>
      </c>
      <c r="J842" s="304" t="s">
        <v>310</v>
      </c>
      <c r="K842" s="320">
        <v>45628</v>
      </c>
      <c r="L842" s="274"/>
      <c r="M842" s="297">
        <v>952</v>
      </c>
      <c r="N842" s="2" t="str">
        <f t="shared" ca="1" si="25"/>
        <v>CLOSED</v>
      </c>
    </row>
    <row r="843" spans="1:14" ht="30">
      <c r="A843" s="124" t="s">
        <v>500</v>
      </c>
      <c r="B843" s="98" t="e">
        <f>VLOOKUP([2]!Table27[[#This Row],[Location 
(drop-down)]],'[2]List source'!D$2:E$59,2,FALSE)</f>
        <v>#N/A</v>
      </c>
      <c r="C843" s="179" t="s">
        <v>3003</v>
      </c>
      <c r="D843" s="309" t="e">
        <f t="shared" si="26"/>
        <v>#N/A</v>
      </c>
      <c r="E843" s="251" t="s">
        <v>3004</v>
      </c>
      <c r="F843" s="274" t="e" cm="1">
        <f t="array" aca="1" ref="F843" ca="1">MID(LEFT(#REF!, INDEX(_xlfn._xlws.FILTER(ROW(INDIRECT("1:" &amp; LEN(#REF!))), (48 &lt;= CODE(MID(#REF!, ROW(INDIRECT("1:" &amp; LEN(#REF!))), 1))) * (CODE(MID(#REF!, ROW(INDIRECT("1:" &amp; LEN(#REF!))), 1)) &lt;= 57)), 1) - 1), FIND(":",#REF!) + 2, LEN(#REF!))</f>
        <v>#REF!</v>
      </c>
      <c r="G843" s="251" t="e">
        <f>MID(LEFT(#REF!, FIND(",",#REF!) - 1), FIND("{token}", SUBSTITUTE(#REF!, " ", "{token}", 2)) + 1, LEN(#REF!))</f>
        <v>#REF!</v>
      </c>
      <c r="H843" s="274">
        <v>3.06</v>
      </c>
      <c r="I843" s="304">
        <v>45546</v>
      </c>
      <c r="J843" s="304" t="s">
        <v>310</v>
      </c>
      <c r="K843" s="320">
        <v>45628</v>
      </c>
      <c r="L843" s="274"/>
      <c r="M843" s="297">
        <v>979</v>
      </c>
      <c r="N843" s="2" t="str">
        <f t="shared" ca="1" si="25"/>
        <v>CLOSED</v>
      </c>
    </row>
    <row r="844" spans="1:14" ht="30">
      <c r="A844" s="174" t="s">
        <v>294</v>
      </c>
      <c r="B844" s="98" t="e">
        <f>VLOOKUP([2]!Table27[[#This Row],[Location 
(drop-down)]],'[2]List source'!D$2:E$59,2,FALSE)</f>
        <v>#N/A</v>
      </c>
      <c r="C844" s="183" t="s">
        <v>795</v>
      </c>
      <c r="D844" s="333" t="e">
        <f t="shared" si="26"/>
        <v>#N/A</v>
      </c>
      <c r="E844" s="349" t="s">
        <v>3005</v>
      </c>
      <c r="F844" s="350" t="e" cm="1">
        <f t="array" aca="1" ref="F844" ca="1">MID(LEFT(#REF!, INDEX(_xlfn._xlws.FILTER(ROW(INDIRECT("1:" &amp; LEN(#REF!))), (48 &lt;= CODE(MID(#REF!, ROW(INDIRECT("1:" &amp; LEN(#REF!))), 1))) * (CODE(MID(#REF!, ROW(INDIRECT("1:" &amp; LEN(#REF!))), 1)) &lt;= 57)), 1) - 1), FIND(":",#REF!) + 2, LEN(#REF!))</f>
        <v>#REF!</v>
      </c>
      <c r="G844" s="349" t="e">
        <f>MID(LEFT(#REF!, FIND(",",#REF!) - 1), FIND("{token}", SUBSTITUTE(#REF!, " ", "{token}", 2)) + 1, LEN(#REF!))</f>
        <v>#REF!</v>
      </c>
      <c r="H844" s="350" t="s">
        <v>3006</v>
      </c>
      <c r="I844" s="351">
        <v>45307</v>
      </c>
      <c r="J844" s="351" t="s">
        <v>239</v>
      </c>
      <c r="K844" s="352">
        <v>45631</v>
      </c>
      <c r="L844" s="274"/>
      <c r="M844" s="297">
        <v>64</v>
      </c>
      <c r="N844" s="2" t="str">
        <f t="shared" ca="1" si="25"/>
        <v>CLOSED</v>
      </c>
    </row>
    <row r="845" spans="1:14" ht="30">
      <c r="A845" s="174" t="s">
        <v>39</v>
      </c>
      <c r="B845" s="98" t="e">
        <f>VLOOKUP([2]!Table27[[#This Row],[Location 
(drop-down)]],'[2]List source'!D$2:E$59,2,FALSE)</f>
        <v>#N/A</v>
      </c>
      <c r="C845" s="183" t="s">
        <v>3007</v>
      </c>
      <c r="D845" s="333" t="e">
        <f t="shared" si="26"/>
        <v>#N/A</v>
      </c>
      <c r="E845" s="349" t="s">
        <v>3008</v>
      </c>
      <c r="F845" s="350" t="e" cm="1">
        <f t="array" aca="1" ref="F845" ca="1">MID(LEFT(#REF!, INDEX(_xlfn._xlws.FILTER(ROW(INDIRECT("1:" &amp; LEN(#REF!))), (48 &lt;= CODE(MID(#REF!, ROW(INDIRECT("1:" &amp; LEN(#REF!))), 1))) * (CODE(MID(#REF!, ROW(INDIRECT("1:" &amp; LEN(#REF!))), 1)) &lt;= 57)), 1) - 1), FIND(":",#REF!) + 2, LEN(#REF!))</f>
        <v>#REF!</v>
      </c>
      <c r="G845" s="349" t="e">
        <f>MID(LEFT(#REF!, FIND(",",#REF!) - 1), FIND("{token}", SUBSTITUTE(#REF!, " ", "{token}", 2)) + 1, LEN(#REF!))</f>
        <v>#REF!</v>
      </c>
      <c r="H845" s="350">
        <v>3.17</v>
      </c>
      <c r="I845" s="351">
        <v>45510</v>
      </c>
      <c r="J845" s="351" t="s">
        <v>239</v>
      </c>
      <c r="K845" s="352">
        <v>45631</v>
      </c>
      <c r="L845" s="274"/>
      <c r="M845" s="297">
        <v>712</v>
      </c>
      <c r="N845" s="2" t="str">
        <f t="shared" ca="1" si="25"/>
        <v>CLOSED</v>
      </c>
    </row>
    <row r="846" spans="1:14" ht="15">
      <c r="A846" s="124" t="s">
        <v>103</v>
      </c>
      <c r="B846" s="98" t="e">
        <f>VLOOKUP([2]!Table27[[#This Row],[Location 
(drop-down)]],'[2]List source'!D$2:E$59,2,FALSE)</f>
        <v>#N/A</v>
      </c>
      <c r="C846" s="179" t="s">
        <v>3009</v>
      </c>
      <c r="D846" s="212" t="e">
        <f t="shared" si="26"/>
        <v>#N/A</v>
      </c>
      <c r="E846" s="251" t="s">
        <v>3010</v>
      </c>
      <c r="F846" s="274" t="s">
        <v>1769</v>
      </c>
      <c r="G846" s="251" t="e">
        <f>MID(LEFT(#REF!, FIND(",",#REF!) - 1), FIND("{token}", SUBSTITUTE(#REF!, " ", "{token}", 2)) + 1, LEN(#REF!))</f>
        <v>#REF!</v>
      </c>
      <c r="H846" s="274">
        <v>2.31</v>
      </c>
      <c r="I846" s="304">
        <v>45631</v>
      </c>
      <c r="J846" s="304" t="s">
        <v>34</v>
      </c>
      <c r="K846" s="320">
        <v>45631</v>
      </c>
      <c r="L846" s="353" t="s">
        <v>1671</v>
      </c>
      <c r="M846" s="297">
        <v>1074</v>
      </c>
      <c r="N846" s="2" t="str">
        <f t="shared" ca="1" si="25"/>
        <v>CLOSED</v>
      </c>
    </row>
    <row r="847" spans="1:14" ht="15">
      <c r="A847" s="124" t="s">
        <v>103</v>
      </c>
      <c r="B847" s="98" t="e">
        <f>VLOOKUP([2]!Table27[[#This Row],[Location 
(drop-down)]],'[2]List source'!D$2:E$59,2,FALSE)</f>
        <v>#N/A</v>
      </c>
      <c r="C847" s="179" t="s">
        <v>3011</v>
      </c>
      <c r="D847" s="212" t="e">
        <f t="shared" si="26"/>
        <v>#N/A</v>
      </c>
      <c r="E847" s="251" t="s">
        <v>3012</v>
      </c>
      <c r="F847" s="274" t="s">
        <v>1769</v>
      </c>
      <c r="G847" s="251" t="e">
        <f>MID(LEFT(#REF!, FIND(",",#REF!) - 1), FIND("{token}", SUBSTITUTE(#REF!, " ", "{token}", 2)) + 1, LEN(#REF!))</f>
        <v>#REF!</v>
      </c>
      <c r="H847" s="274">
        <v>2.38</v>
      </c>
      <c r="I847" s="304">
        <v>45631</v>
      </c>
      <c r="J847" s="304" t="s">
        <v>34</v>
      </c>
      <c r="K847" s="320">
        <v>45631</v>
      </c>
      <c r="L847" s="274" t="s">
        <v>1505</v>
      </c>
      <c r="M847" s="297">
        <v>1075</v>
      </c>
      <c r="N847" s="2" t="str">
        <f t="shared" ca="1" si="25"/>
        <v>CLOSED</v>
      </c>
    </row>
    <row r="848" spans="1:14" ht="15">
      <c r="A848" s="124" t="s">
        <v>167</v>
      </c>
      <c r="B848" s="98" t="e">
        <f>VLOOKUP([2]!Table27[[#This Row],[Location 
(drop-down)]],'[2]List source'!D$2:E$59,2,FALSE)</f>
        <v>#N/A</v>
      </c>
      <c r="C848" s="179" t="s">
        <v>3013</v>
      </c>
      <c r="D848" s="212" t="e">
        <f t="shared" si="26"/>
        <v>#N/A</v>
      </c>
      <c r="E848" s="251" t="s">
        <v>3014</v>
      </c>
      <c r="F848" s="274" t="s">
        <v>1769</v>
      </c>
      <c r="G848" s="251" t="e">
        <f>MID(LEFT(#REF!, FIND(",",#REF!) - 1), FIND("{token}", SUBSTITUTE(#REF!, " ", "{token}", 2)) + 1, LEN(#REF!))</f>
        <v>#REF!</v>
      </c>
      <c r="H848" s="303" t="s">
        <v>1874</v>
      </c>
      <c r="I848" s="304">
        <v>45631</v>
      </c>
      <c r="J848" s="304" t="s">
        <v>34</v>
      </c>
      <c r="K848" s="320">
        <v>45631</v>
      </c>
      <c r="L848" s="353" t="s">
        <v>1671</v>
      </c>
      <c r="M848" s="297">
        <v>1077</v>
      </c>
      <c r="N848" s="2" t="str">
        <f t="shared" ca="1" si="25"/>
        <v>CLOSED</v>
      </c>
    </row>
    <row r="849" spans="1:14" ht="30">
      <c r="A849" s="124" t="s">
        <v>500</v>
      </c>
      <c r="B849" s="98" t="e">
        <f>VLOOKUP([2]!Table27[[#This Row],[Location 
(drop-down)]],'[2]List source'!D$2:E$59,2,FALSE)</f>
        <v>#N/A</v>
      </c>
      <c r="C849" s="179" t="s">
        <v>3015</v>
      </c>
      <c r="D849" s="212" t="e">
        <f t="shared" si="26"/>
        <v>#N/A</v>
      </c>
      <c r="E849" s="251" t="s">
        <v>3016</v>
      </c>
      <c r="F849" s="274" t="s">
        <v>1769</v>
      </c>
      <c r="G849" s="251" t="e">
        <f>MID(LEFT(#REF!, FIND(",",#REF!) - 1), FIND("{token}", SUBSTITUTE(#REF!, " ", "{token}", 2)) + 1, LEN(#REF!))</f>
        <v>#REF!</v>
      </c>
      <c r="H849" s="274">
        <v>2.5499999999999998</v>
      </c>
      <c r="I849" s="304">
        <v>45631</v>
      </c>
      <c r="J849" s="304" t="s">
        <v>34</v>
      </c>
      <c r="K849" s="320">
        <v>45631</v>
      </c>
      <c r="L849" s="353" t="s">
        <v>1671</v>
      </c>
      <c r="M849" s="297">
        <v>1078</v>
      </c>
      <c r="N849" s="2" t="str">
        <f t="shared" ca="1" si="25"/>
        <v>CLOSED</v>
      </c>
    </row>
    <row r="850" spans="1:14" ht="15">
      <c r="A850" s="124" t="s">
        <v>139</v>
      </c>
      <c r="B850" s="98" t="e">
        <f>VLOOKUP([2]!Table27[[#This Row],[Location 
(drop-down)]],'[2]List source'!D$2:E$59,2,FALSE)</f>
        <v>#N/A</v>
      </c>
      <c r="C850" s="179" t="s">
        <v>3017</v>
      </c>
      <c r="D850" s="212" t="e">
        <f t="shared" si="26"/>
        <v>#N/A</v>
      </c>
      <c r="E850" s="251" t="s">
        <v>3018</v>
      </c>
      <c r="F850" s="274" t="s">
        <v>1769</v>
      </c>
      <c r="G850" s="251" t="e">
        <f>MID(LEFT(#REF!, FIND(",",#REF!) - 1), FIND("{token}", SUBSTITUTE(#REF!, " ", "{token}", 2)) + 1, LEN(#REF!))</f>
        <v>#REF!</v>
      </c>
      <c r="H850" s="274" t="s">
        <v>3019</v>
      </c>
      <c r="I850" s="304">
        <v>45631</v>
      </c>
      <c r="J850" s="304" t="s">
        <v>34</v>
      </c>
      <c r="K850" s="320">
        <v>45631</v>
      </c>
      <c r="L850" s="259" t="s">
        <v>1671</v>
      </c>
      <c r="M850" s="297">
        <v>1079</v>
      </c>
      <c r="N850" s="2" t="str">
        <f t="shared" ca="1" si="25"/>
        <v>CLOSED</v>
      </c>
    </row>
    <row r="851" spans="1:14" ht="18.75">
      <c r="A851" s="174" t="s">
        <v>64</v>
      </c>
      <c r="B851" s="98" t="e">
        <f>VLOOKUP([2]!Table27[[#This Row],[Location 
(drop-down)]],'[2]List source'!D$2:E$59,2,FALSE)</f>
        <v>#N/A</v>
      </c>
      <c r="C851" s="183" t="s">
        <v>3020</v>
      </c>
      <c r="D851" s="354" t="e">
        <f t="shared" si="26"/>
        <v>#N/A</v>
      </c>
      <c r="E851" s="349" t="s">
        <v>3021</v>
      </c>
      <c r="F851" s="350" t="e" cm="1">
        <f t="array" aca="1" ref="F851" ca="1">MID(LEFT(#REF!, INDEX(_xlfn._xlws.FILTER(ROW(INDIRECT("1:" &amp; LEN(#REF!))), (48 &lt;= CODE(MID(#REF!, ROW(INDIRECT("1:" &amp; LEN(#REF!))), 1))) * (CODE(MID(#REF!, ROW(INDIRECT("1:" &amp; LEN(#REF!))), 1)) &lt;= 57)), 1) - 1), FIND(":",#REF!) + 2, LEN(#REF!))</f>
        <v>#REF!</v>
      </c>
      <c r="G851" s="349" t="e">
        <f>MID(LEFT(#REF!, FIND(",",#REF!) - 1), FIND("{token}", SUBSTITUTE(#REF!, " ", "{token}", 2)) + 1, LEN(#REF!))</f>
        <v>#REF!</v>
      </c>
      <c r="H851" s="355" t="s">
        <v>1764</v>
      </c>
      <c r="I851" s="351">
        <v>45533</v>
      </c>
      <c r="J851" s="351" t="s">
        <v>239</v>
      </c>
      <c r="K851" s="352">
        <v>45632</v>
      </c>
      <c r="L851" s="274"/>
      <c r="M851" s="297">
        <v>822</v>
      </c>
      <c r="N851" s="2" t="str">
        <f t="shared" ca="1" si="25"/>
        <v>CLOSED</v>
      </c>
    </row>
    <row r="852" spans="1:14" ht="18.75">
      <c r="A852" s="124" t="s">
        <v>462</v>
      </c>
      <c r="B852" s="98" t="e">
        <f>VLOOKUP([2]!Table27[[#This Row],[Location 
(drop-down)]],'[2]List source'!D$2:E$59,2,FALSE)</f>
        <v>#N/A</v>
      </c>
      <c r="C852" s="179" t="s">
        <v>400</v>
      </c>
      <c r="D852" s="223" t="e">
        <f t="shared" si="26"/>
        <v>#N/A</v>
      </c>
      <c r="E852" s="251" t="s">
        <v>3022</v>
      </c>
      <c r="F852" s="274" t="e" cm="1">
        <f t="array" aca="1" ref="F852" ca="1">MID(LEFT(#REF!, INDEX(_xlfn._xlws.FILTER(ROW(INDIRECT("1:" &amp; LEN(#REF!))), (48 &lt;= CODE(MID(#REF!, ROW(INDIRECT("1:" &amp; LEN(#REF!))), 1))) * (CODE(MID(#REF!, ROW(INDIRECT("1:" &amp; LEN(#REF!))), 1)) &lt;= 57)), 1) - 1), FIND(":",#REF!) + 2, LEN(#REF!))</f>
        <v>#REF!</v>
      </c>
      <c r="G852" s="251" t="e">
        <f>MID(LEFT(#REF!, FIND(",",#REF!) - 1), FIND("{token}", SUBSTITUTE(#REF!, " ", "{token}", 2)) + 1, LEN(#REF!))</f>
        <v>#REF!</v>
      </c>
      <c r="H852" s="274">
        <v>2.11</v>
      </c>
      <c r="I852" s="304">
        <v>45418</v>
      </c>
      <c r="J852" s="304" t="s">
        <v>29</v>
      </c>
      <c r="K852" s="320">
        <v>45635</v>
      </c>
      <c r="L852" s="274"/>
      <c r="M852" s="297">
        <v>358</v>
      </c>
      <c r="N852" s="2" t="str">
        <f t="shared" ca="1" si="25"/>
        <v>CLOSED</v>
      </c>
    </row>
    <row r="853" spans="1:14" ht="30">
      <c r="A853" s="124" t="s">
        <v>114</v>
      </c>
      <c r="B853" s="98" t="e">
        <f>VLOOKUP([2]!Table27[[#This Row],[Location 
(drop-down)]],'[2]List source'!D$2:E$59,2,FALSE)</f>
        <v>#N/A</v>
      </c>
      <c r="C853" s="179" t="s">
        <v>3023</v>
      </c>
      <c r="D853" s="212" t="e">
        <f t="shared" si="26"/>
        <v>#N/A</v>
      </c>
      <c r="E853" s="251" t="s">
        <v>3024</v>
      </c>
      <c r="F853" s="274" t="s">
        <v>2279</v>
      </c>
      <c r="G853" s="251" t="e">
        <f>MID(LEFT(#REF!, FIND(",",#REF!) - 1), FIND("{token}", SUBSTITUTE(#REF!, " ", "{token}", 2)) + 1, LEN(#REF!))</f>
        <v>#REF!</v>
      </c>
      <c r="H853" s="303" t="s">
        <v>1808</v>
      </c>
      <c r="I853" s="304">
        <v>45635</v>
      </c>
      <c r="J853" s="304" t="s">
        <v>34</v>
      </c>
      <c r="K853" s="320">
        <v>45635</v>
      </c>
      <c r="L853" s="353" t="s">
        <v>1671</v>
      </c>
      <c r="M853" s="297">
        <v>1080</v>
      </c>
      <c r="N853" s="2" t="str">
        <f t="shared" ca="1" si="25"/>
        <v>CLOSED</v>
      </c>
    </row>
    <row r="854" spans="1:14" ht="30">
      <c r="A854" s="124" t="s">
        <v>114</v>
      </c>
      <c r="B854" s="98" t="e">
        <f>VLOOKUP([2]!Table27[[#This Row],[Location 
(drop-down)]],'[2]List source'!D$2:E$59,2,FALSE)</f>
        <v>#N/A</v>
      </c>
      <c r="C854" s="179" t="s">
        <v>3025</v>
      </c>
      <c r="D854" s="212" t="e">
        <f t="shared" si="26"/>
        <v>#N/A</v>
      </c>
      <c r="E854" s="251" t="s">
        <v>3026</v>
      </c>
      <c r="F854" s="274" t="s">
        <v>2279</v>
      </c>
      <c r="G854" s="251" t="e">
        <f>MID(LEFT(#REF!, FIND(",",#REF!) - 1), FIND("{token}", SUBSTITUTE(#REF!, " ", "{token}", 2)) + 1, LEN(#REF!))</f>
        <v>#REF!</v>
      </c>
      <c r="H854" s="274">
        <v>2.35</v>
      </c>
      <c r="I854" s="304">
        <v>45635</v>
      </c>
      <c r="J854" s="304" t="s">
        <v>34</v>
      </c>
      <c r="K854" s="320">
        <v>45635</v>
      </c>
      <c r="L854" s="353" t="s">
        <v>1671</v>
      </c>
      <c r="M854" s="297">
        <v>1081</v>
      </c>
      <c r="N854" s="2" t="str">
        <f t="shared" ca="1" si="25"/>
        <v>CLOSED</v>
      </c>
    </row>
    <row r="855" spans="1:14" ht="30">
      <c r="A855" s="124" t="s">
        <v>495</v>
      </c>
      <c r="B855" s="98" t="e">
        <f>VLOOKUP([2]!Table27[[#This Row],[Location 
(drop-down)]],'[2]List source'!D$2:E$59,2,FALSE)</f>
        <v>#N/A</v>
      </c>
      <c r="C855" s="179" t="s">
        <v>3027</v>
      </c>
      <c r="D855" s="212" t="e">
        <f t="shared" si="26"/>
        <v>#N/A</v>
      </c>
      <c r="E855" s="251" t="s">
        <v>3028</v>
      </c>
      <c r="F855" s="274" t="s">
        <v>2279</v>
      </c>
      <c r="G855" s="251" t="e">
        <f>MID(LEFT(#REF!, FIND(",",#REF!) - 1), FIND("{token}", SUBSTITUTE(#REF!, " ", "{token}", 2)) + 1, LEN(#REF!))</f>
        <v>#REF!</v>
      </c>
      <c r="H855" s="303" t="s">
        <v>3029</v>
      </c>
      <c r="I855" s="304">
        <v>45635</v>
      </c>
      <c r="J855" s="304" t="s">
        <v>34</v>
      </c>
      <c r="K855" s="320">
        <v>45635</v>
      </c>
      <c r="L855" s="274" t="s">
        <v>1505</v>
      </c>
      <c r="M855" s="297">
        <v>1082</v>
      </c>
      <c r="N855" s="2" t="str">
        <f t="shared" ca="1" si="25"/>
        <v>CLOSED</v>
      </c>
    </row>
    <row r="856" spans="1:14" ht="30">
      <c r="A856" s="124" t="s">
        <v>294</v>
      </c>
      <c r="B856" s="98" t="e">
        <f>VLOOKUP([2]!Table27[[#This Row],[Location 
(drop-down)]],'[2]List source'!D$2:E$59,2,FALSE)</f>
        <v>#N/A</v>
      </c>
      <c r="C856" s="179" t="s">
        <v>3030</v>
      </c>
      <c r="D856" s="212" t="e">
        <f t="shared" si="26"/>
        <v>#N/A</v>
      </c>
      <c r="E856" s="251" t="s">
        <v>3031</v>
      </c>
      <c r="F856" s="274" t="e" cm="1">
        <f t="array" aca="1" ref="F856" ca="1">MID(LEFT(#REF!, INDEX(_xlfn._xlws.FILTER(ROW(INDIRECT("1:" &amp; LEN(#REF!))), (48 &lt;= CODE(MID(#REF!, ROW(INDIRECT("1:" &amp; LEN(#REF!))), 1))) * (CODE(MID(#REF!, ROW(INDIRECT("1:" &amp; LEN(#REF!))), 1)) &lt;= 57)), 1) - 1), FIND(":",#REF!) + 2, LEN(#REF!))</f>
        <v>#REF!</v>
      </c>
      <c r="G856" s="251" t="e">
        <f>MID(LEFT(#REF!, FIND(",",#REF!) - 1), FIND("{token}", SUBSTITUTE(#REF!, " ", "{token}", 2)) + 1, LEN(#REF!))</f>
        <v>#REF!</v>
      </c>
      <c r="H856" s="303" t="s">
        <v>1683</v>
      </c>
      <c r="I856" s="304">
        <v>45635</v>
      </c>
      <c r="J856" s="304" t="s">
        <v>34</v>
      </c>
      <c r="K856" s="320">
        <v>45635</v>
      </c>
      <c r="L856" s="353" t="s">
        <v>1671</v>
      </c>
      <c r="M856" s="297">
        <v>1088</v>
      </c>
      <c r="N856" s="2" t="str">
        <f t="shared" ref="N856:N919" ca="1" si="27">IF(ISBLANK(K856), TODAY()-(I856), "CLOSED")</f>
        <v>CLOSED</v>
      </c>
    </row>
    <row r="857" spans="1:14" ht="30">
      <c r="A857" s="124" t="s">
        <v>500</v>
      </c>
      <c r="B857" s="98" t="e">
        <f>VLOOKUP([2]!Table27[[#This Row],[Location 
(drop-down)]],'[2]List source'!D$2:E$59,2,FALSE)</f>
        <v>#N/A</v>
      </c>
      <c r="C857" s="179" t="s">
        <v>3032</v>
      </c>
      <c r="D857" s="212" t="e">
        <f t="shared" si="26"/>
        <v>#N/A</v>
      </c>
      <c r="E857" s="251" t="s">
        <v>3033</v>
      </c>
      <c r="F857" s="274" t="e" cm="1">
        <f t="array" aca="1" ref="F857" ca="1">MID(LEFT(#REF!, INDEX(_xlfn._xlws.FILTER(ROW(INDIRECT("1:" &amp; LEN(#REF!))), (48 &lt;= CODE(MID(#REF!, ROW(INDIRECT("1:" &amp; LEN(#REF!))), 1))) * (CODE(MID(#REF!, ROW(INDIRECT("1:" &amp; LEN(#REF!))), 1)) &lt;= 57)), 1) - 1), FIND(":",#REF!) + 2, LEN(#REF!))</f>
        <v>#REF!</v>
      </c>
      <c r="G857" s="251" t="e">
        <f>MID(LEFT(#REF!, FIND(",",#REF!) - 1), FIND("{token}", SUBSTITUTE(#REF!, " ", "{token}", 2)) + 1, LEN(#REF!))</f>
        <v>#REF!</v>
      </c>
      <c r="H857" s="303" t="s">
        <v>2342</v>
      </c>
      <c r="I857" s="304">
        <v>45635</v>
      </c>
      <c r="J857" s="304" t="s">
        <v>34</v>
      </c>
      <c r="K857" s="320">
        <v>45635</v>
      </c>
      <c r="L857" s="259" t="s">
        <v>1671</v>
      </c>
      <c r="M857" s="297">
        <v>1090</v>
      </c>
      <c r="N857" s="2" t="str">
        <f t="shared" ca="1" si="27"/>
        <v>CLOSED</v>
      </c>
    </row>
    <row r="858" spans="1:14" ht="15">
      <c r="A858" s="124" t="s">
        <v>43</v>
      </c>
      <c r="B858" s="98" t="e">
        <f>VLOOKUP([2]!Table27[[#This Row],[Location 
(drop-down)]],'[2]List source'!D$2:E$59,2,FALSE)</f>
        <v>#N/A</v>
      </c>
      <c r="C858" s="179" t="s">
        <v>3034</v>
      </c>
      <c r="D858" s="212" t="e">
        <f t="shared" si="26"/>
        <v>#N/A</v>
      </c>
      <c r="E858" s="251" t="s">
        <v>3035</v>
      </c>
      <c r="F858" s="274" t="e" cm="1">
        <f t="array" aca="1" ref="F858" ca="1">MID(LEFT(#REF!, INDEX(_xlfn._xlws.FILTER(ROW(INDIRECT("1:" &amp; LEN(#REF!))), (48 &lt;= CODE(MID(#REF!, ROW(INDIRECT("1:" &amp; LEN(#REF!))), 1))) * (CODE(MID(#REF!, ROW(INDIRECT("1:" &amp; LEN(#REF!))), 1)) &lt;= 57)), 1) - 1), FIND(":",#REF!) + 2, LEN(#REF!))</f>
        <v>#REF!</v>
      </c>
      <c r="G858" s="251" t="e">
        <f>MID(LEFT(#REF!, FIND(",",#REF!) - 1), FIND("{token}", SUBSTITUTE(#REF!, " ", "{token}", 2)) + 1, LEN(#REF!))</f>
        <v>#REF!</v>
      </c>
      <c r="H858" s="303" t="s">
        <v>3036</v>
      </c>
      <c r="I858" s="304">
        <v>45635</v>
      </c>
      <c r="J858" s="304" t="s">
        <v>34</v>
      </c>
      <c r="K858" s="320">
        <v>45635</v>
      </c>
      <c r="L858" s="274" t="s">
        <v>1505</v>
      </c>
      <c r="M858" s="297">
        <v>1092</v>
      </c>
      <c r="N858" s="2" t="str">
        <f t="shared" ca="1" si="27"/>
        <v>CLOSED</v>
      </c>
    </row>
    <row r="859" spans="1:14" ht="30">
      <c r="A859" s="124" t="s">
        <v>399</v>
      </c>
      <c r="B859" s="98" t="e">
        <f>VLOOKUP([2]!Table27[[#This Row],[Location 
(drop-down)]],'[2]List source'!D$2:E$59,2,FALSE)</f>
        <v>#N/A</v>
      </c>
      <c r="C859" s="179" t="s">
        <v>719</v>
      </c>
      <c r="D859" s="223" t="e">
        <f t="shared" si="26"/>
        <v>#N/A</v>
      </c>
      <c r="E859" s="356" t="s">
        <v>3037</v>
      </c>
      <c r="F859" s="33" t="e" cm="1">
        <f t="array" aca="1" ref="F859" ca="1">MID(LEFT(#REF!, INDEX(_xlfn._xlws.FILTER(ROW(INDIRECT("1:" &amp; LEN(#REF!))), (48 &lt;= CODE(MID(#REF!, ROW(INDIRECT("1:" &amp; LEN(#REF!))), 1))) * (CODE(MID(#REF!, ROW(INDIRECT("1:" &amp; LEN(#REF!))), 1)) &lt;= 57)), 1) - 1), FIND(":",#REF!) + 2, LEN(#REF!))</f>
        <v>#REF!</v>
      </c>
      <c r="G859" s="356" t="e">
        <f>MID(LEFT(#REF!, FIND(",",#REF!) - 1), FIND("{token}", SUBSTITUTE(#REF!, " ", "{token}", 2)) + 1, LEN(#REF!))</f>
        <v>#REF!</v>
      </c>
      <c r="H859" s="33">
        <v>3</v>
      </c>
      <c r="I859" s="304">
        <v>45376</v>
      </c>
      <c r="J859" s="304" t="s">
        <v>21</v>
      </c>
      <c r="K859" s="320">
        <v>45636</v>
      </c>
      <c r="L859" s="274"/>
      <c r="M859" s="297">
        <v>144</v>
      </c>
      <c r="N859" s="2" t="str">
        <f t="shared" ca="1" si="27"/>
        <v>CLOSED</v>
      </c>
    </row>
    <row r="860" spans="1:14" ht="30">
      <c r="A860" s="174" t="s">
        <v>39</v>
      </c>
      <c r="B860" s="98" t="e">
        <f>VLOOKUP([2]!Table27[[#This Row],[Location 
(drop-down)]],'[2]List source'!D$2:E$59,2,FALSE)</f>
        <v>#N/A</v>
      </c>
      <c r="C860" s="183" t="s">
        <v>856</v>
      </c>
      <c r="D860" s="333" t="e">
        <f t="shared" si="26"/>
        <v>#N/A</v>
      </c>
      <c r="E860" s="349" t="s">
        <v>3038</v>
      </c>
      <c r="F860" s="350" t="e" cm="1">
        <f t="array" aca="1" ref="F860" ca="1">MID(LEFT(#REF!, INDEX(_xlfn._xlws.FILTER(ROW(INDIRECT("1:" &amp; LEN(#REF!))), (48 &lt;= CODE(MID(#REF!, ROW(INDIRECT("1:" &amp; LEN(#REF!))), 1))) * (CODE(MID(#REF!, ROW(INDIRECT("1:" &amp; LEN(#REF!))), 1)) &lt;= 57)), 1) - 1), FIND(":",#REF!) + 2, LEN(#REF!))</f>
        <v>#REF!</v>
      </c>
      <c r="G860" s="349" t="e">
        <f>MID(LEFT(#REF!, FIND(",",#REF!) - 1), FIND("{token}", SUBSTITUTE(#REF!, " ", "{token}", 2)) + 1, LEN(#REF!))</f>
        <v>#REF!</v>
      </c>
      <c r="H860" s="355" t="s">
        <v>3039</v>
      </c>
      <c r="I860" s="351">
        <v>45412</v>
      </c>
      <c r="J860" s="351" t="s">
        <v>239</v>
      </c>
      <c r="K860" s="352">
        <v>45636</v>
      </c>
      <c r="L860" s="350"/>
      <c r="M860" s="297">
        <v>312</v>
      </c>
      <c r="N860" s="2" t="str">
        <f t="shared" ca="1" si="27"/>
        <v>CLOSED</v>
      </c>
    </row>
    <row r="861" spans="1:14" ht="30">
      <c r="A861" s="124" t="s">
        <v>399</v>
      </c>
      <c r="B861" s="98" t="e">
        <f>VLOOKUP([2]!Table27[[#This Row],[Location 
(drop-down)]],'[2]List source'!D$2:E$59,2,FALSE)</f>
        <v>#N/A</v>
      </c>
      <c r="C861" s="179" t="s">
        <v>1128</v>
      </c>
      <c r="D861" s="223" t="e">
        <f t="shared" si="26"/>
        <v>#N/A</v>
      </c>
      <c r="E861" s="251" t="s">
        <v>3040</v>
      </c>
      <c r="F861" s="274" t="s">
        <v>1840</v>
      </c>
      <c r="G861" s="251" t="s">
        <v>3041</v>
      </c>
      <c r="H861" s="274">
        <v>2.35</v>
      </c>
      <c r="I861" s="304">
        <v>45415</v>
      </c>
      <c r="J861" s="304" t="s">
        <v>21</v>
      </c>
      <c r="K861" s="320">
        <v>45636</v>
      </c>
      <c r="L861" s="274"/>
      <c r="M861" s="297">
        <v>349</v>
      </c>
      <c r="N861" s="2" t="str">
        <f t="shared" ca="1" si="27"/>
        <v>CLOSED</v>
      </c>
    </row>
    <row r="862" spans="1:14" ht="30">
      <c r="A862" s="124" t="s">
        <v>399</v>
      </c>
      <c r="B862" s="98" t="e">
        <f>VLOOKUP([2]!Table27[[#This Row],[Location 
(drop-down)]],'[2]List source'!D$2:E$59,2,FALSE)</f>
        <v>#N/A</v>
      </c>
      <c r="C862" s="179" t="s">
        <v>966</v>
      </c>
      <c r="D862" s="223" t="e">
        <f t="shared" si="26"/>
        <v>#N/A</v>
      </c>
      <c r="E862" s="251" t="s">
        <v>3042</v>
      </c>
      <c r="F862" s="274" t="s">
        <v>1520</v>
      </c>
      <c r="G862" s="251" t="e">
        <f>MID(LEFT(#REF!, FIND(",",#REF!) - 1), FIND("{token}", SUBSTITUTE(#REF!, " ", "{token}", 2)) + 1, LEN(#REF!))</f>
        <v>#REF!</v>
      </c>
      <c r="H862" s="274">
        <v>4.7699999999999996</v>
      </c>
      <c r="I862" s="304">
        <v>45426</v>
      </c>
      <c r="J862" s="304" t="s">
        <v>21</v>
      </c>
      <c r="K862" s="320">
        <v>45636</v>
      </c>
      <c r="L862" s="274"/>
      <c r="M862" s="297">
        <v>475</v>
      </c>
      <c r="N862" s="2" t="str">
        <f t="shared" ca="1" si="27"/>
        <v>CLOSED</v>
      </c>
    </row>
    <row r="863" spans="1:14" ht="30">
      <c r="A863" s="124" t="s">
        <v>399</v>
      </c>
      <c r="B863" s="98" t="e">
        <f>VLOOKUP([2]!Table27[[#This Row],[Location 
(drop-down)]],'[2]List source'!D$2:E$59,2,FALSE)</f>
        <v>#N/A</v>
      </c>
      <c r="C863" s="179" t="s">
        <v>3043</v>
      </c>
      <c r="D863" s="309" t="e">
        <f t="shared" si="26"/>
        <v>#N/A</v>
      </c>
      <c r="E863" s="251" t="s">
        <v>3044</v>
      </c>
      <c r="F863" s="274" t="e" cm="1">
        <f t="array" aca="1" ref="F863" ca="1">MID(LEFT(#REF!, INDEX(_xlfn._xlws.FILTER(ROW(INDIRECT("1:" &amp; LEN(#REF!))), (48 &lt;= CODE(MID(#REF!, ROW(INDIRECT("1:" &amp; LEN(#REF!))), 1))) * (CODE(MID(#REF!, ROW(INDIRECT("1:" &amp; LEN(#REF!))), 1)) &lt;= 57)), 1) - 1), FIND(":",#REF!) + 2, LEN(#REF!))</f>
        <v>#REF!</v>
      </c>
      <c r="G863" s="251" t="e">
        <f>MID(LEFT(#REF!, FIND(",",#REF!) - 1), FIND("{token}", SUBSTITUTE(#REF!, " ", "{token}", 2)) + 1, LEN(#REF!))</f>
        <v>#REF!</v>
      </c>
      <c r="H863" s="303" t="s">
        <v>3045</v>
      </c>
      <c r="I863" s="304">
        <v>45534</v>
      </c>
      <c r="J863" s="304" t="s">
        <v>21</v>
      </c>
      <c r="K863" s="320">
        <v>45636</v>
      </c>
      <c r="L863" s="274"/>
      <c r="M863" s="297">
        <v>897</v>
      </c>
      <c r="N863" s="2" t="str">
        <f t="shared" ca="1" si="27"/>
        <v>CLOSED</v>
      </c>
    </row>
    <row r="864" spans="1:14" ht="30">
      <c r="A864" s="174" t="s">
        <v>39</v>
      </c>
      <c r="B864" s="98" t="e">
        <f>VLOOKUP([2]!Table27[[#This Row],[Location 
(drop-down)]],'[2]List source'!D$2:E$59,2,FALSE)</f>
        <v>#N/A</v>
      </c>
      <c r="C864" s="183" t="s">
        <v>841</v>
      </c>
      <c r="D864" s="333" t="e">
        <f t="shared" si="26"/>
        <v>#N/A</v>
      </c>
      <c r="E864" s="357" t="s">
        <v>3046</v>
      </c>
      <c r="F864" s="358" t="e" cm="1">
        <f t="array" aca="1" ref="F864" ca="1">MID(LEFT(#REF!, INDEX(_xlfn._xlws.FILTER(ROW(INDIRECT("1:" &amp; LEN(#REF!))), (48 &lt;= CODE(MID(#REF!, ROW(INDIRECT("1:" &amp; LEN(#REF!))), 1))) * (CODE(MID(#REF!, ROW(INDIRECT("1:" &amp; LEN(#REF!))), 1)) &lt;= 57)), 1) - 1), FIND(":",#REF!) + 2, LEN(#REF!))</f>
        <v>#REF!</v>
      </c>
      <c r="G864" s="357" t="e">
        <f>MID(LEFT(#REF!, FIND(",",#REF!) - 1), FIND("{token}", SUBSTITUTE(#REF!, " ", "{token}", 2)) + 1, LEN(#REF!))</f>
        <v>#REF!</v>
      </c>
      <c r="H864" s="359" t="s">
        <v>1778</v>
      </c>
      <c r="I864" s="360">
        <v>45387</v>
      </c>
      <c r="J864" s="361" t="s">
        <v>239</v>
      </c>
      <c r="K864" s="362">
        <v>45637</v>
      </c>
      <c r="L864" s="274"/>
      <c r="M864" s="297">
        <v>156</v>
      </c>
      <c r="N864" s="2" t="str">
        <f t="shared" ca="1" si="27"/>
        <v>CLOSED</v>
      </c>
    </row>
    <row r="865" spans="1:14" ht="30">
      <c r="A865" s="184" t="s">
        <v>39</v>
      </c>
      <c r="B865" s="98" t="e">
        <f>VLOOKUP([2]!Table27[[#This Row],[Location 
(drop-down)]],'[2]List source'!D$2:E$59,2,FALSE)</f>
        <v>#N/A</v>
      </c>
      <c r="C865" s="185" t="s">
        <v>627</v>
      </c>
      <c r="D865" s="327" t="e">
        <f t="shared" si="26"/>
        <v>#N/A</v>
      </c>
      <c r="E865" s="202" t="s">
        <v>3047</v>
      </c>
      <c r="F865" s="197" t="e" cm="1">
        <f t="array" aca="1" ref="F865" ca="1">MID(LEFT(#REF!, INDEX(_xlfn._xlws.FILTER(ROW(INDIRECT("1:" &amp; LEN(#REF!))), (48 &lt;= CODE(MID(#REF!, ROW(INDIRECT("1:" &amp; LEN(#REF!))), 1))) * (CODE(MID(#REF!, ROW(INDIRECT("1:" &amp; LEN(#REF!))), 1)) &lt;= 57)), 1) - 1), FIND(":",#REF!) + 2, LEN(#REF!))</f>
        <v>#REF!</v>
      </c>
      <c r="G865" s="202" t="e">
        <f>MID(LEFT(#REF!, FIND(",",#REF!) - 1), FIND("{token}", SUBSTITUTE(#REF!, " ", "{token}", 2)) + 1, LEN(#REF!))</f>
        <v>#REF!</v>
      </c>
      <c r="H865" s="197">
        <v>8.69</v>
      </c>
      <c r="I865" s="363">
        <v>45387</v>
      </c>
      <c r="J865" s="364" t="s">
        <v>239</v>
      </c>
      <c r="K865" s="365">
        <v>45638</v>
      </c>
      <c r="L865" s="274"/>
      <c r="M865" s="297">
        <v>155</v>
      </c>
      <c r="N865" s="2" t="str">
        <f t="shared" ca="1" si="27"/>
        <v>CLOSED</v>
      </c>
    </row>
    <row r="866" spans="1:14" ht="18.75">
      <c r="A866" s="174" t="s">
        <v>314</v>
      </c>
      <c r="B866" s="98" t="e">
        <f>VLOOKUP([2]!Table27[[#This Row],[Location 
(drop-down)]],'[2]List source'!D$2:E$59,2,FALSE)</f>
        <v>#N/A</v>
      </c>
      <c r="C866" s="183" t="s">
        <v>617</v>
      </c>
      <c r="D866" s="333" t="e">
        <f t="shared" si="26"/>
        <v>#N/A</v>
      </c>
      <c r="E866" s="349" t="s">
        <v>3048</v>
      </c>
      <c r="F866" s="350" t="e" cm="1">
        <f t="array" aca="1" ref="F866" ca="1">MID(LEFT(#REF!, INDEX(_xlfn._xlws.FILTER(ROW(INDIRECT("1:" &amp; LEN(#REF!))), (48 &lt;= CODE(MID(#REF!, ROW(INDIRECT("1:" &amp; LEN(#REF!))), 1))) * (CODE(MID(#REF!, ROW(INDIRECT("1:" &amp; LEN(#REF!))), 1)) &lt;= 57)), 1) - 1), FIND(":",#REF!) + 2, LEN(#REF!))</f>
        <v>#REF!</v>
      </c>
      <c r="G866" s="349" t="e">
        <f>MID(LEFT(#REF!, FIND(",",#REF!) - 1), FIND("{token}", SUBSTITUTE(#REF!, " ", "{token}", 2)) + 1, LEN(#REF!))</f>
        <v>#REF!</v>
      </c>
      <c r="H866" s="350">
        <v>12.53</v>
      </c>
      <c r="I866" s="360">
        <v>45387</v>
      </c>
      <c r="J866" s="361" t="s">
        <v>239</v>
      </c>
      <c r="K866" s="362">
        <v>45638</v>
      </c>
      <c r="L866" s="274"/>
      <c r="M866" s="297">
        <v>171</v>
      </c>
      <c r="N866" s="2" t="str">
        <f t="shared" ca="1" si="27"/>
        <v>CLOSED</v>
      </c>
    </row>
    <row r="867" spans="1:14" ht="30">
      <c r="A867" s="174" t="s">
        <v>39</v>
      </c>
      <c r="B867" s="98" t="e">
        <f>VLOOKUP([2]!Table27[[#This Row],[Location 
(drop-down)]],'[2]List source'!D$2:E$59,2,FALSE)</f>
        <v>#N/A</v>
      </c>
      <c r="C867" s="183" t="s">
        <v>402</v>
      </c>
      <c r="D867" s="333" t="e">
        <f t="shared" si="26"/>
        <v>#N/A</v>
      </c>
      <c r="E867" s="349" t="s">
        <v>3049</v>
      </c>
      <c r="F867" s="350" t="s">
        <v>1811</v>
      </c>
      <c r="G867" s="349" t="e">
        <f>MID(LEFT(#REF!, FIND(",",#REF!) - 1), FIND("{token}", SUBSTITUTE(#REF!, " ", "{token}", 2)) + 1, LEN(#REF!))</f>
        <v>#REF!</v>
      </c>
      <c r="H867" s="350">
        <v>2.83</v>
      </c>
      <c r="I867" s="351">
        <v>45412</v>
      </c>
      <c r="J867" s="351" t="s">
        <v>239</v>
      </c>
      <c r="K867" s="352">
        <v>45638</v>
      </c>
      <c r="L867" s="335"/>
      <c r="M867" s="366">
        <v>315</v>
      </c>
      <c r="N867" s="2" t="str">
        <f t="shared" ca="1" si="27"/>
        <v>CLOSED</v>
      </c>
    </row>
    <row r="868" spans="1:14" ht="30">
      <c r="A868" s="184" t="s">
        <v>39</v>
      </c>
      <c r="B868" s="98" t="e">
        <f>VLOOKUP([2]!Table27[[#This Row],[Location 
(drop-down)]],'[2]List source'!D$2:E$59,2,FALSE)</f>
        <v>#N/A</v>
      </c>
      <c r="C868" s="185" t="s">
        <v>256</v>
      </c>
      <c r="D868" s="327" t="e">
        <f t="shared" si="26"/>
        <v>#N/A</v>
      </c>
      <c r="E868" s="367" t="s">
        <v>3050</v>
      </c>
      <c r="F868" s="368" t="s">
        <v>1811</v>
      </c>
      <c r="G868" s="367" t="e">
        <f>MID(LEFT(#REF!, FIND(",",#REF!) - 1), FIND("{token}", SUBSTITUTE(#REF!, " ", "{token}", 2)) + 1, LEN(#REF!))</f>
        <v>#REF!</v>
      </c>
      <c r="H868" s="369" t="s">
        <v>1794</v>
      </c>
      <c r="I868" s="370">
        <v>45412</v>
      </c>
      <c r="J868" s="370" t="s">
        <v>239</v>
      </c>
      <c r="K868" s="371">
        <v>45638</v>
      </c>
      <c r="L868" s="274"/>
      <c r="M868" s="297">
        <v>316</v>
      </c>
      <c r="N868" s="2" t="str">
        <f t="shared" ca="1" si="27"/>
        <v>CLOSED</v>
      </c>
    </row>
    <row r="869" spans="1:14" ht="30">
      <c r="A869" s="174" t="s">
        <v>39</v>
      </c>
      <c r="B869" s="98" t="e">
        <f>VLOOKUP([2]!Table27[[#This Row],[Location 
(drop-down)]],'[2]List source'!D$2:E$59,2,FALSE)</f>
        <v>#N/A</v>
      </c>
      <c r="C869" s="183" t="s">
        <v>259</v>
      </c>
      <c r="D869" s="333" t="e">
        <f t="shared" si="26"/>
        <v>#N/A</v>
      </c>
      <c r="E869" s="349" t="s">
        <v>3051</v>
      </c>
      <c r="F869" s="350" t="s">
        <v>1811</v>
      </c>
      <c r="G869" s="349" t="e">
        <f>MID(LEFT(#REF!, FIND(",",#REF!) - 1), FIND("{token}", SUBSTITUTE(#REF!, " ", "{token}", 2)) + 1, LEN(#REF!))</f>
        <v>#REF!</v>
      </c>
      <c r="H869" s="355" t="s">
        <v>1679</v>
      </c>
      <c r="I869" s="351">
        <v>45412</v>
      </c>
      <c r="J869" s="351" t="s">
        <v>239</v>
      </c>
      <c r="K869" s="352">
        <v>45638</v>
      </c>
      <c r="L869" s="274"/>
      <c r="M869" s="297">
        <v>317</v>
      </c>
      <c r="N869" s="2" t="str">
        <f t="shared" ca="1" si="27"/>
        <v>CLOSED</v>
      </c>
    </row>
    <row r="870" spans="1:14" ht="30">
      <c r="A870" s="184" t="s">
        <v>323</v>
      </c>
      <c r="B870" s="98" t="e">
        <f>VLOOKUP([2]!Table27[[#This Row],[Location 
(drop-down)]],'[2]List source'!D$2:E$59,2,FALSE)</f>
        <v>#N/A</v>
      </c>
      <c r="C870" s="185" t="s">
        <v>3052</v>
      </c>
      <c r="D870" s="327" t="e">
        <f t="shared" si="26"/>
        <v>#N/A</v>
      </c>
      <c r="E870" s="367" t="s">
        <v>3053</v>
      </c>
      <c r="F870" s="368" t="e" cm="1">
        <f t="array" aca="1" ref="F870" ca="1">MID(LEFT(#REF!, INDEX(_xlfn._xlws.FILTER(ROW(INDIRECT("1:" &amp; LEN(#REF!))), (48 &lt;= CODE(MID(#REF!, ROW(INDIRECT("1:" &amp; LEN(#REF!))), 1))) * (CODE(MID(#REF!, ROW(INDIRECT("1:" &amp; LEN(#REF!))), 1)) &lt;= 57)), 1) - 1), FIND(":",#REF!) + 2, LEN(#REF!))</f>
        <v>#REF!</v>
      </c>
      <c r="G870" s="367" t="e">
        <f>MID(LEFT(#REF!, FIND(",",#REF!) - 1), FIND("{token}", SUBSTITUTE(#REF!, " ", "{token}", 2)) + 1, LEN(#REF!))</f>
        <v>#REF!</v>
      </c>
      <c r="H870" s="368">
        <v>3.29</v>
      </c>
      <c r="I870" s="370">
        <v>45513</v>
      </c>
      <c r="J870" s="370" t="s">
        <v>239</v>
      </c>
      <c r="K870" s="371">
        <v>45638</v>
      </c>
      <c r="L870" s="274"/>
      <c r="M870" s="297">
        <v>759</v>
      </c>
      <c r="N870" s="2" t="str">
        <f t="shared" ca="1" si="27"/>
        <v>CLOSED</v>
      </c>
    </row>
    <row r="871" spans="1:14" ht="30">
      <c r="A871" s="184" t="s">
        <v>119</v>
      </c>
      <c r="B871" s="98" t="e">
        <f>VLOOKUP([2]!Table27[[#This Row],[Location 
(drop-down)]],'[2]List source'!D$2:E$59,2,FALSE)</f>
        <v>#N/A</v>
      </c>
      <c r="C871" s="185" t="s">
        <v>3054</v>
      </c>
      <c r="D871" s="327" t="e">
        <f t="shared" si="26"/>
        <v>#N/A</v>
      </c>
      <c r="E871" s="367" t="s">
        <v>3055</v>
      </c>
      <c r="F871" s="368" t="e" cm="1">
        <f t="array" aca="1" ref="F871" ca="1">MID(LEFT(#REF!, INDEX(_xlfn._xlws.FILTER(ROW(INDIRECT("1:" &amp; LEN(#REF!))), (48 &lt;= CODE(MID(#REF!, ROW(INDIRECT("1:" &amp; LEN(#REF!))), 1))) * (CODE(MID(#REF!, ROW(INDIRECT("1:" &amp; LEN(#REF!))), 1)) &lt;= 57)), 1) - 1), FIND(":",#REF!) + 2, LEN(#REF!))</f>
        <v>#REF!</v>
      </c>
      <c r="G871" s="367" t="e">
        <f>MID(LEFT(#REF!, FIND(",",#REF!) - 1), FIND("{token}", SUBSTITUTE(#REF!, " ", "{token}", 2)) + 1, LEN(#REF!))</f>
        <v>#REF!</v>
      </c>
      <c r="H871" s="368">
        <v>3.12</v>
      </c>
      <c r="I871" s="370">
        <v>45435</v>
      </c>
      <c r="J871" s="370" t="s">
        <v>239</v>
      </c>
      <c r="K871" s="371">
        <v>45639</v>
      </c>
      <c r="L871" s="368"/>
      <c r="M871" s="297">
        <v>584</v>
      </c>
      <c r="N871" s="2" t="str">
        <f t="shared" ca="1" si="27"/>
        <v>CLOSED</v>
      </c>
    </row>
    <row r="872" spans="1:14" ht="30">
      <c r="A872" s="124" t="s">
        <v>30</v>
      </c>
      <c r="B872" s="98" t="e">
        <f>VLOOKUP([2]!Table27[[#This Row],[Location 
(drop-down)]],'[2]List source'!D$2:E$59,2,FALSE)</f>
        <v>#N/A</v>
      </c>
      <c r="C872" s="179" t="s">
        <v>3056</v>
      </c>
      <c r="D872" s="223" t="e">
        <f t="shared" si="26"/>
        <v>#N/A</v>
      </c>
      <c r="E872" s="251" t="s">
        <v>3057</v>
      </c>
      <c r="F872" s="274" t="e" cm="1">
        <f t="array" aca="1" ref="F872" ca="1">MID(LEFT(#REF!, INDEX(_xlfn._xlws.FILTER(ROW(INDIRECT("1:" &amp; LEN(#REF!))), (48 &lt;= CODE(MID(#REF!, ROW(INDIRECT("1:" &amp; LEN(#REF!))), 1))) * (CODE(MID(#REF!, ROW(INDIRECT("1:" &amp; LEN(#REF!))), 1)) &lt;= 57)), 1) - 1), FIND(":",#REF!) + 2, LEN(#REF!))</f>
        <v>#REF!</v>
      </c>
      <c r="G872" s="251" t="e">
        <f>MID(LEFT(#REF!, FIND(",",#REF!) - 1), FIND("{token}", SUBSTITUTE(#REF!, " ", "{token}", 2)) + 1, LEN(#REF!))</f>
        <v>#REF!</v>
      </c>
      <c r="H872" s="274">
        <v>146.63999999999999</v>
      </c>
      <c r="I872" s="304">
        <v>45435</v>
      </c>
      <c r="J872" s="304" t="s">
        <v>34</v>
      </c>
      <c r="K872" s="320">
        <v>45639</v>
      </c>
      <c r="L872" s="274" t="s">
        <v>1505</v>
      </c>
      <c r="M872" s="297">
        <v>587</v>
      </c>
      <c r="N872" s="2" t="str">
        <f t="shared" ca="1" si="27"/>
        <v>CLOSED</v>
      </c>
    </row>
    <row r="873" spans="1:14" ht="18.75">
      <c r="A873" s="174" t="s">
        <v>64</v>
      </c>
      <c r="B873" s="98" t="e">
        <f>VLOOKUP([2]!Table27[[#This Row],[Location 
(drop-down)]],'[2]List source'!D$2:E$59,2,FALSE)</f>
        <v>#N/A</v>
      </c>
      <c r="C873" s="183" t="s">
        <v>3058</v>
      </c>
      <c r="D873" s="333" t="e">
        <f t="shared" si="26"/>
        <v>#N/A</v>
      </c>
      <c r="E873" s="349" t="s">
        <v>3059</v>
      </c>
      <c r="F873" s="350" t="e" cm="1">
        <f t="array" aca="1" ref="F873" ca="1">MID(LEFT(#REF!, INDEX(_xlfn._xlws.FILTER(ROW(INDIRECT("1:" &amp; LEN(#REF!))), (48 &lt;= CODE(MID(#REF!, ROW(INDIRECT("1:" &amp; LEN(#REF!))), 1))) * (CODE(MID(#REF!, ROW(INDIRECT("1:" &amp; LEN(#REF!))), 1)) &lt;= 57)), 1) - 1), FIND(":",#REF!) + 2, LEN(#REF!))</f>
        <v>#REF!</v>
      </c>
      <c r="G873" s="349" t="e">
        <f>MID(LEFT(#REF!, FIND(",",#REF!) - 1), FIND("{token}", SUBSTITUTE(#REF!, " ", "{token}", 2)) + 1, LEN(#REF!))</f>
        <v>#REF!</v>
      </c>
      <c r="H873" s="350">
        <v>2.0099999999999998</v>
      </c>
      <c r="I873" s="351">
        <v>45435</v>
      </c>
      <c r="J873" s="351" t="s">
        <v>239</v>
      </c>
      <c r="K873" s="352">
        <v>45639</v>
      </c>
      <c r="L873" s="274"/>
      <c r="M873" s="297">
        <v>624</v>
      </c>
      <c r="N873" s="2" t="str">
        <f t="shared" ca="1" si="27"/>
        <v>CLOSED</v>
      </c>
    </row>
    <row r="874" spans="1:14" ht="18.75">
      <c r="A874" s="64" t="s">
        <v>344</v>
      </c>
      <c r="B874" s="98" t="e">
        <f>VLOOKUP([2]!Table27[[#This Row],[Location 
(drop-down)]],'[2]List source'!D$2:E$59,2,FALSE)</f>
        <v>#N/A</v>
      </c>
      <c r="C874" s="179" t="s">
        <v>3060</v>
      </c>
      <c r="D874" s="223" t="e">
        <f t="shared" si="26"/>
        <v>#N/A</v>
      </c>
      <c r="E874" s="227" t="s">
        <v>3061</v>
      </c>
      <c r="F874" s="165" t="e" cm="1">
        <f t="array" aca="1" ref="F874" ca="1">MID(LEFT(#REF!, INDEX(_xlfn._xlws.FILTER(ROW(INDIRECT("1:" &amp; LEN(#REF!))), (48 &lt;= CODE(MID(#REF!, ROW(INDIRECT("1:" &amp; LEN(#REF!))), 1))) * (CODE(MID(#REF!, ROW(INDIRECT("1:" &amp; LEN(#REF!))), 1)) &lt;= 57)), 1) - 1), FIND(":",#REF!) + 2, LEN(#REF!))</f>
        <v>#REF!</v>
      </c>
      <c r="G874" s="227" t="e">
        <f>MID(LEFT(#REF!, FIND(",",#REF!) - 1), FIND("{token}", SUBSTITUTE(#REF!, " ", "{token}", 2)) + 1, LEN(#REF!))</f>
        <v>#REF!</v>
      </c>
      <c r="H874" s="165" t="s">
        <v>1579</v>
      </c>
      <c r="I874" s="304">
        <v>45492</v>
      </c>
      <c r="J874" s="230" t="s">
        <v>327</v>
      </c>
      <c r="K874" s="226">
        <v>45639</v>
      </c>
      <c r="L874" s="165"/>
      <c r="M874" s="222">
        <v>661</v>
      </c>
      <c r="N874" s="2" t="str">
        <f t="shared" ca="1" si="27"/>
        <v>CLOSED</v>
      </c>
    </row>
    <row r="875" spans="1:14" ht="30">
      <c r="A875" s="128" t="s">
        <v>119</v>
      </c>
      <c r="B875" s="98" t="e">
        <f>VLOOKUP([2]!Table27[[#This Row],[Location 
(drop-down)]],'[2]List source'!D$2:E$59,2,FALSE)</f>
        <v>#N/A</v>
      </c>
      <c r="C875" s="185" t="s">
        <v>3062</v>
      </c>
      <c r="D875" s="327" t="e">
        <f t="shared" si="26"/>
        <v>#N/A</v>
      </c>
      <c r="E875" s="339" t="s">
        <v>3063</v>
      </c>
      <c r="F875" s="329" t="e" cm="1">
        <f t="array" aca="1" ref="F875" ca="1">MID(LEFT(#REF!, INDEX(_xlfn._xlws.FILTER(ROW(INDIRECT("1:" &amp; LEN(#REF!))), (48 &lt;= CODE(MID(#REF!, ROW(INDIRECT("1:" &amp; LEN(#REF!))), 1))) * (CODE(MID(#REF!, ROW(INDIRECT("1:" &amp; LEN(#REF!))), 1)) &lt;= 57)), 1) - 1), FIND(":",#REF!) + 2, LEN(#REF!))</f>
        <v>#REF!</v>
      </c>
      <c r="G875" s="339" t="e">
        <f>MID(LEFT(#REF!, FIND(",",#REF!) - 1), FIND("{token}", SUBSTITUTE(#REF!, " ", "{token}", 2)) + 1, LEN(#REF!))</f>
        <v>#REF!</v>
      </c>
      <c r="H875" s="329">
        <v>5.07</v>
      </c>
      <c r="I875" s="370">
        <v>45513</v>
      </c>
      <c r="J875" s="331" t="s">
        <v>239</v>
      </c>
      <c r="K875" s="332">
        <v>45639</v>
      </c>
      <c r="L875" s="165"/>
      <c r="M875" s="222">
        <v>783</v>
      </c>
      <c r="N875" s="2" t="str">
        <f t="shared" ca="1" si="27"/>
        <v>CLOSED</v>
      </c>
    </row>
    <row r="876" spans="1:14" ht="18.75">
      <c r="A876" s="64" t="s">
        <v>344</v>
      </c>
      <c r="B876" s="98" t="e">
        <f>VLOOKUP([2]!Table27[[#This Row],[Location 
(drop-down)]],'[2]List source'!D$2:E$59,2,FALSE)</f>
        <v>#N/A</v>
      </c>
      <c r="C876" s="179" t="s">
        <v>3064</v>
      </c>
      <c r="D876" s="223" t="e">
        <f t="shared" si="26"/>
        <v>#N/A</v>
      </c>
      <c r="E876" s="227" t="s">
        <v>3065</v>
      </c>
      <c r="F876" s="165" t="e" cm="1">
        <f t="array" aca="1" ref="F876" ca="1">MID(LEFT(#REF!, INDEX(_xlfn._xlws.FILTER(ROW(INDIRECT("1:" &amp; LEN(#REF!))), (48 &lt;= CODE(MID(#REF!, ROW(INDIRECT("1:" &amp; LEN(#REF!))), 1))) * (CODE(MID(#REF!, ROW(INDIRECT("1:" &amp; LEN(#REF!))), 1)) &lt;= 57)), 1) - 1), FIND(":",#REF!) + 2, LEN(#REF!))</f>
        <v>#REF!</v>
      </c>
      <c r="G876" s="227" t="e">
        <f>MID(LEFT(#REF!, FIND(",",#REF!) - 1), FIND("{token}", SUBSTITUTE(#REF!, " ", "{token}", 2)) + 1, LEN(#REF!))</f>
        <v>#REF!</v>
      </c>
      <c r="H876" s="165">
        <v>5.25</v>
      </c>
      <c r="I876" s="304">
        <v>45513</v>
      </c>
      <c r="J876" s="230" t="s">
        <v>327</v>
      </c>
      <c r="K876" s="226">
        <v>45639</v>
      </c>
      <c r="L876" s="165"/>
      <c r="M876" s="222">
        <v>788</v>
      </c>
      <c r="N876" s="2" t="str">
        <f t="shared" ca="1" si="27"/>
        <v>CLOSED</v>
      </c>
    </row>
    <row r="877" spans="1:14" ht="30">
      <c r="A877" s="64" t="s">
        <v>399</v>
      </c>
      <c r="B877" s="98" t="e">
        <f>VLOOKUP([2]!Table27[[#This Row],[Location 
(drop-down)]],'[2]List source'!D$2:E$59,2,FALSE)</f>
        <v>#N/A</v>
      </c>
      <c r="C877" s="179" t="s">
        <v>3066</v>
      </c>
      <c r="D877" s="212" t="e">
        <f t="shared" si="26"/>
        <v>#N/A</v>
      </c>
      <c r="E877" s="227" t="s">
        <v>3067</v>
      </c>
      <c r="F877" s="165" t="s">
        <v>3068</v>
      </c>
      <c r="G877" s="227" t="e">
        <f>MID(LEFT(#REF!, FIND(",",#REF!) - 1), FIND("{token}", SUBSTITUTE(#REF!, " ", "{token}", 2)) + 1, LEN(#REF!))</f>
        <v>#REF!</v>
      </c>
      <c r="H877" s="165">
        <v>5.71</v>
      </c>
      <c r="I877" s="304">
        <v>45614</v>
      </c>
      <c r="J877" s="230" t="s">
        <v>21</v>
      </c>
      <c r="K877" s="226">
        <v>45639</v>
      </c>
      <c r="L877" s="165"/>
      <c r="M877" s="222">
        <v>1038</v>
      </c>
      <c r="N877" s="2" t="str">
        <f t="shared" ca="1" si="27"/>
        <v>CLOSED</v>
      </c>
    </row>
    <row r="878" spans="1:14" ht="30">
      <c r="A878" s="128" t="s">
        <v>39</v>
      </c>
      <c r="B878" s="98" t="e">
        <f>VLOOKUP([2]!Table27[[#This Row],[Location 
(drop-down)]],'[2]List source'!D$2:E$59,2,FALSE)</f>
        <v>#N/A</v>
      </c>
      <c r="C878" s="185" t="s">
        <v>458</v>
      </c>
      <c r="D878" s="327" t="e">
        <f t="shared" si="26"/>
        <v>#N/A</v>
      </c>
      <c r="E878" s="339" t="s">
        <v>3069</v>
      </c>
      <c r="F878" s="329" t="e" cm="1">
        <f t="array" aca="1" ref="F878" ca="1">MID(LEFT(#REF!, INDEX(_xlfn._xlws.FILTER(ROW(INDIRECT("1:" &amp; LEN(#REF!))), (48 &lt;= CODE(MID(#REF!, ROW(INDIRECT("1:" &amp; LEN(#REF!))), 1))) * (CODE(MID(#REF!, ROW(INDIRECT("1:" &amp; LEN(#REF!))), 1)) &lt;= 57)), 1) - 1), FIND(":",#REF!) + 2, LEN(#REF!))</f>
        <v>#REF!</v>
      </c>
      <c r="G878" s="339" t="e">
        <f>MID(LEFT(#REF!, FIND(",",#REF!) - 1), FIND("{token}", SUBSTITUTE(#REF!, " ", "{token}", 2)) + 1, LEN(#REF!))</f>
        <v>#REF!</v>
      </c>
      <c r="H878" s="329">
        <v>2.81</v>
      </c>
      <c r="I878" s="370">
        <v>45307</v>
      </c>
      <c r="J878" s="331" t="s">
        <v>239</v>
      </c>
      <c r="K878" s="332">
        <v>45642</v>
      </c>
      <c r="L878" s="165"/>
      <c r="M878" s="222">
        <v>91</v>
      </c>
      <c r="N878" s="2" t="str">
        <f t="shared" ca="1" si="27"/>
        <v>CLOSED</v>
      </c>
    </row>
    <row r="879" spans="1:14" ht="30">
      <c r="A879" s="128" t="s">
        <v>39</v>
      </c>
      <c r="B879" s="98" t="e">
        <f>VLOOKUP([2]!Table27[[#This Row],[Location 
(drop-down)]],'[2]List source'!D$2:E$59,2,FALSE)</f>
        <v>#N/A</v>
      </c>
      <c r="C879" s="185" t="s">
        <v>593</v>
      </c>
      <c r="D879" s="327" t="e">
        <f t="shared" si="26"/>
        <v>#N/A</v>
      </c>
      <c r="E879" s="339" t="s">
        <v>3070</v>
      </c>
      <c r="F879" s="329" t="e" cm="1">
        <f t="array" aca="1" ref="F879" ca="1">MID(LEFT(#REF!, INDEX(_xlfn._xlws.FILTER(ROW(INDIRECT("1:" &amp; LEN(#REF!))), (48 &lt;= CODE(MID(#REF!, ROW(INDIRECT("1:" &amp; LEN(#REF!))), 1))) * (CODE(MID(#REF!, ROW(INDIRECT("1:" &amp; LEN(#REF!))), 1)) &lt;= 57)), 1) - 1), FIND(":",#REF!) + 2, LEN(#REF!))</f>
        <v>#REF!</v>
      </c>
      <c r="G879" s="339" t="e">
        <f>MID(LEFT(#REF!, FIND(",",#REF!) - 1), FIND("{token}", SUBSTITUTE(#REF!, " ", "{token}", 2)) + 1, LEN(#REF!))</f>
        <v>#REF!</v>
      </c>
      <c r="H879" s="329">
        <v>-4.55</v>
      </c>
      <c r="I879" s="370">
        <v>45307</v>
      </c>
      <c r="J879" s="331" t="s">
        <v>239</v>
      </c>
      <c r="K879" s="332">
        <v>45642</v>
      </c>
      <c r="L879" s="165"/>
      <c r="M879" s="222">
        <v>93</v>
      </c>
      <c r="N879" s="2" t="str">
        <f t="shared" ca="1" si="27"/>
        <v>CLOSED</v>
      </c>
    </row>
    <row r="880" spans="1:14" ht="18.75">
      <c r="A880" s="64" t="s">
        <v>462</v>
      </c>
      <c r="B880" s="98" t="e">
        <f>VLOOKUP([2]!Table27[[#This Row],[Location 
(drop-down)]],'[2]List source'!D$2:E$59,2,FALSE)</f>
        <v>#N/A</v>
      </c>
      <c r="C880" s="179" t="s">
        <v>3071</v>
      </c>
      <c r="D880" s="309" t="e">
        <f t="shared" si="26"/>
        <v>#N/A</v>
      </c>
      <c r="E880" s="227" t="s">
        <v>3072</v>
      </c>
      <c r="F880" s="165" t="e" cm="1">
        <f t="array" aca="1" ref="F880" ca="1">MID(LEFT(#REF!, INDEX(_xlfn._xlws.FILTER(ROW(INDIRECT("1:" &amp; LEN(#REF!))), (48 &lt;= CODE(MID(#REF!, ROW(INDIRECT("1:" &amp; LEN(#REF!))), 1))) * (CODE(MID(#REF!, ROW(INDIRECT("1:" &amp; LEN(#REF!))), 1)) &lt;= 57)), 1) - 1), FIND(":",#REF!) + 2, LEN(#REF!))</f>
        <v>#REF!</v>
      </c>
      <c r="G880" s="227" t="e">
        <f>MID(LEFT(#REF!, FIND(",",#REF!) - 1), FIND("{token}", SUBSTITUTE(#REF!, " ", "{token}", 2)) + 1, LEN(#REF!))</f>
        <v>#REF!</v>
      </c>
      <c r="H880" s="236" t="s">
        <v>2117</v>
      </c>
      <c r="I880" s="304">
        <v>45534</v>
      </c>
      <c r="J880" s="230" t="s">
        <v>29</v>
      </c>
      <c r="K880" s="226">
        <v>45642</v>
      </c>
      <c r="L880" s="165"/>
      <c r="M880" s="222">
        <v>855</v>
      </c>
      <c r="N880" s="2" t="str">
        <f t="shared" ca="1" si="27"/>
        <v>CLOSED</v>
      </c>
    </row>
    <row r="881" spans="1:14" ht="30">
      <c r="A881" s="64" t="s">
        <v>30</v>
      </c>
      <c r="B881" s="98" t="e">
        <f>VLOOKUP([2]!Table27[[#This Row],[Location 
(drop-down)]],'[2]List source'!D$2:E$59,2,FALSE)</f>
        <v>#N/A</v>
      </c>
      <c r="C881" s="179" t="s">
        <v>3073</v>
      </c>
      <c r="D881" s="309" t="e">
        <f t="shared" si="26"/>
        <v>#N/A</v>
      </c>
      <c r="E881" s="227" t="s">
        <v>3074</v>
      </c>
      <c r="F881" s="165" t="e" cm="1">
        <f t="array" aca="1" ref="F881" ca="1">MID(LEFT(#REF!, INDEX(_xlfn._xlws.FILTER(ROW(INDIRECT("1:" &amp; LEN(#REF!))), (48 &lt;= CODE(MID(#REF!, ROW(INDIRECT("1:" &amp; LEN(#REF!))), 1))) * (CODE(MID(#REF!, ROW(INDIRECT("1:" &amp; LEN(#REF!))), 1)) &lt;= 57)), 1) - 1), FIND(":",#REF!) + 2, LEN(#REF!))</f>
        <v>#REF!</v>
      </c>
      <c r="G881" s="227" t="e">
        <f>MID(LEFT(#REF!, FIND(",",#REF!) - 1), FIND("{token}", SUBSTITUTE(#REF!, " ", "{token}", 2)) + 1, LEN(#REF!))</f>
        <v>#REF!</v>
      </c>
      <c r="H881" s="236" t="s">
        <v>3075</v>
      </c>
      <c r="I881" s="304">
        <v>45534</v>
      </c>
      <c r="J881" s="230" t="s">
        <v>34</v>
      </c>
      <c r="K881" s="226">
        <v>45642</v>
      </c>
      <c r="L881" s="165" t="s">
        <v>1505</v>
      </c>
      <c r="M881" s="222">
        <v>863</v>
      </c>
      <c r="N881" s="2" t="str">
        <f t="shared" ca="1" si="27"/>
        <v>CLOSED</v>
      </c>
    </row>
    <row r="882" spans="1:14" ht="30">
      <c r="A882" s="64" t="s">
        <v>114</v>
      </c>
      <c r="B882" s="98" t="e">
        <f>VLOOKUP([2]!Table27[[#This Row],[Location 
(drop-down)]],'[2]List source'!D$2:E$59,2,FALSE)</f>
        <v>#N/A</v>
      </c>
      <c r="C882" s="179" t="s">
        <v>3076</v>
      </c>
      <c r="D882" s="212" t="e">
        <f t="shared" si="26"/>
        <v>#N/A</v>
      </c>
      <c r="E882" s="227" t="s">
        <v>3077</v>
      </c>
      <c r="F882" s="165" t="s">
        <v>2160</v>
      </c>
      <c r="G882" s="227" t="e">
        <f>MID(LEFT(#REF!, FIND(",",#REF!) - 1), FIND("{token}", SUBSTITUTE(#REF!, " ", "{token}", 2)) + 1, LEN(#REF!))</f>
        <v>#REF!</v>
      </c>
      <c r="H882" s="236" t="s">
        <v>3078</v>
      </c>
      <c r="I882" s="304">
        <v>45631</v>
      </c>
      <c r="J882" s="230" t="s">
        <v>21</v>
      </c>
      <c r="K882" s="226">
        <v>45642</v>
      </c>
      <c r="L882" s="165"/>
      <c r="M882" s="222">
        <v>1070</v>
      </c>
      <c r="N882" s="2" t="str">
        <f t="shared" ca="1" si="27"/>
        <v>CLOSED</v>
      </c>
    </row>
    <row r="883" spans="1:14" ht="30">
      <c r="A883" s="64" t="s">
        <v>39</v>
      </c>
      <c r="B883" s="98" t="e">
        <f>VLOOKUP([2]!Table27[[#This Row],[Location 
(drop-down)]],'[2]List source'!D$2:E$59,2,FALSE)</f>
        <v>#N/A</v>
      </c>
      <c r="C883" s="179" t="s">
        <v>3079</v>
      </c>
      <c r="D883" s="212" t="e">
        <f t="shared" si="26"/>
        <v>#N/A</v>
      </c>
      <c r="E883" s="227" t="s">
        <v>3080</v>
      </c>
      <c r="F883" s="165" t="e" cm="1">
        <f t="array" aca="1" ref="F883" ca="1">MID(LEFT(#REF!, INDEX(_xlfn._xlws.FILTER(ROW(INDIRECT("1:" &amp; LEN(#REF!))), (48 &lt;= CODE(MID(#REF!, ROW(INDIRECT("1:" &amp; LEN(#REF!))), 1))) * (CODE(MID(#REF!, ROW(INDIRECT("1:" &amp; LEN(#REF!))), 1)) &lt;= 57)), 1) - 1), FIND(":",#REF!) + 2, LEN(#REF!))</f>
        <v>#REF!</v>
      </c>
      <c r="G883" s="227" t="e">
        <f>MID(LEFT(#REF!, FIND(",",#REF!) - 1), FIND("{token}", SUBSTITUTE(#REF!, " ", "{token}", 2)) + 1, LEN(#REF!))</f>
        <v>#REF!</v>
      </c>
      <c r="H883" s="236" t="s">
        <v>3081</v>
      </c>
      <c r="I883" s="304">
        <v>45642</v>
      </c>
      <c r="J883" s="230" t="s">
        <v>2934</v>
      </c>
      <c r="K883" s="226">
        <v>45642</v>
      </c>
      <c r="L883" s="259" t="s">
        <v>1671</v>
      </c>
      <c r="M883" s="222">
        <v>1093</v>
      </c>
      <c r="N883" s="2" t="str">
        <f t="shared" ca="1" si="27"/>
        <v>CLOSED</v>
      </c>
    </row>
    <row r="884" spans="1:14" ht="30">
      <c r="A884" s="64" t="s">
        <v>432</v>
      </c>
      <c r="B884" s="98" t="e">
        <f>VLOOKUP([2]!Table27[[#This Row],[Location 
(drop-down)]],'[2]List source'!D$2:E$59,2,FALSE)</f>
        <v>#N/A</v>
      </c>
      <c r="C884" s="179" t="s">
        <v>3082</v>
      </c>
      <c r="D884" s="212" t="e">
        <f t="shared" si="26"/>
        <v>#N/A</v>
      </c>
      <c r="E884" s="227" t="s">
        <v>3083</v>
      </c>
      <c r="F884" s="165" t="e" cm="1">
        <f t="array" aca="1" ref="F884" ca="1">MID(LEFT(#REF!, INDEX(_xlfn._xlws.FILTER(ROW(INDIRECT("1:" &amp; LEN(#REF!))), (48 &lt;= CODE(MID(#REF!, ROW(INDIRECT("1:" &amp; LEN(#REF!))), 1))) * (CODE(MID(#REF!, ROW(INDIRECT("1:" &amp; LEN(#REF!))), 1)) &lt;= 57)), 1) - 1), FIND(":",#REF!) + 2, LEN(#REF!))</f>
        <v>#REF!</v>
      </c>
      <c r="G884" s="227" t="e">
        <f>MID(LEFT(#REF!, FIND(",",#REF!) - 1), FIND("{token}", SUBSTITUTE(#REF!, " ", "{token}", 2)) + 1, LEN(#REF!))</f>
        <v>#REF!</v>
      </c>
      <c r="H884" s="236" t="s">
        <v>2134</v>
      </c>
      <c r="I884" s="304">
        <v>45642</v>
      </c>
      <c r="J884" s="230" t="s">
        <v>2934</v>
      </c>
      <c r="K884" s="226">
        <v>45642</v>
      </c>
      <c r="L884" s="259" t="s">
        <v>1671</v>
      </c>
      <c r="M884" s="222">
        <v>1094</v>
      </c>
      <c r="N884" s="2" t="str">
        <f t="shared" ca="1" si="27"/>
        <v>CLOSED</v>
      </c>
    </row>
    <row r="885" spans="1:14" ht="15">
      <c r="A885" s="64" t="s">
        <v>462</v>
      </c>
      <c r="B885" s="98" t="e">
        <f>VLOOKUP([2]!Table27[[#This Row],[Location 
(drop-down)]],'[2]List source'!D$2:E$59,2,FALSE)</f>
        <v>#N/A</v>
      </c>
      <c r="C885" s="179" t="s">
        <v>3084</v>
      </c>
      <c r="D885" s="212" t="e">
        <f t="shared" si="26"/>
        <v>#N/A</v>
      </c>
      <c r="E885" s="227" t="s">
        <v>3085</v>
      </c>
      <c r="F885" s="165" t="e" cm="1">
        <f t="array" aca="1" ref="F885" ca="1">MID(LEFT(#REF!, INDEX(_xlfn._xlws.FILTER(ROW(INDIRECT("1:" &amp; LEN(#REF!))), (48 &lt;= CODE(MID(#REF!, ROW(INDIRECT("1:" &amp; LEN(#REF!))), 1))) * (CODE(MID(#REF!, ROW(INDIRECT("1:" &amp; LEN(#REF!))), 1)) &lt;= 57)), 1) - 1), FIND(":",#REF!) + 2, LEN(#REF!))</f>
        <v>#REF!</v>
      </c>
      <c r="G885" s="227" t="e">
        <f>MID(LEFT(#REF!, FIND(",",#REF!) - 1), FIND("{token}", SUBSTITUTE(#REF!, " ", "{token}", 2)) + 1, LEN(#REF!))</f>
        <v>#REF!</v>
      </c>
      <c r="H885" s="236" t="s">
        <v>3086</v>
      </c>
      <c r="I885" s="230">
        <v>45642</v>
      </c>
      <c r="J885" s="230" t="s">
        <v>2934</v>
      </c>
      <c r="K885" s="226">
        <v>45642</v>
      </c>
      <c r="L885" s="259" t="s">
        <v>1671</v>
      </c>
      <c r="M885" s="222">
        <v>1095</v>
      </c>
      <c r="N885" s="2" t="str">
        <f t="shared" ca="1" si="27"/>
        <v>CLOSED</v>
      </c>
    </row>
    <row r="886" spans="1:14" ht="30">
      <c r="A886" s="64" t="s">
        <v>591</v>
      </c>
      <c r="B886" s="98" t="e">
        <f>VLOOKUP([2]!Table27[[#This Row],[Location 
(drop-down)]],'[2]List source'!D$2:E$59,2,FALSE)</f>
        <v>#N/A</v>
      </c>
      <c r="C886" s="179" t="s">
        <v>3087</v>
      </c>
      <c r="D886" s="212" t="e">
        <f t="shared" si="26"/>
        <v>#N/A</v>
      </c>
      <c r="E886" s="227" t="s">
        <v>3088</v>
      </c>
      <c r="F886" s="165" t="e" cm="1">
        <f t="array" aca="1" ref="F886" ca="1">MID(LEFT(#REF!, INDEX(_xlfn._xlws.FILTER(ROW(INDIRECT("1:" &amp; LEN(#REF!))), (48 &lt;= CODE(MID(#REF!, ROW(INDIRECT("1:" &amp; LEN(#REF!))), 1))) * (CODE(MID(#REF!, ROW(INDIRECT("1:" &amp; LEN(#REF!))), 1)) &lt;= 57)), 1) - 1), FIND(":",#REF!) + 2, LEN(#REF!))</f>
        <v>#REF!</v>
      </c>
      <c r="G886" s="227" t="e">
        <f>MID(LEFT(#REF!, FIND(",",#REF!) - 1), FIND("{token}", SUBSTITUTE(#REF!, " ", "{token}", 2)) + 1, LEN(#REF!))</f>
        <v>#REF!</v>
      </c>
      <c r="H886" s="236" t="s">
        <v>1953</v>
      </c>
      <c r="I886" s="230">
        <v>45642</v>
      </c>
      <c r="J886" s="230" t="s">
        <v>2934</v>
      </c>
      <c r="K886" s="226">
        <v>45642</v>
      </c>
      <c r="L886" s="259" t="s">
        <v>1671</v>
      </c>
      <c r="M886" s="222">
        <v>1097</v>
      </c>
      <c r="N886" s="2" t="str">
        <f t="shared" ca="1" si="27"/>
        <v>CLOSED</v>
      </c>
    </row>
    <row r="887" spans="1:14" ht="30">
      <c r="A887" s="64" t="s">
        <v>119</v>
      </c>
      <c r="B887" s="98" t="e">
        <f>VLOOKUP([2]!Table27[[#This Row],[Location 
(drop-down)]],'[2]List source'!D$2:E$59,2,FALSE)</f>
        <v>#N/A</v>
      </c>
      <c r="C887" s="179" t="s">
        <v>3089</v>
      </c>
      <c r="D887" s="212" t="e">
        <f t="shared" si="26"/>
        <v>#N/A</v>
      </c>
      <c r="E887" s="227" t="s">
        <v>3090</v>
      </c>
      <c r="F887" s="165" t="e" cm="1">
        <f t="array" aca="1" ref="F887" ca="1">MID(LEFT(#REF!, INDEX(_xlfn._xlws.FILTER(ROW(INDIRECT("1:" &amp; LEN(#REF!))), (48 &lt;= CODE(MID(#REF!, ROW(INDIRECT("1:" &amp; LEN(#REF!))), 1))) * (CODE(MID(#REF!, ROW(INDIRECT("1:" &amp; LEN(#REF!))), 1)) &lt;= 57)), 1) - 1), FIND(":",#REF!) + 2, LEN(#REF!))</f>
        <v>#REF!</v>
      </c>
      <c r="G887" s="227" t="e">
        <f>MID(LEFT(#REF!, FIND(",",#REF!) - 1), FIND("{token}", SUBSTITUTE(#REF!, " ", "{token}", 2)) + 1, LEN(#REF!))</f>
        <v>#REF!</v>
      </c>
      <c r="H887" s="165" t="s">
        <v>3091</v>
      </c>
      <c r="I887" s="230">
        <v>45642</v>
      </c>
      <c r="J887" s="230" t="s">
        <v>2934</v>
      </c>
      <c r="K887" s="226">
        <v>45642</v>
      </c>
      <c r="L887" s="259" t="s">
        <v>1671</v>
      </c>
      <c r="M887" s="222">
        <v>1098</v>
      </c>
      <c r="N887" s="2" t="str">
        <f t="shared" ca="1" si="27"/>
        <v>CLOSED</v>
      </c>
    </row>
    <row r="888" spans="1:14" ht="30">
      <c r="A888" s="64" t="s">
        <v>185</v>
      </c>
      <c r="B888" s="98" t="e">
        <f>VLOOKUP([2]!Table27[[#This Row],[Location 
(drop-down)]],'[2]List source'!D$2:E$59,2,FALSE)</f>
        <v>#N/A</v>
      </c>
      <c r="C888" s="179" t="s">
        <v>3092</v>
      </c>
      <c r="D888" s="212" t="e">
        <f t="shared" si="26"/>
        <v>#N/A</v>
      </c>
      <c r="E888" s="227" t="s">
        <v>3093</v>
      </c>
      <c r="F888" s="165" t="e" cm="1">
        <f t="array" aca="1" ref="F888" ca="1">MID(LEFT(#REF!, INDEX(_xlfn._xlws.FILTER(ROW(INDIRECT("1:" &amp; LEN(#REF!))), (48 &lt;= CODE(MID(#REF!, ROW(INDIRECT("1:" &amp; LEN(#REF!))), 1))) * (CODE(MID(#REF!, ROW(INDIRECT("1:" &amp; LEN(#REF!))), 1)) &lt;= 57)), 1) - 1), FIND(":",#REF!) + 2, LEN(#REF!))</f>
        <v>#REF!</v>
      </c>
      <c r="G888" s="227" t="e">
        <f>MID(LEFT(#REF!, FIND(",",#REF!) - 1), FIND("{token}", SUBSTITUTE(#REF!, " ", "{token}", 2)) + 1, LEN(#REF!))</f>
        <v>#REF!</v>
      </c>
      <c r="H888" s="165">
        <v>2.44</v>
      </c>
      <c r="I888" s="230">
        <v>45642</v>
      </c>
      <c r="J888" s="230" t="s">
        <v>2934</v>
      </c>
      <c r="K888" s="226">
        <v>45642</v>
      </c>
      <c r="L888" s="165" t="s">
        <v>1505</v>
      </c>
      <c r="M888" s="222">
        <v>1103</v>
      </c>
      <c r="N888" s="2" t="str">
        <f t="shared" ca="1" si="27"/>
        <v>CLOSED</v>
      </c>
    </row>
    <row r="889" spans="1:14" ht="30">
      <c r="A889" s="64" t="s">
        <v>73</v>
      </c>
      <c r="B889" s="98" t="e">
        <f>VLOOKUP([2]!Table27[[#This Row],[Location 
(drop-down)]],'[2]List source'!D$2:E$59,2,FALSE)</f>
        <v>#N/A</v>
      </c>
      <c r="C889" s="179" t="s">
        <v>3094</v>
      </c>
      <c r="D889" s="212" t="e">
        <f t="shared" si="26"/>
        <v>#N/A</v>
      </c>
      <c r="E889" s="227" t="s">
        <v>3095</v>
      </c>
      <c r="F889" s="165" t="e" cm="1">
        <f t="array" aca="1" ref="F889" ca="1">MID(LEFT(#REF!, INDEX(_xlfn._xlws.FILTER(ROW(INDIRECT("1:" &amp; LEN(#REF!))), (48 &lt;= CODE(MID(#REF!, ROW(INDIRECT("1:" &amp; LEN(#REF!))), 1))) * (CODE(MID(#REF!, ROW(INDIRECT("1:" &amp; LEN(#REF!))), 1)) &lt;= 57)), 1) - 1), FIND(":",#REF!) + 2, LEN(#REF!))</f>
        <v>#REF!</v>
      </c>
      <c r="G889" s="227" t="e">
        <f>MID(LEFT(#REF!, FIND(",",#REF!) - 1), FIND("{token}", SUBSTITUTE(#REF!, " ", "{token}", 2)) + 1, LEN(#REF!))</f>
        <v>#REF!</v>
      </c>
      <c r="H889" s="236" t="s">
        <v>3096</v>
      </c>
      <c r="I889" s="230">
        <v>45642</v>
      </c>
      <c r="J889" s="230" t="s">
        <v>2934</v>
      </c>
      <c r="K889" s="226">
        <v>45642</v>
      </c>
      <c r="L889" s="259" t="s">
        <v>1671</v>
      </c>
      <c r="M889" s="222">
        <v>1110</v>
      </c>
      <c r="N889" s="2" t="str">
        <f t="shared" ca="1" si="27"/>
        <v>CLOSED</v>
      </c>
    </row>
    <row r="890" spans="1:14" ht="15">
      <c r="A890" s="64" t="s">
        <v>139</v>
      </c>
      <c r="B890" s="98" t="e">
        <f>VLOOKUP([2]!Table27[[#This Row],[Location 
(drop-down)]],'[2]List source'!D$2:E$59,2,FALSE)</f>
        <v>#N/A</v>
      </c>
      <c r="C890" s="179" t="s">
        <v>3097</v>
      </c>
      <c r="D890" s="212" t="e">
        <f t="shared" si="26"/>
        <v>#N/A</v>
      </c>
      <c r="E890" s="227" t="s">
        <v>3098</v>
      </c>
      <c r="F890" s="165" t="e" cm="1">
        <f t="array" aca="1" ref="F890" ca="1">MID(LEFT(#REF!, INDEX(_xlfn._xlws.FILTER(ROW(INDIRECT("1:" &amp; LEN(#REF!))), (48 &lt;= CODE(MID(#REF!, ROW(INDIRECT("1:" &amp; LEN(#REF!))), 1))) * (CODE(MID(#REF!, ROW(INDIRECT("1:" &amp; LEN(#REF!))), 1)) &lt;= 57)), 1) - 1), FIND(":",#REF!) + 2, LEN(#REF!))</f>
        <v>#REF!</v>
      </c>
      <c r="G890" s="227" t="e">
        <f>MID(LEFT(#REF!, FIND(",",#REF!) - 1), FIND("{token}", SUBSTITUTE(#REF!, " ", "{token}", 2)) + 1, LEN(#REF!))</f>
        <v>#REF!</v>
      </c>
      <c r="H890" s="165">
        <v>2.0299999999999998</v>
      </c>
      <c r="I890" s="230">
        <v>45642</v>
      </c>
      <c r="J890" s="230" t="s">
        <v>2934</v>
      </c>
      <c r="K890" s="226">
        <v>45642</v>
      </c>
      <c r="L890" s="259" t="s">
        <v>1671</v>
      </c>
      <c r="M890" s="222">
        <v>1114</v>
      </c>
      <c r="N890" s="2" t="str">
        <f t="shared" ca="1" si="27"/>
        <v>CLOSED</v>
      </c>
    </row>
    <row r="891" spans="1:14" ht="15">
      <c r="A891" s="64" t="s">
        <v>43</v>
      </c>
      <c r="B891" s="98" t="e">
        <f>VLOOKUP([2]!Table27[[#This Row],[Location 
(drop-down)]],'[2]List source'!D$2:E$59,2,FALSE)</f>
        <v>#N/A</v>
      </c>
      <c r="C891" s="179" t="s">
        <v>3099</v>
      </c>
      <c r="D891" s="212" t="e">
        <f t="shared" si="26"/>
        <v>#N/A</v>
      </c>
      <c r="E891" s="227" t="s">
        <v>3100</v>
      </c>
      <c r="F891" s="165" t="e" cm="1">
        <f t="array" aca="1" ref="F891" ca="1">MID(LEFT(#REF!, INDEX(_xlfn._xlws.FILTER(ROW(INDIRECT("1:" &amp; LEN(#REF!))), (48 &lt;= CODE(MID(#REF!, ROW(INDIRECT("1:" &amp; LEN(#REF!))), 1))) * (CODE(MID(#REF!, ROW(INDIRECT("1:" &amp; LEN(#REF!))), 1)) &lt;= 57)), 1) - 1), FIND(":",#REF!) + 2, LEN(#REF!))</f>
        <v>#REF!</v>
      </c>
      <c r="G891" s="227" t="e">
        <f>MID(LEFT(#REF!, FIND(",",#REF!) - 1), FIND("{token}", SUBSTITUTE(#REF!, " ", "{token}", 2)) + 1, LEN(#REF!))</f>
        <v>#REF!</v>
      </c>
      <c r="H891" s="165" t="s">
        <v>3101</v>
      </c>
      <c r="I891" s="230">
        <v>45642</v>
      </c>
      <c r="J891" s="230" t="s">
        <v>2934</v>
      </c>
      <c r="K891" s="226">
        <v>45642</v>
      </c>
      <c r="L891" s="259" t="s">
        <v>1671</v>
      </c>
      <c r="M891" s="222">
        <v>1115</v>
      </c>
      <c r="N891" s="2" t="str">
        <f t="shared" ca="1" si="27"/>
        <v>CLOSED</v>
      </c>
    </row>
    <row r="892" spans="1:14" ht="30">
      <c r="A892" s="64" t="s">
        <v>125</v>
      </c>
      <c r="B892" s="98" t="e">
        <f>VLOOKUP([2]!Table27[[#This Row],[Location 
(drop-down)]],'[2]List source'!D$2:E$59,2,FALSE)</f>
        <v>#N/A</v>
      </c>
      <c r="C892" s="179" t="s">
        <v>3102</v>
      </c>
      <c r="D892" s="212" t="e">
        <f t="shared" si="26"/>
        <v>#N/A</v>
      </c>
      <c r="E892" s="227" t="s">
        <v>3103</v>
      </c>
      <c r="F892" s="165" t="s">
        <v>2274</v>
      </c>
      <c r="G892" s="227" t="s">
        <v>1606</v>
      </c>
      <c r="H892" s="165">
        <v>2.15</v>
      </c>
      <c r="I892" s="230">
        <v>45642</v>
      </c>
      <c r="J892" s="230" t="s">
        <v>2934</v>
      </c>
      <c r="K892" s="226">
        <v>45642</v>
      </c>
      <c r="L892" s="147" t="s">
        <v>1671</v>
      </c>
      <c r="M892" s="222">
        <v>1121</v>
      </c>
      <c r="N892" s="2" t="str">
        <f t="shared" ca="1" si="27"/>
        <v>CLOSED</v>
      </c>
    </row>
    <row r="893" spans="1:14" ht="30">
      <c r="A893" s="64" t="s">
        <v>30</v>
      </c>
      <c r="B893" s="98" t="e">
        <f>VLOOKUP([2]!Table27[[#This Row],[Location 
(drop-down)]],'[2]List source'!D$2:E$59,2,FALSE)</f>
        <v>#N/A</v>
      </c>
      <c r="C893" s="179" t="s">
        <v>3104</v>
      </c>
      <c r="D893" s="212" t="e">
        <f t="shared" si="26"/>
        <v>#N/A</v>
      </c>
      <c r="E893" s="227" t="s">
        <v>3105</v>
      </c>
      <c r="F893" s="165" t="s">
        <v>2274</v>
      </c>
      <c r="G893" s="227" t="e">
        <f>MID(LEFT(#REF!, FIND(",",#REF!) - 1), FIND("{token}", SUBSTITUTE(#REF!, " ", "{token}", 2)) + 1, LEN(#REF!))</f>
        <v>#REF!</v>
      </c>
      <c r="H893" s="236" t="s">
        <v>3106</v>
      </c>
      <c r="I893" s="230">
        <v>45642</v>
      </c>
      <c r="J893" s="230" t="s">
        <v>2934</v>
      </c>
      <c r="K893" s="226">
        <v>45642</v>
      </c>
      <c r="L893" s="259" t="s">
        <v>1671</v>
      </c>
      <c r="M893" s="222">
        <v>1122</v>
      </c>
      <c r="N893" s="2" t="str">
        <f t="shared" ca="1" si="27"/>
        <v>CLOSED</v>
      </c>
    </row>
    <row r="894" spans="1:14" ht="15">
      <c r="A894" s="64" t="s">
        <v>314</v>
      </c>
      <c r="B894" s="98" t="e">
        <f>VLOOKUP([2]!Table27[[#This Row],[Location 
(drop-down)]],'[2]List source'!D$2:E$59,2,FALSE)</f>
        <v>#N/A</v>
      </c>
      <c r="C894" s="179" t="s">
        <v>3107</v>
      </c>
      <c r="D894" s="212" t="e">
        <f t="shared" si="26"/>
        <v>#N/A</v>
      </c>
      <c r="E894" s="227" t="s">
        <v>3108</v>
      </c>
      <c r="F894" s="165" t="s">
        <v>1524</v>
      </c>
      <c r="G894" s="227" t="s">
        <v>1606</v>
      </c>
      <c r="H894" s="236" t="s">
        <v>2315</v>
      </c>
      <c r="I894" s="230">
        <v>45642</v>
      </c>
      <c r="J894" s="230" t="s">
        <v>2934</v>
      </c>
      <c r="K894" s="226">
        <v>45642</v>
      </c>
      <c r="L894" s="147" t="s">
        <v>1671</v>
      </c>
      <c r="M894" s="222">
        <v>1125</v>
      </c>
      <c r="N894" s="2" t="str">
        <f t="shared" ca="1" si="27"/>
        <v>CLOSED</v>
      </c>
    </row>
    <row r="895" spans="1:14" ht="30">
      <c r="A895" s="64" t="s">
        <v>114</v>
      </c>
      <c r="B895" s="98" t="e">
        <f>VLOOKUP([2]!Table27[[#This Row],[Location 
(drop-down)]],'[2]List source'!D$2:E$59,2,FALSE)</f>
        <v>#N/A</v>
      </c>
      <c r="C895" s="179" t="s">
        <v>3109</v>
      </c>
      <c r="D895" s="212" t="e">
        <f t="shared" si="26"/>
        <v>#N/A</v>
      </c>
      <c r="E895" s="227" t="s">
        <v>3110</v>
      </c>
      <c r="F895" s="165" t="s">
        <v>2160</v>
      </c>
      <c r="G895" s="227" t="e">
        <f>MID(LEFT(#REF!, FIND(",",#REF!) - 1), FIND("{token}", SUBSTITUTE(#REF!, " ", "{token}", 2)) + 1, LEN(#REF!))</f>
        <v>#REF!</v>
      </c>
      <c r="H895" s="165">
        <v>2.2400000000000002</v>
      </c>
      <c r="I895" s="230">
        <v>45642</v>
      </c>
      <c r="J895" s="230" t="s">
        <v>2934</v>
      </c>
      <c r="K895" s="226">
        <v>45642</v>
      </c>
      <c r="L895" s="259" t="s">
        <v>1671</v>
      </c>
      <c r="M895" s="222">
        <v>1126</v>
      </c>
      <c r="N895" s="2" t="str">
        <f t="shared" ca="1" si="27"/>
        <v>CLOSED</v>
      </c>
    </row>
    <row r="896" spans="1:14" ht="30">
      <c r="A896" s="64" t="s">
        <v>80</v>
      </c>
      <c r="B896" s="98" t="e">
        <f>VLOOKUP([2]!Table27[[#This Row],[Location 
(drop-down)]],'[2]List source'!D$2:E$59,2,FALSE)</f>
        <v>#N/A</v>
      </c>
      <c r="C896" s="179" t="s">
        <v>3111</v>
      </c>
      <c r="D896" s="212" t="e">
        <f t="shared" si="26"/>
        <v>#N/A</v>
      </c>
      <c r="E896" s="227" t="s">
        <v>3112</v>
      </c>
      <c r="F896" s="165" t="s">
        <v>1769</v>
      </c>
      <c r="G896" s="227" t="e">
        <f>MID(LEFT(#REF!, FIND(",",#REF!) - 1), FIND("{token}", SUBSTITUTE(#REF!, " ", "{token}", 2)) + 1, LEN(#REF!))</f>
        <v>#REF!</v>
      </c>
      <c r="H896" s="165">
        <v>2.02</v>
      </c>
      <c r="I896" s="230">
        <v>45642</v>
      </c>
      <c r="J896" s="230" t="s">
        <v>2934</v>
      </c>
      <c r="K896" s="226">
        <v>45642</v>
      </c>
      <c r="L896" s="259" t="s">
        <v>1671</v>
      </c>
      <c r="M896" s="222">
        <v>1128</v>
      </c>
      <c r="N896" s="2" t="str">
        <f t="shared" ca="1" si="27"/>
        <v>CLOSED</v>
      </c>
    </row>
    <row r="897" spans="1:14" ht="15">
      <c r="A897" s="64" t="s">
        <v>167</v>
      </c>
      <c r="B897" s="98" t="e">
        <f>VLOOKUP([2]!Table27[[#This Row],[Location 
(drop-down)]],'[2]List source'!D$2:E$59,2,FALSE)</f>
        <v>#N/A</v>
      </c>
      <c r="C897" s="179" t="s">
        <v>3113</v>
      </c>
      <c r="D897" s="212" t="e">
        <f t="shared" si="26"/>
        <v>#N/A</v>
      </c>
      <c r="E897" s="227" t="s">
        <v>3114</v>
      </c>
      <c r="F897" s="165" t="s">
        <v>1769</v>
      </c>
      <c r="G897" s="227" t="e">
        <f>MID(LEFT(#REF!, FIND(",",#REF!) - 1), FIND("{token}", SUBSTITUTE(#REF!, " ", "{token}", 2)) + 1, LEN(#REF!))</f>
        <v>#REF!</v>
      </c>
      <c r="H897" s="165">
        <v>2.61</v>
      </c>
      <c r="I897" s="230">
        <v>45642</v>
      </c>
      <c r="J897" s="230" t="s">
        <v>2934</v>
      </c>
      <c r="K897" s="226">
        <v>45642</v>
      </c>
      <c r="L897" s="259" t="s">
        <v>1671</v>
      </c>
      <c r="M897" s="222">
        <v>1129</v>
      </c>
      <c r="N897" s="2" t="str">
        <f t="shared" ca="1" si="27"/>
        <v>CLOSED</v>
      </c>
    </row>
    <row r="898" spans="1:14" ht="30">
      <c r="A898" s="64" t="s">
        <v>500</v>
      </c>
      <c r="B898" s="98" t="e">
        <f>VLOOKUP([2]!Table27[[#This Row],[Location 
(drop-down)]],'[2]List source'!D$2:E$59,2,FALSE)</f>
        <v>#N/A</v>
      </c>
      <c r="C898" s="179" t="s">
        <v>3115</v>
      </c>
      <c r="D898" s="212" t="e">
        <f t="shared" ref="D898:D961" si="28">"PTO" &amp; C898 &amp; "-" &amp; B898 &amp; "-" &amp; "23"</f>
        <v>#N/A</v>
      </c>
      <c r="E898" s="227" t="s">
        <v>3116</v>
      </c>
      <c r="F898" s="165" t="s">
        <v>1769</v>
      </c>
      <c r="G898" s="227" t="e">
        <f>MID(LEFT(#REF!, FIND(",",#REF!) - 1), FIND("{token}", SUBSTITUTE(#REF!, " ", "{token}", 2)) + 1, LEN(#REF!))</f>
        <v>#REF!</v>
      </c>
      <c r="H898" s="165">
        <v>2.06</v>
      </c>
      <c r="I898" s="230">
        <v>45642</v>
      </c>
      <c r="J898" s="230" t="s">
        <v>2934</v>
      </c>
      <c r="K898" s="226">
        <v>45642</v>
      </c>
      <c r="L898" s="259" t="s">
        <v>1671</v>
      </c>
      <c r="M898" s="222">
        <v>1132</v>
      </c>
      <c r="N898" s="2" t="str">
        <f t="shared" ca="1" si="27"/>
        <v>CLOSED</v>
      </c>
    </row>
    <row r="899" spans="1:14" ht="30">
      <c r="A899" s="64" t="s">
        <v>39</v>
      </c>
      <c r="B899" s="98" t="e">
        <f>VLOOKUP([2]!Table27[[#This Row],[Location 
(drop-down)]],'[2]List source'!D$2:E$59,2,FALSE)</f>
        <v>#N/A</v>
      </c>
      <c r="C899" s="179" t="s">
        <v>3117</v>
      </c>
      <c r="D899" s="212" t="e">
        <f t="shared" si="28"/>
        <v>#N/A</v>
      </c>
      <c r="E899" s="227" t="s">
        <v>3118</v>
      </c>
      <c r="F899" s="165" t="e" cm="1">
        <f t="array" aca="1" ref="F899" ca="1">MID(LEFT(#REF!, INDEX(_xlfn._xlws.FILTER(ROW(INDIRECT("1:" &amp; LEN(#REF!))), (48 &lt;= CODE(MID(#REF!, ROW(INDIRECT("1:" &amp; LEN(#REF!))), 1))) * (CODE(MID(#REF!, ROW(INDIRECT("1:" &amp; LEN(#REF!))), 1)) &lt;= 57)), 1) - 1), FIND(":",#REF!) + 2, LEN(#REF!))</f>
        <v>#REF!</v>
      </c>
      <c r="G899" s="190" t="e">
        <f>MID(LEFT(#REF!, FIND(",",#REF!) - 1), FIND("{token}", SUBSTITUTE(#REF!, " ", "{token}", 2)) + 1, LEN(#REF!))</f>
        <v>#REF!</v>
      </c>
      <c r="H899" s="236" t="s">
        <v>2791</v>
      </c>
      <c r="I899" s="230">
        <v>45642</v>
      </c>
      <c r="J899" s="230" t="s">
        <v>2934</v>
      </c>
      <c r="K899" s="226">
        <v>45642</v>
      </c>
      <c r="L899" s="259" t="s">
        <v>1671</v>
      </c>
      <c r="M899" s="222">
        <v>1134</v>
      </c>
      <c r="N899" s="2" t="str">
        <f t="shared" ca="1" si="27"/>
        <v>CLOSED</v>
      </c>
    </row>
    <row r="900" spans="1:14" ht="30">
      <c r="A900" s="64" t="s">
        <v>202</v>
      </c>
      <c r="B900" s="98" t="e">
        <f>VLOOKUP([2]!Table27[[#This Row],[Location 
(drop-down)]],'[2]List source'!D$2:E$59,2,FALSE)</f>
        <v>#N/A</v>
      </c>
      <c r="C900" s="179" t="s">
        <v>3119</v>
      </c>
      <c r="D900" s="212" t="e">
        <f t="shared" si="28"/>
        <v>#N/A</v>
      </c>
      <c r="E900" s="227" t="s">
        <v>3120</v>
      </c>
      <c r="F900" s="165" t="e" cm="1">
        <f t="array" aca="1" ref="F900" ca="1">MID(LEFT(#REF!, INDEX(_xlfn._xlws.FILTER(ROW(INDIRECT("1:" &amp; LEN(#REF!))), (48 &lt;= CODE(MID(#REF!, ROW(INDIRECT("1:" &amp; LEN(#REF!))), 1))) * (CODE(MID(#REF!, ROW(INDIRECT("1:" &amp; LEN(#REF!))), 1)) &lt;= 57)), 1) - 1), FIND(":",#REF!) + 2, LEN(#REF!))</f>
        <v>#REF!</v>
      </c>
      <c r="G900" s="227" t="e">
        <f>MID(LEFT(#REF!, FIND(",",#REF!) - 1), FIND("{token}", SUBSTITUTE(#REF!, " ", "{token}", 2)) + 1, LEN(#REF!))</f>
        <v>#REF!</v>
      </c>
      <c r="H900" s="236" t="s">
        <v>2862</v>
      </c>
      <c r="I900" s="230">
        <v>45642</v>
      </c>
      <c r="J900" s="230" t="s">
        <v>2934</v>
      </c>
      <c r="K900" s="226">
        <v>45642</v>
      </c>
      <c r="L900" s="147" t="s">
        <v>1671</v>
      </c>
      <c r="M900" s="222">
        <v>1135</v>
      </c>
      <c r="N900" s="2" t="str">
        <f t="shared" ca="1" si="27"/>
        <v>CLOSED</v>
      </c>
    </row>
    <row r="901" spans="1:14" ht="18.75">
      <c r="A901" s="64" t="s">
        <v>15</v>
      </c>
      <c r="B901" s="98" t="e">
        <f>VLOOKUP([2]!Table27[[#This Row],[Location 
(drop-down)]],'[2]List source'!D$2:E$59,2,FALSE)</f>
        <v>#N/A</v>
      </c>
      <c r="C901" s="179" t="s">
        <v>933</v>
      </c>
      <c r="D901" s="223" t="e">
        <f t="shared" si="28"/>
        <v>#N/A</v>
      </c>
      <c r="E901" s="227" t="s">
        <v>3121</v>
      </c>
      <c r="F901" s="165" t="s">
        <v>1566</v>
      </c>
      <c r="G901" s="227" t="e">
        <f>MID(LEFT(#REF!, FIND(",",#REF!) - 1), FIND("{token}", SUBSTITUTE(#REF!, " ", "{token}", 2)) + 1, LEN(#REF!))</f>
        <v>#REF!</v>
      </c>
      <c r="H901" s="165">
        <v>2.2999999999999998</v>
      </c>
      <c r="I901" s="230">
        <v>45427</v>
      </c>
      <c r="J901" s="230" t="s">
        <v>21</v>
      </c>
      <c r="K901" s="226">
        <v>45643</v>
      </c>
      <c r="L901" s="165"/>
      <c r="M901" s="222">
        <v>522</v>
      </c>
      <c r="N901" s="2" t="str">
        <f t="shared" ca="1" si="27"/>
        <v>CLOSED</v>
      </c>
    </row>
    <row r="902" spans="1:14" ht="30">
      <c r="A902" s="64" t="s">
        <v>294</v>
      </c>
      <c r="B902" s="98" t="e">
        <f>VLOOKUP([2]!Table27[[#This Row],[Location 
(drop-down)]],'[2]List source'!D$2:E$59,2,FALSE)</f>
        <v>#N/A</v>
      </c>
      <c r="C902" s="179" t="s">
        <v>3122</v>
      </c>
      <c r="D902" s="212" t="e">
        <f t="shared" si="28"/>
        <v>#N/A</v>
      </c>
      <c r="E902" s="227" t="s">
        <v>3123</v>
      </c>
      <c r="F902" s="165" t="e" cm="1">
        <f t="array" aca="1" ref="F902" ca="1">MID(LEFT(#REF!, INDEX(_xlfn._xlws.FILTER(ROW(INDIRECT("1:" &amp; LEN(#REF!))), (48 &lt;= CODE(MID(#REF!, ROW(INDIRECT("1:" &amp; LEN(#REF!))), 1))) * (CODE(MID(#REF!, ROW(INDIRECT("1:" &amp; LEN(#REF!))), 1)) &lt;= 57)), 1) - 1), FIND(":",#REF!) + 2, LEN(#REF!))</f>
        <v>#REF!</v>
      </c>
      <c r="G902" s="227" t="e">
        <f>MID(LEFT(#REF!, FIND(",",#REF!) - 1), FIND("{token}", SUBSTITUTE(#REF!, " ", "{token}", 2)) + 1, LEN(#REF!))</f>
        <v>#REF!</v>
      </c>
      <c r="H902" s="165">
        <v>64.22</v>
      </c>
      <c r="I902" s="230">
        <v>45642</v>
      </c>
      <c r="J902" s="230" t="s">
        <v>2934</v>
      </c>
      <c r="K902" s="226">
        <v>45643</v>
      </c>
      <c r="L902" s="165" t="s">
        <v>1505</v>
      </c>
      <c r="M902" s="222">
        <v>1107</v>
      </c>
      <c r="N902" s="2" t="str">
        <f t="shared" ca="1" si="27"/>
        <v>CLOSED</v>
      </c>
    </row>
    <row r="903" spans="1:14" ht="30">
      <c r="A903" s="64" t="s">
        <v>485</v>
      </c>
      <c r="B903" s="98" t="e">
        <f>VLOOKUP([2]!Table27[[#This Row],[Location 
(drop-down)]],'[2]List source'!D$2:E$59,2,FALSE)</f>
        <v>#N/A</v>
      </c>
      <c r="C903" s="179" t="s">
        <v>3124</v>
      </c>
      <c r="D903" s="212" t="e">
        <f t="shared" si="28"/>
        <v>#N/A</v>
      </c>
      <c r="E903" s="227" t="s">
        <v>3125</v>
      </c>
      <c r="F903" s="165" t="e" cm="1">
        <f t="array" aca="1" ref="F903" ca="1">MID(LEFT(#REF!, INDEX(_xlfn._xlws.FILTER(ROW(INDIRECT("1:" &amp; LEN(#REF!))), (48 &lt;= CODE(MID(#REF!, ROW(INDIRECT("1:" &amp; LEN(#REF!))), 1))) * (CODE(MID(#REF!, ROW(INDIRECT("1:" &amp; LEN(#REF!))), 1)) &lt;= 57)), 1) - 1), FIND(":",#REF!) + 2, LEN(#REF!))</f>
        <v>#REF!</v>
      </c>
      <c r="G903" s="227" t="e">
        <f>MID(LEFT(#REF!, FIND(",",#REF!) - 1), FIND("{token}", SUBSTITUTE(#REF!, " ", "{token}", 2)) + 1, LEN(#REF!))</f>
        <v>#REF!</v>
      </c>
      <c r="H903" s="236" t="s">
        <v>3126</v>
      </c>
      <c r="I903" s="230">
        <v>45642</v>
      </c>
      <c r="J903" s="230" t="s">
        <v>2934</v>
      </c>
      <c r="K903" s="226">
        <v>45643</v>
      </c>
      <c r="L903" s="165" t="s">
        <v>1505</v>
      </c>
      <c r="M903" s="222">
        <v>1111</v>
      </c>
      <c r="N903" s="2" t="str">
        <f t="shared" ca="1" si="27"/>
        <v>CLOSED</v>
      </c>
    </row>
    <row r="904" spans="1:14" ht="30">
      <c r="A904" s="64" t="s">
        <v>1334</v>
      </c>
      <c r="B904" s="98" t="e">
        <f>VLOOKUP([2]!Table27[[#This Row],[Location 
(drop-down)]],'[2]List source'!D$2:E$59,2,FALSE)</f>
        <v>#N/A</v>
      </c>
      <c r="C904" s="179" t="s">
        <v>3127</v>
      </c>
      <c r="D904" s="212" t="e">
        <f t="shared" si="28"/>
        <v>#N/A</v>
      </c>
      <c r="E904" s="227" t="s">
        <v>3128</v>
      </c>
      <c r="F904" s="165" t="e" cm="1">
        <f t="array" aca="1" ref="F904" ca="1">MID(LEFT(#REF!, INDEX(_xlfn._xlws.FILTER(ROW(INDIRECT("1:" &amp; LEN(#REF!))), (48 &lt;= CODE(MID(#REF!, ROW(INDIRECT("1:" &amp; LEN(#REF!))), 1))) * (CODE(MID(#REF!, ROW(INDIRECT("1:" &amp; LEN(#REF!))), 1)) &lt;= 57)), 1) - 1), FIND(":",#REF!) + 2, LEN(#REF!))</f>
        <v>#REF!</v>
      </c>
      <c r="G904" s="227" t="e">
        <f>MID(LEFT(#REF!, FIND(",",#REF!) - 1), FIND("{token}", SUBSTITUTE(#REF!, " ", "{token}", 2)) + 1, LEN(#REF!))</f>
        <v>#REF!</v>
      </c>
      <c r="H904" s="165">
        <v>6.53</v>
      </c>
      <c r="I904" s="230">
        <v>45643</v>
      </c>
      <c r="J904" s="230" t="s">
        <v>34</v>
      </c>
      <c r="K904" s="226">
        <v>45643</v>
      </c>
      <c r="L904" s="165" t="s">
        <v>1505</v>
      </c>
      <c r="M904" s="222">
        <v>1136</v>
      </c>
      <c r="N904" s="2" t="str">
        <f t="shared" ca="1" si="27"/>
        <v>CLOSED</v>
      </c>
    </row>
    <row r="905" spans="1:14" ht="30">
      <c r="A905" s="64" t="s">
        <v>39</v>
      </c>
      <c r="B905" s="98" t="e">
        <f>VLOOKUP([2]!Table27[[#This Row],[Location 
(drop-down)]],'[2]List source'!D$2:E$59,2,FALSE)</f>
        <v>#N/A</v>
      </c>
      <c r="C905" s="179" t="s">
        <v>3129</v>
      </c>
      <c r="D905" s="212" t="e">
        <f t="shared" si="28"/>
        <v>#N/A</v>
      </c>
      <c r="E905" s="227" t="s">
        <v>3130</v>
      </c>
      <c r="F905" s="165" t="e" cm="1">
        <f t="array" aca="1" ref="F905" ca="1">MID(LEFT(#REF!, INDEX(_xlfn._xlws.FILTER(ROW(INDIRECT("1:" &amp; LEN(#REF!))), (48 &lt;= CODE(MID(#REF!, ROW(INDIRECT("1:" &amp; LEN(#REF!))), 1))) * (CODE(MID(#REF!, ROW(INDIRECT("1:" &amp; LEN(#REF!))), 1)) &lt;= 57)), 1) - 1), FIND(":",#REF!) + 2, LEN(#REF!))</f>
        <v>#REF!</v>
      </c>
      <c r="G905" s="227" t="e">
        <f>MID(LEFT(#REF!, FIND(",",#REF!) - 1), FIND("{token}", SUBSTITUTE(#REF!, " ", "{token}", 2)) + 1, LEN(#REF!))</f>
        <v>#REF!</v>
      </c>
      <c r="H905" s="236" t="s">
        <v>3131</v>
      </c>
      <c r="I905" s="230">
        <v>45643</v>
      </c>
      <c r="J905" s="230" t="s">
        <v>34</v>
      </c>
      <c r="K905" s="226">
        <v>45643</v>
      </c>
      <c r="L905" s="165" t="s">
        <v>1505</v>
      </c>
      <c r="M905" s="222">
        <v>1137</v>
      </c>
      <c r="N905" s="2" t="str">
        <f t="shared" ca="1" si="27"/>
        <v>CLOSED</v>
      </c>
    </row>
    <row r="906" spans="1:14" ht="15">
      <c r="A906" s="64" t="s">
        <v>462</v>
      </c>
      <c r="B906" s="98" t="e">
        <f>VLOOKUP([2]!Table27[[#This Row],[Location 
(drop-down)]],'[2]List source'!D$2:E$59,2,FALSE)</f>
        <v>#N/A</v>
      </c>
      <c r="C906" s="179" t="s">
        <v>3132</v>
      </c>
      <c r="D906" s="212" t="e">
        <f t="shared" si="28"/>
        <v>#N/A</v>
      </c>
      <c r="E906" s="227" t="s">
        <v>3133</v>
      </c>
      <c r="F906" s="165" t="e" cm="1">
        <f t="array" aca="1" ref="F906" ca="1">MID(LEFT(#REF!, INDEX(_xlfn._xlws.FILTER(ROW(INDIRECT("1:" &amp; LEN(#REF!))), (48 &lt;= CODE(MID(#REF!, ROW(INDIRECT("1:" &amp; LEN(#REF!))), 1))) * (CODE(MID(#REF!, ROW(INDIRECT("1:" &amp; LEN(#REF!))), 1)) &lt;= 57)), 1) - 1), FIND(":",#REF!) + 2, LEN(#REF!))</f>
        <v>#REF!</v>
      </c>
      <c r="G906" s="227" t="e">
        <f>MID(LEFT(#REF!, FIND(",",#REF!) - 1), FIND("{token}", SUBSTITUTE(#REF!, " ", "{token}", 2)) + 1, LEN(#REF!))</f>
        <v>#REF!</v>
      </c>
      <c r="H906" s="165" t="s">
        <v>1579</v>
      </c>
      <c r="I906" s="230">
        <v>45643</v>
      </c>
      <c r="J906" s="230" t="s">
        <v>34</v>
      </c>
      <c r="K906" s="226">
        <v>45643</v>
      </c>
      <c r="L906" s="165" t="s">
        <v>1505</v>
      </c>
      <c r="M906" s="222">
        <v>1138</v>
      </c>
      <c r="N906" s="2" t="str">
        <f t="shared" ca="1" si="27"/>
        <v>CLOSED</v>
      </c>
    </row>
    <row r="907" spans="1:14" ht="30">
      <c r="A907" s="64" t="s">
        <v>591</v>
      </c>
      <c r="B907" s="98" t="e">
        <f>VLOOKUP([2]!Table27[[#This Row],[Location 
(drop-down)]],'[2]List source'!D$2:E$59,2,FALSE)</f>
        <v>#N/A</v>
      </c>
      <c r="C907" s="179" t="s">
        <v>3134</v>
      </c>
      <c r="D907" s="212" t="e">
        <f t="shared" si="28"/>
        <v>#N/A</v>
      </c>
      <c r="E907" s="227" t="s">
        <v>3135</v>
      </c>
      <c r="F907" s="165" t="e" cm="1">
        <f t="array" aca="1" ref="F907" ca="1">MID(LEFT(#REF!, INDEX(_xlfn._xlws.FILTER(ROW(INDIRECT("1:" &amp; LEN(#REF!))), (48 &lt;= CODE(MID(#REF!, ROW(INDIRECT("1:" &amp; LEN(#REF!))), 1))) * (CODE(MID(#REF!, ROW(INDIRECT("1:" &amp; LEN(#REF!))), 1)) &lt;= 57)), 1) - 1), FIND(":",#REF!) + 2, LEN(#REF!))</f>
        <v>#REF!</v>
      </c>
      <c r="G907" s="227" t="e">
        <f>MID(LEFT(#REF!, FIND(",",#REF!) - 1), FIND("{token}", SUBSTITUTE(#REF!, " ", "{token}", 2)) + 1, LEN(#REF!))</f>
        <v>#REF!</v>
      </c>
      <c r="H907" s="236" t="s">
        <v>2004</v>
      </c>
      <c r="I907" s="230">
        <v>45643</v>
      </c>
      <c r="J907" s="230" t="s">
        <v>2934</v>
      </c>
      <c r="K907" s="226">
        <v>45643</v>
      </c>
      <c r="L907" s="259" t="s">
        <v>1671</v>
      </c>
      <c r="M907" s="222">
        <v>1141</v>
      </c>
      <c r="N907" s="2" t="str">
        <f t="shared" ca="1" si="27"/>
        <v>CLOSED</v>
      </c>
    </row>
    <row r="908" spans="1:14" ht="30">
      <c r="A908" s="64" t="s">
        <v>591</v>
      </c>
      <c r="B908" s="98" t="e">
        <f>VLOOKUP([2]!Table27[[#This Row],[Location 
(drop-down)]],'[2]List source'!D$2:E$59,2,FALSE)</f>
        <v>#N/A</v>
      </c>
      <c r="C908" s="179" t="s">
        <v>3136</v>
      </c>
      <c r="D908" s="212" t="e">
        <f t="shared" si="28"/>
        <v>#N/A</v>
      </c>
      <c r="E908" s="227" t="s">
        <v>3137</v>
      </c>
      <c r="F908" s="165" t="e" cm="1">
        <f t="array" aca="1" ref="F908" ca="1">MID(LEFT(#REF!, INDEX(_xlfn._xlws.FILTER(ROW(INDIRECT("1:" &amp; LEN(#REF!))), (48 &lt;= CODE(MID(#REF!, ROW(INDIRECT("1:" &amp; LEN(#REF!))), 1))) * (CODE(MID(#REF!, ROW(INDIRECT("1:" &amp; LEN(#REF!))), 1)) &lt;= 57)), 1) - 1), FIND(":",#REF!) + 2, LEN(#REF!))</f>
        <v>#REF!</v>
      </c>
      <c r="G908" s="227" t="e">
        <f>MID(LEFT(#REF!, FIND(",",#REF!) - 1), FIND("{token}", SUBSTITUTE(#REF!, " ", "{token}", 2)) + 1, LEN(#REF!))</f>
        <v>#REF!</v>
      </c>
      <c r="H908" s="236" t="s">
        <v>3138</v>
      </c>
      <c r="I908" s="230">
        <v>45643</v>
      </c>
      <c r="J908" s="230" t="s">
        <v>2934</v>
      </c>
      <c r="K908" s="226">
        <v>45643</v>
      </c>
      <c r="L908" s="259" t="s">
        <v>1671</v>
      </c>
      <c r="M908" s="222">
        <v>1142</v>
      </c>
      <c r="N908" s="2" t="str">
        <f t="shared" ca="1" si="27"/>
        <v>CLOSED</v>
      </c>
    </row>
    <row r="909" spans="1:14" ht="30">
      <c r="A909" s="64" t="s">
        <v>119</v>
      </c>
      <c r="B909" s="98" t="e">
        <f>VLOOKUP([2]!Table27[[#This Row],[Location 
(drop-down)]],'[2]List source'!D$2:E$59,2,FALSE)</f>
        <v>#N/A</v>
      </c>
      <c r="C909" s="179" t="s">
        <v>3139</v>
      </c>
      <c r="D909" s="212" t="e">
        <f t="shared" si="28"/>
        <v>#N/A</v>
      </c>
      <c r="E909" s="227" t="s">
        <v>3140</v>
      </c>
      <c r="F909" s="165" t="e" cm="1">
        <f t="array" aca="1" ref="F909" ca="1">MID(LEFT(#REF!, INDEX(_xlfn._xlws.FILTER(ROW(INDIRECT("1:" &amp; LEN(#REF!))), (48 &lt;= CODE(MID(#REF!, ROW(INDIRECT("1:" &amp; LEN(#REF!))), 1))) * (CODE(MID(#REF!, ROW(INDIRECT("1:" &amp; LEN(#REF!))), 1)) &lt;= 57)), 1) - 1), FIND(":",#REF!) + 2, LEN(#REF!))</f>
        <v>#REF!</v>
      </c>
      <c r="G909" s="227" t="e">
        <f>MID(LEFT(#REF!, FIND(",",#REF!) - 1), FIND("{token}", SUBSTITUTE(#REF!, " ", "{token}", 2)) + 1, LEN(#REF!))</f>
        <v>#REF!</v>
      </c>
      <c r="H909" s="165" t="s">
        <v>3141</v>
      </c>
      <c r="I909" s="230">
        <v>45643</v>
      </c>
      <c r="J909" s="230" t="s">
        <v>2934</v>
      </c>
      <c r="K909" s="226">
        <v>45643</v>
      </c>
      <c r="L909" s="259" t="s">
        <v>1671</v>
      </c>
      <c r="M909" s="222">
        <v>1145</v>
      </c>
      <c r="N909" s="2" t="str">
        <f t="shared" ca="1" si="27"/>
        <v>CLOSED</v>
      </c>
    </row>
    <row r="910" spans="1:14" ht="15">
      <c r="A910" s="64" t="s">
        <v>264</v>
      </c>
      <c r="B910" s="98" t="e">
        <f>VLOOKUP([2]!Table27[[#This Row],[Location 
(drop-down)]],'[2]List source'!D$2:E$59,2,FALSE)</f>
        <v>#N/A</v>
      </c>
      <c r="C910" s="179" t="s">
        <v>3142</v>
      </c>
      <c r="D910" s="212" t="e">
        <f t="shared" si="28"/>
        <v>#N/A</v>
      </c>
      <c r="E910" s="227" t="s">
        <v>3143</v>
      </c>
      <c r="F910" s="165" t="e" cm="1">
        <f t="array" aca="1" ref="F910" ca="1">MID(LEFT(#REF!, INDEX(_xlfn._xlws.FILTER(ROW(INDIRECT("1:" &amp; LEN(#REF!))), (48 &lt;= CODE(MID(#REF!, ROW(INDIRECT("1:" &amp; LEN(#REF!))), 1))) * (CODE(MID(#REF!, ROW(INDIRECT("1:" &amp; LEN(#REF!))), 1)) &lt;= 57)), 1) - 1), FIND(":",#REF!) + 2, LEN(#REF!))</f>
        <v>#REF!</v>
      </c>
      <c r="G910" s="227" t="e">
        <f>MID(LEFT(#REF!, FIND(",",#REF!) - 1), FIND("{token}", SUBSTITUTE(#REF!, " ", "{token}", 2)) + 1, LEN(#REF!))</f>
        <v>#REF!</v>
      </c>
      <c r="H910" s="236" t="s">
        <v>1683</v>
      </c>
      <c r="I910" s="230">
        <v>45643</v>
      </c>
      <c r="J910" s="230" t="s">
        <v>2934</v>
      </c>
      <c r="K910" s="226">
        <v>45643</v>
      </c>
      <c r="L910" s="259" t="s">
        <v>1671</v>
      </c>
      <c r="M910" s="222">
        <v>1146</v>
      </c>
      <c r="N910" s="2" t="str">
        <f t="shared" ca="1" si="27"/>
        <v>CLOSED</v>
      </c>
    </row>
    <row r="911" spans="1:14" ht="15">
      <c r="A911" s="64" t="s">
        <v>314</v>
      </c>
      <c r="B911" s="98" t="e">
        <f>VLOOKUP([2]!Table27[[#This Row],[Location 
(drop-down)]],'[2]List source'!D$2:E$59,2,FALSE)</f>
        <v>#N/A</v>
      </c>
      <c r="C911" s="179" t="s">
        <v>3144</v>
      </c>
      <c r="D911" s="212" t="e">
        <f t="shared" si="28"/>
        <v>#N/A</v>
      </c>
      <c r="E911" s="227" t="s">
        <v>3145</v>
      </c>
      <c r="F911" s="165" t="e" cm="1">
        <f t="array" aca="1" ref="F911" ca="1">MID(LEFT(#REF!, INDEX(_xlfn._xlws.FILTER(ROW(INDIRECT("1:" &amp; LEN(#REF!))), (48 &lt;= CODE(MID(#REF!, ROW(INDIRECT("1:" &amp; LEN(#REF!))), 1))) * (CODE(MID(#REF!, ROW(INDIRECT("1:" &amp; LEN(#REF!))), 1)) &lt;= 57)), 1) - 1), FIND(":",#REF!) + 2, LEN(#REF!))</f>
        <v>#REF!</v>
      </c>
      <c r="G911" s="227" t="e">
        <f>MID(LEFT(#REF!, FIND(",",#REF!) - 1), FIND("{token}", SUBSTITUTE(#REF!, " ", "{token}", 2)) + 1, LEN(#REF!))</f>
        <v>#REF!</v>
      </c>
      <c r="H911" s="165">
        <v>2.15</v>
      </c>
      <c r="I911" s="230">
        <v>45643</v>
      </c>
      <c r="J911" s="230" t="s">
        <v>2934</v>
      </c>
      <c r="K911" s="226">
        <v>45643</v>
      </c>
      <c r="L911" s="259" t="s">
        <v>1671</v>
      </c>
      <c r="M911" s="222">
        <v>1148</v>
      </c>
      <c r="N911" s="2" t="str">
        <f t="shared" ca="1" si="27"/>
        <v>CLOSED</v>
      </c>
    </row>
    <row r="912" spans="1:14" ht="30">
      <c r="A912" s="64" t="s">
        <v>294</v>
      </c>
      <c r="B912" s="98" t="e">
        <f>VLOOKUP([2]!Table27[[#This Row],[Location 
(drop-down)]],'[2]List source'!D$2:E$59,2,FALSE)</f>
        <v>#N/A</v>
      </c>
      <c r="C912" s="179" t="s">
        <v>3146</v>
      </c>
      <c r="D912" s="212" t="e">
        <f t="shared" si="28"/>
        <v>#N/A</v>
      </c>
      <c r="E912" s="227" t="s">
        <v>3147</v>
      </c>
      <c r="F912" s="165" t="e" cm="1">
        <f t="array" aca="1" ref="F912" ca="1">MID(LEFT(#REF!, INDEX(_xlfn._xlws.FILTER(ROW(INDIRECT("1:" &amp; LEN(#REF!))), (48 &lt;= CODE(MID(#REF!, ROW(INDIRECT("1:" &amp; LEN(#REF!))), 1))) * (CODE(MID(#REF!, ROW(INDIRECT("1:" &amp; LEN(#REF!))), 1)) &lt;= 57)), 1) - 1), FIND(":",#REF!) + 2, LEN(#REF!))</f>
        <v>#REF!</v>
      </c>
      <c r="G912" s="227" t="e">
        <f>MID(LEFT(#REF!, FIND(",",#REF!) - 1), FIND("{token}", SUBSTITUTE(#REF!, " ", "{token}", 2)) + 1, LEN(#REF!))</f>
        <v>#REF!</v>
      </c>
      <c r="H912" s="236" t="s">
        <v>3148</v>
      </c>
      <c r="I912" s="230">
        <v>45643</v>
      </c>
      <c r="J912" s="230" t="s">
        <v>2934</v>
      </c>
      <c r="K912" s="226">
        <v>45643</v>
      </c>
      <c r="L912" s="259" t="s">
        <v>1671</v>
      </c>
      <c r="M912" s="222">
        <v>1150</v>
      </c>
      <c r="N912" s="2" t="str">
        <f t="shared" ca="1" si="27"/>
        <v>CLOSED</v>
      </c>
    </row>
    <row r="913" spans="1:14" ht="30">
      <c r="A913" s="64" t="s">
        <v>294</v>
      </c>
      <c r="B913" s="98" t="e">
        <f>VLOOKUP([2]!Table27[[#This Row],[Location 
(drop-down)]],'[2]List source'!D$2:E$59,2,FALSE)</f>
        <v>#N/A</v>
      </c>
      <c r="C913" s="179" t="s">
        <v>3149</v>
      </c>
      <c r="D913" s="212" t="e">
        <f t="shared" si="28"/>
        <v>#N/A</v>
      </c>
      <c r="E913" s="227" t="s">
        <v>3150</v>
      </c>
      <c r="F913" s="165" t="e" cm="1">
        <f t="array" aca="1" ref="F913" ca="1">MID(LEFT(#REF!, INDEX(_xlfn._xlws.FILTER(ROW(INDIRECT("1:" &amp; LEN(#REF!))), (48 &lt;= CODE(MID(#REF!, ROW(INDIRECT("1:" &amp; LEN(#REF!))), 1))) * (CODE(MID(#REF!, ROW(INDIRECT("1:" &amp; LEN(#REF!))), 1)) &lt;= 57)), 1) - 1), FIND(":",#REF!) + 2, LEN(#REF!))</f>
        <v>#REF!</v>
      </c>
      <c r="G913" s="227" t="e">
        <f>MID(LEFT(#REF!, FIND(",",#REF!) - 1), FIND("{token}", SUBSTITUTE(#REF!, " ", "{token}", 2)) + 1, LEN(#REF!))</f>
        <v>#REF!</v>
      </c>
      <c r="H913" s="165">
        <v>91.64</v>
      </c>
      <c r="I913" s="230">
        <v>45643</v>
      </c>
      <c r="J913" s="230" t="s">
        <v>34</v>
      </c>
      <c r="K913" s="226">
        <v>45643</v>
      </c>
      <c r="L913" s="165" t="s">
        <v>1505</v>
      </c>
      <c r="M913" s="222">
        <v>1151</v>
      </c>
      <c r="N913" s="2" t="str">
        <f t="shared" ca="1" si="27"/>
        <v>CLOSED</v>
      </c>
    </row>
    <row r="914" spans="1:14" ht="30">
      <c r="A914" s="64" t="s">
        <v>485</v>
      </c>
      <c r="B914" s="98" t="e">
        <f>VLOOKUP([2]!Table27[[#This Row],[Location 
(drop-down)]],'[2]List source'!D$2:E$59,2,FALSE)</f>
        <v>#N/A</v>
      </c>
      <c r="C914" s="179" t="s">
        <v>3151</v>
      </c>
      <c r="D914" s="212" t="e">
        <f t="shared" si="28"/>
        <v>#N/A</v>
      </c>
      <c r="E914" s="227" t="s">
        <v>3152</v>
      </c>
      <c r="F914" s="165" t="e" cm="1">
        <f t="array" aca="1" ref="F914" ca="1">MID(LEFT(#REF!, INDEX(_xlfn._xlws.FILTER(ROW(INDIRECT("1:" &amp; LEN(#REF!))), (48 &lt;= CODE(MID(#REF!, ROW(INDIRECT("1:" &amp; LEN(#REF!))), 1))) * (CODE(MID(#REF!, ROW(INDIRECT("1:" &amp; LEN(#REF!))), 1)) &lt;= 57)), 1) - 1), FIND(":",#REF!) + 2, LEN(#REF!))</f>
        <v>#REF!</v>
      </c>
      <c r="G914" s="227" t="e">
        <f>MID(LEFT(#REF!, FIND(",",#REF!) - 1), FIND("{token}", SUBSTITUTE(#REF!, " ", "{token}", 2)) + 1, LEN(#REF!))</f>
        <v>#REF!</v>
      </c>
      <c r="H914" s="236" t="s">
        <v>3153</v>
      </c>
      <c r="I914" s="230">
        <v>45643</v>
      </c>
      <c r="J914" s="230" t="s">
        <v>34</v>
      </c>
      <c r="K914" s="226">
        <v>45643</v>
      </c>
      <c r="L914" s="259" t="s">
        <v>1671</v>
      </c>
      <c r="M914" s="222">
        <v>1154</v>
      </c>
      <c r="N914" s="2" t="str">
        <f t="shared" ca="1" si="27"/>
        <v>CLOSED</v>
      </c>
    </row>
    <row r="915" spans="1:14" ht="30">
      <c r="A915" s="64" t="s">
        <v>500</v>
      </c>
      <c r="B915" s="98" t="e">
        <f>VLOOKUP([2]!Table27[[#This Row],[Location 
(drop-down)]],'[2]List source'!D$2:E$59,2,FALSE)</f>
        <v>#N/A</v>
      </c>
      <c r="C915" s="179" t="s">
        <v>3154</v>
      </c>
      <c r="D915" s="212" t="e">
        <f t="shared" si="28"/>
        <v>#N/A</v>
      </c>
      <c r="E915" s="227" t="s">
        <v>3155</v>
      </c>
      <c r="F915" s="165" t="e" cm="1">
        <f t="array" aca="1" ref="F915" ca="1">MID(LEFT(#REF!, INDEX(_xlfn._xlws.FILTER(ROW(INDIRECT("1:" &amp; LEN(#REF!))), (48 &lt;= CODE(MID(#REF!, ROW(INDIRECT("1:" &amp; LEN(#REF!))), 1))) * (CODE(MID(#REF!, ROW(INDIRECT("1:" &amp; LEN(#REF!))), 1)) &lt;= 57)), 1) - 1), FIND(":",#REF!) + 2, LEN(#REF!))</f>
        <v>#REF!</v>
      </c>
      <c r="G915" s="227" t="e">
        <f>MID(LEFT(#REF!, FIND(",",#REF!) - 1), FIND("{token}", SUBSTITUTE(#REF!, " ", "{token}", 2)) + 1, LEN(#REF!))</f>
        <v>#REF!</v>
      </c>
      <c r="H915" s="236" t="s">
        <v>3156</v>
      </c>
      <c r="I915" s="230">
        <v>45643</v>
      </c>
      <c r="J915" s="230" t="s">
        <v>34</v>
      </c>
      <c r="K915" s="226">
        <v>45643</v>
      </c>
      <c r="L915" s="259" t="s">
        <v>1671</v>
      </c>
      <c r="M915" s="222">
        <v>1155</v>
      </c>
      <c r="N915" s="2" t="str">
        <f t="shared" ca="1" si="27"/>
        <v>CLOSED</v>
      </c>
    </row>
    <row r="916" spans="1:14" ht="30">
      <c r="A916" s="64" t="s">
        <v>500</v>
      </c>
      <c r="B916" s="98" t="e">
        <f>VLOOKUP([2]!Table27[[#This Row],[Location 
(drop-down)]],'[2]List source'!D$2:E$59,2,FALSE)</f>
        <v>#N/A</v>
      </c>
      <c r="C916" s="179" t="s">
        <v>3157</v>
      </c>
      <c r="D916" s="212" t="e">
        <f t="shared" si="28"/>
        <v>#N/A</v>
      </c>
      <c r="E916" s="227" t="s">
        <v>3158</v>
      </c>
      <c r="F916" s="165" t="e" cm="1">
        <f t="array" aca="1" ref="F916" ca="1">MID(LEFT(#REF!, INDEX(_xlfn._xlws.FILTER(ROW(INDIRECT("1:" &amp; LEN(#REF!))), (48 &lt;= CODE(MID(#REF!, ROW(INDIRECT("1:" &amp; LEN(#REF!))), 1))) * (CODE(MID(#REF!, ROW(INDIRECT("1:" &amp; LEN(#REF!))), 1)) &lt;= 57)), 1) - 1), FIND(":",#REF!) + 2, LEN(#REF!))</f>
        <v>#REF!</v>
      </c>
      <c r="G916" s="227" t="e">
        <f>MID(LEFT(#REF!, FIND(",",#REF!) - 1), FIND("{token}", SUBSTITUTE(#REF!, " ", "{token}", 2)) + 1, LEN(#REF!))</f>
        <v>#REF!</v>
      </c>
      <c r="H916" s="165" t="s">
        <v>3159</v>
      </c>
      <c r="I916" s="230">
        <v>45643</v>
      </c>
      <c r="J916" s="230" t="s">
        <v>34</v>
      </c>
      <c r="K916" s="226">
        <v>45643</v>
      </c>
      <c r="L916" s="259" t="s">
        <v>1671</v>
      </c>
      <c r="M916" s="222">
        <v>1156</v>
      </c>
      <c r="N916" s="2" t="str">
        <f t="shared" ca="1" si="27"/>
        <v>CLOSED</v>
      </c>
    </row>
    <row r="917" spans="1:14" ht="30">
      <c r="A917" s="64" t="s">
        <v>500</v>
      </c>
      <c r="B917" s="98" t="e">
        <f>VLOOKUP([2]!Table27[[#This Row],[Location 
(drop-down)]],'[2]List source'!D$2:E$59,2,FALSE)</f>
        <v>#N/A</v>
      </c>
      <c r="C917" s="179" t="s">
        <v>3160</v>
      </c>
      <c r="D917" s="212" t="e">
        <f t="shared" si="28"/>
        <v>#N/A</v>
      </c>
      <c r="E917" s="227" t="s">
        <v>3161</v>
      </c>
      <c r="F917" s="165" t="e" cm="1">
        <f t="array" aca="1" ref="F917" ca="1">MID(LEFT(#REF!, INDEX(_xlfn._xlws.FILTER(ROW(INDIRECT("1:" &amp; LEN(#REF!))), (48 &lt;= CODE(MID(#REF!, ROW(INDIRECT("1:" &amp; LEN(#REF!))), 1))) * (CODE(MID(#REF!, ROW(INDIRECT("1:" &amp; LEN(#REF!))), 1)) &lt;= 57)), 1) - 1), FIND(":",#REF!) + 2, LEN(#REF!))</f>
        <v>#REF!</v>
      </c>
      <c r="G917" s="227" t="e">
        <f>MID(LEFT(#REF!, FIND(",",#REF!) - 1), FIND("{token}", SUBSTITUTE(#REF!, " ", "{token}", 2)) + 1, LEN(#REF!))</f>
        <v>#REF!</v>
      </c>
      <c r="H917" s="236" t="s">
        <v>1806</v>
      </c>
      <c r="I917" s="230">
        <v>45643</v>
      </c>
      <c r="J917" s="230" t="s">
        <v>34</v>
      </c>
      <c r="K917" s="226">
        <v>45643</v>
      </c>
      <c r="L917" s="259" t="s">
        <v>1671</v>
      </c>
      <c r="M917" s="222">
        <v>1158</v>
      </c>
      <c r="N917" s="2" t="str">
        <f t="shared" ca="1" si="27"/>
        <v>CLOSED</v>
      </c>
    </row>
    <row r="918" spans="1:14" ht="15">
      <c r="A918" s="64" t="s">
        <v>23</v>
      </c>
      <c r="B918" s="98" t="e">
        <f>VLOOKUP([2]!Table27[[#This Row],[Location 
(drop-down)]],'[2]List source'!D$2:E$59,2,FALSE)</f>
        <v>#N/A</v>
      </c>
      <c r="C918" s="179" t="s">
        <v>3162</v>
      </c>
      <c r="D918" s="212" t="e">
        <f t="shared" si="28"/>
        <v>#N/A</v>
      </c>
      <c r="E918" s="227" t="s">
        <v>3163</v>
      </c>
      <c r="F918" s="165" t="e" cm="1">
        <f t="array" aca="1" ref="F918" ca="1">MID(LEFT(#REF!, INDEX(_xlfn._xlws.FILTER(ROW(INDIRECT("1:" &amp; LEN(#REF!))), (48 &lt;= CODE(MID(#REF!, ROW(INDIRECT("1:" &amp; LEN(#REF!))), 1))) * (CODE(MID(#REF!, ROW(INDIRECT("1:" &amp; LEN(#REF!))), 1)) &lt;= 57)), 1) - 1), FIND(":",#REF!) + 2, LEN(#REF!))</f>
        <v>#REF!</v>
      </c>
      <c r="G918" s="227" t="e">
        <f>MID(LEFT(#REF!, FIND(",",#REF!) - 1), FIND("{token}", SUBSTITUTE(#REF!, " ", "{token}", 2)) + 1, LEN(#REF!))</f>
        <v>#REF!</v>
      </c>
      <c r="H918" s="236" t="s">
        <v>3164</v>
      </c>
      <c r="I918" s="230">
        <v>45643</v>
      </c>
      <c r="J918" s="230" t="s">
        <v>34</v>
      </c>
      <c r="K918" s="226">
        <v>45643</v>
      </c>
      <c r="L918" s="259" t="s">
        <v>1671</v>
      </c>
      <c r="M918" s="222">
        <v>1160</v>
      </c>
      <c r="N918" s="2" t="str">
        <f t="shared" ca="1" si="27"/>
        <v>CLOSED</v>
      </c>
    </row>
    <row r="919" spans="1:14" ht="30">
      <c r="A919" s="64" t="s">
        <v>714</v>
      </c>
      <c r="B919" s="98" t="e">
        <f>VLOOKUP([2]!Table27[[#This Row],[Location 
(drop-down)]],'[2]List source'!D$2:E$59,2,FALSE)</f>
        <v>#N/A</v>
      </c>
      <c r="C919" s="179" t="s">
        <v>3165</v>
      </c>
      <c r="D919" s="212" t="e">
        <f t="shared" si="28"/>
        <v>#N/A</v>
      </c>
      <c r="E919" s="227" t="s">
        <v>3166</v>
      </c>
      <c r="F919" s="165" t="e" cm="1">
        <f t="array" aca="1" ref="F919" ca="1">MID(LEFT(#REF!, INDEX(_xlfn._xlws.FILTER(ROW(INDIRECT("1:" &amp; LEN(#REF!))), (48 &lt;= CODE(MID(#REF!, ROW(INDIRECT("1:" &amp; LEN(#REF!))), 1))) * (CODE(MID(#REF!, ROW(INDIRECT("1:" &amp; LEN(#REF!))), 1)) &lt;= 57)), 1) - 1), FIND(":",#REF!) + 2, LEN(#REF!))</f>
        <v>#REF!</v>
      </c>
      <c r="G919" s="227" t="e">
        <f>MID(LEFT(#REF!, FIND(",",#REF!) - 1), FIND("{token}", SUBSTITUTE(#REF!, " ", "{token}", 2)) + 1, LEN(#REF!))</f>
        <v>#REF!</v>
      </c>
      <c r="H919" s="165">
        <v>2.89</v>
      </c>
      <c r="I919" s="230">
        <v>45643</v>
      </c>
      <c r="J919" s="230" t="s">
        <v>34</v>
      </c>
      <c r="K919" s="226">
        <v>45643</v>
      </c>
      <c r="L919" s="147" t="s">
        <v>1671</v>
      </c>
      <c r="M919" s="222">
        <v>1162</v>
      </c>
      <c r="N919" s="2" t="str">
        <f t="shared" ca="1" si="27"/>
        <v>CLOSED</v>
      </c>
    </row>
    <row r="920" spans="1:14" ht="30">
      <c r="A920" s="64" t="s">
        <v>714</v>
      </c>
      <c r="B920" s="98" t="e">
        <f>VLOOKUP([2]!Table27[[#This Row],[Location 
(drop-down)]],'[2]List source'!D$2:E$59,2,FALSE)</f>
        <v>#N/A</v>
      </c>
      <c r="C920" s="179" t="s">
        <v>3167</v>
      </c>
      <c r="D920" s="212" t="e">
        <f t="shared" si="28"/>
        <v>#N/A</v>
      </c>
      <c r="E920" s="227" t="s">
        <v>3168</v>
      </c>
      <c r="F920" s="165" t="e" cm="1">
        <f t="array" aca="1" ref="F920" ca="1">MID(LEFT(#REF!, INDEX(_xlfn._xlws.FILTER(ROW(INDIRECT("1:" &amp; LEN(#REF!))), (48 &lt;= CODE(MID(#REF!, ROW(INDIRECT("1:" &amp; LEN(#REF!))), 1))) * (CODE(MID(#REF!, ROW(INDIRECT("1:" &amp; LEN(#REF!))), 1)) &lt;= 57)), 1) - 1), FIND(":",#REF!) + 2, LEN(#REF!))</f>
        <v>#REF!</v>
      </c>
      <c r="G920" s="227" t="e">
        <f>MID(LEFT(#REF!, FIND(",",#REF!) - 1), FIND("{token}", SUBSTITUTE(#REF!, " ", "{token}", 2)) + 1, LEN(#REF!))</f>
        <v>#REF!</v>
      </c>
      <c r="H920" s="165">
        <v>2.4</v>
      </c>
      <c r="I920" s="230">
        <v>45643</v>
      </c>
      <c r="J920" s="230" t="s">
        <v>34</v>
      </c>
      <c r="K920" s="226">
        <v>45643</v>
      </c>
      <c r="L920" s="259" t="s">
        <v>1671</v>
      </c>
      <c r="M920" s="222">
        <v>1163</v>
      </c>
      <c r="N920" s="2" t="str">
        <f t="shared" ref="N920:N983" ca="1" si="29">IF(ISBLANK(K920), TODAY()-(I920), "CLOSED")</f>
        <v>CLOSED</v>
      </c>
    </row>
    <row r="921" spans="1:14" ht="30">
      <c r="A921" s="64" t="s">
        <v>714</v>
      </c>
      <c r="B921" s="98" t="e">
        <f>VLOOKUP([2]!Table27[[#This Row],[Location 
(drop-down)]],'[2]List source'!D$2:E$59,2,FALSE)</f>
        <v>#N/A</v>
      </c>
      <c r="C921" s="179" t="s">
        <v>3169</v>
      </c>
      <c r="D921" s="212" t="e">
        <f t="shared" si="28"/>
        <v>#N/A</v>
      </c>
      <c r="E921" s="227" t="s">
        <v>3170</v>
      </c>
      <c r="F921" s="165" t="e" cm="1">
        <f t="array" aca="1" ref="F921" ca="1">MID(LEFT(#REF!, INDEX(_xlfn._xlws.FILTER(ROW(INDIRECT("1:" &amp; LEN(#REF!))), (48 &lt;= CODE(MID(#REF!, ROW(INDIRECT("1:" &amp; LEN(#REF!))), 1))) * (CODE(MID(#REF!, ROW(INDIRECT("1:" &amp; LEN(#REF!))), 1)) &lt;= 57)), 1) - 1), FIND(":",#REF!) + 2, LEN(#REF!))</f>
        <v>#REF!</v>
      </c>
      <c r="G921" s="227" t="e">
        <f>MID(LEFT(#REF!, FIND(",",#REF!) - 1), FIND("{token}", SUBSTITUTE(#REF!, " ", "{token}", 2)) + 1, LEN(#REF!))</f>
        <v>#REF!</v>
      </c>
      <c r="H921" s="165">
        <v>2.2000000000000002</v>
      </c>
      <c r="I921" s="230">
        <v>45643</v>
      </c>
      <c r="J921" s="230" t="s">
        <v>34</v>
      </c>
      <c r="K921" s="226">
        <v>45643</v>
      </c>
      <c r="L921" s="259" t="s">
        <v>1671</v>
      </c>
      <c r="M921" s="222">
        <v>1164</v>
      </c>
      <c r="N921" s="2" t="str">
        <f t="shared" ca="1" si="29"/>
        <v>CLOSED</v>
      </c>
    </row>
    <row r="922" spans="1:14" ht="18.75">
      <c r="A922" s="64" t="s">
        <v>15</v>
      </c>
      <c r="B922" s="98" t="e">
        <f>VLOOKUP([2]!Table27[[#This Row],[Location 
(drop-down)]],'[2]List source'!D$2:E$59,2,FALSE)</f>
        <v>#N/A</v>
      </c>
      <c r="C922" s="179" t="s">
        <v>1327</v>
      </c>
      <c r="D922" s="223" t="e">
        <f t="shared" si="28"/>
        <v>#N/A</v>
      </c>
      <c r="E922" s="227" t="s">
        <v>3171</v>
      </c>
      <c r="F922" s="165" t="s">
        <v>1566</v>
      </c>
      <c r="G922" s="227" t="e">
        <f>MID(LEFT(#REF!, FIND(",",#REF!) - 1), FIND("{token}", SUBSTITUTE(#REF!, " ", "{token}", 2)) + 1, LEN(#REF!))</f>
        <v>#REF!</v>
      </c>
      <c r="H922" s="236" t="s">
        <v>3172</v>
      </c>
      <c r="I922" s="230">
        <v>45427</v>
      </c>
      <c r="J922" s="230" t="s">
        <v>21</v>
      </c>
      <c r="K922" s="226">
        <v>45644</v>
      </c>
      <c r="L922" s="92"/>
      <c r="M922" s="222">
        <v>524</v>
      </c>
      <c r="N922" s="2" t="str">
        <f t="shared" ca="1" si="29"/>
        <v>CLOSED</v>
      </c>
    </row>
    <row r="923" spans="1:14" ht="30">
      <c r="A923" s="64" t="s">
        <v>1334</v>
      </c>
      <c r="B923" s="98" t="e">
        <f>VLOOKUP([2]!Table27[[#This Row],[Location 
(drop-down)]],'[2]List source'!D$2:E$59,2,FALSE)</f>
        <v>#N/A</v>
      </c>
      <c r="C923" s="179" t="s">
        <v>3173</v>
      </c>
      <c r="D923" s="212" t="e">
        <f t="shared" si="28"/>
        <v>#N/A</v>
      </c>
      <c r="E923" s="227" t="s">
        <v>3174</v>
      </c>
      <c r="F923" s="165" t="s">
        <v>1524</v>
      </c>
      <c r="G923" s="227" t="e">
        <f>MID(LEFT(#REF!, FIND(",",#REF!) - 1), FIND("{token}", SUBSTITUTE(#REF!, " ", "{token}", 2)) + 1, LEN(#REF!))</f>
        <v>#REF!</v>
      </c>
      <c r="H923" s="236" t="s">
        <v>3175</v>
      </c>
      <c r="I923" s="230">
        <v>45642</v>
      </c>
      <c r="J923" s="230" t="s">
        <v>34</v>
      </c>
      <c r="K923" s="226">
        <v>45644</v>
      </c>
      <c r="L923" s="92" t="s">
        <v>1505</v>
      </c>
      <c r="M923" s="222">
        <v>1124</v>
      </c>
      <c r="N923" s="2" t="str">
        <f t="shared" ca="1" si="29"/>
        <v>CLOSED</v>
      </c>
    </row>
    <row r="924" spans="1:14" ht="15">
      <c r="A924" s="64" t="s">
        <v>139</v>
      </c>
      <c r="B924" s="98" t="e">
        <f>VLOOKUP([2]!Table27[[#This Row],[Location 
(drop-down)]],'[2]List source'!D$2:E$59,2,FALSE)</f>
        <v>#N/A</v>
      </c>
      <c r="C924" s="179" t="s">
        <v>3176</v>
      </c>
      <c r="D924" s="212" t="e">
        <f t="shared" si="28"/>
        <v>#N/A</v>
      </c>
      <c r="E924" s="227" t="s">
        <v>3177</v>
      </c>
      <c r="F924" s="165" t="s">
        <v>1769</v>
      </c>
      <c r="G924" s="227" t="e">
        <f>MID(LEFT(#REF!, FIND(",",#REF!) - 1), FIND("{token}", SUBSTITUTE(#REF!, " ", "{token}", 2)) + 1, LEN(#REF!))</f>
        <v>#REF!</v>
      </c>
      <c r="H924" s="165">
        <v>11.34</v>
      </c>
      <c r="I924" s="230">
        <v>45642</v>
      </c>
      <c r="J924" s="230" t="s">
        <v>2934</v>
      </c>
      <c r="K924" s="226">
        <v>45644</v>
      </c>
      <c r="L924" s="92" t="s">
        <v>1505</v>
      </c>
      <c r="M924" s="222">
        <v>1133</v>
      </c>
      <c r="N924" s="2" t="str">
        <f t="shared" ca="1" si="29"/>
        <v>CLOSED</v>
      </c>
    </row>
    <row r="925" spans="1:14" ht="15">
      <c r="A925" s="64" t="s">
        <v>1253</v>
      </c>
      <c r="B925" s="98" t="e">
        <f>VLOOKUP([2]!Table27[[#This Row],[Location 
(drop-down)]],'[2]List source'!D$2:E$59,2,FALSE)</f>
        <v>#N/A</v>
      </c>
      <c r="C925" s="179" t="s">
        <v>3178</v>
      </c>
      <c r="D925" s="212" t="e">
        <f t="shared" si="28"/>
        <v>#N/A</v>
      </c>
      <c r="E925" s="227" t="s">
        <v>3179</v>
      </c>
      <c r="F925" s="165" t="s">
        <v>1520</v>
      </c>
      <c r="G925" s="227" t="e">
        <f>MID(LEFT(#REF!, FIND(",",#REF!) - 1), FIND("{token}", SUBSTITUTE(#REF!, " ", "{token}", 2)) + 1, LEN(#REF!))</f>
        <v>#REF!</v>
      </c>
      <c r="H925" s="236" t="s">
        <v>3180</v>
      </c>
      <c r="I925" s="230">
        <v>45644</v>
      </c>
      <c r="J925" s="230" t="s">
        <v>34</v>
      </c>
      <c r="K925" s="226">
        <v>45644</v>
      </c>
      <c r="L925" s="165" t="s">
        <v>1505</v>
      </c>
      <c r="M925" s="222">
        <v>1166</v>
      </c>
      <c r="N925" s="2" t="str">
        <f t="shared" ca="1" si="29"/>
        <v>CLOSED</v>
      </c>
    </row>
    <row r="926" spans="1:14" ht="15">
      <c r="A926" s="64" t="s">
        <v>314</v>
      </c>
      <c r="B926" s="98" t="e">
        <f>VLOOKUP([2]!Table27[[#This Row],[Location 
(drop-down)]],'[2]List source'!D$2:E$59,2,FALSE)</f>
        <v>#N/A</v>
      </c>
      <c r="C926" s="179" t="s">
        <v>3181</v>
      </c>
      <c r="D926" s="212" t="e">
        <f t="shared" si="28"/>
        <v>#N/A</v>
      </c>
      <c r="E926" s="227" t="s">
        <v>3182</v>
      </c>
      <c r="F926" s="165" t="s">
        <v>1520</v>
      </c>
      <c r="G926" s="227" t="e">
        <f>MID(LEFT(#REF!, FIND(",",#REF!) - 1), FIND("{token}", SUBSTITUTE(#REF!, " ", "{token}", 2)) + 1, LEN(#REF!))</f>
        <v>#REF!</v>
      </c>
      <c r="H926" s="165">
        <v>2.36</v>
      </c>
      <c r="I926" s="230">
        <v>45644</v>
      </c>
      <c r="J926" s="230" t="s">
        <v>34</v>
      </c>
      <c r="K926" s="226">
        <v>45644</v>
      </c>
      <c r="L926" s="259" t="s">
        <v>1671</v>
      </c>
      <c r="M926" s="222">
        <v>1167</v>
      </c>
      <c r="N926" s="2" t="str">
        <f t="shared" ca="1" si="29"/>
        <v>CLOSED</v>
      </c>
    </row>
    <row r="927" spans="1:14" ht="30">
      <c r="A927" s="64" t="s">
        <v>294</v>
      </c>
      <c r="B927" s="98" t="e">
        <f>VLOOKUP([2]!Table27[[#This Row],[Location 
(drop-down)]],'[2]List source'!D$2:E$59,2,FALSE)</f>
        <v>#N/A</v>
      </c>
      <c r="C927" s="179" t="s">
        <v>3183</v>
      </c>
      <c r="D927" s="212" t="e">
        <f t="shared" si="28"/>
        <v>#N/A</v>
      </c>
      <c r="E927" s="227" t="s">
        <v>3184</v>
      </c>
      <c r="F927" s="165" t="s">
        <v>1520</v>
      </c>
      <c r="G927" s="227" t="e">
        <f>MID(LEFT(#REF!, FIND(",",#REF!) - 1), FIND("{token}", SUBSTITUTE(#REF!, " ", "{token}", 2)) + 1, LEN(#REF!))</f>
        <v>#REF!</v>
      </c>
      <c r="H927" s="165">
        <v>31.16</v>
      </c>
      <c r="I927" s="230">
        <v>45644</v>
      </c>
      <c r="J927" s="230" t="s">
        <v>34</v>
      </c>
      <c r="K927" s="226">
        <v>45644</v>
      </c>
      <c r="L927" s="165" t="s">
        <v>1505</v>
      </c>
      <c r="M927" s="222">
        <v>1170</v>
      </c>
      <c r="N927" s="2" t="str">
        <f t="shared" ca="1" si="29"/>
        <v>CLOSED</v>
      </c>
    </row>
    <row r="928" spans="1:14" ht="30">
      <c r="A928" s="64" t="s">
        <v>114</v>
      </c>
      <c r="B928" s="98" t="e">
        <f>VLOOKUP([2]!Table27[[#This Row],[Location 
(drop-down)]],'[2]List source'!D$2:E$59,2,FALSE)</f>
        <v>#N/A</v>
      </c>
      <c r="C928" s="179" t="s">
        <v>3185</v>
      </c>
      <c r="D928" s="212" t="e">
        <f t="shared" si="28"/>
        <v>#N/A</v>
      </c>
      <c r="E928" s="176" t="s">
        <v>3186</v>
      </c>
      <c r="F928" s="165" t="s">
        <v>1520</v>
      </c>
      <c r="G928" s="227" t="e">
        <f>MID(LEFT(#REF!, FIND(",",#REF!) - 1), FIND("{token}", SUBSTITUTE(#REF!, " ", "{token}", 2)) + 1, LEN(#REF!))</f>
        <v>#REF!</v>
      </c>
      <c r="H928" s="165">
        <v>71971.48</v>
      </c>
      <c r="I928" s="230">
        <v>45644</v>
      </c>
      <c r="J928" s="230" t="s">
        <v>34</v>
      </c>
      <c r="K928" s="226">
        <v>45644</v>
      </c>
      <c r="L928" s="165" t="s">
        <v>1505</v>
      </c>
      <c r="M928" s="222">
        <v>1173</v>
      </c>
      <c r="N928" s="2" t="str">
        <f t="shared" ca="1" si="29"/>
        <v>CLOSED</v>
      </c>
    </row>
    <row r="929" spans="1:14" ht="30">
      <c r="A929" s="64" t="s">
        <v>30</v>
      </c>
      <c r="B929" s="98" t="e">
        <f>VLOOKUP([2]!Table27[[#This Row],[Location 
(drop-down)]],'[2]List source'!D$2:E$59,2,FALSE)</f>
        <v>#N/A</v>
      </c>
      <c r="C929" s="179" t="s">
        <v>3187</v>
      </c>
      <c r="D929" s="212" t="e">
        <f t="shared" si="28"/>
        <v>#N/A</v>
      </c>
      <c r="E929" s="227" t="s">
        <v>3188</v>
      </c>
      <c r="F929" s="165" t="s">
        <v>2269</v>
      </c>
      <c r="G929" s="227" t="e">
        <f>MID(LEFT(#REF!, FIND(",",#REF!) - 1), FIND("{token}", SUBSTITUTE(#REF!, " ", "{token}", 2)) + 1, LEN(#REF!))</f>
        <v>#REF!</v>
      </c>
      <c r="H929" s="236" t="s">
        <v>1683</v>
      </c>
      <c r="I929" s="230">
        <v>45644</v>
      </c>
      <c r="J929" s="230" t="s">
        <v>34</v>
      </c>
      <c r="K929" s="226">
        <v>45644</v>
      </c>
      <c r="L929" s="259" t="s">
        <v>1671</v>
      </c>
      <c r="M929" s="222">
        <v>1174</v>
      </c>
      <c r="N929" s="2" t="str">
        <f t="shared" ca="1" si="29"/>
        <v>CLOSED</v>
      </c>
    </row>
    <row r="930" spans="1:14" ht="30">
      <c r="A930" s="64" t="s">
        <v>30</v>
      </c>
      <c r="B930" s="98" t="e">
        <f>VLOOKUP([2]!Table27[[#This Row],[Location 
(drop-down)]],'[2]List source'!D$2:E$59,2,FALSE)</f>
        <v>#N/A</v>
      </c>
      <c r="C930" s="179" t="s">
        <v>3189</v>
      </c>
      <c r="D930" s="212" t="e">
        <f t="shared" si="28"/>
        <v>#N/A</v>
      </c>
      <c r="E930" s="227" t="s">
        <v>3190</v>
      </c>
      <c r="F930" s="165" t="s">
        <v>2269</v>
      </c>
      <c r="G930" s="227" t="e">
        <f>MID(LEFT(#REF!, FIND(",",#REF!) - 1), FIND("{token}", SUBSTITUTE(#REF!, " ", "{token}", 2)) + 1, LEN(#REF!))</f>
        <v>#REF!</v>
      </c>
      <c r="H930" s="236" t="s">
        <v>2308</v>
      </c>
      <c r="I930" s="230">
        <v>45644</v>
      </c>
      <c r="J930" s="230" t="s">
        <v>34</v>
      </c>
      <c r="K930" s="226">
        <v>45644</v>
      </c>
      <c r="L930" s="259" t="s">
        <v>1671</v>
      </c>
      <c r="M930" s="222">
        <v>1175</v>
      </c>
      <c r="N930" s="2" t="str">
        <f t="shared" ca="1" si="29"/>
        <v>CLOSED</v>
      </c>
    </row>
    <row r="931" spans="1:14" ht="30">
      <c r="A931" s="64" t="s">
        <v>30</v>
      </c>
      <c r="B931" s="98" t="e">
        <f>VLOOKUP([2]!Table27[[#This Row],[Location 
(drop-down)]],'[2]List source'!D$2:E$59,2,FALSE)</f>
        <v>#N/A</v>
      </c>
      <c r="C931" s="179" t="s">
        <v>3191</v>
      </c>
      <c r="D931" s="223" t="e">
        <f t="shared" si="28"/>
        <v>#N/A</v>
      </c>
      <c r="E931" s="227" t="s">
        <v>3192</v>
      </c>
      <c r="F931" s="165" t="e" cm="1">
        <f t="array" aca="1" ref="F931" ca="1">MID(LEFT(#REF!, INDEX(_xlfn._xlws.FILTER(ROW(INDIRECT("1:" &amp; LEN(#REF!))), (48 &lt;= CODE(MID(#REF!, ROW(INDIRECT("1:" &amp; LEN(#REF!))), 1))) * (CODE(MID(#REF!, ROW(INDIRECT("1:" &amp; LEN(#REF!))), 1)) &lt;= 57)), 1) - 1), FIND(":",#REF!) + 2, LEN(#REF!))</f>
        <v>#REF!</v>
      </c>
      <c r="G931" s="227" t="e">
        <f>MID(LEFT(#REF!, FIND(",",#REF!) - 1), FIND("{token}", SUBSTITUTE(#REF!, " ", "{token}", 2)) + 1, LEN(#REF!))</f>
        <v>#REF!</v>
      </c>
      <c r="H931" s="165">
        <v>3.45</v>
      </c>
      <c r="I931" s="230">
        <v>45533</v>
      </c>
      <c r="J931" s="230" t="s">
        <v>34</v>
      </c>
      <c r="K931" s="226">
        <v>45645</v>
      </c>
      <c r="L931" s="165" t="s">
        <v>1837</v>
      </c>
      <c r="M931" s="222">
        <v>816</v>
      </c>
      <c r="N931" s="2" t="str">
        <f t="shared" ca="1" si="29"/>
        <v>CLOSED</v>
      </c>
    </row>
    <row r="932" spans="1:14" ht="30">
      <c r="A932" s="64" t="s">
        <v>125</v>
      </c>
      <c r="B932" s="98" t="e">
        <f>VLOOKUP([2]!Table27[[#This Row],[Location 
(drop-down)]],'[2]List source'!D$2:E$59,2,FALSE)</f>
        <v>#N/A</v>
      </c>
      <c r="C932" s="179" t="s">
        <v>3193</v>
      </c>
      <c r="D932" s="309" t="e">
        <f t="shared" si="28"/>
        <v>#N/A</v>
      </c>
      <c r="E932" s="227" t="s">
        <v>3194</v>
      </c>
      <c r="F932" s="165" t="e" cm="1">
        <f t="array" aca="1" ref="F932" ca="1">MID(LEFT(#REF!, INDEX(_xlfn._xlws.FILTER(ROW(INDIRECT("1:" &amp; LEN(#REF!))), (48 &lt;= CODE(MID(#REF!, ROW(INDIRECT("1:" &amp; LEN(#REF!))), 1))) * (CODE(MID(#REF!, ROW(INDIRECT("1:" &amp; LEN(#REF!))), 1)) &lt;= 57)), 1) - 1), FIND(":",#REF!) + 2, LEN(#REF!))</f>
        <v>#REF!</v>
      </c>
      <c r="G932" s="227" t="e">
        <f>MID(LEFT(#REF!, FIND(",",#REF!) - 1), FIND("{token}", SUBSTITUTE(#REF!, " ", "{token}", 2)) + 1, LEN(#REF!))</f>
        <v>#REF!</v>
      </c>
      <c r="H932" s="236" t="s">
        <v>3195</v>
      </c>
      <c r="I932" s="230">
        <v>45541</v>
      </c>
      <c r="J932" s="337" t="s">
        <v>111</v>
      </c>
      <c r="K932" s="338">
        <v>45645</v>
      </c>
      <c r="L932" s="165"/>
      <c r="M932" s="222">
        <v>931</v>
      </c>
      <c r="N932" s="2" t="str">
        <f t="shared" ca="1" si="29"/>
        <v>CLOSED</v>
      </c>
    </row>
    <row r="933" spans="1:14" ht="30">
      <c r="A933" s="64" t="s">
        <v>125</v>
      </c>
      <c r="B933" s="98" t="e">
        <f>VLOOKUP([2]!Table27[[#This Row],[Location 
(drop-down)]],'[2]List source'!D$2:E$59,2,FALSE)</f>
        <v>#N/A</v>
      </c>
      <c r="C933" s="179" t="s">
        <v>3196</v>
      </c>
      <c r="D933" s="309" t="e">
        <f t="shared" si="28"/>
        <v>#N/A</v>
      </c>
      <c r="E933" s="227" t="s">
        <v>3197</v>
      </c>
      <c r="F933" s="165" t="e" cm="1">
        <f t="array" aca="1" ref="F933" ca="1">MID(LEFT(#REF!, INDEX(_xlfn._xlws.FILTER(ROW(INDIRECT("1:" &amp; LEN(#REF!))), (48 &lt;= CODE(MID(#REF!, ROW(INDIRECT("1:" &amp; LEN(#REF!))), 1))) * (CODE(MID(#REF!, ROW(INDIRECT("1:" &amp; LEN(#REF!))), 1)) &lt;= 57)), 1) - 1), FIND(":",#REF!) + 2, LEN(#REF!))</f>
        <v>#REF!</v>
      </c>
      <c r="G933" s="227" t="e">
        <f>MID(LEFT(#REF!, FIND(",",#REF!) - 1), FIND("{token}", SUBSTITUTE(#REF!, " ", "{token}", 2)) + 1, LEN(#REF!))</f>
        <v>#REF!</v>
      </c>
      <c r="H933" s="236" t="s">
        <v>3198</v>
      </c>
      <c r="I933" s="230">
        <v>45541</v>
      </c>
      <c r="J933" s="337" t="s">
        <v>111</v>
      </c>
      <c r="K933" s="338">
        <v>45645</v>
      </c>
      <c r="L933" s="165"/>
      <c r="M933" s="222">
        <v>934</v>
      </c>
      <c r="N933" s="2" t="str">
        <f t="shared" ca="1" si="29"/>
        <v>CLOSED</v>
      </c>
    </row>
    <row r="934" spans="1:14" ht="30">
      <c r="A934" s="64" t="s">
        <v>500</v>
      </c>
      <c r="B934" s="98" t="e">
        <f>VLOOKUP([2]!Table27[[#This Row],[Location 
(drop-down)]],'[2]List source'!D$2:E$59,2,FALSE)</f>
        <v>#N/A</v>
      </c>
      <c r="C934" s="179" t="s">
        <v>3199</v>
      </c>
      <c r="D934" s="309" t="e">
        <f t="shared" si="28"/>
        <v>#N/A</v>
      </c>
      <c r="E934" s="227" t="s">
        <v>3200</v>
      </c>
      <c r="F934" s="165" t="e" cm="1">
        <f t="array" aca="1" ref="F934" ca="1">MID(LEFT(#REF!, INDEX(_xlfn._xlws.FILTER(ROW(INDIRECT("1:" &amp; LEN(#REF!))), (48 &lt;= CODE(MID(#REF!, ROW(INDIRECT("1:" &amp; LEN(#REF!))), 1))) * (CODE(MID(#REF!, ROW(INDIRECT("1:" &amp; LEN(#REF!))), 1)) &lt;= 57)), 1) - 1), FIND(":",#REF!) + 2, LEN(#REF!))</f>
        <v>#REF!</v>
      </c>
      <c r="G934" s="227" t="e">
        <f>MID(LEFT(#REF!, FIND(",",#REF!) - 1), FIND("{token}", SUBSTITUTE(#REF!, " ", "{token}", 2)) + 1, LEN(#REF!))</f>
        <v>#REF!</v>
      </c>
      <c r="H934" s="165">
        <v>4.33</v>
      </c>
      <c r="I934" s="230">
        <v>45546</v>
      </c>
      <c r="J934" s="230" t="s">
        <v>310</v>
      </c>
      <c r="K934" s="226">
        <v>45645</v>
      </c>
      <c r="L934" s="165"/>
      <c r="M934" s="222">
        <v>981</v>
      </c>
      <c r="N934" s="2" t="str">
        <f t="shared" ca="1" si="29"/>
        <v>CLOSED</v>
      </c>
    </row>
    <row r="935" spans="1:14" ht="15">
      <c r="A935" s="64" t="s">
        <v>15</v>
      </c>
      <c r="B935" s="98" t="e">
        <f>VLOOKUP([2]!Table27[[#This Row],[Location 
(drop-down)]],'[2]List source'!D$2:E$59,2,FALSE)</f>
        <v>#N/A</v>
      </c>
      <c r="C935" s="179" t="s">
        <v>3201</v>
      </c>
      <c r="D935" s="212" t="e">
        <f t="shared" si="28"/>
        <v>#N/A</v>
      </c>
      <c r="E935" s="227" t="s">
        <v>3202</v>
      </c>
      <c r="F935" s="165" t="s">
        <v>3068</v>
      </c>
      <c r="G935" s="227" t="e">
        <f>MID(LEFT(#REF!, FIND(",",#REF!) - 1), FIND("{token}", SUBSTITUTE(#REF!, " ", "{token}", 2)) + 1, LEN(#REF!))</f>
        <v>#REF!</v>
      </c>
      <c r="H935" s="165">
        <v>2.09</v>
      </c>
      <c r="I935" s="230">
        <v>45593</v>
      </c>
      <c r="J935" s="230" t="s">
        <v>47</v>
      </c>
      <c r="K935" s="226">
        <v>45645</v>
      </c>
      <c r="L935" s="165"/>
      <c r="M935" s="222">
        <v>1036</v>
      </c>
      <c r="N935" s="2" t="str">
        <f t="shared" ca="1" si="29"/>
        <v>CLOSED</v>
      </c>
    </row>
    <row r="936" spans="1:14" ht="15">
      <c r="A936" s="64" t="s">
        <v>15</v>
      </c>
      <c r="B936" s="98" t="e">
        <f>VLOOKUP([2]!Table27[[#This Row],[Location 
(drop-down)]],'[2]List source'!D$2:E$59,2,FALSE)</f>
        <v>#N/A</v>
      </c>
      <c r="C936" s="179" t="s">
        <v>3203</v>
      </c>
      <c r="D936" s="212" t="e">
        <f t="shared" si="28"/>
        <v>#N/A</v>
      </c>
      <c r="E936" s="227" t="s">
        <v>3204</v>
      </c>
      <c r="F936" s="165" t="s">
        <v>3068</v>
      </c>
      <c r="G936" s="227" t="e">
        <f>MID(LEFT(#REF!, FIND(",",#REF!) - 1), FIND("{token}", SUBSTITUTE(#REF!, " ", "{token}", 2)) + 1, LEN(#REF!))</f>
        <v>#REF!</v>
      </c>
      <c r="H936" s="236" t="s">
        <v>2117</v>
      </c>
      <c r="I936" s="230">
        <v>45593</v>
      </c>
      <c r="J936" s="230" t="s">
        <v>47</v>
      </c>
      <c r="K936" s="226">
        <v>45645</v>
      </c>
      <c r="L936" s="165"/>
      <c r="M936" s="222">
        <v>1037</v>
      </c>
      <c r="N936" s="2" t="str">
        <f t="shared" ca="1" si="29"/>
        <v>CLOSED</v>
      </c>
    </row>
    <row r="937" spans="1:14" ht="30">
      <c r="A937" s="64" t="s">
        <v>114</v>
      </c>
      <c r="B937" s="98" t="e">
        <f>VLOOKUP([2]!Table27[[#This Row],[Location 
(drop-down)]],'[2]List source'!D$2:E$59,2,FALSE)</f>
        <v>#N/A</v>
      </c>
      <c r="C937" s="179" t="s">
        <v>3205</v>
      </c>
      <c r="D937" s="212" t="e">
        <f t="shared" si="28"/>
        <v>#N/A</v>
      </c>
      <c r="E937" s="227" t="s">
        <v>3206</v>
      </c>
      <c r="F937" s="165" t="s">
        <v>2279</v>
      </c>
      <c r="G937" s="227" t="e">
        <f>MID(LEFT(#REF!, FIND(",",#REF!) - 1), FIND("{token}", SUBSTITUTE(#REF!, " ", "{token}", 2)) + 1, LEN(#REF!))</f>
        <v>#REF!</v>
      </c>
      <c r="H937" s="236" t="s">
        <v>1806</v>
      </c>
      <c r="I937" s="230">
        <v>45645</v>
      </c>
      <c r="J937" s="230" t="s">
        <v>34</v>
      </c>
      <c r="K937" s="226">
        <v>45645</v>
      </c>
      <c r="L937" s="259" t="s">
        <v>1671</v>
      </c>
      <c r="M937" s="222">
        <v>1176</v>
      </c>
      <c r="N937" s="2" t="str">
        <f t="shared" ca="1" si="29"/>
        <v>CLOSED</v>
      </c>
    </row>
    <row r="938" spans="1:14" ht="15">
      <c r="A938" s="90" t="s">
        <v>15</v>
      </c>
      <c r="B938" s="98" t="e">
        <f>VLOOKUP([2]!Table27[[#This Row],[Location 
(drop-down)]],'[2]List source'!D$2:E$59,2,FALSE)</f>
        <v>#N/A</v>
      </c>
      <c r="C938" s="182" t="s">
        <v>3207</v>
      </c>
      <c r="D938" s="219" t="e">
        <f t="shared" si="28"/>
        <v>#N/A</v>
      </c>
      <c r="E938" s="227" t="s">
        <v>3208</v>
      </c>
      <c r="F938" s="165" t="s">
        <v>2279</v>
      </c>
      <c r="G938" s="227" t="e">
        <f>MID(LEFT(#REF!, FIND(",",#REF!) - 1), FIND("{token}", SUBSTITUTE(#REF!, " ", "{token}", 2)) + 1, LEN(#REF!))</f>
        <v>#REF!</v>
      </c>
      <c r="H938" s="165">
        <v>2.73</v>
      </c>
      <c r="I938" s="230">
        <v>45645</v>
      </c>
      <c r="J938" s="342" t="s">
        <v>34</v>
      </c>
      <c r="K938" s="221">
        <v>45645</v>
      </c>
      <c r="L938" s="259" t="s">
        <v>1671</v>
      </c>
      <c r="M938" s="222">
        <v>1177</v>
      </c>
      <c r="N938" s="2" t="str">
        <f t="shared" ca="1" si="29"/>
        <v>CLOSED</v>
      </c>
    </row>
    <row r="939" spans="1:14" ht="30">
      <c r="A939" s="64" t="s">
        <v>294</v>
      </c>
      <c r="B939" s="98" t="e">
        <f>VLOOKUP([2]!Table27[[#This Row],[Location 
(drop-down)]],'[2]List source'!D$2:E$59,2,FALSE)</f>
        <v>#N/A</v>
      </c>
      <c r="C939" s="179" t="s">
        <v>3209</v>
      </c>
      <c r="D939" s="212" t="e">
        <f t="shared" si="28"/>
        <v>#N/A</v>
      </c>
      <c r="E939" s="227" t="s">
        <v>3210</v>
      </c>
      <c r="F939" s="165" t="e" cm="1">
        <f t="array" aca="1" ref="F939" ca="1">MID(LEFT(#REF!, INDEX(_xlfn._xlws.FILTER(ROW(INDIRECT("1:" &amp; LEN(#REF!))), (48 &lt;= CODE(MID(#REF!, ROW(INDIRECT("1:" &amp; LEN(#REF!))), 1))) * (CODE(MID(#REF!, ROW(INDIRECT("1:" &amp; LEN(#REF!))), 1)) &lt;= 57)), 1) - 1), FIND(":",#REF!) + 2, LEN(#REF!))</f>
        <v>#REF!</v>
      </c>
      <c r="G939" s="227" t="e">
        <f>MID(LEFT(#REF!, FIND(",",#REF!) - 1), FIND("{token}", SUBSTITUTE(#REF!, " ", "{token}", 2)) + 1, LEN(#REF!))</f>
        <v>#REF!</v>
      </c>
      <c r="H939" s="165">
        <v>0.1</v>
      </c>
      <c r="I939" s="230">
        <v>45645</v>
      </c>
      <c r="J939" s="230" t="s">
        <v>34</v>
      </c>
      <c r="K939" s="226">
        <v>45645</v>
      </c>
      <c r="L939" s="259" t="s">
        <v>1671</v>
      </c>
      <c r="M939" s="222">
        <v>1178</v>
      </c>
      <c r="N939" s="2" t="str">
        <f t="shared" ca="1" si="29"/>
        <v>CLOSED</v>
      </c>
    </row>
    <row r="940" spans="1:14" ht="30">
      <c r="A940" s="64" t="s">
        <v>202</v>
      </c>
      <c r="B940" s="98" t="e">
        <f>VLOOKUP([2]!Table27[[#This Row],[Location 
(drop-down)]],'[2]List source'!D$2:E$59,2,FALSE)</f>
        <v>#N/A</v>
      </c>
      <c r="C940" s="179" t="s">
        <v>3211</v>
      </c>
      <c r="D940" s="212" t="e">
        <f t="shared" si="28"/>
        <v>#N/A</v>
      </c>
      <c r="E940" s="227" t="s">
        <v>3212</v>
      </c>
      <c r="F940" s="165" t="e" cm="1">
        <f t="array" aca="1" ref="F940" ca="1">MID(LEFT(#REF!, INDEX(_xlfn._xlws.FILTER(ROW(INDIRECT("1:" &amp; LEN(#REF!))), (48 &lt;= CODE(MID(#REF!, ROW(INDIRECT("1:" &amp; LEN(#REF!))), 1))) * (CODE(MID(#REF!, ROW(INDIRECT("1:" &amp; LEN(#REF!))), 1)) &lt;= 57)), 1) - 1), FIND(":",#REF!) + 2, LEN(#REF!))</f>
        <v>#REF!</v>
      </c>
      <c r="G940" s="227" t="e">
        <f>MID(LEFT(#REF!, FIND(",",#REF!) - 1), FIND("{token}", SUBSTITUTE(#REF!, " ", "{token}", 2)) + 1, LEN(#REF!))</f>
        <v>#REF!</v>
      </c>
      <c r="H940" s="165">
        <v>2.14</v>
      </c>
      <c r="I940" s="230">
        <v>45645</v>
      </c>
      <c r="J940" s="230" t="s">
        <v>34</v>
      </c>
      <c r="K940" s="226">
        <v>45645</v>
      </c>
      <c r="L940" s="259" t="s">
        <v>1671</v>
      </c>
      <c r="M940" s="222">
        <v>1184</v>
      </c>
      <c r="N940" s="2" t="str">
        <f t="shared" ca="1" si="29"/>
        <v>CLOSED</v>
      </c>
    </row>
    <row r="941" spans="1:14" ht="30">
      <c r="A941" s="64" t="s">
        <v>114</v>
      </c>
      <c r="B941" s="98" t="e">
        <f>VLOOKUP([2]!Table27[[#This Row],[Location 
(drop-down)]],'[2]List source'!D$2:E$59,2,FALSE)</f>
        <v>#N/A</v>
      </c>
      <c r="C941" s="179" t="s">
        <v>3213</v>
      </c>
      <c r="D941" s="212" t="e">
        <f t="shared" si="28"/>
        <v>#N/A</v>
      </c>
      <c r="E941" s="227" t="s">
        <v>3214</v>
      </c>
      <c r="F941" s="165" t="s">
        <v>2160</v>
      </c>
      <c r="G941" s="227" t="e">
        <f>MID(LEFT(#REF!, FIND(",",#REF!) - 1), FIND("{token}", SUBSTITUTE(#REF!, " ", "{token}", 2)) + 1, LEN(#REF!))</f>
        <v>#REF!</v>
      </c>
      <c r="H941" s="236" t="s">
        <v>3215</v>
      </c>
      <c r="I941" s="230">
        <v>45645</v>
      </c>
      <c r="J941" s="230" t="s">
        <v>34</v>
      </c>
      <c r="K941" s="226">
        <v>45645</v>
      </c>
      <c r="L941" s="165" t="s">
        <v>3216</v>
      </c>
      <c r="M941" s="222">
        <v>1186</v>
      </c>
      <c r="N941" s="2" t="str">
        <f t="shared" ca="1" si="29"/>
        <v>CLOSED</v>
      </c>
    </row>
    <row r="942" spans="1:14" ht="30">
      <c r="A942" s="64" t="s">
        <v>30</v>
      </c>
      <c r="B942" s="98" t="e">
        <f>VLOOKUP([2]!Table27[[#This Row],[Location 
(drop-down)]],'[2]List source'!D$2:E$59,2,FALSE)</f>
        <v>#N/A</v>
      </c>
      <c r="C942" s="179" t="s">
        <v>3217</v>
      </c>
      <c r="D942" s="223" t="e">
        <f t="shared" si="28"/>
        <v>#N/A</v>
      </c>
      <c r="E942" s="227" t="s">
        <v>3218</v>
      </c>
      <c r="F942" s="165" t="e" cm="1">
        <f t="array" aca="1" ref="F942" ca="1">MID(LEFT(#REF!, INDEX(_xlfn._xlws.FILTER(ROW(INDIRECT("1:" &amp; LEN(#REF!))), (48 &lt;= CODE(MID(#REF!, ROW(INDIRECT("1:" &amp; LEN(#REF!))), 1))) * (CODE(MID(#REF!, ROW(INDIRECT("1:" &amp; LEN(#REF!))), 1)) &lt;= 57)), 1) - 1), FIND(":",#REF!) + 2, LEN(#REF!))</f>
        <v>#REF!</v>
      </c>
      <c r="G942" s="227" t="e">
        <f>MID(LEFT(#REF!, FIND(",",#REF!) - 1), FIND("{token}", SUBSTITUTE(#REF!, " ", "{token}", 2)) + 1, LEN(#REF!))</f>
        <v>#REF!</v>
      </c>
      <c r="H942" s="165">
        <v>3.27</v>
      </c>
      <c r="I942" s="230">
        <v>45533</v>
      </c>
      <c r="J942" s="230" t="s">
        <v>111</v>
      </c>
      <c r="K942" s="226">
        <v>45646</v>
      </c>
      <c r="L942" s="165"/>
      <c r="M942" s="222">
        <v>817</v>
      </c>
      <c r="N942" s="2" t="str">
        <f t="shared" ca="1" si="29"/>
        <v>CLOSED</v>
      </c>
    </row>
    <row r="943" spans="1:14" ht="30">
      <c r="A943" s="64" t="s">
        <v>30</v>
      </c>
      <c r="B943" s="98" t="e">
        <f>VLOOKUP([2]!Table27[[#This Row],[Location 
(drop-down)]],'[2]List source'!D$2:E$59,2,FALSE)</f>
        <v>#N/A</v>
      </c>
      <c r="C943" s="179" t="s">
        <v>3219</v>
      </c>
      <c r="D943" s="223" t="e">
        <f t="shared" si="28"/>
        <v>#N/A</v>
      </c>
      <c r="E943" s="227" t="s">
        <v>3220</v>
      </c>
      <c r="F943" s="165" t="e" cm="1">
        <f t="array" aca="1" ref="F943" ca="1">MID(LEFT(#REF!, INDEX(_xlfn._xlws.FILTER(ROW(INDIRECT("1:" &amp; LEN(#REF!))), (48 &lt;= CODE(MID(#REF!, ROW(INDIRECT("1:" &amp; LEN(#REF!))), 1))) * (CODE(MID(#REF!, ROW(INDIRECT("1:" &amp; LEN(#REF!))), 1)) &lt;= 57)), 1) - 1), FIND(":",#REF!) + 2, LEN(#REF!))</f>
        <v>#REF!</v>
      </c>
      <c r="G943" s="227" t="e">
        <f>MID(LEFT(#REF!, FIND(",",#REF!) - 1), FIND("{token}", SUBSTITUTE(#REF!, " ", "{token}", 2)) + 1, LEN(#REF!))</f>
        <v>#REF!</v>
      </c>
      <c r="H943" s="165">
        <v>2.2000000000000002</v>
      </c>
      <c r="I943" s="230">
        <v>45533</v>
      </c>
      <c r="J943" s="234" t="s">
        <v>111</v>
      </c>
      <c r="K943" s="372">
        <v>45646</v>
      </c>
      <c r="L943" s="165"/>
      <c r="M943" s="222">
        <v>819</v>
      </c>
      <c r="N943" s="2" t="str">
        <f t="shared" ca="1" si="29"/>
        <v>CLOSED</v>
      </c>
    </row>
    <row r="944" spans="1:14" ht="30">
      <c r="A944" s="64" t="s">
        <v>39</v>
      </c>
      <c r="B944" s="98" t="e">
        <f>VLOOKUP([2]!Table27[[#This Row],[Location 
(drop-down)]],'[2]List source'!D$2:E$59,2,FALSE)</f>
        <v>#N/A</v>
      </c>
      <c r="C944" s="179" t="s">
        <v>3221</v>
      </c>
      <c r="D944" s="212" t="e">
        <f t="shared" si="28"/>
        <v>#N/A</v>
      </c>
      <c r="E944" s="227" t="s">
        <v>3222</v>
      </c>
      <c r="F944" s="165" t="e" cm="1">
        <f t="array" aca="1" ref="F944" ca="1">MID(LEFT(#REF!, INDEX(_xlfn._xlws.FILTER(ROW(INDIRECT("1:" &amp; LEN(#REF!))), (48 &lt;= CODE(MID(#REF!, ROW(INDIRECT("1:" &amp; LEN(#REF!))), 1))) * (CODE(MID(#REF!, ROW(INDIRECT("1:" &amp; LEN(#REF!))), 1)) &lt;= 57)), 1) - 1), FIND(":",#REF!) + 2, LEN(#REF!))</f>
        <v>#REF!</v>
      </c>
      <c r="G944" s="227" t="e">
        <f>MID(LEFT(#REF!, FIND(",",#REF!) - 1), FIND("{token}", SUBSTITUTE(#REF!, " ", "{token}", 2)) + 1, LEN(#REF!))</f>
        <v>#REF!</v>
      </c>
      <c r="H944" s="165">
        <v>44.1</v>
      </c>
      <c r="I944" s="230">
        <v>45646</v>
      </c>
      <c r="J944" s="230" t="s">
        <v>34</v>
      </c>
      <c r="K944" s="226">
        <v>45646</v>
      </c>
      <c r="L944" s="165" t="s">
        <v>1505</v>
      </c>
      <c r="M944" s="222">
        <v>1190</v>
      </c>
      <c r="N944" s="2" t="str">
        <f t="shared" ca="1" si="29"/>
        <v>CLOSED</v>
      </c>
    </row>
    <row r="945" spans="1:14" ht="30">
      <c r="A945" s="64" t="s">
        <v>39</v>
      </c>
      <c r="B945" s="98" t="e">
        <f>VLOOKUP([2]!Table27[[#This Row],[Location 
(drop-down)]],'[2]List source'!D$2:E$59,2,FALSE)</f>
        <v>#N/A</v>
      </c>
      <c r="C945" s="179" t="s">
        <v>3223</v>
      </c>
      <c r="D945" s="212" t="e">
        <f t="shared" si="28"/>
        <v>#N/A</v>
      </c>
      <c r="E945" s="227" t="s">
        <v>3224</v>
      </c>
      <c r="F945" s="165" t="e" cm="1">
        <f t="array" aca="1" ref="F945" ca="1">MID(LEFT(#REF!, INDEX(_xlfn._xlws.FILTER(ROW(INDIRECT("1:" &amp; LEN(#REF!))), (48 &lt;= CODE(MID(#REF!, ROW(INDIRECT("1:" &amp; LEN(#REF!))), 1))) * (CODE(MID(#REF!, ROW(INDIRECT("1:" &amp; LEN(#REF!))), 1)) &lt;= 57)), 1) - 1), FIND(":",#REF!) + 2, LEN(#REF!))</f>
        <v>#REF!</v>
      </c>
      <c r="G945" s="227" t="e">
        <f>MID(LEFT(#REF!, FIND(",",#REF!) - 1), FIND("{token}", SUBSTITUTE(#REF!, " ", "{token}", 2)) + 1, LEN(#REF!))</f>
        <v>#REF!</v>
      </c>
      <c r="H945" s="236" t="s">
        <v>3225</v>
      </c>
      <c r="I945" s="230">
        <v>45646</v>
      </c>
      <c r="J945" s="230" t="s">
        <v>34</v>
      </c>
      <c r="K945" s="226">
        <v>45646</v>
      </c>
      <c r="L945" s="165" t="s">
        <v>1505</v>
      </c>
      <c r="M945" s="222">
        <v>1192</v>
      </c>
      <c r="N945" s="2" t="str">
        <f t="shared" ca="1" si="29"/>
        <v>CLOSED</v>
      </c>
    </row>
    <row r="946" spans="1:14" ht="30">
      <c r="A946" s="64" t="s">
        <v>294</v>
      </c>
      <c r="B946" s="98" t="e">
        <f>VLOOKUP([2]!Table27[[#This Row],[Location 
(drop-down)]],'[2]List source'!D$2:E$59,2,FALSE)</f>
        <v>#N/A</v>
      </c>
      <c r="C946" s="179" t="s">
        <v>3226</v>
      </c>
      <c r="D946" s="212" t="e">
        <f t="shared" si="28"/>
        <v>#N/A</v>
      </c>
      <c r="E946" s="227" t="s">
        <v>3227</v>
      </c>
      <c r="F946" s="165" t="e" cm="1">
        <f t="array" aca="1" ref="F946" ca="1">MID(LEFT(#REF!, INDEX(_xlfn._xlws.FILTER(ROW(INDIRECT("1:" &amp; LEN(#REF!))), (48 &lt;= CODE(MID(#REF!, ROW(INDIRECT("1:" &amp; LEN(#REF!))), 1))) * (CODE(MID(#REF!, ROW(INDIRECT("1:" &amp; LEN(#REF!))), 1)) &lt;= 57)), 1) - 1), FIND(":",#REF!) + 2, LEN(#REF!))</f>
        <v>#REF!</v>
      </c>
      <c r="G946" s="227" t="e">
        <f>MID(LEFT(#REF!, FIND(",",#REF!) - 1), FIND("{token}", SUBSTITUTE(#REF!, " ", "{token}", 2)) + 1, LEN(#REF!))</f>
        <v>#REF!</v>
      </c>
      <c r="H946" s="165">
        <v>4.6500000000000004</v>
      </c>
      <c r="I946" s="230">
        <v>45646</v>
      </c>
      <c r="J946" s="230" t="s">
        <v>34</v>
      </c>
      <c r="K946" s="226">
        <v>45646</v>
      </c>
      <c r="L946" s="165" t="s">
        <v>1505</v>
      </c>
      <c r="M946" s="222">
        <v>1193</v>
      </c>
      <c r="N946" s="2" t="str">
        <f t="shared" ca="1" si="29"/>
        <v>CLOSED</v>
      </c>
    </row>
    <row r="947" spans="1:14" ht="15">
      <c r="A947" s="64" t="s">
        <v>43</v>
      </c>
      <c r="B947" s="98" t="e">
        <f>VLOOKUP([2]!Table27[[#This Row],[Location 
(drop-down)]],'[2]List source'!D$2:E$59,2,FALSE)</f>
        <v>#N/A</v>
      </c>
      <c r="C947" s="179" t="s">
        <v>3228</v>
      </c>
      <c r="D947" s="212" t="e">
        <f t="shared" si="28"/>
        <v>#N/A</v>
      </c>
      <c r="E947" s="227" t="s">
        <v>3229</v>
      </c>
      <c r="F947" s="165" t="e" cm="1">
        <f t="array" aca="1" ref="F947" ca="1">MID(LEFT(#REF!, INDEX(_xlfn._xlws.FILTER(ROW(INDIRECT("1:" &amp; LEN(#REF!))), (48 &lt;= CODE(MID(#REF!, ROW(INDIRECT("1:" &amp; LEN(#REF!))), 1))) * (CODE(MID(#REF!, ROW(INDIRECT("1:" &amp; LEN(#REF!))), 1)) &lt;= 57)), 1) - 1), FIND(":",#REF!) + 2, LEN(#REF!))</f>
        <v>#REF!</v>
      </c>
      <c r="G947" s="227" t="e">
        <f>MID(LEFT(#REF!, FIND(",",#REF!) - 1), FIND("{token}", SUBSTITUTE(#REF!, " ", "{token}", 2)) + 1, LEN(#REF!))</f>
        <v>#REF!</v>
      </c>
      <c r="H947" s="236" t="s">
        <v>3230</v>
      </c>
      <c r="I947" s="230">
        <v>45646</v>
      </c>
      <c r="J947" s="230" t="s">
        <v>34</v>
      </c>
      <c r="K947" s="226">
        <v>45646</v>
      </c>
      <c r="L947" s="165" t="s">
        <v>1505</v>
      </c>
      <c r="M947" s="222">
        <v>1194</v>
      </c>
      <c r="N947" s="2" t="str">
        <f t="shared" ca="1" si="29"/>
        <v>CLOSED</v>
      </c>
    </row>
    <row r="948" spans="1:14" ht="15">
      <c r="A948" s="64" t="s">
        <v>43</v>
      </c>
      <c r="B948" s="98" t="e">
        <f>VLOOKUP([2]!Table27[[#This Row],[Location 
(drop-down)]],'[2]List source'!D$2:E$59,2,FALSE)</f>
        <v>#N/A</v>
      </c>
      <c r="C948" s="179" t="s">
        <v>3231</v>
      </c>
      <c r="D948" s="212" t="e">
        <f t="shared" si="28"/>
        <v>#N/A</v>
      </c>
      <c r="E948" s="227" t="s">
        <v>3232</v>
      </c>
      <c r="F948" s="165" t="e" cm="1">
        <f t="array" aca="1" ref="F948" ca="1">MID(LEFT(#REF!, INDEX(_xlfn._xlws.FILTER(ROW(INDIRECT("1:" &amp; LEN(#REF!))), (48 &lt;= CODE(MID(#REF!, ROW(INDIRECT("1:" &amp; LEN(#REF!))), 1))) * (CODE(MID(#REF!, ROW(INDIRECT("1:" &amp; LEN(#REF!))), 1)) &lt;= 57)), 1) - 1), FIND(":",#REF!) + 2, LEN(#REF!))</f>
        <v>#REF!</v>
      </c>
      <c r="G948" s="227" t="e">
        <f>MID(LEFT(#REF!, FIND(",",#REF!) - 1), FIND("{token}", SUBSTITUTE(#REF!, " ", "{token}", 2)) + 1, LEN(#REF!))</f>
        <v>#REF!</v>
      </c>
      <c r="H948" s="165" t="s">
        <v>3233</v>
      </c>
      <c r="I948" s="230">
        <v>45646</v>
      </c>
      <c r="J948" s="230" t="s">
        <v>34</v>
      </c>
      <c r="K948" s="226">
        <v>45646</v>
      </c>
      <c r="L948" s="165" t="s">
        <v>1505</v>
      </c>
      <c r="M948" s="222">
        <v>1197</v>
      </c>
      <c r="N948" s="2" t="str">
        <f t="shared" ca="1" si="29"/>
        <v>CLOSED</v>
      </c>
    </row>
    <row r="949" spans="1:14" ht="30">
      <c r="A949" s="64" t="s">
        <v>432</v>
      </c>
      <c r="B949" s="98" t="e">
        <f>VLOOKUP([2]!Table27[[#This Row],[Location 
(drop-down)]],'[2]List source'!D$2:E$59,2,FALSE)</f>
        <v>#N/A</v>
      </c>
      <c r="C949" s="179" t="s">
        <v>3234</v>
      </c>
      <c r="D949" s="212" t="e">
        <f t="shared" si="28"/>
        <v>#N/A</v>
      </c>
      <c r="E949" s="176" t="s">
        <v>3235</v>
      </c>
      <c r="F949" s="165" t="s">
        <v>1520</v>
      </c>
      <c r="G949" s="227" t="e">
        <f>MID(LEFT(#REF!, FIND(",",#REF!) - 1), FIND("{token}", SUBSTITUTE(#REF!, " ", "{token}", 2)) + 1, LEN(#REF!))</f>
        <v>#REF!</v>
      </c>
      <c r="H949" s="165" t="s">
        <v>1579</v>
      </c>
      <c r="I949" s="230">
        <v>45646</v>
      </c>
      <c r="J949" s="230" t="s">
        <v>34</v>
      </c>
      <c r="K949" s="226">
        <v>45646</v>
      </c>
      <c r="L949" s="165" t="s">
        <v>1505</v>
      </c>
      <c r="M949" s="222">
        <v>1199</v>
      </c>
      <c r="N949" s="2" t="str">
        <f t="shared" ca="1" si="29"/>
        <v>CLOSED</v>
      </c>
    </row>
    <row r="950" spans="1:14" ht="30">
      <c r="A950" s="64" t="s">
        <v>714</v>
      </c>
      <c r="B950" s="98" t="e">
        <f>VLOOKUP([2]!Table27[[#This Row],[Location 
(drop-down)]],'[2]List source'!D$2:E$59,2,FALSE)</f>
        <v>#N/A</v>
      </c>
      <c r="C950" s="179" t="s">
        <v>3236</v>
      </c>
      <c r="D950" s="212" t="e">
        <f t="shared" si="28"/>
        <v>#N/A</v>
      </c>
      <c r="E950" s="227" t="s">
        <v>3237</v>
      </c>
      <c r="F950" s="165" t="s">
        <v>1520</v>
      </c>
      <c r="G950" s="227" t="s">
        <v>3238</v>
      </c>
      <c r="H950" s="165">
        <v>2.4700000000000002</v>
      </c>
      <c r="I950" s="230">
        <v>45646</v>
      </c>
      <c r="J950" s="230" t="s">
        <v>34</v>
      </c>
      <c r="K950" s="226">
        <v>45646</v>
      </c>
      <c r="L950" s="259" t="s">
        <v>1671</v>
      </c>
      <c r="M950" s="222">
        <v>1206</v>
      </c>
      <c r="N950" s="2" t="str">
        <f t="shared" ca="1" si="29"/>
        <v>CLOSED</v>
      </c>
    </row>
    <row r="951" spans="1:14" ht="30">
      <c r="A951" s="64" t="s">
        <v>125</v>
      </c>
      <c r="B951" s="98" t="e">
        <f>VLOOKUP([2]!Table27[[#This Row],[Location 
(drop-down)]],'[2]List source'!D$2:E$59,2,FALSE)</f>
        <v>#N/A</v>
      </c>
      <c r="C951" s="179" t="s">
        <v>3239</v>
      </c>
      <c r="D951" s="212" t="e">
        <f t="shared" si="28"/>
        <v>#N/A</v>
      </c>
      <c r="E951" s="227" t="s">
        <v>3240</v>
      </c>
      <c r="F951" s="165" t="s">
        <v>1520</v>
      </c>
      <c r="G951" s="227" t="e">
        <f>MID(LEFT(#REF!, FIND(",",#REF!) - 1), FIND("{token}", SUBSTITUTE(#REF!, " ", "{token}", 2)) + 1, LEN(#REF!))</f>
        <v>#REF!</v>
      </c>
      <c r="H951" s="236" t="s">
        <v>2308</v>
      </c>
      <c r="I951" s="230">
        <v>45649</v>
      </c>
      <c r="J951" s="230" t="s">
        <v>34</v>
      </c>
      <c r="K951" s="226">
        <v>45646</v>
      </c>
      <c r="L951" s="259" t="s">
        <v>1671</v>
      </c>
      <c r="M951" s="222">
        <v>1207</v>
      </c>
      <c r="N951" s="2" t="str">
        <f t="shared" ca="1" si="29"/>
        <v>CLOSED</v>
      </c>
    </row>
    <row r="952" spans="1:14" ht="30">
      <c r="A952" s="85" t="s">
        <v>39</v>
      </c>
      <c r="B952" s="98" t="e">
        <f>VLOOKUP([2]!Table27[[#This Row],[Location 
(drop-down)]],'[2]List source'!D$2:E$59,2,FALSE)</f>
        <v>#N/A</v>
      </c>
      <c r="C952" s="183" t="s">
        <v>556</v>
      </c>
      <c r="D952" s="333" t="e">
        <f t="shared" si="28"/>
        <v>#N/A</v>
      </c>
      <c r="E952" s="334" t="s">
        <v>3241</v>
      </c>
      <c r="F952" s="335" t="e" cm="1">
        <f t="array" aca="1" ref="F952" ca="1">MID(LEFT(#REF!, INDEX(_xlfn._xlws.FILTER(ROW(INDIRECT("1:" &amp; LEN(#REF!))), (48 &lt;= CODE(MID(#REF!, ROW(INDIRECT("1:" &amp; LEN(#REF!))), 1))) * (CODE(MID(#REF!, ROW(INDIRECT("1:" &amp; LEN(#REF!))), 1)) &lt;= 57)), 1) - 1), FIND(":",#REF!) + 2, LEN(#REF!))</f>
        <v>#REF!</v>
      </c>
      <c r="G952" s="334" t="e">
        <f>MID(LEFT(#REF!, FIND(",",#REF!) - 1), FIND("{token}", SUBSTITUTE(#REF!, " ", "{token}", 2)) + 1, LEN(#REF!))</f>
        <v>#REF!</v>
      </c>
      <c r="H952" s="335" t="s">
        <v>3242</v>
      </c>
      <c r="I952" s="337">
        <v>45327</v>
      </c>
      <c r="J952" s="337" t="s">
        <v>239</v>
      </c>
      <c r="K952" s="338">
        <v>45649</v>
      </c>
      <c r="L952" s="165"/>
      <c r="M952" s="222">
        <v>110</v>
      </c>
      <c r="N952" s="2" t="str">
        <f t="shared" ca="1" si="29"/>
        <v>CLOSED</v>
      </c>
    </row>
    <row r="953" spans="1:14" ht="30">
      <c r="A953" s="86" t="s">
        <v>485</v>
      </c>
      <c r="B953" s="98" t="e">
        <f>VLOOKUP([2]!Table27[[#This Row],[Location 
(drop-down)]],'[2]List source'!D$2:E$59,2,FALSE)</f>
        <v>#N/A</v>
      </c>
      <c r="C953" s="180" t="s">
        <v>3243</v>
      </c>
      <c r="D953" s="373" t="e">
        <f t="shared" si="28"/>
        <v>#N/A</v>
      </c>
      <c r="E953" s="231" t="s">
        <v>3244</v>
      </c>
      <c r="F953" s="232" t="e" cm="1">
        <f t="array" aca="1" ref="F953" ca="1">MID(LEFT(#REF!, INDEX(_xlfn._xlws.FILTER(ROW(INDIRECT("1:" &amp; LEN(#REF!))), (48 &lt;= CODE(MID(#REF!, ROW(INDIRECT("1:" &amp; LEN(#REF!))), 1))) * (CODE(MID(#REF!, ROW(INDIRECT("1:" &amp; LEN(#REF!))), 1)) &lt;= 57)), 1) - 1), FIND(":",#REF!) + 2, LEN(#REF!))</f>
        <v>#REF!</v>
      </c>
      <c r="G953" s="231" t="e">
        <f>MID(LEFT(#REF!, FIND(",",#REF!) - 1), FIND("{token}", SUBSTITUTE(#REF!, " ", "{token}", 2)) + 1, LEN(#REF!))</f>
        <v>#REF!</v>
      </c>
      <c r="H953" s="232">
        <v>3.08</v>
      </c>
      <c r="I953" s="234">
        <v>45435</v>
      </c>
      <c r="J953" s="234" t="s">
        <v>239</v>
      </c>
      <c r="K953" s="372">
        <v>45649</v>
      </c>
      <c r="L953" s="165"/>
      <c r="M953" s="222">
        <v>601</v>
      </c>
      <c r="N953" s="2" t="str">
        <f t="shared" ca="1" si="29"/>
        <v>CLOSED</v>
      </c>
    </row>
    <row r="954" spans="1:14" ht="30">
      <c r="A954" s="86" t="s">
        <v>294</v>
      </c>
      <c r="B954" s="98" t="e">
        <f>VLOOKUP([2]!Table27[[#This Row],[Location 
(drop-down)]],'[2]List source'!D$2:E$59,2,FALSE)</f>
        <v>#N/A</v>
      </c>
      <c r="C954" s="180" t="s">
        <v>3245</v>
      </c>
      <c r="D954" s="373" t="e">
        <f t="shared" si="28"/>
        <v>#N/A</v>
      </c>
      <c r="E954" s="231" t="s">
        <v>3246</v>
      </c>
      <c r="F954" s="232" t="e" cm="1">
        <f t="array" aca="1" ref="F954" ca="1">MID(LEFT(#REF!, INDEX(_xlfn._xlws.FILTER(ROW(INDIRECT("1:" &amp; LEN(#REF!))), (48 &lt;= CODE(MID(#REF!, ROW(INDIRECT("1:" &amp; LEN(#REF!))), 1))) * (CODE(MID(#REF!, ROW(INDIRECT("1:" &amp; LEN(#REF!))), 1)) &lt;= 57)), 1) - 1), FIND(":",#REF!) + 2, LEN(#REF!))</f>
        <v>#REF!</v>
      </c>
      <c r="G954" s="231" t="e">
        <f>MID(LEFT(#REF!, FIND(",",#REF!) - 1), FIND("{token}", SUBSTITUTE(#REF!, " ", "{token}", 2)) + 1, LEN(#REF!))</f>
        <v>#REF!</v>
      </c>
      <c r="H954" s="232">
        <v>2.76</v>
      </c>
      <c r="I954" s="234">
        <v>45435</v>
      </c>
      <c r="J954" s="234" t="s">
        <v>239</v>
      </c>
      <c r="K954" s="372">
        <v>45649</v>
      </c>
      <c r="L954" s="165"/>
      <c r="M954" s="222">
        <v>643</v>
      </c>
      <c r="N954" s="2" t="str">
        <f t="shared" ca="1" si="29"/>
        <v>CLOSED</v>
      </c>
    </row>
    <row r="955" spans="1:14" ht="30">
      <c r="A955" s="86" t="s">
        <v>39</v>
      </c>
      <c r="B955" s="98" t="e">
        <f>VLOOKUP([2]!Table27[[#This Row],[Location 
(drop-down)]],'[2]List source'!D$2:E$59,2,FALSE)</f>
        <v>#N/A</v>
      </c>
      <c r="C955" s="180" t="s">
        <v>3247</v>
      </c>
      <c r="D955" s="373" t="e">
        <f t="shared" si="28"/>
        <v>#N/A</v>
      </c>
      <c r="E955" s="231" t="s">
        <v>3248</v>
      </c>
      <c r="F955" s="232" t="e" cm="1">
        <f t="array" aca="1" ref="F955" ca="1">MID(LEFT(#REF!, INDEX(_xlfn._xlws.FILTER(ROW(INDIRECT("1:" &amp; LEN(#REF!))), (48 &lt;= CODE(MID(#REF!, ROW(INDIRECT("1:" &amp; LEN(#REF!))), 1))) * (CODE(MID(#REF!, ROW(INDIRECT("1:" &amp; LEN(#REF!))), 1)) &lt;= 57)), 1) - 1), FIND(":",#REF!) + 2, LEN(#REF!))</f>
        <v>#REF!</v>
      </c>
      <c r="G955" s="231" t="e">
        <f>MID(LEFT(#REF!, FIND(",",#REF!) - 1), FIND("{token}", SUBSTITUTE(#REF!, " ", "{token}", 2)) + 1, LEN(#REF!))</f>
        <v>#REF!</v>
      </c>
      <c r="H955" s="232" t="s">
        <v>3249</v>
      </c>
      <c r="I955" s="234">
        <v>45533</v>
      </c>
      <c r="J955" s="234" t="s">
        <v>239</v>
      </c>
      <c r="K955" s="372">
        <v>45649</v>
      </c>
      <c r="L955" s="165"/>
      <c r="M955" s="222">
        <v>807</v>
      </c>
      <c r="N955" s="2" t="str">
        <f t="shared" ca="1" si="29"/>
        <v>CLOSED</v>
      </c>
    </row>
    <row r="956" spans="1:14" ht="30">
      <c r="A956" s="86" t="s">
        <v>294</v>
      </c>
      <c r="B956" s="98" t="e">
        <f>VLOOKUP([2]!Table27[[#This Row],[Location 
(drop-down)]],'[2]List source'!D$2:E$59,2,FALSE)</f>
        <v>#N/A</v>
      </c>
      <c r="C956" s="180" t="s">
        <v>3250</v>
      </c>
      <c r="D956" s="374" t="e">
        <f t="shared" si="28"/>
        <v>#N/A</v>
      </c>
      <c r="E956" s="231" t="s">
        <v>3251</v>
      </c>
      <c r="F956" s="232" t="e" cm="1">
        <f t="array" aca="1" ref="F956" ca="1">MID(LEFT(#REF!, INDEX(_xlfn._xlws.FILTER(ROW(INDIRECT("1:" &amp; LEN(#REF!))), (48 &lt;= CODE(MID(#REF!, ROW(INDIRECT("1:" &amp; LEN(#REF!))), 1))) * (CODE(MID(#REF!, ROW(INDIRECT("1:" &amp; LEN(#REF!))), 1)) &lt;= 57)), 1) - 1), FIND(":",#REF!) + 2, LEN(#REF!))</f>
        <v>#REF!</v>
      </c>
      <c r="G956" s="231" t="e">
        <f>MID(LEFT(#REF!, FIND(",",#REF!) - 1), FIND("{token}", SUBSTITUTE(#REF!, " ", "{token}", 2)) + 1, LEN(#REF!))</f>
        <v>#REF!</v>
      </c>
      <c r="H956" s="233" t="s">
        <v>3252</v>
      </c>
      <c r="I956" s="234">
        <v>45534</v>
      </c>
      <c r="J956" s="234" t="s">
        <v>239</v>
      </c>
      <c r="K956" s="372">
        <v>45649</v>
      </c>
      <c r="L956" s="165"/>
      <c r="M956" s="222">
        <v>878</v>
      </c>
      <c r="N956" s="2" t="str">
        <f t="shared" ca="1" si="29"/>
        <v>CLOSED</v>
      </c>
    </row>
    <row r="957" spans="1:14" ht="30">
      <c r="A957" s="86" t="s">
        <v>294</v>
      </c>
      <c r="B957" s="98" t="e">
        <f>VLOOKUP([2]!Table27[[#This Row],[Location 
(drop-down)]],'[2]List source'!D$2:E$59,2,FALSE)</f>
        <v>#N/A</v>
      </c>
      <c r="C957" s="180" t="s">
        <v>3253</v>
      </c>
      <c r="D957" s="375" t="e">
        <f t="shared" si="28"/>
        <v>#N/A</v>
      </c>
      <c r="E957" s="231" t="s">
        <v>3254</v>
      </c>
      <c r="F957" s="232" t="s">
        <v>1520</v>
      </c>
      <c r="G957" s="231" t="e">
        <f>MID(LEFT(#REF!, FIND(",",#REF!) - 1), FIND("{token}", SUBSTITUTE(#REF!, " ", "{token}", 2)) + 1, LEN(#REF!))</f>
        <v>#REF!</v>
      </c>
      <c r="H957" s="232">
        <v>2.16</v>
      </c>
      <c r="I957" s="234">
        <v>45582</v>
      </c>
      <c r="J957" s="234" t="s">
        <v>239</v>
      </c>
      <c r="K957" s="372">
        <v>45649</v>
      </c>
      <c r="L957" s="165"/>
      <c r="M957" s="222">
        <v>1009</v>
      </c>
      <c r="N957" s="2" t="str">
        <f t="shared" ca="1" si="29"/>
        <v>CLOSED</v>
      </c>
    </row>
    <row r="958" spans="1:14" ht="30">
      <c r="A958" s="85" t="s">
        <v>80</v>
      </c>
      <c r="B958" s="98" t="e">
        <f>VLOOKUP([2]!Table27[[#This Row],[Location 
(drop-down)]],'[2]List source'!D$2:E$59,2,FALSE)</f>
        <v>#N/A</v>
      </c>
      <c r="C958" s="183" t="s">
        <v>3255</v>
      </c>
      <c r="D958" s="376" t="e">
        <f t="shared" si="28"/>
        <v>#N/A</v>
      </c>
      <c r="E958" s="334" t="s">
        <v>3256</v>
      </c>
      <c r="F958" s="335" t="s">
        <v>1520</v>
      </c>
      <c r="G958" s="334" t="e">
        <f>MID(LEFT(#REF!, FIND(",",#REF!) - 1), FIND("{token}", SUBSTITUTE(#REF!, " ", "{token}", 2)) + 1, LEN(#REF!))</f>
        <v>#REF!</v>
      </c>
      <c r="H958" s="335">
        <v>2.87</v>
      </c>
      <c r="I958" s="337">
        <v>45593</v>
      </c>
      <c r="J958" s="337" t="s">
        <v>239</v>
      </c>
      <c r="K958" s="338">
        <v>45649</v>
      </c>
      <c r="L958" s="165"/>
      <c r="M958" s="222">
        <v>1040</v>
      </c>
      <c r="N958" s="2" t="str">
        <f t="shared" ca="1" si="29"/>
        <v>CLOSED</v>
      </c>
    </row>
    <row r="959" spans="1:14" ht="30">
      <c r="A959" s="64" t="s">
        <v>30</v>
      </c>
      <c r="B959" s="98" t="e">
        <f>VLOOKUP([2]!Table27[[#This Row],[Location 
(drop-down)]],'[2]List source'!D$2:E$59,2,FALSE)</f>
        <v>#N/A</v>
      </c>
      <c r="C959" s="179" t="s">
        <v>3257</v>
      </c>
      <c r="D959" s="212" t="e">
        <f t="shared" si="28"/>
        <v>#N/A</v>
      </c>
      <c r="E959" s="227" t="s">
        <v>3258</v>
      </c>
      <c r="F959" s="165" t="s">
        <v>1520</v>
      </c>
      <c r="G959" s="227" t="e">
        <f>MID(LEFT(#REF!, FIND(",",#REF!) - 1), FIND("{token}", SUBSTITUTE(#REF!, " ", "{token}", 2)) + 1, LEN(#REF!))</f>
        <v>#REF!</v>
      </c>
      <c r="H959" s="236" t="s">
        <v>3259</v>
      </c>
      <c r="I959" s="230">
        <v>45649</v>
      </c>
      <c r="J959" s="230" t="s">
        <v>34</v>
      </c>
      <c r="K959" s="226">
        <v>45649</v>
      </c>
      <c r="L959" s="165" t="s">
        <v>1505</v>
      </c>
      <c r="M959" s="222">
        <v>1209</v>
      </c>
      <c r="N959" s="2" t="str">
        <f t="shared" ca="1" si="29"/>
        <v>CLOSED</v>
      </c>
    </row>
    <row r="960" spans="1:14" ht="30">
      <c r="A960" s="64" t="s">
        <v>30</v>
      </c>
      <c r="B960" s="98" t="e">
        <f>VLOOKUP([2]!Table27[[#This Row],[Location 
(drop-down)]],'[2]List source'!D$2:E$59,2,FALSE)</f>
        <v>#N/A</v>
      </c>
      <c r="C960" s="179" t="s">
        <v>3260</v>
      </c>
      <c r="D960" s="212" t="e">
        <f t="shared" si="28"/>
        <v>#N/A</v>
      </c>
      <c r="E960" s="227" t="s">
        <v>3261</v>
      </c>
      <c r="F960" s="165" t="s">
        <v>1520</v>
      </c>
      <c r="G960" s="227" t="e">
        <f>MID(LEFT(#REF!, FIND(",",#REF!) - 1), FIND("{token}", SUBSTITUTE(#REF!, " ", "{token}", 2)) + 1, LEN(#REF!))</f>
        <v>#REF!</v>
      </c>
      <c r="H960" s="236" t="s">
        <v>3262</v>
      </c>
      <c r="I960" s="230">
        <v>45649</v>
      </c>
      <c r="J960" s="230" t="s">
        <v>34</v>
      </c>
      <c r="K960" s="226">
        <v>45649</v>
      </c>
      <c r="L960" s="165" t="s">
        <v>1505</v>
      </c>
      <c r="M960" s="222">
        <v>1210</v>
      </c>
      <c r="N960" s="2" t="str">
        <f t="shared" ca="1" si="29"/>
        <v>CLOSED</v>
      </c>
    </row>
    <row r="961" spans="1:14" ht="15">
      <c r="A961" s="64" t="s">
        <v>167</v>
      </c>
      <c r="B961" s="98" t="e">
        <f>VLOOKUP([2]!Table27[[#This Row],[Location 
(drop-down)]],'[2]List source'!D$2:E$59,2,FALSE)</f>
        <v>#N/A</v>
      </c>
      <c r="C961" s="179" t="s">
        <v>3263</v>
      </c>
      <c r="D961" s="212" t="e">
        <f t="shared" si="28"/>
        <v>#N/A</v>
      </c>
      <c r="E961" s="227" t="s">
        <v>3264</v>
      </c>
      <c r="F961" s="165" t="s">
        <v>1520</v>
      </c>
      <c r="G961" s="227" t="e">
        <f>MID(LEFT(#REF!, FIND(",",#REF!) - 1), FIND("{token}", SUBSTITUTE(#REF!, " ", "{token}", 2)) + 1, LEN(#REF!))</f>
        <v>#REF!</v>
      </c>
      <c r="H961" s="165">
        <v>2.13</v>
      </c>
      <c r="I961" s="230">
        <v>45649</v>
      </c>
      <c r="J961" s="230" t="s">
        <v>34</v>
      </c>
      <c r="K961" s="226">
        <v>45649</v>
      </c>
      <c r="L961" s="259" t="s">
        <v>1671</v>
      </c>
      <c r="M961" s="222">
        <v>1213</v>
      </c>
      <c r="N961" s="2" t="str">
        <f t="shared" ca="1" si="29"/>
        <v>CLOSED</v>
      </c>
    </row>
    <row r="962" spans="1:14" ht="30">
      <c r="A962" s="64" t="s">
        <v>485</v>
      </c>
      <c r="B962" s="98" t="e">
        <f>VLOOKUP([2]!Table27[[#This Row],[Location 
(drop-down)]],'[2]List source'!D$2:E$59,2,FALSE)</f>
        <v>#N/A</v>
      </c>
      <c r="C962" s="179" t="s">
        <v>3265</v>
      </c>
      <c r="D962" s="212" t="e">
        <f t="shared" ref="D962:D1025" si="30">"PTO" &amp; C962 &amp; "-" &amp; B962 &amp; "-" &amp; "23"</f>
        <v>#N/A</v>
      </c>
      <c r="E962" s="227" t="s">
        <v>3266</v>
      </c>
      <c r="F962" s="165" t="s">
        <v>1520</v>
      </c>
      <c r="G962" s="227" t="e">
        <f>MID(LEFT(#REF!, FIND(",",#REF!) - 1), FIND("{token}", SUBSTITUTE(#REF!, " ", "{token}", 2)) + 1, LEN(#REF!))</f>
        <v>#REF!</v>
      </c>
      <c r="H962" s="165">
        <v>2.4500000000000002</v>
      </c>
      <c r="I962" s="230">
        <v>45649</v>
      </c>
      <c r="J962" s="230" t="s">
        <v>34</v>
      </c>
      <c r="K962" s="226">
        <v>45649</v>
      </c>
      <c r="L962" s="259" t="s">
        <v>1671</v>
      </c>
      <c r="M962" s="222">
        <v>1216</v>
      </c>
      <c r="N962" s="2" t="str">
        <f t="shared" ca="1" si="29"/>
        <v>CLOSED</v>
      </c>
    </row>
    <row r="963" spans="1:14" ht="30">
      <c r="A963" s="64" t="s">
        <v>500</v>
      </c>
      <c r="B963" s="98" t="e">
        <f>VLOOKUP([2]!Table27[[#This Row],[Location 
(drop-down)]],'[2]List source'!D$2:E$59,2,FALSE)</f>
        <v>#N/A</v>
      </c>
      <c r="C963" s="179" t="s">
        <v>3267</v>
      </c>
      <c r="D963" s="212" t="e">
        <f t="shared" si="30"/>
        <v>#N/A</v>
      </c>
      <c r="E963" s="227" t="s">
        <v>3268</v>
      </c>
      <c r="F963" s="165" t="s">
        <v>1520</v>
      </c>
      <c r="G963" s="227" t="e">
        <f>MID(LEFT(#REF!, FIND(",",#REF!) - 1), FIND("{token}", SUBSTITUTE(#REF!, " ", "{token}", 2)) + 1, LEN(#REF!))</f>
        <v>#REF!</v>
      </c>
      <c r="H963" s="236" t="s">
        <v>1764</v>
      </c>
      <c r="I963" s="230">
        <v>45649</v>
      </c>
      <c r="J963" s="230" t="s">
        <v>34</v>
      </c>
      <c r="K963" s="226">
        <v>45649</v>
      </c>
      <c r="L963" s="259" t="s">
        <v>1671</v>
      </c>
      <c r="M963" s="222">
        <v>1219</v>
      </c>
      <c r="N963" s="2" t="str">
        <f t="shared" ca="1" si="29"/>
        <v>CLOSED</v>
      </c>
    </row>
    <row r="964" spans="1:14" ht="30">
      <c r="A964" s="64" t="s">
        <v>358</v>
      </c>
      <c r="B964" s="98" t="e">
        <f>VLOOKUP([2]!Table27[[#This Row],[Location 
(drop-down)]],'[2]List source'!D$2:E$59,2,FALSE)</f>
        <v>#N/A</v>
      </c>
      <c r="C964" s="179" t="s">
        <v>3269</v>
      </c>
      <c r="D964" s="212" t="e">
        <f t="shared" si="30"/>
        <v>#N/A</v>
      </c>
      <c r="E964" s="227" t="s">
        <v>3270</v>
      </c>
      <c r="F964" s="165" t="s">
        <v>1520</v>
      </c>
      <c r="G964" s="227" t="e">
        <f>MID(LEFT(#REF!, FIND(",",#REF!) - 1), FIND("{token}", SUBSTITUTE(#REF!, " ", "{token}", 2)) + 1, LEN(#REF!))</f>
        <v>#REF!</v>
      </c>
      <c r="H964" s="236" t="s">
        <v>1965</v>
      </c>
      <c r="I964" s="230">
        <v>45649</v>
      </c>
      <c r="J964" s="230" t="s">
        <v>34</v>
      </c>
      <c r="K964" s="226">
        <v>45649</v>
      </c>
      <c r="L964" s="259" t="s">
        <v>1671</v>
      </c>
      <c r="M964" s="222">
        <v>1220</v>
      </c>
      <c r="N964" s="2" t="str">
        <f t="shared" ca="1" si="29"/>
        <v>CLOSED</v>
      </c>
    </row>
    <row r="965" spans="1:14" ht="30">
      <c r="A965" s="64" t="s">
        <v>358</v>
      </c>
      <c r="B965" s="98" t="e">
        <f>VLOOKUP([2]!Table27[[#This Row],[Location 
(drop-down)]],'[2]List source'!D$2:E$59,2,FALSE)</f>
        <v>#N/A</v>
      </c>
      <c r="C965" s="179" t="s">
        <v>3271</v>
      </c>
      <c r="D965" s="212" t="e">
        <f t="shared" si="30"/>
        <v>#N/A</v>
      </c>
      <c r="E965" s="227" t="s">
        <v>3264</v>
      </c>
      <c r="F965" s="165" t="s">
        <v>1520</v>
      </c>
      <c r="G965" s="227" t="e">
        <f>MID(LEFT(#REF!, FIND(",",#REF!) - 1), FIND("{token}", SUBSTITUTE(#REF!, " ", "{token}", 2)) + 1, LEN(#REF!))</f>
        <v>#REF!</v>
      </c>
      <c r="H965" s="236" t="s">
        <v>2975</v>
      </c>
      <c r="I965" s="230">
        <v>45649</v>
      </c>
      <c r="J965" s="230" t="s">
        <v>34</v>
      </c>
      <c r="K965" s="226">
        <v>45649</v>
      </c>
      <c r="L965" s="259" t="s">
        <v>1671</v>
      </c>
      <c r="M965" s="222">
        <v>1221</v>
      </c>
      <c r="N965" s="2" t="str">
        <f t="shared" ca="1" si="29"/>
        <v>CLOSED</v>
      </c>
    </row>
    <row r="966" spans="1:14" ht="15">
      <c r="A966" s="64" t="s">
        <v>139</v>
      </c>
      <c r="B966" s="98" t="e">
        <f>VLOOKUP([2]!Table27[[#This Row],[Location 
(drop-down)]],'[2]List source'!D$2:E$59,2,FALSE)</f>
        <v>#N/A</v>
      </c>
      <c r="C966" s="179" t="s">
        <v>3272</v>
      </c>
      <c r="D966" s="212" t="e">
        <f t="shared" si="30"/>
        <v>#N/A</v>
      </c>
      <c r="E966" s="227" t="s">
        <v>3273</v>
      </c>
      <c r="F966" s="165" t="s">
        <v>1520</v>
      </c>
      <c r="G966" s="227" t="e">
        <f>MID(LEFT(#REF!, FIND(",",#REF!) - 1), FIND("{token}", SUBSTITUTE(#REF!, " ", "{token}", 2)) + 1, LEN(#REF!))</f>
        <v>#REF!</v>
      </c>
      <c r="H966" s="236" t="s">
        <v>1762</v>
      </c>
      <c r="I966" s="230">
        <v>45649</v>
      </c>
      <c r="J966" s="230" t="s">
        <v>34</v>
      </c>
      <c r="K966" s="226">
        <v>45649</v>
      </c>
      <c r="L966" s="259" t="s">
        <v>1671</v>
      </c>
      <c r="M966" s="222">
        <v>1222</v>
      </c>
      <c r="N966" s="2" t="str">
        <f t="shared" ca="1" si="29"/>
        <v>CLOSED</v>
      </c>
    </row>
    <row r="967" spans="1:14" ht="30">
      <c r="A967" s="64" t="s">
        <v>485</v>
      </c>
      <c r="B967" s="98" t="e">
        <f>VLOOKUP([2]!Table27[[#This Row],[Location 
(drop-down)]],'[2]List source'!D$2:E$59,2,FALSE)</f>
        <v>#N/A</v>
      </c>
      <c r="C967" s="179" t="s">
        <v>3274</v>
      </c>
      <c r="D967" s="212" t="e">
        <f t="shared" si="30"/>
        <v>#N/A</v>
      </c>
      <c r="E967" s="227" t="s">
        <v>3275</v>
      </c>
      <c r="F967" s="165" t="e" cm="1">
        <f t="array" aca="1" ref="F967" ca="1">MID(LEFT(#REF!, INDEX(_xlfn._xlws.FILTER(ROW(INDIRECT("1:" &amp; LEN(#REF!))), (48 &lt;= CODE(MID(#REF!, ROW(INDIRECT("1:" &amp; LEN(#REF!))), 1))) * (CODE(MID(#REF!, ROW(INDIRECT("1:" &amp; LEN(#REF!))), 1)) &lt;= 57)), 1) - 1), FIND(":",#REF!) + 2, LEN(#REF!))</f>
        <v>#REF!</v>
      </c>
      <c r="G967" s="227" t="e">
        <f>MID(LEFT(#REF!, FIND(",",#REF!) - 1), FIND("{token}", SUBSTITUTE(#REF!, " ", "{token}", 2)) + 1, LEN(#REF!))</f>
        <v>#REF!</v>
      </c>
      <c r="H967" s="236" t="s">
        <v>1778</v>
      </c>
      <c r="I967" s="230">
        <v>45649</v>
      </c>
      <c r="J967" s="230" t="s">
        <v>34</v>
      </c>
      <c r="K967" s="226">
        <v>45649</v>
      </c>
      <c r="L967" s="259" t="s">
        <v>1671</v>
      </c>
      <c r="M967" s="222">
        <v>1225</v>
      </c>
      <c r="N967" s="2" t="str">
        <f t="shared" ca="1" si="29"/>
        <v>CLOSED</v>
      </c>
    </row>
    <row r="968" spans="1:14" ht="15">
      <c r="A968" s="64" t="s">
        <v>15</v>
      </c>
      <c r="B968" s="98" t="e">
        <f>VLOOKUP([2]!Table27[[#This Row],[Location 
(drop-down)]],'[2]List source'!D$2:E$59,2,FALSE)</f>
        <v>#N/A</v>
      </c>
      <c r="C968" s="179" t="s">
        <v>3276</v>
      </c>
      <c r="D968" s="212" t="e">
        <f t="shared" si="30"/>
        <v>#N/A</v>
      </c>
      <c r="E968" s="227" t="s">
        <v>3277</v>
      </c>
      <c r="F968" s="165" t="s">
        <v>1520</v>
      </c>
      <c r="G968" s="227" t="e">
        <f>MID(LEFT(#REF!, FIND(",",#REF!) - 1), FIND("{token}", SUBSTITUTE(#REF!, " ", "{token}", 2)) + 1, LEN(#REF!))</f>
        <v>#REF!</v>
      </c>
      <c r="H968" s="165">
        <v>23.54</v>
      </c>
      <c r="I968" s="230">
        <v>45582</v>
      </c>
      <c r="J968" s="230" t="s">
        <v>21</v>
      </c>
      <c r="K968" s="226">
        <v>45650</v>
      </c>
      <c r="L968" s="165"/>
      <c r="M968" s="222">
        <v>1024</v>
      </c>
      <c r="N968" s="2" t="str">
        <f t="shared" ca="1" si="29"/>
        <v>CLOSED</v>
      </c>
    </row>
    <row r="969" spans="1:14" ht="15">
      <c r="A969" s="64" t="s">
        <v>15</v>
      </c>
      <c r="B969" s="98" t="e">
        <f>VLOOKUP([2]!Table27[[#This Row],[Location 
(drop-down)]],'[2]List source'!D$2:E$59,2,FALSE)</f>
        <v>#N/A</v>
      </c>
      <c r="C969" s="179" t="s">
        <v>3278</v>
      </c>
      <c r="D969" s="212" t="e">
        <f t="shared" si="30"/>
        <v>#N/A</v>
      </c>
      <c r="E969" s="227" t="s">
        <v>3279</v>
      </c>
      <c r="F969" s="165" t="s">
        <v>2160</v>
      </c>
      <c r="G969" s="227" t="e">
        <f>MID(LEFT(#REF!, FIND(",",#REF!) - 1), FIND("{token}", SUBSTITUTE(#REF!, " ", "{token}", 2)) + 1, LEN(#REF!))</f>
        <v>#REF!</v>
      </c>
      <c r="H969" s="165">
        <v>2.29</v>
      </c>
      <c r="I969" s="230">
        <v>45631</v>
      </c>
      <c r="J969" s="230" t="s">
        <v>21</v>
      </c>
      <c r="K969" s="226">
        <v>45650</v>
      </c>
      <c r="L969" s="165"/>
      <c r="M969" s="222">
        <v>1071</v>
      </c>
      <c r="N969" s="2" t="str">
        <f t="shared" ca="1" si="29"/>
        <v>CLOSED</v>
      </c>
    </row>
    <row r="970" spans="1:14" ht="30">
      <c r="A970" s="64" t="s">
        <v>500</v>
      </c>
      <c r="B970" s="98" t="e">
        <f>VLOOKUP([2]!Table27[[#This Row],[Location 
(drop-down)]],'[2]List source'!D$2:E$59,2,FALSE)</f>
        <v>#N/A</v>
      </c>
      <c r="C970" s="179" t="s">
        <v>3280</v>
      </c>
      <c r="D970" s="212" t="e">
        <f t="shared" si="30"/>
        <v>#N/A</v>
      </c>
      <c r="E970" s="227" t="s">
        <v>3281</v>
      </c>
      <c r="F970" s="165" t="s">
        <v>1769</v>
      </c>
      <c r="G970" s="227" t="e">
        <f>MID(LEFT(#REF!, FIND(",",#REF!) - 1), FIND("{token}", SUBSTITUTE(#REF!, " ", "{token}", 2)) + 1, LEN(#REF!))</f>
        <v>#REF!</v>
      </c>
      <c r="H970" s="236" t="s">
        <v>3282</v>
      </c>
      <c r="I970" s="230">
        <v>45642</v>
      </c>
      <c r="J970" s="230" t="s">
        <v>2934</v>
      </c>
      <c r="K970" s="226">
        <v>45652</v>
      </c>
      <c r="L970" s="165" t="s">
        <v>1505</v>
      </c>
      <c r="M970" s="222">
        <v>1131</v>
      </c>
      <c r="N970" s="2" t="str">
        <f t="shared" ca="1" si="29"/>
        <v>CLOSED</v>
      </c>
    </row>
    <row r="971" spans="1:14" ht="30">
      <c r="A971" s="64" t="s">
        <v>1334</v>
      </c>
      <c r="B971" s="98" t="e">
        <f>VLOOKUP([2]!Table27[[#This Row],[Location 
(drop-down)]],'[2]List source'!D$2:E$59,2,FALSE)</f>
        <v>#N/A</v>
      </c>
      <c r="C971" s="179" t="s">
        <v>3283</v>
      </c>
      <c r="D971" s="212" t="e">
        <f t="shared" si="30"/>
        <v>#N/A</v>
      </c>
      <c r="E971" s="227" t="s">
        <v>3235</v>
      </c>
      <c r="F971" s="165" t="s">
        <v>1520</v>
      </c>
      <c r="G971" s="227" t="e">
        <f>MID(LEFT(#REF!, FIND(",",#REF!) - 1), FIND("{token}", SUBSTITUTE(#REF!, " ", "{token}", 2)) + 1, LEN(#REF!))</f>
        <v>#REF!</v>
      </c>
      <c r="H971" s="165" t="s">
        <v>1579</v>
      </c>
      <c r="I971" s="230">
        <v>45652</v>
      </c>
      <c r="J971" s="230" t="s">
        <v>34</v>
      </c>
      <c r="K971" s="226">
        <v>45652</v>
      </c>
      <c r="L971" s="165" t="s">
        <v>1773</v>
      </c>
      <c r="M971" s="222">
        <v>1226</v>
      </c>
      <c r="N971" s="2" t="str">
        <f t="shared" ca="1" si="29"/>
        <v>CLOSED</v>
      </c>
    </row>
    <row r="972" spans="1:14" ht="30">
      <c r="A972" s="64" t="s">
        <v>30</v>
      </c>
      <c r="B972" s="98" t="e">
        <f>VLOOKUP([2]!Table27[[#This Row],[Location 
(drop-down)]],'[2]List source'!D$2:E$59,2,FALSE)</f>
        <v>#N/A</v>
      </c>
      <c r="C972" s="179" t="s">
        <v>544</v>
      </c>
      <c r="D972" s="223" t="e">
        <f t="shared" si="30"/>
        <v>#N/A</v>
      </c>
      <c r="E972" s="227" t="s">
        <v>3284</v>
      </c>
      <c r="F972" s="165" t="e" cm="1">
        <f t="array" aca="1" ref="F972" ca="1">MID(LEFT(#REF!, INDEX(_xlfn._xlws.FILTER(ROW(INDIRECT("1:" &amp; LEN(#REF!))), (48 &lt;= CODE(MID(#REF!, ROW(INDIRECT("1:" &amp; LEN(#REF!))), 1))) * (CODE(MID(#REF!, ROW(INDIRECT("1:" &amp; LEN(#REF!))), 1)) &lt;= 57)), 1) - 1), FIND(":",#REF!) + 2, LEN(#REF!))</f>
        <v>#REF!</v>
      </c>
      <c r="G972" s="201" t="e">
        <f>MID(LEFT(#REF!, FIND(",",#REF!) - 1), FIND("{token}", SUBSTITUTE(#REF!, " ", "{token}", 2)) + 1, LEN(#REF!))</f>
        <v>#REF!</v>
      </c>
      <c r="H972" s="165">
        <v>9.3800000000000008</v>
      </c>
      <c r="I972" s="230">
        <v>45376</v>
      </c>
      <c r="J972" s="342" t="s">
        <v>34</v>
      </c>
      <c r="K972" s="221">
        <v>45653</v>
      </c>
      <c r="L972" s="165" t="s">
        <v>1837</v>
      </c>
      <c r="M972" s="222">
        <v>123</v>
      </c>
      <c r="N972" s="2" t="str">
        <f t="shared" ca="1" si="29"/>
        <v>CLOSED</v>
      </c>
    </row>
    <row r="973" spans="1:14" ht="30">
      <c r="A973" s="64" t="s">
        <v>119</v>
      </c>
      <c r="B973" s="98" t="e">
        <f>VLOOKUP([2]!Table27[[#This Row],[Location 
(drop-down)]],'[2]List source'!D$2:E$59,2,FALSE)</f>
        <v>#N/A</v>
      </c>
      <c r="C973" s="179" t="s">
        <v>3285</v>
      </c>
      <c r="D973" s="212" t="e">
        <f t="shared" si="30"/>
        <v>#N/A</v>
      </c>
      <c r="E973" s="227" t="s">
        <v>3286</v>
      </c>
      <c r="F973" s="165" t="e" cm="1">
        <f t="array" aca="1" ref="F973" ca="1">MID(LEFT(#REF!, INDEX(_xlfn._xlws.FILTER(ROW(INDIRECT("1:" &amp; LEN(#REF!))), (48 &lt;= CODE(MID(#REF!, ROW(INDIRECT("1:" &amp; LEN(#REF!))), 1))) * (CODE(MID(#REF!, ROW(INDIRECT("1:" &amp; LEN(#REF!))), 1)) &lt;= 57)), 1) - 1), FIND(":",#REF!) + 2, LEN(#REF!))</f>
        <v>#REF!</v>
      </c>
      <c r="G973" s="227" t="e">
        <f>MID(LEFT(#REF!, FIND(",",#REF!) - 1), FIND("{token}", SUBSTITUTE(#REF!, " ", "{token}", 2)) + 1, LEN(#REF!))</f>
        <v>#REF!</v>
      </c>
      <c r="H973" s="165">
        <v>25.72</v>
      </c>
      <c r="I973" s="230">
        <v>45643</v>
      </c>
      <c r="J973" s="230" t="s">
        <v>111</v>
      </c>
      <c r="K973" s="226">
        <v>45653</v>
      </c>
      <c r="L973" s="165"/>
      <c r="M973" s="222">
        <v>1144</v>
      </c>
      <c r="N973" s="2" t="str">
        <f t="shared" ca="1" si="29"/>
        <v>CLOSED</v>
      </c>
    </row>
    <row r="974" spans="1:14" ht="15">
      <c r="A974" s="64" t="s">
        <v>139</v>
      </c>
      <c r="B974" s="98" t="e">
        <f>VLOOKUP([2]!Table27[[#This Row],[Location 
(drop-down)]],'[2]List source'!D$2:E$59,2,FALSE)</f>
        <v>#N/A</v>
      </c>
      <c r="C974" s="179" t="s">
        <v>3287</v>
      </c>
      <c r="D974" s="212" t="e">
        <f t="shared" si="30"/>
        <v>#N/A</v>
      </c>
      <c r="E974" s="227" t="s">
        <v>3288</v>
      </c>
      <c r="F974" s="165" t="e" cm="1">
        <f t="array" aca="1" ref="F974" ca="1">MID(LEFT(#REF!, INDEX(_xlfn._xlws.FILTER(ROW(INDIRECT("1:" &amp; LEN(#REF!))), (48 &lt;= CODE(MID(#REF!, ROW(INDIRECT("1:" &amp; LEN(#REF!))), 1))) * (CODE(MID(#REF!, ROW(INDIRECT("1:" &amp; LEN(#REF!))), 1)) &lt;= 57)), 1) - 1), FIND(":",#REF!) + 2, LEN(#REF!))</f>
        <v>#REF!</v>
      </c>
      <c r="G974" s="227" t="e">
        <f>MID(LEFT(#REF!, FIND(",",#REF!) - 1), FIND("{token}", SUBSTITUTE(#REF!, " ", "{token}", 2)) + 1, LEN(#REF!))</f>
        <v>#REF!</v>
      </c>
      <c r="H974" s="165" t="s">
        <v>3289</v>
      </c>
      <c r="I974" s="230">
        <v>45653</v>
      </c>
      <c r="J974" s="230" t="s">
        <v>34</v>
      </c>
      <c r="K974" s="226">
        <v>45653</v>
      </c>
      <c r="L974" s="259" t="s">
        <v>1671</v>
      </c>
      <c r="M974" s="222">
        <v>1240</v>
      </c>
      <c r="N974" s="2" t="str">
        <f t="shared" ca="1" si="29"/>
        <v>CLOSED</v>
      </c>
    </row>
    <row r="975" spans="1:14" ht="15">
      <c r="A975" s="64" t="s">
        <v>156</v>
      </c>
      <c r="B975" s="98" t="e">
        <f>VLOOKUP([2]!Table27[[#This Row],[Location 
(drop-down)]],'[2]List source'!D$2:E$59,2,FALSE)</f>
        <v>#N/A</v>
      </c>
      <c r="C975" s="179" t="s">
        <v>3290</v>
      </c>
      <c r="D975" s="212" t="e">
        <f t="shared" si="30"/>
        <v>#N/A</v>
      </c>
      <c r="E975" s="227" t="s">
        <v>3291</v>
      </c>
      <c r="F975" s="165" t="s">
        <v>1769</v>
      </c>
      <c r="G975" s="227" t="e">
        <f>MID(LEFT(#REF!, FIND(",",#REF!) - 1), FIND("{token}", SUBSTITUTE(#REF!, " ", "{token}", 2)) + 1, LEN(#REF!))</f>
        <v>#REF!</v>
      </c>
      <c r="H975" s="236" t="s">
        <v>1872</v>
      </c>
      <c r="I975" s="230">
        <v>45653</v>
      </c>
      <c r="J975" s="230" t="s">
        <v>34</v>
      </c>
      <c r="K975" s="226">
        <v>45653</v>
      </c>
      <c r="L975" s="259" t="s">
        <v>1671</v>
      </c>
      <c r="M975" s="222">
        <v>1241</v>
      </c>
      <c r="N975" s="2" t="str">
        <f t="shared" ca="1" si="29"/>
        <v>CLOSED</v>
      </c>
    </row>
    <row r="976" spans="1:14" ht="15">
      <c r="A976" s="64" t="s">
        <v>139</v>
      </c>
      <c r="B976" s="98" t="e">
        <f>VLOOKUP([2]!Table27[[#This Row],[Location 
(drop-down)]],'[2]List source'!D$2:E$59,2,FALSE)</f>
        <v>#N/A</v>
      </c>
      <c r="C976" s="179" t="s">
        <v>3292</v>
      </c>
      <c r="D976" s="212" t="e">
        <f t="shared" si="30"/>
        <v>#N/A</v>
      </c>
      <c r="E976" s="227" t="s">
        <v>3291</v>
      </c>
      <c r="F976" s="165" t="s">
        <v>1769</v>
      </c>
      <c r="G976" s="227" t="e">
        <f>MID(LEFT(#REF!, FIND(",",#REF!) - 1), FIND("{token}", SUBSTITUTE(#REF!, " ", "{token}", 2)) + 1, LEN(#REF!))</f>
        <v>#REF!</v>
      </c>
      <c r="H976" s="165">
        <v>2.02</v>
      </c>
      <c r="I976" s="230">
        <v>45653</v>
      </c>
      <c r="J976" s="230" t="s">
        <v>34</v>
      </c>
      <c r="K976" s="226">
        <v>45653</v>
      </c>
      <c r="L976" s="259" t="s">
        <v>1671</v>
      </c>
      <c r="M976" s="222">
        <v>1247</v>
      </c>
      <c r="N976" s="2" t="str">
        <f t="shared" ca="1" si="29"/>
        <v>CLOSED</v>
      </c>
    </row>
    <row r="977" spans="1:14" ht="30">
      <c r="A977" s="64" t="s">
        <v>500</v>
      </c>
      <c r="B977" s="98" t="e">
        <f>VLOOKUP([2]!Table27[[#This Row],[Location 
(drop-down)]],'[2]List source'!D$2:E$59,2,FALSE)</f>
        <v>#N/A</v>
      </c>
      <c r="C977" s="179" t="s">
        <v>3293</v>
      </c>
      <c r="D977" s="212" t="e">
        <f t="shared" si="30"/>
        <v>#N/A</v>
      </c>
      <c r="E977" s="227" t="s">
        <v>3294</v>
      </c>
      <c r="F977" s="165" t="e" cm="1">
        <f t="array" aca="1" ref="F977" ca="1">MID(LEFT(#REF!, INDEX(_xlfn._xlws.FILTER(ROW(INDIRECT("1:" &amp; LEN(#REF!))), (48 &lt;= CODE(MID(#REF!, ROW(INDIRECT("1:" &amp; LEN(#REF!))), 1))) * (CODE(MID(#REF!, ROW(INDIRECT("1:" &amp; LEN(#REF!))), 1)) &lt;= 57)), 1) - 1), FIND(":",#REF!) + 2, LEN(#REF!))</f>
        <v>#REF!</v>
      </c>
      <c r="G977" s="227" t="e">
        <f>MID(LEFT(#REF!, FIND(",",#REF!) - 1), FIND("{token}", SUBSTITUTE(#REF!, " ", "{token}", 2)) + 1, LEN(#REF!))</f>
        <v>#REF!</v>
      </c>
      <c r="H977" s="236" t="s">
        <v>2888</v>
      </c>
      <c r="I977" s="230">
        <v>45653</v>
      </c>
      <c r="J977" s="230" t="s">
        <v>34</v>
      </c>
      <c r="K977" s="226">
        <v>45653</v>
      </c>
      <c r="L977" s="259" t="s">
        <v>1671</v>
      </c>
      <c r="M977" s="222">
        <v>1251</v>
      </c>
      <c r="N977" s="2" t="str">
        <f t="shared" ca="1" si="29"/>
        <v>CLOSED</v>
      </c>
    </row>
    <row r="978" spans="1:14" ht="30">
      <c r="A978" s="64" t="s">
        <v>500</v>
      </c>
      <c r="B978" s="98" t="e">
        <f>VLOOKUP([2]!Table27[[#This Row],[Location 
(drop-down)]],'[2]List source'!D$2:E$59,2,FALSE)</f>
        <v>#N/A</v>
      </c>
      <c r="C978" s="179" t="s">
        <v>3295</v>
      </c>
      <c r="D978" s="212" t="e">
        <f t="shared" si="30"/>
        <v>#N/A</v>
      </c>
      <c r="E978" s="227" t="s">
        <v>3296</v>
      </c>
      <c r="F978" s="165" t="e" cm="1">
        <f t="array" aca="1" ref="F978" ca="1">MID(LEFT(#REF!, INDEX(_xlfn._xlws.FILTER(ROW(INDIRECT("1:" &amp; LEN(#REF!))), (48 &lt;= CODE(MID(#REF!, ROW(INDIRECT("1:" &amp; LEN(#REF!))), 1))) * (CODE(MID(#REF!, ROW(INDIRECT("1:" &amp; LEN(#REF!))), 1)) &lt;= 57)), 1) - 1), FIND(":",#REF!) + 2, LEN(#REF!))</f>
        <v>#REF!</v>
      </c>
      <c r="G978" s="227" t="e">
        <f>MID(LEFT(#REF!, FIND(",",#REF!) - 1), FIND("{token}", SUBSTITUTE(#REF!, " ", "{token}", 2)) + 1, LEN(#REF!))</f>
        <v>#REF!</v>
      </c>
      <c r="H978" s="165">
        <v>619.45000000000005</v>
      </c>
      <c r="I978" s="230">
        <v>45653</v>
      </c>
      <c r="J978" s="342" t="s">
        <v>34</v>
      </c>
      <c r="K978" s="221">
        <v>45653</v>
      </c>
      <c r="L978" s="165" t="s">
        <v>3297</v>
      </c>
      <c r="M978" s="222">
        <v>1252</v>
      </c>
      <c r="N978" s="2" t="str">
        <f t="shared" ca="1" si="29"/>
        <v>CLOSED</v>
      </c>
    </row>
    <row r="979" spans="1:14" ht="30">
      <c r="A979" s="64" t="s">
        <v>500</v>
      </c>
      <c r="B979" s="98" t="e">
        <f>VLOOKUP([2]!Table27[[#This Row],[Location 
(drop-down)]],'[2]List source'!D$2:E$59,2,FALSE)</f>
        <v>#N/A</v>
      </c>
      <c r="C979" s="179" t="s">
        <v>3298</v>
      </c>
      <c r="D979" s="212" t="e">
        <f t="shared" si="30"/>
        <v>#N/A</v>
      </c>
      <c r="E979" s="227" t="s">
        <v>3299</v>
      </c>
      <c r="F979" s="165" t="e" cm="1">
        <f t="array" aca="1" ref="F979" ca="1">MID(LEFT(#REF!, INDEX(_xlfn._xlws.FILTER(ROW(INDIRECT("1:" &amp; LEN(#REF!))), (48 &lt;= CODE(MID(#REF!, ROW(INDIRECT("1:" &amp; LEN(#REF!))), 1))) * (CODE(MID(#REF!, ROW(INDIRECT("1:" &amp; LEN(#REF!))), 1)) &lt;= 57)), 1) - 1), FIND(":",#REF!) + 2, LEN(#REF!))</f>
        <v>#REF!</v>
      </c>
      <c r="G979" s="227" t="e">
        <f>MID(LEFT(#REF!, FIND(",",#REF!) - 1), FIND("{token}", SUBSTITUTE(#REF!, " ", "{token}", 2)) + 1, LEN(#REF!))</f>
        <v>#REF!</v>
      </c>
      <c r="H979" s="165">
        <v>2.2599999999999998</v>
      </c>
      <c r="I979" s="230">
        <v>45653</v>
      </c>
      <c r="J979" s="230" t="s">
        <v>34</v>
      </c>
      <c r="K979" s="226">
        <v>45653</v>
      </c>
      <c r="L979" s="259" t="s">
        <v>1671</v>
      </c>
      <c r="M979" s="222">
        <v>1253</v>
      </c>
      <c r="N979" s="2" t="str">
        <f t="shared" ca="1" si="29"/>
        <v>CLOSED</v>
      </c>
    </row>
    <row r="980" spans="1:14" ht="30">
      <c r="A980" s="64" t="s">
        <v>39</v>
      </c>
      <c r="B980" s="98" t="e">
        <f>VLOOKUP([2]!Table27[[#This Row],[Location 
(drop-down)]],'[2]List source'!D$2:E$59,2,FALSE)</f>
        <v>#N/A</v>
      </c>
      <c r="C980" s="179" t="s">
        <v>3300</v>
      </c>
      <c r="D980" s="212" t="e">
        <f t="shared" si="30"/>
        <v>#N/A</v>
      </c>
      <c r="E980" s="227" t="s">
        <v>3301</v>
      </c>
      <c r="F980" s="165" t="e" cm="1">
        <f t="array" aca="1" ref="F980" ca="1">MID(LEFT(#REF!, INDEX(_xlfn._xlws.FILTER(ROW(INDIRECT("1:" &amp; LEN(#REF!))), (48 &lt;= CODE(MID(#REF!, ROW(INDIRECT("1:" &amp; LEN(#REF!))), 1))) * (CODE(MID(#REF!, ROW(INDIRECT("1:" &amp; LEN(#REF!))), 1)) &lt;= 57)), 1) - 1), FIND(":",#REF!) + 2, LEN(#REF!))</f>
        <v>#REF!</v>
      </c>
      <c r="G980" s="227" t="e">
        <f>MID(LEFT(#REF!, FIND(",",#REF!) - 1), FIND("{token}", SUBSTITUTE(#REF!, " ", "{token}", 2)) + 1, LEN(#REF!))</f>
        <v>#REF!</v>
      </c>
      <c r="H980" s="165">
        <v>2.09</v>
      </c>
      <c r="I980" s="230">
        <v>45656</v>
      </c>
      <c r="J980" s="230" t="s">
        <v>34</v>
      </c>
      <c r="K980" s="226">
        <v>45656</v>
      </c>
      <c r="L980" s="147" t="s">
        <v>1671</v>
      </c>
      <c r="M980" s="222">
        <v>1262</v>
      </c>
      <c r="N980" s="2" t="str">
        <f t="shared" ca="1" si="29"/>
        <v>CLOSED</v>
      </c>
    </row>
    <row r="981" spans="1:14" ht="30">
      <c r="A981" s="64" t="s">
        <v>39</v>
      </c>
      <c r="B981" s="98" t="e">
        <f>VLOOKUP([2]!Table27[[#This Row],[Location 
(drop-down)]],'[2]List source'!D$2:E$59,2,FALSE)</f>
        <v>#N/A</v>
      </c>
      <c r="C981" s="179" t="s">
        <v>3302</v>
      </c>
      <c r="D981" s="212" t="e">
        <f t="shared" si="30"/>
        <v>#N/A</v>
      </c>
      <c r="E981" s="227" t="s">
        <v>3303</v>
      </c>
      <c r="F981" s="165" t="e" cm="1">
        <f t="array" aca="1" ref="F981" ca="1">MID(LEFT(#REF!, INDEX(_xlfn._xlws.FILTER(ROW(INDIRECT("1:" &amp; LEN(#REF!))), (48 &lt;= CODE(MID(#REF!, ROW(INDIRECT("1:" &amp; LEN(#REF!))), 1))) * (CODE(MID(#REF!, ROW(INDIRECT("1:" &amp; LEN(#REF!))), 1)) &lt;= 57)), 1) - 1), FIND(":",#REF!) + 2, LEN(#REF!))</f>
        <v>#REF!</v>
      </c>
      <c r="G981" s="227" t="e">
        <f>MID(LEFT(#REF!, FIND(",",#REF!) - 1), FIND("{token}", SUBSTITUTE(#REF!, " ", "{token}", 2)) + 1, LEN(#REF!))</f>
        <v>#REF!</v>
      </c>
      <c r="H981" s="165">
        <v>2.3199999999999998</v>
      </c>
      <c r="I981" s="230">
        <v>45656</v>
      </c>
      <c r="J981" s="230" t="s">
        <v>34</v>
      </c>
      <c r="K981" s="226">
        <v>45656</v>
      </c>
      <c r="L981" s="259" t="s">
        <v>1671</v>
      </c>
      <c r="M981" s="222">
        <v>1263</v>
      </c>
      <c r="N981" s="2" t="str">
        <f t="shared" ca="1" si="29"/>
        <v>CLOSED</v>
      </c>
    </row>
    <row r="982" spans="1:14" ht="30">
      <c r="A982" s="64" t="s">
        <v>432</v>
      </c>
      <c r="B982" s="98" t="e">
        <f>VLOOKUP([2]!Table27[[#This Row],[Location 
(drop-down)]],'[2]List source'!D$2:E$59,2,FALSE)</f>
        <v>#N/A</v>
      </c>
      <c r="C982" s="179" t="s">
        <v>3304</v>
      </c>
      <c r="D982" s="212" t="e">
        <f t="shared" si="30"/>
        <v>#N/A</v>
      </c>
      <c r="E982" s="227" t="s">
        <v>3305</v>
      </c>
      <c r="F982" s="165" t="e" cm="1">
        <f t="array" aca="1" ref="F982" ca="1">MID(LEFT(#REF!, INDEX(_xlfn._xlws.FILTER(ROW(INDIRECT("1:" &amp; LEN(#REF!))), (48 &lt;= CODE(MID(#REF!, ROW(INDIRECT("1:" &amp; LEN(#REF!))), 1))) * (CODE(MID(#REF!, ROW(INDIRECT("1:" &amp; LEN(#REF!))), 1)) &lt;= 57)), 1) - 1), FIND(":",#REF!) + 2, LEN(#REF!))</f>
        <v>#REF!</v>
      </c>
      <c r="G982" s="227" t="e">
        <f>MID(LEFT(#REF!, FIND(",",#REF!) - 1), FIND("{token}", SUBSTITUTE(#REF!, " ", "{token}", 2)) + 1, LEN(#REF!))</f>
        <v>#REF!</v>
      </c>
      <c r="H982" s="165">
        <v>2.1</v>
      </c>
      <c r="I982" s="230">
        <v>45656</v>
      </c>
      <c r="J982" s="230" t="s">
        <v>34</v>
      </c>
      <c r="K982" s="226">
        <v>45656</v>
      </c>
      <c r="L982" s="259" t="s">
        <v>1671</v>
      </c>
      <c r="M982" s="222">
        <v>1264</v>
      </c>
      <c r="N982" s="2" t="str">
        <f t="shared" ca="1" si="29"/>
        <v>CLOSED</v>
      </c>
    </row>
    <row r="983" spans="1:14" ht="15">
      <c r="A983" s="64" t="s">
        <v>462</v>
      </c>
      <c r="B983" s="98" t="e">
        <f>VLOOKUP([2]!Table27[[#This Row],[Location 
(drop-down)]],'[2]List source'!D$2:E$59,2,FALSE)</f>
        <v>#N/A</v>
      </c>
      <c r="C983" s="179" t="s">
        <v>3306</v>
      </c>
      <c r="D983" s="212" t="e">
        <f t="shared" si="30"/>
        <v>#N/A</v>
      </c>
      <c r="E983" s="227" t="s">
        <v>3307</v>
      </c>
      <c r="F983" s="165" t="e" cm="1">
        <f t="array" aca="1" ref="F983" ca="1">MID(LEFT(#REF!, INDEX(_xlfn._xlws.FILTER(ROW(INDIRECT("1:" &amp; LEN(#REF!))), (48 &lt;= CODE(MID(#REF!, ROW(INDIRECT("1:" &amp; LEN(#REF!))), 1))) * (CODE(MID(#REF!, ROW(INDIRECT("1:" &amp; LEN(#REF!))), 1)) &lt;= 57)), 1) - 1), FIND(":",#REF!) + 2, LEN(#REF!))</f>
        <v>#REF!</v>
      </c>
      <c r="G983" s="227" t="e">
        <f>MID(LEFT(#REF!, FIND(",",#REF!) - 1), FIND("{token}", SUBSTITUTE(#REF!, " ", "{token}", 2)) + 1, LEN(#REF!))</f>
        <v>#REF!</v>
      </c>
      <c r="H983" s="236" t="s">
        <v>3308</v>
      </c>
      <c r="I983" s="230">
        <v>45656</v>
      </c>
      <c r="J983" s="230" t="s">
        <v>34</v>
      </c>
      <c r="K983" s="226">
        <v>45656</v>
      </c>
      <c r="L983" s="259" t="s">
        <v>1671</v>
      </c>
      <c r="M983" s="222">
        <v>1265</v>
      </c>
      <c r="N983" s="2" t="str">
        <f t="shared" ca="1" si="29"/>
        <v>CLOSED</v>
      </c>
    </row>
    <row r="984" spans="1:14" ht="15">
      <c r="A984" s="64" t="s">
        <v>462</v>
      </c>
      <c r="B984" s="98" t="e">
        <f>VLOOKUP([2]!Table27[[#This Row],[Location 
(drop-down)]],'[2]List source'!D$2:E$59,2,FALSE)</f>
        <v>#N/A</v>
      </c>
      <c r="C984" s="179" t="s">
        <v>3309</v>
      </c>
      <c r="D984" s="212" t="e">
        <f t="shared" si="30"/>
        <v>#N/A</v>
      </c>
      <c r="E984" s="227" t="s">
        <v>3310</v>
      </c>
      <c r="F984" s="165" t="e" cm="1">
        <f t="array" aca="1" ref="F984" ca="1">MID(LEFT(#REF!, INDEX(_xlfn._xlws.FILTER(ROW(INDIRECT("1:" &amp; LEN(#REF!))), (48 &lt;= CODE(MID(#REF!, ROW(INDIRECT("1:" &amp; LEN(#REF!))), 1))) * (CODE(MID(#REF!, ROW(INDIRECT("1:" &amp; LEN(#REF!))), 1)) &lt;= 57)), 1) - 1), FIND(":",#REF!) + 2, LEN(#REF!))</f>
        <v>#REF!</v>
      </c>
      <c r="G984" s="227" t="e">
        <f>MID(LEFT(#REF!, FIND(",",#REF!) - 1), FIND("{token}", SUBSTITUTE(#REF!, " ", "{token}", 2)) + 1, LEN(#REF!))</f>
        <v>#REF!</v>
      </c>
      <c r="H984" s="165" t="s">
        <v>3311</v>
      </c>
      <c r="I984" s="230">
        <v>45656</v>
      </c>
      <c r="J984" s="230" t="s">
        <v>34</v>
      </c>
      <c r="K984" s="226">
        <v>45656</v>
      </c>
      <c r="L984" s="259" t="s">
        <v>1671</v>
      </c>
      <c r="M984" s="222">
        <v>1267</v>
      </c>
      <c r="N984" s="2" t="str">
        <f t="shared" ref="N984:N1047" ca="1" si="31">IF(ISBLANK(K984), TODAY()-(I984), "CLOSED")</f>
        <v>CLOSED</v>
      </c>
    </row>
    <row r="985" spans="1:14" ht="30">
      <c r="A985" s="64" t="s">
        <v>30</v>
      </c>
      <c r="B985" s="98" t="e">
        <f>VLOOKUP([2]!Table27[[#This Row],[Location 
(drop-down)]],'[2]List source'!D$2:E$59,2,FALSE)</f>
        <v>#N/A</v>
      </c>
      <c r="C985" s="179" t="s">
        <v>3312</v>
      </c>
      <c r="D985" s="212" t="e">
        <f t="shared" si="30"/>
        <v>#N/A</v>
      </c>
      <c r="E985" s="227" t="s">
        <v>3313</v>
      </c>
      <c r="F985" s="165" t="e" cm="1">
        <f t="array" aca="1" ref="F985" ca="1">MID(LEFT(#REF!, INDEX(_xlfn._xlws.FILTER(ROW(INDIRECT("1:" &amp; LEN(#REF!))), (48 &lt;= CODE(MID(#REF!, ROW(INDIRECT("1:" &amp; LEN(#REF!))), 1))) * (CODE(MID(#REF!, ROW(INDIRECT("1:" &amp; LEN(#REF!))), 1)) &lt;= 57)), 1) - 1), FIND(":",#REF!) + 2, LEN(#REF!))</f>
        <v>#REF!</v>
      </c>
      <c r="G985" s="227" t="e">
        <f>MID(LEFT(#REF!, FIND(",",#REF!) - 1), FIND("{token}", SUBSTITUTE(#REF!, " ", "{token}", 2)) + 1, LEN(#REF!))</f>
        <v>#REF!</v>
      </c>
      <c r="H985" s="165" t="s">
        <v>3314</v>
      </c>
      <c r="I985" s="230">
        <v>45656</v>
      </c>
      <c r="J985" s="230" t="s">
        <v>34</v>
      </c>
      <c r="K985" s="226">
        <v>45656</v>
      </c>
      <c r="L985" s="259" t="s">
        <v>1671</v>
      </c>
      <c r="M985" s="222">
        <v>1269</v>
      </c>
      <c r="N985" s="2" t="str">
        <f t="shared" ca="1" si="31"/>
        <v>CLOSED</v>
      </c>
    </row>
    <row r="986" spans="1:14" ht="15">
      <c r="A986" s="64" t="s">
        <v>264</v>
      </c>
      <c r="B986" s="98" t="e">
        <f>VLOOKUP([2]!Table27[[#This Row],[Location 
(drop-down)]],'[2]List source'!D$2:E$59,2,FALSE)</f>
        <v>#N/A</v>
      </c>
      <c r="C986" s="179" t="s">
        <v>3315</v>
      </c>
      <c r="D986" s="212" t="e">
        <f t="shared" si="30"/>
        <v>#N/A</v>
      </c>
      <c r="E986" s="227" t="s">
        <v>3316</v>
      </c>
      <c r="F986" s="165" t="e" cm="1">
        <f t="array" aca="1" ref="F986" ca="1">MID(LEFT(#REF!, INDEX(_xlfn._xlws.FILTER(ROW(INDIRECT("1:" &amp; LEN(#REF!))), (48 &lt;= CODE(MID(#REF!, ROW(INDIRECT("1:" &amp; LEN(#REF!))), 1))) * (CODE(MID(#REF!, ROW(INDIRECT("1:" &amp; LEN(#REF!))), 1)) &lt;= 57)), 1) - 1), FIND(":",#REF!) + 2, LEN(#REF!))</f>
        <v>#REF!</v>
      </c>
      <c r="G986" s="227" t="e">
        <f>MID(LEFT(#REF!, FIND(",",#REF!) - 1), FIND("{token}", SUBSTITUTE(#REF!, " ", "{token}", 2)) + 1, LEN(#REF!))</f>
        <v>#REF!</v>
      </c>
      <c r="H986" s="236" t="s">
        <v>1816</v>
      </c>
      <c r="I986" s="230">
        <v>45656</v>
      </c>
      <c r="J986" s="230" t="s">
        <v>34</v>
      </c>
      <c r="K986" s="226">
        <v>45656</v>
      </c>
      <c r="L986" s="259" t="s">
        <v>1671</v>
      </c>
      <c r="M986" s="222">
        <v>1274</v>
      </c>
      <c r="N986" s="2" t="str">
        <f t="shared" ca="1" si="31"/>
        <v>CLOSED</v>
      </c>
    </row>
    <row r="987" spans="1:14" ht="30">
      <c r="A987" s="64" t="s">
        <v>185</v>
      </c>
      <c r="B987" s="98" t="e">
        <f>VLOOKUP([2]!Table27[[#This Row],[Location 
(drop-down)]],'[2]List source'!D$2:E$59,2,FALSE)</f>
        <v>#N/A</v>
      </c>
      <c r="C987" s="179" t="s">
        <v>3317</v>
      </c>
      <c r="D987" s="212" t="e">
        <f t="shared" si="30"/>
        <v>#N/A</v>
      </c>
      <c r="E987" s="227" t="s">
        <v>3318</v>
      </c>
      <c r="F987" s="165" t="e" cm="1">
        <f t="array" aca="1" ref="F987" ca="1">MID(LEFT(#REF!, INDEX(_xlfn._xlws.FILTER(ROW(INDIRECT("1:" &amp; LEN(#REF!))), (48 &lt;= CODE(MID(#REF!, ROW(INDIRECT("1:" &amp; LEN(#REF!))), 1))) * (CODE(MID(#REF!, ROW(INDIRECT("1:" &amp; LEN(#REF!))), 1)) &lt;= 57)), 1) - 1), FIND(":",#REF!) + 2, LEN(#REF!))</f>
        <v>#REF!</v>
      </c>
      <c r="G987" s="227" t="e">
        <f>MID(LEFT(#REF!, FIND(",",#REF!) - 1), FIND("{token}", SUBSTITUTE(#REF!, " ", "{token}", 2)) + 1, LEN(#REF!))</f>
        <v>#REF!</v>
      </c>
      <c r="H987" s="165" t="s">
        <v>3319</v>
      </c>
      <c r="I987" s="230">
        <v>45656</v>
      </c>
      <c r="J987" s="230" t="s">
        <v>34</v>
      </c>
      <c r="K987" s="226">
        <v>45656</v>
      </c>
      <c r="L987" s="259" t="s">
        <v>1671</v>
      </c>
      <c r="M987" s="222">
        <v>1275</v>
      </c>
      <c r="N987" s="2" t="str">
        <f t="shared" ca="1" si="31"/>
        <v>CLOSED</v>
      </c>
    </row>
    <row r="988" spans="1:14" ht="30">
      <c r="A988" s="64" t="s">
        <v>294</v>
      </c>
      <c r="B988" s="98" t="e">
        <f>VLOOKUP([2]!Table27[[#This Row],[Location 
(drop-down)]],'[2]List source'!D$2:E$59,2,FALSE)</f>
        <v>#N/A</v>
      </c>
      <c r="C988" s="179" t="s">
        <v>3320</v>
      </c>
      <c r="D988" s="212" t="e">
        <f t="shared" si="30"/>
        <v>#N/A</v>
      </c>
      <c r="E988" s="227" t="s">
        <v>3321</v>
      </c>
      <c r="F988" s="165" t="e" cm="1">
        <f t="array" aca="1" ref="F988" ca="1">MID(LEFT(#REF!, INDEX(_xlfn._xlws.FILTER(ROW(INDIRECT("1:" &amp; LEN(#REF!))), (48 &lt;= CODE(MID(#REF!, ROW(INDIRECT("1:" &amp; LEN(#REF!))), 1))) * (CODE(MID(#REF!, ROW(INDIRECT("1:" &amp; LEN(#REF!))), 1)) &lt;= 57)), 1) - 1), FIND(":",#REF!) + 2, LEN(#REF!))</f>
        <v>#REF!</v>
      </c>
      <c r="G988" s="227" t="e">
        <f>MID(LEFT(#REF!, FIND(",",#REF!) - 1), FIND("{token}", SUBSTITUTE(#REF!, " ", "{token}", 2)) + 1, LEN(#REF!))</f>
        <v>#REF!</v>
      </c>
      <c r="H988" s="165" t="s">
        <v>3322</v>
      </c>
      <c r="I988" s="230">
        <v>45656</v>
      </c>
      <c r="J988" s="230" t="s">
        <v>34</v>
      </c>
      <c r="K988" s="226">
        <v>45656</v>
      </c>
      <c r="L988" s="259" t="s">
        <v>1671</v>
      </c>
      <c r="M988" s="222">
        <v>1276</v>
      </c>
      <c r="N988" s="2" t="str">
        <f t="shared" ca="1" si="31"/>
        <v>CLOSED</v>
      </c>
    </row>
    <row r="989" spans="1:14" ht="30">
      <c r="A989" s="64" t="s">
        <v>500</v>
      </c>
      <c r="B989" s="98" t="e">
        <f>VLOOKUP([2]!Table27[[#This Row],[Location 
(drop-down)]],'[2]List source'!D$2:E$59,2,FALSE)</f>
        <v>#N/A</v>
      </c>
      <c r="C989" s="179" t="s">
        <v>3323</v>
      </c>
      <c r="D989" s="212" t="e">
        <f t="shared" si="30"/>
        <v>#N/A</v>
      </c>
      <c r="E989" s="227" t="s">
        <v>3324</v>
      </c>
      <c r="F989" s="165" t="e" cm="1">
        <f t="array" aca="1" ref="F989" ca="1">MID(LEFT(#REF!, INDEX(_xlfn._xlws.FILTER(ROW(INDIRECT("1:" &amp; LEN(#REF!))), (48 &lt;= CODE(MID(#REF!, ROW(INDIRECT("1:" &amp; LEN(#REF!))), 1))) * (CODE(MID(#REF!, ROW(INDIRECT("1:" &amp; LEN(#REF!))), 1)) &lt;= 57)), 1) - 1), FIND(":",#REF!) + 2, LEN(#REF!))</f>
        <v>#REF!</v>
      </c>
      <c r="G989" s="227" t="e">
        <f>MID(LEFT(#REF!, FIND(",",#REF!) - 1), FIND("{token}", SUBSTITUTE(#REF!, " ", "{token}", 2)) + 1, LEN(#REF!))</f>
        <v>#REF!</v>
      </c>
      <c r="H989" s="165">
        <v>2.35</v>
      </c>
      <c r="I989" s="230">
        <v>45656</v>
      </c>
      <c r="J989" s="230" t="s">
        <v>34</v>
      </c>
      <c r="K989" s="226">
        <v>45656</v>
      </c>
      <c r="L989" s="259" t="s">
        <v>1671</v>
      </c>
      <c r="M989" s="222">
        <v>1279</v>
      </c>
      <c r="N989" s="2" t="str">
        <f t="shared" ca="1" si="31"/>
        <v>CLOSED</v>
      </c>
    </row>
    <row r="990" spans="1:14" ht="30">
      <c r="A990" s="64" t="s">
        <v>500</v>
      </c>
      <c r="B990" s="98" t="e">
        <f>VLOOKUP([2]!Table27[[#This Row],[Location 
(drop-down)]],'[2]List source'!D$2:E$59,2,FALSE)</f>
        <v>#N/A</v>
      </c>
      <c r="C990" s="179" t="s">
        <v>3325</v>
      </c>
      <c r="D990" s="212" t="e">
        <f t="shared" si="30"/>
        <v>#N/A</v>
      </c>
      <c r="E990" s="227" t="s">
        <v>3326</v>
      </c>
      <c r="F990" s="165" t="e" cm="1">
        <f t="array" aca="1" ref="F990" ca="1">MID(LEFT(#REF!, INDEX(_xlfn._xlws.FILTER(ROW(INDIRECT("1:" &amp; LEN(#REF!))), (48 &lt;= CODE(MID(#REF!, ROW(INDIRECT("1:" &amp; LEN(#REF!))), 1))) * (CODE(MID(#REF!, ROW(INDIRECT("1:" &amp; LEN(#REF!))), 1)) &lt;= 57)), 1) - 1), FIND(":",#REF!) + 2, LEN(#REF!))</f>
        <v>#REF!</v>
      </c>
      <c r="G990" s="227" t="e">
        <f>MID(LEFT(#REF!, FIND(",",#REF!) - 1), FIND("{token}", SUBSTITUTE(#REF!, " ", "{token}", 2)) + 1, LEN(#REF!))</f>
        <v>#REF!</v>
      </c>
      <c r="H990" s="165" t="s">
        <v>1579</v>
      </c>
      <c r="I990" s="230">
        <v>45656</v>
      </c>
      <c r="J990" s="230" t="s">
        <v>34</v>
      </c>
      <c r="K990" s="226">
        <v>45656</v>
      </c>
      <c r="L990" s="165" t="s">
        <v>3327</v>
      </c>
      <c r="M990" s="222">
        <v>1280</v>
      </c>
      <c r="N990" s="2" t="str">
        <f t="shared" ca="1" si="31"/>
        <v>CLOSED</v>
      </c>
    </row>
    <row r="991" spans="1:14" ht="30">
      <c r="A991" s="64" t="s">
        <v>518</v>
      </c>
      <c r="B991" s="98" t="e">
        <f>VLOOKUP([2]!Table27[[#This Row],[Location 
(drop-down)]],'[2]List source'!D$2:E$59,2,FALSE)</f>
        <v>#N/A</v>
      </c>
      <c r="C991" s="179" t="s">
        <v>3328</v>
      </c>
      <c r="D991" s="212" t="e">
        <f t="shared" si="30"/>
        <v>#N/A</v>
      </c>
      <c r="E991" s="227" t="s">
        <v>3329</v>
      </c>
      <c r="F991" s="165" t="e" cm="1">
        <f t="array" aca="1" ref="F991" ca="1">MID(LEFT(#REF!, INDEX(_xlfn._xlws.FILTER(ROW(INDIRECT("1:" &amp; LEN(#REF!))), (48 &lt;= CODE(MID(#REF!, ROW(INDIRECT("1:" &amp; LEN(#REF!))), 1))) * (CODE(MID(#REF!, ROW(INDIRECT("1:" &amp; LEN(#REF!))), 1)) &lt;= 57)), 1) - 1), FIND(":",#REF!) + 2, LEN(#REF!))</f>
        <v>#REF!</v>
      </c>
      <c r="G991" s="227" t="e">
        <f>MID(LEFT(#REF!, FIND(",",#REF!) - 1), FIND("{token}", SUBSTITUTE(#REF!, " ", "{token}", 2)) + 1, LEN(#REF!))</f>
        <v>#REF!</v>
      </c>
      <c r="H991" s="165">
        <v>2.63</v>
      </c>
      <c r="I991" s="230">
        <v>45656</v>
      </c>
      <c r="J991" s="230" t="s">
        <v>34</v>
      </c>
      <c r="K991" s="226">
        <v>45656</v>
      </c>
      <c r="L991" s="259" t="s">
        <v>1671</v>
      </c>
      <c r="M991" s="222">
        <v>1281</v>
      </c>
      <c r="N991" s="2" t="str">
        <f t="shared" ca="1" si="31"/>
        <v>CLOSED</v>
      </c>
    </row>
    <row r="992" spans="1:14" ht="30">
      <c r="A992" s="64" t="s">
        <v>30</v>
      </c>
      <c r="B992" s="98" t="e">
        <f>VLOOKUP([2]!Table27[[#This Row],[Location 
(drop-down)]],'[2]List source'!D$2:E$59,2,FALSE)</f>
        <v>#N/A</v>
      </c>
      <c r="C992" s="179" t="s">
        <v>3330</v>
      </c>
      <c r="D992" s="212" t="e">
        <f t="shared" si="30"/>
        <v>#N/A</v>
      </c>
      <c r="E992" s="227" t="s">
        <v>3331</v>
      </c>
      <c r="F992" s="165" t="e" cm="1">
        <f t="array" aca="1" ref="F992" ca="1">MID(LEFT(#REF!, INDEX(_xlfn._xlws.FILTER(ROW(INDIRECT("1:" &amp; LEN(#REF!))), (48 &lt;= CODE(MID(#REF!, ROW(INDIRECT("1:" &amp; LEN(#REF!))), 1))) * (CODE(MID(#REF!, ROW(INDIRECT("1:" &amp; LEN(#REF!))), 1)) &lt;= 57)), 1) - 1), FIND(":",#REF!) + 2, LEN(#REF!))</f>
        <v>#REF!</v>
      </c>
      <c r="G992" s="227" t="e">
        <f>MID(LEFT(#REF!, FIND(",",#REF!) - 1), FIND("{token}", SUBSTITUTE(#REF!, " ", "{token}", 2)) + 1, LEN(#REF!))</f>
        <v>#REF!</v>
      </c>
      <c r="H992" s="165"/>
      <c r="I992" s="230">
        <v>45656</v>
      </c>
      <c r="J992" s="230" t="s">
        <v>34</v>
      </c>
      <c r="K992" s="226">
        <v>45656</v>
      </c>
      <c r="L992" s="259" t="s">
        <v>1671</v>
      </c>
      <c r="M992" s="222">
        <v>1283</v>
      </c>
      <c r="N992" s="2" t="str">
        <f t="shared" ca="1" si="31"/>
        <v>CLOSED</v>
      </c>
    </row>
    <row r="993" spans="1:14" ht="30">
      <c r="A993" s="64" t="s">
        <v>73</v>
      </c>
      <c r="B993" s="98" t="e">
        <f>VLOOKUP([2]!Table27[[#This Row],[Location 
(drop-down)]],'[2]List source'!D$2:E$59,2,FALSE)</f>
        <v>#N/A</v>
      </c>
      <c r="C993" s="179" t="s">
        <v>3332</v>
      </c>
      <c r="D993" s="212" t="e">
        <f t="shared" si="30"/>
        <v>#N/A</v>
      </c>
      <c r="E993" s="227" t="s">
        <v>3333</v>
      </c>
      <c r="F993" s="165" t="e" cm="1">
        <f t="array" aca="1" ref="F993" ca="1">MID(LEFT(#REF!, INDEX(_xlfn._xlws.FILTER(ROW(INDIRECT("1:" &amp; LEN(#REF!))), (48 &lt;= CODE(MID(#REF!, ROW(INDIRECT("1:" &amp; LEN(#REF!))), 1))) * (CODE(MID(#REF!, ROW(INDIRECT("1:" &amp; LEN(#REF!))), 1)) &lt;= 57)), 1) - 1), FIND(":",#REF!) + 2, LEN(#REF!))</f>
        <v>#REF!</v>
      </c>
      <c r="G993" s="227" t="e">
        <f>MID(LEFT(#REF!, FIND(",",#REF!) - 1), FIND("{token}", SUBSTITUTE(#REF!, " ", "{token}", 2)) + 1, LEN(#REF!))</f>
        <v>#REF!</v>
      </c>
      <c r="H993" s="236" t="s">
        <v>1806</v>
      </c>
      <c r="I993" s="230">
        <v>45656</v>
      </c>
      <c r="J993" s="230" t="s">
        <v>34</v>
      </c>
      <c r="K993" s="226">
        <v>45656</v>
      </c>
      <c r="L993" s="259" t="s">
        <v>1671</v>
      </c>
      <c r="M993" s="222">
        <v>1292</v>
      </c>
      <c r="N993" s="2" t="str">
        <f t="shared" ca="1" si="31"/>
        <v>CLOSED</v>
      </c>
    </row>
    <row r="994" spans="1:14" ht="30">
      <c r="A994" s="64" t="s">
        <v>485</v>
      </c>
      <c r="B994" s="98" t="e">
        <f>VLOOKUP([2]!Table27[[#This Row],[Location 
(drop-down)]],'[2]List source'!D$2:E$59,2,FALSE)</f>
        <v>#N/A</v>
      </c>
      <c r="C994" s="179" t="s">
        <v>3334</v>
      </c>
      <c r="D994" s="212" t="e">
        <f t="shared" si="30"/>
        <v>#N/A</v>
      </c>
      <c r="E994" s="227" t="s">
        <v>3335</v>
      </c>
      <c r="F994" s="165" t="e" cm="1">
        <f t="array" aca="1" ref="F994" ca="1">MID(LEFT(#REF!, INDEX(_xlfn._xlws.FILTER(ROW(INDIRECT("1:" &amp; LEN(#REF!))), (48 &lt;= CODE(MID(#REF!, ROW(INDIRECT("1:" &amp; LEN(#REF!))), 1))) * (CODE(MID(#REF!, ROW(INDIRECT("1:" &amp; LEN(#REF!))), 1)) &lt;= 57)), 1) - 1), FIND(":",#REF!) + 2, LEN(#REF!))</f>
        <v>#REF!</v>
      </c>
      <c r="G994" s="227" t="e">
        <f>MID(LEFT(#REF!, FIND(",",#REF!) - 1), FIND("{token}", SUBSTITUTE(#REF!, " ", "{token}", 2)) + 1, LEN(#REF!))</f>
        <v>#REF!</v>
      </c>
      <c r="H994" s="165" t="s">
        <v>3336</v>
      </c>
      <c r="I994" s="230">
        <v>45656</v>
      </c>
      <c r="J994" s="230" t="s">
        <v>34</v>
      </c>
      <c r="K994" s="226">
        <v>45656</v>
      </c>
      <c r="L994" s="259" t="s">
        <v>1671</v>
      </c>
      <c r="M994" s="222">
        <v>1295</v>
      </c>
      <c r="N994" s="2" t="str">
        <f t="shared" ca="1" si="31"/>
        <v>CLOSED</v>
      </c>
    </row>
    <row r="995" spans="1:14" ht="30">
      <c r="A995" s="64" t="s">
        <v>294</v>
      </c>
      <c r="B995" s="98" t="e">
        <f>VLOOKUP([2]!Table27[[#This Row],[Location 
(drop-down)]],'[2]List source'!D$2:E$59,2,FALSE)</f>
        <v>#N/A</v>
      </c>
      <c r="C995" s="179" t="s">
        <v>3337</v>
      </c>
      <c r="D995" s="212" t="e">
        <f t="shared" si="30"/>
        <v>#N/A</v>
      </c>
      <c r="E995" s="227" t="s">
        <v>3338</v>
      </c>
      <c r="F995" s="165" t="e" cm="1">
        <f t="array" aca="1" ref="F995" ca="1">MID(LEFT(#REF!, INDEX(_xlfn._xlws.FILTER(ROW(INDIRECT("1:" &amp; LEN(#REF!))), (48 &lt;= CODE(MID(#REF!, ROW(INDIRECT("1:" &amp; LEN(#REF!))), 1))) * (CODE(MID(#REF!, ROW(INDIRECT("1:" &amp; LEN(#REF!))), 1)) &lt;= 57)), 1) - 1), FIND(":",#REF!) + 2, LEN(#REF!))</f>
        <v>#REF!</v>
      </c>
      <c r="G995" s="227" t="e">
        <f>MID(LEFT(#REF!, FIND(",",#REF!) - 1), FIND("{token}", SUBSTITUTE(#REF!, " ", "{token}", 2)) + 1, LEN(#REF!))</f>
        <v>#REF!</v>
      </c>
      <c r="H995" s="236" t="s">
        <v>3339</v>
      </c>
      <c r="I995" s="230">
        <v>45656</v>
      </c>
      <c r="J995" s="230" t="s">
        <v>34</v>
      </c>
      <c r="K995" s="226">
        <v>45656</v>
      </c>
      <c r="L995" s="165" t="s">
        <v>1505</v>
      </c>
      <c r="M995" s="222">
        <v>1415</v>
      </c>
      <c r="N995" s="2" t="str">
        <f t="shared" ca="1" si="31"/>
        <v>CLOSED</v>
      </c>
    </row>
    <row r="996" spans="1:14" ht="18.75">
      <c r="A996" s="64" t="s">
        <v>15</v>
      </c>
      <c r="B996" s="98" t="e">
        <f>VLOOKUP([2]!Table27[[#This Row],[Location 
(drop-down)]],'[2]List source'!D$2:E$59,2,FALSE)</f>
        <v>#N/A</v>
      </c>
      <c r="C996" s="179" t="s">
        <v>210</v>
      </c>
      <c r="D996" s="223" t="e">
        <f t="shared" si="30"/>
        <v>#N/A</v>
      </c>
      <c r="E996" s="343" t="s">
        <v>3340</v>
      </c>
      <c r="F996" s="344" t="e" cm="1">
        <f t="array" aca="1" ref="F996" ca="1">MID(LEFT(#REF!, INDEX(_xlfn._xlws.FILTER(ROW(INDIRECT("1:" &amp; LEN(#REF!))), (48 &lt;= CODE(MID(#REF!, ROW(INDIRECT("1:" &amp; LEN(#REF!))), 1))) * (CODE(MID(#REF!, ROW(INDIRECT("1:" &amp; LEN(#REF!))), 1)) &lt;= 57)), 1) - 1), FIND(":",#REF!) + 2, LEN(#REF!))</f>
        <v>#REF!</v>
      </c>
      <c r="G996" s="343" t="e">
        <f>MID(LEFT(#REF!, FIND(",",#REF!) - 1), FIND("{token}", SUBSTITUTE(#REF!, " ", "{token}", 2)) + 1, LEN(#REF!))</f>
        <v>#REF!</v>
      </c>
      <c r="H996" s="344">
        <v>2.95</v>
      </c>
      <c r="I996" s="230">
        <v>45301</v>
      </c>
      <c r="J996" s="230" t="s">
        <v>21</v>
      </c>
      <c r="K996" s="226">
        <v>45657</v>
      </c>
      <c r="L996" s="165"/>
      <c r="M996" s="222">
        <v>12</v>
      </c>
      <c r="N996" s="2" t="str">
        <f t="shared" ca="1" si="31"/>
        <v>CLOSED</v>
      </c>
    </row>
    <row r="997" spans="1:14" ht="30">
      <c r="A997" s="64" t="s">
        <v>114</v>
      </c>
      <c r="B997" s="98" t="e">
        <f>VLOOKUP([2]!Table27[[#This Row],[Location 
(drop-down)]],'[2]List source'!D$2:E$59,2,FALSE)</f>
        <v>#N/A</v>
      </c>
      <c r="C997" s="179" t="s">
        <v>84</v>
      </c>
      <c r="D997" s="223" t="e">
        <f t="shared" si="30"/>
        <v>#N/A</v>
      </c>
      <c r="E997" s="227" t="s">
        <v>3341</v>
      </c>
      <c r="F997" s="198" t="s">
        <v>1913</v>
      </c>
      <c r="G997" s="227" t="e">
        <f>MID(LEFT(#REF!, FIND(",",#REF!) - 1), FIND("{token}", SUBSTITUTE(#REF!, " ", "{token}", 2)) + 1, LEN(#REF!))</f>
        <v>#REF!</v>
      </c>
      <c r="H997" s="165">
        <v>10.45</v>
      </c>
      <c r="I997" s="230">
        <v>45422</v>
      </c>
      <c r="J997" s="230" t="s">
        <v>69</v>
      </c>
      <c r="K997" s="226">
        <v>45657</v>
      </c>
      <c r="L997" s="165"/>
      <c r="M997" s="222">
        <v>437</v>
      </c>
      <c r="N997" s="2" t="str">
        <f t="shared" ca="1" si="31"/>
        <v>CLOSED</v>
      </c>
    </row>
    <row r="998" spans="1:14" ht="30">
      <c r="A998" s="64" t="s">
        <v>485</v>
      </c>
      <c r="B998" s="98" t="e">
        <f>VLOOKUP([2]!Table27[[#This Row],[Location 
(drop-down)]],'[2]List source'!D$2:E$59,2,FALSE)</f>
        <v>#N/A</v>
      </c>
      <c r="C998" s="179" t="s">
        <v>3342</v>
      </c>
      <c r="D998" s="223" t="e">
        <f t="shared" si="30"/>
        <v>#N/A</v>
      </c>
      <c r="E998" s="227" t="s">
        <v>3343</v>
      </c>
      <c r="F998" s="165" t="e" cm="1">
        <f t="array" aca="1" ref="F998" ca="1">MID(LEFT(#REF!, INDEX(_xlfn._xlws.FILTER(ROW(INDIRECT("1:" &amp; LEN(#REF!))), (48 &lt;= CODE(MID(#REF!, ROW(INDIRECT("1:" &amp; LEN(#REF!))), 1))) * (CODE(MID(#REF!, ROW(INDIRECT("1:" &amp; LEN(#REF!))), 1)) &lt;= 57)), 1) - 1), FIND(":",#REF!) + 2, LEN(#REF!))</f>
        <v>#REF!</v>
      </c>
      <c r="G998" s="227" t="e">
        <f>MID(LEFT(#REF!, FIND(",",#REF!) - 1), FIND("{token}", SUBSTITUTE(#REF!, " ", "{token}", 2)) + 1, LEN(#REF!))</f>
        <v>#REF!</v>
      </c>
      <c r="H998" s="165">
        <v>3.55</v>
      </c>
      <c r="I998" s="230">
        <v>45513</v>
      </c>
      <c r="J998" s="230" t="s">
        <v>34</v>
      </c>
      <c r="K998" s="226">
        <v>45657</v>
      </c>
      <c r="L998" s="165" t="s">
        <v>3344</v>
      </c>
      <c r="M998" s="222">
        <v>764</v>
      </c>
      <c r="N998" s="2" t="str">
        <f t="shared" ca="1" si="31"/>
        <v>CLOSED</v>
      </c>
    </row>
    <row r="999" spans="1:14" ht="30">
      <c r="A999" s="86" t="s">
        <v>485</v>
      </c>
      <c r="B999" s="98" t="e">
        <f>VLOOKUP([2]!Table27[[#This Row],[Location 
(drop-down)]],'[2]List source'!D$2:E$59,2,FALSE)</f>
        <v>#N/A</v>
      </c>
      <c r="C999" s="180" t="s">
        <v>3345</v>
      </c>
      <c r="D999" s="373" t="e">
        <f t="shared" si="30"/>
        <v>#N/A</v>
      </c>
      <c r="E999" s="231" t="s">
        <v>3346</v>
      </c>
      <c r="F999" s="232" t="e" cm="1">
        <f t="array" aca="1" ref="F999" ca="1">MID(LEFT(#REF!, INDEX(_xlfn._xlws.FILTER(ROW(INDIRECT("1:" &amp; LEN(#REF!))), (48 &lt;= CODE(MID(#REF!, ROW(INDIRECT("1:" &amp; LEN(#REF!))), 1))) * (CODE(MID(#REF!, ROW(INDIRECT("1:" &amp; LEN(#REF!))), 1)) &lt;= 57)), 1) - 1), FIND(":",#REF!) + 2, LEN(#REF!))</f>
        <v>#REF!</v>
      </c>
      <c r="G999" s="231" t="e">
        <f>MID(LEFT(#REF!, FIND(",",#REF!) - 1), FIND("{token}", SUBSTITUTE(#REF!, " ", "{token}", 2)) + 1, LEN(#REF!))</f>
        <v>#REF!</v>
      </c>
      <c r="H999" s="232">
        <v>2.5499999999999998</v>
      </c>
      <c r="I999" s="234">
        <v>45513</v>
      </c>
      <c r="J999" s="234" t="s">
        <v>239</v>
      </c>
      <c r="K999" s="372">
        <v>45657</v>
      </c>
      <c r="L999" s="165"/>
      <c r="M999" s="222">
        <v>795</v>
      </c>
      <c r="N999" s="2" t="str">
        <f t="shared" ca="1" si="31"/>
        <v>CLOSED</v>
      </c>
    </row>
    <row r="1000" spans="1:14" ht="18.75">
      <c r="A1000" s="64" t="s">
        <v>23</v>
      </c>
      <c r="B1000" s="98" t="e">
        <f>VLOOKUP([2]!Table27[[#This Row],[Location 
(drop-down)]],'[2]List source'!D$2:E$59,2,FALSE)</f>
        <v>#N/A</v>
      </c>
      <c r="C1000" s="179" t="s">
        <v>3347</v>
      </c>
      <c r="D1000" s="309" t="e">
        <f t="shared" si="30"/>
        <v>#N/A</v>
      </c>
      <c r="E1000" s="227" t="s">
        <v>3348</v>
      </c>
      <c r="F1000" s="165" t="e" cm="1">
        <f t="array" aca="1" ref="F1000" ca="1">MID(LEFT(#REF!, INDEX(_xlfn._xlws.FILTER(ROW(INDIRECT("1:" &amp; LEN(#REF!))), (48 &lt;= CODE(MID(#REF!, ROW(INDIRECT("1:" &amp; LEN(#REF!))), 1))) * (CODE(MID(#REF!, ROW(INDIRECT("1:" &amp; LEN(#REF!))), 1)) &lt;= 57)), 1) - 1), FIND(":",#REF!) + 2, LEN(#REF!))</f>
        <v>#REF!</v>
      </c>
      <c r="G1000" s="227" t="e">
        <f>MID(LEFT(#REF!, FIND(",",#REF!) - 1), FIND("{token}", SUBSTITUTE(#REF!, " ", "{token}", 2)) + 1, LEN(#REF!))</f>
        <v>#REF!</v>
      </c>
      <c r="H1000" s="236" t="s">
        <v>3349</v>
      </c>
      <c r="I1000" s="230">
        <v>45541</v>
      </c>
      <c r="J1000" s="230" t="s">
        <v>29</v>
      </c>
      <c r="K1000" s="226">
        <v>45657</v>
      </c>
      <c r="L1000" s="165"/>
      <c r="M1000" s="222">
        <v>956</v>
      </c>
      <c r="N1000" s="2" t="str">
        <f t="shared" ca="1" si="31"/>
        <v>CLOSED</v>
      </c>
    </row>
    <row r="1001" spans="1:14" ht="15">
      <c r="A1001" s="64" t="s">
        <v>15</v>
      </c>
      <c r="B1001" s="98" t="e">
        <f>VLOOKUP([2]!Table27[[#This Row],[Location 
(drop-down)]],'[2]List source'!D$2:E$59,2,FALSE)</f>
        <v>#VALUE!</v>
      </c>
      <c r="C1001" s="179" t="s">
        <v>3350</v>
      </c>
      <c r="D1001" s="212" t="e">
        <f t="shared" si="30"/>
        <v>#VALUE!</v>
      </c>
      <c r="E1001" s="227" t="s">
        <v>3351</v>
      </c>
      <c r="F1001" s="165" t="s">
        <v>2160</v>
      </c>
      <c r="G1001" s="227" t="e">
        <f>MID(LEFT(#REF!, FIND(",",#REF!) - 1), FIND("{token}", SUBSTITUTE(#REF!, " ", "{token}", 2)) + 1, LEN(#REF!))</f>
        <v>#REF!</v>
      </c>
      <c r="H1001" s="236" t="s">
        <v>3352</v>
      </c>
      <c r="I1001" s="230">
        <v>45631</v>
      </c>
      <c r="J1001" s="230" t="s">
        <v>21</v>
      </c>
      <c r="K1001" s="226">
        <v>45657</v>
      </c>
      <c r="L1001" s="165"/>
      <c r="M1001" s="222">
        <v>1072</v>
      </c>
      <c r="N1001" s="2" t="str">
        <f t="shared" ca="1" si="31"/>
        <v>CLOSED</v>
      </c>
    </row>
    <row r="1002" spans="1:14" ht="15">
      <c r="A1002" s="64" t="s">
        <v>15</v>
      </c>
      <c r="B1002" s="98" t="e">
        <f>VLOOKUP([2]!Table27[[#This Row],[Location 
(drop-down)]],'[2]List source'!D$2:E$59,2,FALSE)</f>
        <v>#VALUE!</v>
      </c>
      <c r="C1002" s="179" t="s">
        <v>3353</v>
      </c>
      <c r="D1002" s="212" t="e">
        <f t="shared" si="30"/>
        <v>#VALUE!</v>
      </c>
      <c r="E1002" s="227" t="s">
        <v>3354</v>
      </c>
      <c r="F1002" s="165" t="s">
        <v>2279</v>
      </c>
      <c r="G1002" s="227" t="e">
        <f>MID(LEFT(#REF!, FIND(",",#REF!) - 1), FIND("{token}", SUBSTITUTE(#REF!, " ", "{token}", 2)) + 1, LEN(#REF!))</f>
        <v>#REF!</v>
      </c>
      <c r="H1002" s="165">
        <v>-69.290000000000006</v>
      </c>
      <c r="I1002" s="230">
        <v>45635</v>
      </c>
      <c r="J1002" s="230" t="s">
        <v>21</v>
      </c>
      <c r="K1002" s="226">
        <v>45657</v>
      </c>
      <c r="L1002" s="165"/>
      <c r="M1002" s="222">
        <v>1086</v>
      </c>
      <c r="N1002" s="2" t="str">
        <f t="shared" ca="1" si="31"/>
        <v>CLOSED</v>
      </c>
    </row>
    <row r="1003" spans="1:14" ht="15">
      <c r="A1003" s="64" t="s">
        <v>969</v>
      </c>
      <c r="B1003" s="98" t="e">
        <f>VLOOKUP([2]!Table27[[#This Row],[Location 
(drop-down)]],'[2]List source'!D$2:E$59,2,FALSE)</f>
        <v>#VALUE!</v>
      </c>
      <c r="C1003" s="179" t="s">
        <v>3355</v>
      </c>
      <c r="D1003" s="212" t="e">
        <f t="shared" si="30"/>
        <v>#VALUE!</v>
      </c>
      <c r="E1003" s="227" t="s">
        <v>3356</v>
      </c>
      <c r="F1003" s="165" t="e" cm="1">
        <f t="array" aca="1" ref="F1003" ca="1">MID(LEFT(#REF!, INDEX(_xlfn._xlws.FILTER(ROW(INDIRECT("1:" &amp; LEN(#REF!))), (48 &lt;= CODE(MID(#REF!, ROW(INDIRECT("1:" &amp; LEN(#REF!))), 1))) * (CODE(MID(#REF!, ROW(INDIRECT("1:" &amp; LEN(#REF!))), 1)) &lt;= 57)), 1) - 1), FIND(":",#REF!) + 2, LEN(#REF!))</f>
        <v>#REF!</v>
      </c>
      <c r="G1003" s="227" t="e">
        <f>MID(LEFT(#REF!, FIND(",",#REF!) - 1), FIND("{token}", SUBSTITUTE(#REF!, " ", "{token}", 2)) + 1, LEN(#REF!))</f>
        <v>#REF!</v>
      </c>
      <c r="H1003" s="165">
        <v>2.19</v>
      </c>
      <c r="I1003" s="230">
        <v>45657</v>
      </c>
      <c r="J1003" s="230" t="s">
        <v>34</v>
      </c>
      <c r="K1003" s="226">
        <v>45657</v>
      </c>
      <c r="L1003" s="259" t="s">
        <v>1671</v>
      </c>
      <c r="M1003" s="222">
        <v>1299</v>
      </c>
      <c r="N1003" s="2" t="str">
        <f t="shared" ca="1" si="31"/>
        <v>CLOSED</v>
      </c>
    </row>
    <row r="1004" spans="1:14" ht="30">
      <c r="A1004" s="64" t="s">
        <v>125</v>
      </c>
      <c r="B1004" s="98" t="e">
        <f>VLOOKUP([2]!Table27[[#This Row],[Location 
(drop-down)]],'[2]List source'!D$2:E$59,2,FALSE)</f>
        <v>#VALUE!</v>
      </c>
      <c r="C1004" s="179" t="s">
        <v>3357</v>
      </c>
      <c r="D1004" s="212" t="e">
        <f t="shared" si="30"/>
        <v>#VALUE!</v>
      </c>
      <c r="E1004" s="227" t="s">
        <v>3358</v>
      </c>
      <c r="F1004" s="165" t="e" cm="1">
        <f t="array" aca="1" ref="F1004" ca="1">MID(LEFT(#REF!, INDEX(_xlfn._xlws.FILTER(ROW(INDIRECT("1:" &amp; LEN(#REF!))), (48 &lt;= CODE(MID(#REF!, ROW(INDIRECT("1:" &amp; LEN(#REF!))), 1))) * (CODE(MID(#REF!, ROW(INDIRECT("1:" &amp; LEN(#REF!))), 1)) &lt;= 57)), 1) - 1), FIND(":",#REF!) + 2, LEN(#REF!))</f>
        <v>#REF!</v>
      </c>
      <c r="G1004" s="227" t="e">
        <f>MID(LEFT(#REF!, FIND(",",#REF!) - 1), FIND("{token}", SUBSTITUTE(#REF!, " ", "{token}", 2)) + 1, LEN(#REF!))</f>
        <v>#REF!</v>
      </c>
      <c r="H1004" s="236" t="s">
        <v>1799</v>
      </c>
      <c r="I1004" s="230">
        <v>45657</v>
      </c>
      <c r="J1004" s="230" t="s">
        <v>34</v>
      </c>
      <c r="K1004" s="226">
        <v>45657</v>
      </c>
      <c r="L1004" s="259" t="s">
        <v>1671</v>
      </c>
      <c r="M1004" s="222">
        <v>1300</v>
      </c>
      <c r="N1004" s="2" t="str">
        <f t="shared" ca="1" si="31"/>
        <v>CLOSED</v>
      </c>
    </row>
    <row r="1005" spans="1:14" ht="30">
      <c r="A1005" s="64" t="s">
        <v>125</v>
      </c>
      <c r="B1005" s="98" t="e">
        <f>VLOOKUP([2]!Table27[[#This Row],[Location 
(drop-down)]],'[2]List source'!D$2:E$59,2,FALSE)</f>
        <v>#VALUE!</v>
      </c>
      <c r="C1005" s="179" t="s">
        <v>3359</v>
      </c>
      <c r="D1005" s="212" t="e">
        <f t="shared" si="30"/>
        <v>#VALUE!</v>
      </c>
      <c r="E1005" s="227" t="s">
        <v>3360</v>
      </c>
      <c r="F1005" s="165" t="e" cm="1">
        <f t="array" aca="1" ref="F1005" ca="1">MID(LEFT(#REF!, INDEX(_xlfn._xlws.FILTER(ROW(INDIRECT("1:" &amp; LEN(#REF!))), (48 &lt;= CODE(MID(#REF!, ROW(INDIRECT("1:" &amp; LEN(#REF!))), 1))) * (CODE(MID(#REF!, ROW(INDIRECT("1:" &amp; LEN(#REF!))), 1)) &lt;= 57)), 1) - 1), FIND(":",#REF!) + 2, LEN(#REF!))</f>
        <v>#REF!</v>
      </c>
      <c r="G1005" s="227" t="e">
        <f>MID(LEFT(#REF!, FIND(",",#REF!) - 1), FIND("{token}", SUBSTITUTE(#REF!, " ", "{token}", 2)) + 1, LEN(#REF!))</f>
        <v>#REF!</v>
      </c>
      <c r="H1005" s="165" t="s">
        <v>3361</v>
      </c>
      <c r="I1005" s="230">
        <v>45657</v>
      </c>
      <c r="J1005" s="230" t="s">
        <v>34</v>
      </c>
      <c r="K1005" s="226">
        <v>45657</v>
      </c>
      <c r="L1005" s="259" t="s">
        <v>1671</v>
      </c>
      <c r="M1005" s="222">
        <v>1301</v>
      </c>
      <c r="N1005" s="2" t="str">
        <f t="shared" ca="1" si="31"/>
        <v>CLOSED</v>
      </c>
    </row>
    <row r="1006" spans="1:14" ht="30">
      <c r="A1006" s="64" t="s">
        <v>294</v>
      </c>
      <c r="B1006" s="98" t="e">
        <f>VLOOKUP([2]!Table27[[#This Row],[Location 
(drop-down)]],'[2]List source'!D$2:E$59,2,FALSE)</f>
        <v>#VALUE!</v>
      </c>
      <c r="C1006" s="179" t="s">
        <v>3362</v>
      </c>
      <c r="D1006" s="212" t="e">
        <f t="shared" si="30"/>
        <v>#VALUE!</v>
      </c>
      <c r="E1006" s="227" t="s">
        <v>3363</v>
      </c>
      <c r="F1006" s="165" t="e" cm="1">
        <f t="array" aca="1" ref="F1006" ca="1">MID(LEFT(#REF!, INDEX(_xlfn._xlws.FILTER(ROW(INDIRECT("1:" &amp; LEN(#REF!))), (48 &lt;= CODE(MID(#REF!, ROW(INDIRECT("1:" &amp; LEN(#REF!))), 1))) * (CODE(MID(#REF!, ROW(INDIRECT("1:" &amp; LEN(#REF!))), 1)) &lt;= 57)), 1) - 1), FIND(":",#REF!) + 2, LEN(#REF!))</f>
        <v>#REF!</v>
      </c>
      <c r="G1006" s="227" t="e">
        <f>MID(LEFT(#REF!, FIND(",",#REF!) - 1), FIND("{token}", SUBSTITUTE(#REF!, " ", "{token}", 2)) + 1, LEN(#REF!))</f>
        <v>#REF!</v>
      </c>
      <c r="H1006" s="236" t="s">
        <v>2335</v>
      </c>
      <c r="I1006" s="230">
        <v>45657</v>
      </c>
      <c r="J1006" s="230" t="s">
        <v>34</v>
      </c>
      <c r="K1006" s="226">
        <v>45657</v>
      </c>
      <c r="L1006" s="259" t="s">
        <v>1671</v>
      </c>
      <c r="M1006" s="222">
        <v>1307</v>
      </c>
      <c r="N1006" s="2" t="str">
        <f t="shared" ca="1" si="31"/>
        <v>CLOSED</v>
      </c>
    </row>
    <row r="1007" spans="1:14" ht="30">
      <c r="A1007" s="64" t="s">
        <v>323</v>
      </c>
      <c r="B1007" s="98" t="e">
        <f>VLOOKUP([2]!Table27[[#This Row],[Location 
(drop-down)]],'[2]List source'!D$2:E$59,2,FALSE)</f>
        <v>#VALUE!</v>
      </c>
      <c r="C1007" s="179" t="s">
        <v>3364</v>
      </c>
      <c r="D1007" s="212" t="e">
        <f t="shared" si="30"/>
        <v>#VALUE!</v>
      </c>
      <c r="E1007" s="227" t="s">
        <v>3365</v>
      </c>
      <c r="F1007" s="165" t="e" cm="1">
        <f t="array" aca="1" ref="F1007" ca="1">MID(LEFT(#REF!, INDEX(_xlfn._xlws.FILTER(ROW(INDIRECT("1:" &amp; LEN(#REF!))), (48 &lt;= CODE(MID(#REF!, ROW(INDIRECT("1:" &amp; LEN(#REF!))), 1))) * (CODE(MID(#REF!, ROW(INDIRECT("1:" &amp; LEN(#REF!))), 1)) &lt;= 57)), 1) - 1), FIND(":",#REF!) + 2, LEN(#REF!))</f>
        <v>#REF!</v>
      </c>
      <c r="G1007" s="227" t="e">
        <f>MID(LEFT(#REF!, FIND(",",#REF!) - 1), FIND("{token}", SUBSTITUTE(#REF!, " ", "{token}", 2)) + 1, LEN(#REF!))</f>
        <v>#REF!</v>
      </c>
      <c r="H1007" s="236" t="s">
        <v>2315</v>
      </c>
      <c r="I1007" s="230">
        <v>45657</v>
      </c>
      <c r="J1007" s="230" t="s">
        <v>34</v>
      </c>
      <c r="K1007" s="226">
        <v>45657</v>
      </c>
      <c r="L1007" s="259" t="s">
        <v>1671</v>
      </c>
      <c r="M1007" s="222">
        <v>1308</v>
      </c>
      <c r="N1007" s="2" t="str">
        <f t="shared" ca="1" si="31"/>
        <v>CLOSED</v>
      </c>
    </row>
    <row r="1008" spans="1:14" ht="15">
      <c r="A1008" s="64" t="s">
        <v>53</v>
      </c>
      <c r="B1008" s="98" t="e">
        <f>VLOOKUP([2]!Table27[[#This Row],[Location 
(drop-down)]],'[2]List source'!D$2:E$59,2,FALSE)</f>
        <v>#VALUE!</v>
      </c>
      <c r="C1008" s="179" t="s">
        <v>3366</v>
      </c>
      <c r="D1008" s="212" t="e">
        <f t="shared" si="30"/>
        <v>#VALUE!</v>
      </c>
      <c r="E1008" s="227" t="s">
        <v>3367</v>
      </c>
      <c r="F1008" s="165" t="e" cm="1">
        <f t="array" aca="1" ref="F1008" ca="1">MID(LEFT(#REF!, INDEX(_xlfn._xlws.FILTER(ROW(INDIRECT("1:" &amp; LEN(#REF!))), (48 &lt;= CODE(MID(#REF!, ROW(INDIRECT("1:" &amp; LEN(#REF!))), 1))) * (CODE(MID(#REF!, ROW(INDIRECT("1:" &amp; LEN(#REF!))), 1)) &lt;= 57)), 1) - 1), FIND(":",#REF!) + 2, LEN(#REF!))</f>
        <v>#REF!</v>
      </c>
      <c r="G1008" s="227" t="e">
        <f>MID(LEFT(#REF!, FIND(",",#REF!) - 1), FIND("{token}", SUBSTITUTE(#REF!, " ", "{token}", 2)) + 1, LEN(#REF!))</f>
        <v>#REF!</v>
      </c>
      <c r="H1008" s="165">
        <v>2.96</v>
      </c>
      <c r="I1008" s="230">
        <v>45657</v>
      </c>
      <c r="J1008" s="230" t="s">
        <v>34</v>
      </c>
      <c r="K1008" s="226">
        <v>45657</v>
      </c>
      <c r="L1008" s="259" t="s">
        <v>1671</v>
      </c>
      <c r="M1008" s="222">
        <v>1310</v>
      </c>
      <c r="N1008" s="2" t="str">
        <f t="shared" ca="1" si="31"/>
        <v>CLOSED</v>
      </c>
    </row>
    <row r="1009" spans="1:14" ht="15">
      <c r="A1009" s="64" t="s">
        <v>621</v>
      </c>
      <c r="B1009" s="98" t="e">
        <f>VLOOKUP([2]!Table27[[#This Row],[Location 
(drop-down)]],'[2]List source'!D$2:E$59,2,FALSE)</f>
        <v>#VALUE!</v>
      </c>
      <c r="C1009" s="179" t="s">
        <v>3368</v>
      </c>
      <c r="D1009" s="212" t="e">
        <f t="shared" si="30"/>
        <v>#VALUE!</v>
      </c>
      <c r="E1009" s="227" t="s">
        <v>3369</v>
      </c>
      <c r="F1009" s="165" t="e" cm="1">
        <f t="array" aca="1" ref="F1009" ca="1">MID(LEFT(#REF!, INDEX(_xlfn._xlws.FILTER(ROW(INDIRECT("1:" &amp; LEN(#REF!))), (48 &lt;= CODE(MID(#REF!, ROW(INDIRECT("1:" &amp; LEN(#REF!))), 1))) * (CODE(MID(#REF!, ROW(INDIRECT("1:" &amp; LEN(#REF!))), 1)) &lt;= 57)), 1) - 1), FIND(":",#REF!) + 2, LEN(#REF!))</f>
        <v>#REF!</v>
      </c>
      <c r="G1009" s="227" t="e">
        <f>MID(LEFT(#REF!, FIND(",",#REF!) - 1), FIND("{token}", SUBSTITUTE(#REF!, " ", "{token}", 2)) + 1, LEN(#REF!))</f>
        <v>#REF!</v>
      </c>
      <c r="H1009" s="236" t="s">
        <v>2650</v>
      </c>
      <c r="I1009" s="230">
        <v>45657</v>
      </c>
      <c r="J1009" s="230" t="s">
        <v>34</v>
      </c>
      <c r="K1009" s="226">
        <v>45657</v>
      </c>
      <c r="L1009" s="259" t="s">
        <v>1671</v>
      </c>
      <c r="M1009" s="222">
        <v>1313</v>
      </c>
      <c r="N1009" s="2" t="str">
        <f t="shared" ca="1" si="31"/>
        <v>CLOSED</v>
      </c>
    </row>
    <row r="1010" spans="1:14" ht="30">
      <c r="A1010" s="64" t="s">
        <v>202</v>
      </c>
      <c r="B1010" s="98" t="e">
        <f>VLOOKUP([2]!Table27[[#This Row],[Location 
(drop-down)]],'[2]List source'!D$2:E$59,2,FALSE)</f>
        <v>#VALUE!</v>
      </c>
      <c r="C1010" s="179" t="s">
        <v>3370</v>
      </c>
      <c r="D1010" s="212" t="e">
        <f t="shared" si="30"/>
        <v>#VALUE!</v>
      </c>
      <c r="E1010" s="227" t="s">
        <v>3371</v>
      </c>
      <c r="F1010" s="165" t="e" cm="1">
        <f t="array" aca="1" ref="F1010" ca="1">MID(LEFT(#REF!, INDEX(_xlfn._xlws.FILTER(ROW(INDIRECT("1:" &amp; LEN(#REF!))), (48 &lt;= CODE(MID(#REF!, ROW(INDIRECT("1:" &amp; LEN(#REF!))), 1))) * (CODE(MID(#REF!, ROW(INDIRECT("1:" &amp; LEN(#REF!))), 1)) &lt;= 57)), 1) - 1), FIND(":",#REF!) + 2, LEN(#REF!))</f>
        <v>#REF!</v>
      </c>
      <c r="G1010" s="227" t="e">
        <f>MID(LEFT(#REF!, FIND(",",#REF!) - 1), FIND("{token}", SUBSTITUTE(#REF!, " ", "{token}", 2)) + 1, LEN(#REF!))</f>
        <v>#REF!</v>
      </c>
      <c r="H1010" s="165" t="s">
        <v>3372</v>
      </c>
      <c r="I1010" s="230">
        <v>45657</v>
      </c>
      <c r="J1010" s="230" t="s">
        <v>34</v>
      </c>
      <c r="K1010" s="226">
        <v>45657</v>
      </c>
      <c r="L1010" s="259" t="s">
        <v>1671</v>
      </c>
      <c r="M1010" s="222">
        <v>1314</v>
      </c>
      <c r="N1010" s="2" t="str">
        <f t="shared" ca="1" si="31"/>
        <v>CLOSED</v>
      </c>
    </row>
    <row r="1011" spans="1:14" ht="15">
      <c r="A1011" s="64" t="s">
        <v>139</v>
      </c>
      <c r="B1011" s="98" t="e">
        <f>VLOOKUP([2]!Table27[[#This Row],[Location 
(drop-down)]],'[2]List source'!D$2:E$59,2,FALSE)</f>
        <v>#VALUE!</v>
      </c>
      <c r="C1011" s="179" t="s">
        <v>3373</v>
      </c>
      <c r="D1011" s="212" t="e">
        <f t="shared" si="30"/>
        <v>#VALUE!</v>
      </c>
      <c r="E1011" s="227" t="s">
        <v>3356</v>
      </c>
      <c r="F1011" s="165" t="e" cm="1">
        <f t="array" aca="1" ref="F1011" ca="1">MID(LEFT(#REF!, INDEX(_xlfn._xlws.FILTER(ROW(INDIRECT("1:" &amp; LEN(#REF!))), (48 &lt;= CODE(MID(#REF!, ROW(INDIRECT("1:" &amp; LEN(#REF!))), 1))) * (CODE(MID(#REF!, ROW(INDIRECT("1:" &amp; LEN(#REF!))), 1)) &lt;= 57)), 1) - 1), FIND(":",#REF!) + 2, LEN(#REF!))</f>
        <v>#REF!</v>
      </c>
      <c r="G1011" s="227" t="e">
        <f>MID(LEFT(#REF!, FIND(",",#REF!) - 1), FIND("{token}", SUBSTITUTE(#REF!, " ", "{token}", 2)) + 1, LEN(#REF!))</f>
        <v>#REF!</v>
      </c>
      <c r="H1011" s="236" t="s">
        <v>3374</v>
      </c>
      <c r="I1011" s="230">
        <v>45657</v>
      </c>
      <c r="J1011" s="230" t="s">
        <v>34</v>
      </c>
      <c r="K1011" s="226">
        <v>45657</v>
      </c>
      <c r="L1011" s="259" t="s">
        <v>1671</v>
      </c>
      <c r="M1011" s="222">
        <v>1315</v>
      </c>
      <c r="N1011" s="2" t="str">
        <f t="shared" ca="1" si="31"/>
        <v>CLOSED</v>
      </c>
    </row>
    <row r="1012" spans="1:14" ht="30">
      <c r="A1012" s="64" t="s">
        <v>125</v>
      </c>
      <c r="B1012" s="98" t="e">
        <f>VLOOKUP([2]!Table27[[#This Row],[Location 
(drop-down)]],'[2]List source'!D$2:E$59,2,FALSE)</f>
        <v>#VALUE!</v>
      </c>
      <c r="C1012" s="179" t="s">
        <v>3375</v>
      </c>
      <c r="D1012" s="212" t="e">
        <f t="shared" si="30"/>
        <v>#VALUE!</v>
      </c>
      <c r="E1012" s="227" t="s">
        <v>3376</v>
      </c>
      <c r="F1012" s="165" t="e" cm="1">
        <f t="array" aca="1" ref="F1012" ca="1">MID(LEFT(#REF!, INDEX(_xlfn._xlws.FILTER(ROW(INDIRECT("1:" &amp; LEN(#REF!))), (48 &lt;= CODE(MID(#REF!, ROW(INDIRECT("1:" &amp; LEN(#REF!))), 1))) * (CODE(MID(#REF!, ROW(INDIRECT("1:" &amp; LEN(#REF!))), 1)) &lt;= 57)), 1) - 1), FIND(":",#REF!) + 2, LEN(#REF!))</f>
        <v>#REF!</v>
      </c>
      <c r="G1012" s="227" t="e">
        <f>MID(LEFT(#REF!, FIND(",",#REF!) - 1), FIND("{token}", SUBSTITUTE(#REF!, " ", "{token}", 2)) + 1, LEN(#REF!))</f>
        <v>#REF!</v>
      </c>
      <c r="H1012" s="236" t="s">
        <v>1883</v>
      </c>
      <c r="I1012" s="230">
        <v>45657</v>
      </c>
      <c r="J1012" s="230" t="s">
        <v>34</v>
      </c>
      <c r="K1012" s="226">
        <v>45657</v>
      </c>
      <c r="L1012" s="259" t="s">
        <v>1671</v>
      </c>
      <c r="M1012" s="222">
        <v>1322</v>
      </c>
      <c r="N1012" s="2" t="str">
        <f t="shared" ca="1" si="31"/>
        <v>CLOSED</v>
      </c>
    </row>
    <row r="1013" spans="1:14" ht="15">
      <c r="A1013" s="64" t="s">
        <v>314</v>
      </c>
      <c r="B1013" s="98" t="e">
        <f>VLOOKUP([2]!Table27[[#This Row],[Location 
(drop-down)]],'[2]List source'!D$2:E$59,2,FALSE)</f>
        <v>#VALUE!</v>
      </c>
      <c r="C1013" s="179" t="s">
        <v>3377</v>
      </c>
      <c r="D1013" s="212" t="e">
        <f t="shared" si="30"/>
        <v>#VALUE!</v>
      </c>
      <c r="E1013" s="227" t="s">
        <v>3378</v>
      </c>
      <c r="F1013" s="165" t="e" cm="1">
        <f t="array" aca="1" ref="F1013" ca="1">MID(LEFT(#REF!, INDEX(_xlfn._xlws.FILTER(ROW(INDIRECT("1:" &amp; LEN(#REF!))), (48 &lt;= CODE(MID(#REF!, ROW(INDIRECT("1:" &amp; LEN(#REF!))), 1))) * (CODE(MID(#REF!, ROW(INDIRECT("1:" &amp; LEN(#REF!))), 1)) &lt;= 57)), 1) - 1), FIND(":",#REF!) + 2, LEN(#REF!))</f>
        <v>#REF!</v>
      </c>
      <c r="G1013" s="227" t="s">
        <v>3379</v>
      </c>
      <c r="H1013" s="165">
        <v>2.48</v>
      </c>
      <c r="I1013" s="230">
        <v>45657</v>
      </c>
      <c r="J1013" s="230" t="s">
        <v>34</v>
      </c>
      <c r="K1013" s="226">
        <v>45657</v>
      </c>
      <c r="L1013" s="259" t="s">
        <v>1671</v>
      </c>
      <c r="M1013" s="222">
        <v>1327</v>
      </c>
      <c r="N1013" s="2" t="str">
        <f t="shared" ca="1" si="31"/>
        <v>CLOSED</v>
      </c>
    </row>
    <row r="1014" spans="1:14" ht="15">
      <c r="A1014" s="64" t="s">
        <v>314</v>
      </c>
      <c r="B1014" s="98" t="e">
        <f>VLOOKUP([2]!Table27[[#This Row],[Location 
(drop-down)]],'[2]List source'!D$2:E$59,2,FALSE)</f>
        <v>#VALUE!</v>
      </c>
      <c r="C1014" s="179" t="s">
        <v>3380</v>
      </c>
      <c r="D1014" s="212" t="e">
        <f t="shared" si="30"/>
        <v>#VALUE!</v>
      </c>
      <c r="E1014" s="227" t="s">
        <v>3381</v>
      </c>
      <c r="F1014" s="165" t="e" cm="1">
        <f t="array" aca="1" ref="F1014" ca="1">MID(LEFT(#REF!, INDEX(_xlfn._xlws.FILTER(ROW(INDIRECT("1:" &amp; LEN(#REF!))), (48 &lt;= CODE(MID(#REF!, ROW(INDIRECT("1:" &amp; LEN(#REF!))), 1))) * (CODE(MID(#REF!, ROW(INDIRECT("1:" &amp; LEN(#REF!))), 1)) &lt;= 57)), 1) - 1), FIND(":",#REF!) + 2, LEN(#REF!))</f>
        <v>#REF!</v>
      </c>
      <c r="G1014" s="227" t="s">
        <v>3382</v>
      </c>
      <c r="H1014" s="165">
        <v>2.21</v>
      </c>
      <c r="I1014" s="230">
        <v>45657</v>
      </c>
      <c r="J1014" s="230" t="s">
        <v>34</v>
      </c>
      <c r="K1014" s="226">
        <v>45657</v>
      </c>
      <c r="L1014" s="259" t="s">
        <v>1671</v>
      </c>
      <c r="M1014" s="222">
        <v>1328</v>
      </c>
      <c r="N1014" s="2" t="str">
        <f t="shared" ca="1" si="31"/>
        <v>CLOSED</v>
      </c>
    </row>
    <row r="1015" spans="1:14" ht="15">
      <c r="A1015" s="64" t="s">
        <v>139</v>
      </c>
      <c r="B1015" s="98" t="e">
        <f>VLOOKUP([2]!Table27[[#This Row],[Location 
(drop-down)]],'[2]List source'!D$2:E$59,2,FALSE)</f>
        <v>#VALUE!</v>
      </c>
      <c r="C1015" s="179" t="s">
        <v>3383</v>
      </c>
      <c r="D1015" s="212" t="e">
        <f t="shared" si="30"/>
        <v>#VALUE!</v>
      </c>
      <c r="E1015" s="227" t="s">
        <v>3384</v>
      </c>
      <c r="F1015" s="165" t="e" cm="1">
        <f t="array" aca="1" ref="F1015" ca="1">MID(LEFT(#REF!, INDEX(_xlfn._xlws.FILTER(ROW(INDIRECT("1:" &amp; LEN(#REF!))), (48 &lt;= CODE(MID(#REF!, ROW(INDIRECT("1:" &amp; LEN(#REF!))), 1))) * (CODE(MID(#REF!, ROW(INDIRECT("1:" &amp; LEN(#REF!))), 1)) &lt;= 57)), 1) - 1), FIND(":",#REF!) + 2, LEN(#REF!))</f>
        <v>#REF!</v>
      </c>
      <c r="G1015" s="227" t="e">
        <f>MID(LEFT(#REF!, FIND(",",#REF!) - 1), FIND("{token}", SUBSTITUTE(#REF!, " ", "{token}", 2)) + 1, LEN(#REF!))</f>
        <v>#REF!</v>
      </c>
      <c r="H1015" s="236" t="s">
        <v>1965</v>
      </c>
      <c r="I1015" s="230">
        <v>45657</v>
      </c>
      <c r="J1015" s="230" t="s">
        <v>34</v>
      </c>
      <c r="K1015" s="226">
        <v>45657</v>
      </c>
      <c r="L1015" s="259" t="s">
        <v>1671</v>
      </c>
      <c r="M1015" s="222">
        <v>1329</v>
      </c>
      <c r="N1015" s="2" t="str">
        <f t="shared" ca="1" si="31"/>
        <v>CLOSED</v>
      </c>
    </row>
    <row r="1016" spans="1:14" ht="15">
      <c r="A1016" s="64" t="s">
        <v>15</v>
      </c>
      <c r="B1016" s="98" t="e">
        <f>VLOOKUP([2]!Table27[[#This Row],[Location 
(drop-down)]],'[2]List source'!D$2:E$59,2,FALSE)</f>
        <v>#VALUE!</v>
      </c>
      <c r="C1016" s="179" t="s">
        <v>3385</v>
      </c>
      <c r="D1016" s="212" t="e">
        <f t="shared" si="30"/>
        <v>#VALUE!</v>
      </c>
      <c r="E1016" s="227" t="s">
        <v>3378</v>
      </c>
      <c r="F1016" s="165" t="e" cm="1">
        <f t="array" aca="1" ref="F1016" ca="1">MID(LEFT(#REF!, INDEX(_xlfn._xlws.FILTER(ROW(INDIRECT("1:" &amp; LEN(#REF!))), (48 &lt;= CODE(MID(#REF!, ROW(INDIRECT("1:" &amp; LEN(#REF!))), 1))) * (CODE(MID(#REF!, ROW(INDIRECT("1:" &amp; LEN(#REF!))), 1)) &lt;= 57)), 1) - 1), FIND(":",#REF!) + 2, LEN(#REF!))</f>
        <v>#REF!</v>
      </c>
      <c r="G1016" s="227" t="s">
        <v>3379</v>
      </c>
      <c r="H1016" s="165">
        <v>2.6</v>
      </c>
      <c r="I1016" s="230">
        <v>45657</v>
      </c>
      <c r="J1016" s="230" t="s">
        <v>34</v>
      </c>
      <c r="K1016" s="226">
        <v>45657</v>
      </c>
      <c r="L1016" s="259" t="s">
        <v>1671</v>
      </c>
      <c r="M1016" s="222">
        <v>1330</v>
      </c>
      <c r="N1016" s="2" t="str">
        <f t="shared" ca="1" si="31"/>
        <v>CLOSED</v>
      </c>
    </row>
    <row r="1017" spans="1:14" ht="30">
      <c r="A1017" s="64" t="s">
        <v>1334</v>
      </c>
      <c r="B1017" s="98" t="e">
        <f>VLOOKUP([2]!Table27[[#This Row],[Location 
(drop-down)]],'[2]List source'!D$2:E$59,2,FALSE)</f>
        <v>#VALUE!</v>
      </c>
      <c r="C1017" s="179" t="s">
        <v>3386</v>
      </c>
      <c r="D1017" s="212" t="e">
        <f t="shared" si="30"/>
        <v>#VALUE!</v>
      </c>
      <c r="E1017" s="227" t="s">
        <v>3387</v>
      </c>
      <c r="F1017" s="165" t="e" cm="1">
        <f t="array" aca="1" ref="F1017" ca="1">MID(LEFT(#REF!, INDEX(_xlfn._xlws.FILTER(ROW(INDIRECT("1:" &amp; LEN(#REF!))), (48 &lt;= CODE(MID(#REF!, ROW(INDIRECT("1:" &amp; LEN(#REF!))), 1))) * (CODE(MID(#REF!, ROW(INDIRECT("1:" &amp; LEN(#REF!))), 1)) &lt;= 57)), 1) - 1), FIND(":",#REF!) + 2, LEN(#REF!))</f>
        <v>#REF!</v>
      </c>
      <c r="G1017" s="227" t="e">
        <f>MID(LEFT(#REF!, FIND(",",#REF!) - 1), FIND("{token}", SUBSTITUTE(#REF!, " ", "{token}", 2)) + 1, LEN(#REF!))</f>
        <v>#REF!</v>
      </c>
      <c r="H1017" s="165" t="s">
        <v>3388</v>
      </c>
      <c r="I1017" s="230">
        <v>45657</v>
      </c>
      <c r="J1017" s="230" t="s">
        <v>34</v>
      </c>
      <c r="K1017" s="226">
        <v>45657</v>
      </c>
      <c r="L1017" s="165" t="s">
        <v>1773</v>
      </c>
      <c r="M1017" s="222">
        <v>1333</v>
      </c>
      <c r="N1017" s="2" t="str">
        <f t="shared" ca="1" si="31"/>
        <v>CLOSED</v>
      </c>
    </row>
    <row r="1018" spans="1:14" ht="30">
      <c r="A1018" s="64" t="s">
        <v>39</v>
      </c>
      <c r="B1018" s="98" t="e">
        <f>VLOOKUP([2]!Table27[[#This Row],[Location 
(drop-down)]],'[2]List source'!D$2:E$59,2,FALSE)</f>
        <v>#VALUE!</v>
      </c>
      <c r="C1018" s="179" t="s">
        <v>3389</v>
      </c>
      <c r="D1018" s="212" t="e">
        <f t="shared" si="30"/>
        <v>#VALUE!</v>
      </c>
      <c r="E1018" s="227" t="s">
        <v>3390</v>
      </c>
      <c r="F1018" s="165" t="e" cm="1">
        <f t="array" aca="1" ref="F1018" ca="1">MID(LEFT(#REF!, INDEX(_xlfn._xlws.FILTER(ROW(INDIRECT("1:" &amp; LEN(#REF!))), (48 &lt;= CODE(MID(#REF!, ROW(INDIRECT("1:" &amp; LEN(#REF!))), 1))) * (CODE(MID(#REF!, ROW(INDIRECT("1:" &amp; LEN(#REF!))), 1)) &lt;= 57)), 1) - 1), FIND(":",#REF!) + 2, LEN(#REF!))</f>
        <v>#REF!</v>
      </c>
      <c r="G1018" s="227" t="e">
        <f>MID(LEFT(#REF!, FIND(",",#REF!) - 1), FIND("{token}", SUBSTITUTE(#REF!, " ", "{token}", 2)) + 1, LEN(#REF!))</f>
        <v>#REF!</v>
      </c>
      <c r="H1018" s="236" t="s">
        <v>3000</v>
      </c>
      <c r="I1018" s="230">
        <v>45657</v>
      </c>
      <c r="J1018" s="230" t="s">
        <v>34</v>
      </c>
      <c r="K1018" s="226">
        <v>45657</v>
      </c>
      <c r="L1018" s="259" t="s">
        <v>1671</v>
      </c>
      <c r="M1018" s="222">
        <v>1335</v>
      </c>
      <c r="N1018" s="2" t="str">
        <f t="shared" ca="1" si="31"/>
        <v>CLOSED</v>
      </c>
    </row>
    <row r="1019" spans="1:14" ht="15">
      <c r="A1019" s="64" t="s">
        <v>462</v>
      </c>
      <c r="B1019" s="98" t="e">
        <f>VLOOKUP([2]!Table27[[#This Row],[Location 
(drop-down)]],'[2]List source'!D$2:E$59,2,FALSE)</f>
        <v>#VALUE!</v>
      </c>
      <c r="C1019" s="179" t="s">
        <v>3391</v>
      </c>
      <c r="D1019" s="212" t="e">
        <f t="shared" si="30"/>
        <v>#VALUE!</v>
      </c>
      <c r="E1019" s="227" t="s">
        <v>3392</v>
      </c>
      <c r="F1019" s="165" t="e" cm="1">
        <f t="array" aca="1" ref="F1019" ca="1">MID(LEFT(#REF!, INDEX(_xlfn._xlws.FILTER(ROW(INDIRECT("1:" &amp; LEN(#REF!))), (48 &lt;= CODE(MID(#REF!, ROW(INDIRECT("1:" &amp; LEN(#REF!))), 1))) * (CODE(MID(#REF!, ROW(INDIRECT("1:" &amp; LEN(#REF!))), 1)) &lt;= 57)), 1) - 1), FIND(":",#REF!) + 2, LEN(#REF!))</f>
        <v>#REF!</v>
      </c>
      <c r="G1019" s="227" t="e">
        <f>MID(LEFT(#REF!, FIND(",",#REF!) - 1), FIND("{token}", SUBSTITUTE(#REF!, " ", "{token}", 2)) + 1, LEN(#REF!))</f>
        <v>#REF!</v>
      </c>
      <c r="H1019" s="165">
        <v>2.46</v>
      </c>
      <c r="I1019" s="230">
        <v>45657</v>
      </c>
      <c r="J1019" s="230" t="s">
        <v>34</v>
      </c>
      <c r="K1019" s="226">
        <v>45657</v>
      </c>
      <c r="L1019" s="259" t="s">
        <v>1671</v>
      </c>
      <c r="M1019" s="222">
        <v>1339</v>
      </c>
      <c r="N1019" s="2" t="str">
        <f t="shared" ca="1" si="31"/>
        <v>CLOSED</v>
      </c>
    </row>
    <row r="1020" spans="1:14" ht="30">
      <c r="A1020" s="64" t="s">
        <v>125</v>
      </c>
      <c r="B1020" s="98" t="e">
        <f>VLOOKUP([2]!Table27[[#This Row],[Location 
(drop-down)]],'[2]List source'!D$2:E$59,2,FALSE)</f>
        <v>#VALUE!</v>
      </c>
      <c r="C1020" s="179" t="s">
        <v>3393</v>
      </c>
      <c r="D1020" s="212" t="e">
        <f t="shared" si="30"/>
        <v>#VALUE!</v>
      </c>
      <c r="E1020" s="227" t="s">
        <v>3394</v>
      </c>
      <c r="F1020" s="165" t="e" cm="1">
        <f t="array" aca="1" ref="F1020" ca="1">MID(LEFT(#REF!, INDEX(_xlfn._xlws.FILTER(ROW(INDIRECT("1:" &amp; LEN(#REF!))), (48 &lt;= CODE(MID(#REF!, ROW(INDIRECT("1:" &amp; LEN(#REF!))), 1))) * (CODE(MID(#REF!, ROW(INDIRECT("1:" &amp; LEN(#REF!))), 1)) &lt;= 57)), 1) - 1), FIND(":",#REF!) + 2, LEN(#REF!))</f>
        <v>#REF!</v>
      </c>
      <c r="G1020" s="227" t="e">
        <f>MID(LEFT(#REF!, FIND(",",#REF!) - 1), FIND("{token}", SUBSTITUTE(#REF!, " ", "{token}", 2)) + 1, LEN(#REF!))</f>
        <v>#REF!</v>
      </c>
      <c r="H1020" s="165">
        <v>2.11</v>
      </c>
      <c r="I1020" s="230">
        <v>45657</v>
      </c>
      <c r="J1020" s="230" t="s">
        <v>34</v>
      </c>
      <c r="K1020" s="226">
        <v>45657</v>
      </c>
      <c r="L1020" s="259" t="s">
        <v>1671</v>
      </c>
      <c r="M1020" s="222">
        <v>1340</v>
      </c>
      <c r="N1020" s="2" t="str">
        <f t="shared" ca="1" si="31"/>
        <v>CLOSED</v>
      </c>
    </row>
    <row r="1021" spans="1:14" ht="30">
      <c r="A1021" s="64" t="s">
        <v>119</v>
      </c>
      <c r="B1021" s="98" t="e">
        <f>VLOOKUP([2]!Table27[[#This Row],[Location 
(drop-down)]],'[2]List source'!D$2:E$59,2,FALSE)</f>
        <v>#VALUE!</v>
      </c>
      <c r="C1021" s="179" t="s">
        <v>3395</v>
      </c>
      <c r="D1021" s="212" t="e">
        <f t="shared" si="30"/>
        <v>#VALUE!</v>
      </c>
      <c r="E1021" s="227" t="s">
        <v>3396</v>
      </c>
      <c r="F1021" s="165" t="e" cm="1">
        <f t="array" aca="1" ref="F1021" ca="1">MID(LEFT(#REF!, INDEX(_xlfn._xlws.FILTER(ROW(INDIRECT("1:" &amp; LEN(#REF!))), (48 &lt;= CODE(MID(#REF!, ROW(INDIRECT("1:" &amp; LEN(#REF!))), 1))) * (CODE(MID(#REF!, ROW(INDIRECT("1:" &amp; LEN(#REF!))), 1)) &lt;= 57)), 1) - 1), FIND(":",#REF!) + 2, LEN(#REF!))</f>
        <v>#REF!</v>
      </c>
      <c r="G1021" s="227" t="e">
        <f>MID(LEFT(#REF!, FIND(",",#REF!) - 1), FIND("{token}", SUBSTITUTE(#REF!, " ", "{token}", 2)) + 1, LEN(#REF!))</f>
        <v>#REF!</v>
      </c>
      <c r="H1021" s="165">
        <v>2.0299999999999998</v>
      </c>
      <c r="I1021" s="230">
        <v>45657</v>
      </c>
      <c r="J1021" s="230" t="s">
        <v>34</v>
      </c>
      <c r="K1021" s="226">
        <v>45657</v>
      </c>
      <c r="L1021" s="259" t="s">
        <v>1671</v>
      </c>
      <c r="M1021" s="222">
        <v>1342</v>
      </c>
      <c r="N1021" s="2" t="str">
        <f t="shared" ca="1" si="31"/>
        <v>CLOSED</v>
      </c>
    </row>
    <row r="1022" spans="1:14" ht="15">
      <c r="A1022" s="64" t="s">
        <v>103</v>
      </c>
      <c r="B1022" s="98" t="e">
        <f>VLOOKUP([2]!Table27[[#This Row],[Location 
(drop-down)]],'[2]List source'!D$2:E$59,2,FALSE)</f>
        <v>#VALUE!</v>
      </c>
      <c r="C1022" s="179" t="s">
        <v>3397</v>
      </c>
      <c r="D1022" s="212" t="e">
        <f t="shared" si="30"/>
        <v>#VALUE!</v>
      </c>
      <c r="E1022" s="227" t="s">
        <v>3396</v>
      </c>
      <c r="F1022" s="165" t="e" cm="1">
        <f t="array" aca="1" ref="F1022" ca="1">MID(LEFT(#REF!, INDEX(_xlfn._xlws.FILTER(ROW(INDIRECT("1:" &amp; LEN(#REF!))), (48 &lt;= CODE(MID(#REF!, ROW(INDIRECT("1:" &amp; LEN(#REF!))), 1))) * (CODE(MID(#REF!, ROW(INDIRECT("1:" &amp; LEN(#REF!))), 1)) &lt;= 57)), 1) - 1), FIND(":",#REF!) + 2, LEN(#REF!))</f>
        <v>#REF!</v>
      </c>
      <c r="G1022" s="227" t="e">
        <f>MID(LEFT(#REF!, FIND(",",#REF!) - 1), FIND("{token}", SUBSTITUTE(#REF!, " ", "{token}", 2)) + 1, LEN(#REF!))</f>
        <v>#REF!</v>
      </c>
      <c r="H1022" s="165">
        <v>2.0299999999999998</v>
      </c>
      <c r="I1022" s="230">
        <v>45657</v>
      </c>
      <c r="J1022" s="230" t="s">
        <v>34</v>
      </c>
      <c r="K1022" s="226">
        <v>45657</v>
      </c>
      <c r="L1022" s="259" t="s">
        <v>1671</v>
      </c>
      <c r="M1022" s="222">
        <v>1349</v>
      </c>
      <c r="N1022" s="2" t="str">
        <f t="shared" ca="1" si="31"/>
        <v>CLOSED</v>
      </c>
    </row>
    <row r="1023" spans="1:14" ht="15">
      <c r="A1023" s="64" t="s">
        <v>311</v>
      </c>
      <c r="B1023" s="98" t="e">
        <f>VLOOKUP([2]!Table27[[#This Row],[Location 
(drop-down)]],'[2]List source'!D$2:E$59,2,FALSE)</f>
        <v>#VALUE!</v>
      </c>
      <c r="C1023" s="179" t="s">
        <v>3398</v>
      </c>
      <c r="D1023" s="2" t="e">
        <f t="shared" si="30"/>
        <v>#VALUE!</v>
      </c>
      <c r="E1023" s="227" t="s">
        <v>3399</v>
      </c>
      <c r="F1023" s="165" t="e" cm="1">
        <f t="array" aca="1" ref="F1023" ca="1">MID(LEFT(#REF!, INDEX(_xlfn._xlws.FILTER(ROW(INDIRECT("1:" &amp; LEN(#REF!))), (48 &lt;= CODE(MID(#REF!, ROW(INDIRECT("1:" &amp; LEN(#REF!))), 1))) * (CODE(MID(#REF!, ROW(INDIRECT("1:" &amp; LEN(#REF!))), 1)) &lt;= 57)), 1) - 1), FIND(":",#REF!) + 2, LEN(#REF!))</f>
        <v>#REF!</v>
      </c>
      <c r="G1023" s="227" t="e">
        <f>MID(LEFT(#REF!, FIND(",",#REF!) - 1), FIND("{token}", SUBSTITUTE(#REF!, " ", "{token}", 2)) + 1, LEN(#REF!))</f>
        <v>#REF!</v>
      </c>
      <c r="H1023" s="165">
        <v>2.7</v>
      </c>
      <c r="I1023" s="230">
        <v>45657</v>
      </c>
      <c r="J1023" s="230" t="s">
        <v>34</v>
      </c>
      <c r="K1023" s="226">
        <v>45657</v>
      </c>
      <c r="L1023" s="259" t="s">
        <v>1671</v>
      </c>
      <c r="M1023" s="222">
        <v>1352</v>
      </c>
      <c r="N1023" s="2" t="str">
        <f t="shared" ca="1" si="31"/>
        <v>CLOSED</v>
      </c>
    </row>
    <row r="1024" spans="1:14" ht="30">
      <c r="A1024" s="64" t="s">
        <v>500</v>
      </c>
      <c r="B1024" s="98" t="e">
        <f>VLOOKUP([2]!Table27[[#This Row],[Location 
(drop-down)]],'[2]List source'!D$2:E$59,2,FALSE)</f>
        <v>#VALUE!</v>
      </c>
      <c r="C1024" s="179" t="s">
        <v>3400</v>
      </c>
      <c r="D1024" s="2" t="e">
        <f t="shared" si="30"/>
        <v>#VALUE!</v>
      </c>
      <c r="E1024" s="227" t="s">
        <v>3401</v>
      </c>
      <c r="F1024" s="165" t="e" cm="1">
        <f t="array" aca="1" ref="F1024" ca="1">MID(LEFT(#REF!, INDEX(_xlfn._xlws.FILTER(ROW(INDIRECT("1:" &amp; LEN(#REF!))), (48 &lt;= CODE(MID(#REF!, ROW(INDIRECT("1:" &amp; LEN(#REF!))), 1))) * (CODE(MID(#REF!, ROW(INDIRECT("1:" &amp; LEN(#REF!))), 1)) &lt;= 57)), 1) - 1), FIND(":",#REF!) + 2, LEN(#REF!))</f>
        <v>#REF!</v>
      </c>
      <c r="G1024" s="227" t="e">
        <f>MID(LEFT(#REF!, FIND(",",#REF!) - 1), FIND("{token}", SUBSTITUTE(#REF!, " ", "{token}", 2)) + 1, LEN(#REF!))</f>
        <v>#REF!</v>
      </c>
      <c r="H1024" s="236" t="s">
        <v>3402</v>
      </c>
      <c r="I1024" s="230">
        <v>45657</v>
      </c>
      <c r="J1024" s="230" t="s">
        <v>34</v>
      </c>
      <c r="K1024" s="226">
        <v>45657</v>
      </c>
      <c r="L1024" s="259" t="s">
        <v>1671</v>
      </c>
      <c r="M1024" s="222">
        <v>1365</v>
      </c>
      <c r="N1024" s="2" t="str">
        <f t="shared" ca="1" si="31"/>
        <v>CLOSED</v>
      </c>
    </row>
    <row r="1025" spans="1:14" ht="15">
      <c r="A1025" s="64" t="s">
        <v>15</v>
      </c>
      <c r="B1025" s="98" t="e">
        <f>VLOOKUP([2]!Table27[[#This Row],[Location 
(drop-down)]],'[2]List source'!D$2:E$59,2,FALSE)</f>
        <v>#VALUE!</v>
      </c>
      <c r="C1025" s="179" t="s">
        <v>3403</v>
      </c>
      <c r="D1025" s="2" t="e">
        <f t="shared" si="30"/>
        <v>#VALUE!</v>
      </c>
      <c r="E1025" s="227" t="s">
        <v>3396</v>
      </c>
      <c r="F1025" s="165" t="e" cm="1">
        <f t="array" aca="1" ref="F1025" ca="1">MID(LEFT(#REF!, INDEX(_xlfn._xlws.FILTER(ROW(INDIRECT("1:" &amp; LEN(#REF!))), (48 &lt;= CODE(MID(#REF!, ROW(INDIRECT("1:" &amp; LEN(#REF!))), 1))) * (CODE(MID(#REF!, ROW(INDIRECT("1:" &amp; LEN(#REF!))), 1)) &lt;= 57)), 1) - 1), FIND(":",#REF!) + 2, LEN(#REF!))</f>
        <v>#REF!</v>
      </c>
      <c r="G1025" s="227" t="e">
        <f>MID(LEFT(#REF!, FIND(",",#REF!) - 1), FIND("{token}", SUBSTITUTE(#REF!, " ", "{token}", 2)) + 1, LEN(#REF!))</f>
        <v>#REF!</v>
      </c>
      <c r="H1025" s="165">
        <v>2.0299999999999998</v>
      </c>
      <c r="I1025" s="230">
        <v>45657</v>
      </c>
      <c r="J1025" s="230" t="s">
        <v>34</v>
      </c>
      <c r="K1025" s="226">
        <v>45657</v>
      </c>
      <c r="L1025" s="259" t="s">
        <v>1671</v>
      </c>
      <c r="M1025" s="222">
        <v>1371</v>
      </c>
      <c r="N1025" s="2" t="str">
        <f t="shared" ca="1" si="31"/>
        <v>CLOSED</v>
      </c>
    </row>
    <row r="1026" spans="1:14" ht="30">
      <c r="A1026" s="64" t="s">
        <v>399</v>
      </c>
      <c r="B1026" s="98" t="e">
        <f>VLOOKUP([2]!Table27[[#This Row],[Location 
(drop-down)]],'[2]List source'!D$2:E$59,2,FALSE)</f>
        <v>#VALUE!</v>
      </c>
      <c r="C1026" s="179" t="s">
        <v>3404</v>
      </c>
      <c r="D1026" s="2" t="e">
        <f t="shared" ref="D1026:D1089" si="32">"PTO" &amp; C1026 &amp; "-" &amp; B1026 &amp; "-" &amp; "23"</f>
        <v>#VALUE!</v>
      </c>
      <c r="E1026" s="227" t="s">
        <v>3392</v>
      </c>
      <c r="F1026" s="165" t="e" cm="1">
        <f t="array" aca="1" ref="F1026" ca="1">MID(LEFT(#REF!, INDEX(_xlfn._xlws.FILTER(ROW(INDIRECT("1:" &amp; LEN(#REF!))), (48 &lt;= CODE(MID(#REF!, ROW(INDIRECT("1:" &amp; LEN(#REF!))), 1))) * (CODE(MID(#REF!, ROW(INDIRECT("1:" &amp; LEN(#REF!))), 1)) &lt;= 57)), 1) - 1), FIND(":",#REF!) + 2, LEN(#REF!))</f>
        <v>#REF!</v>
      </c>
      <c r="G1026" s="227" t="e">
        <f>MID(LEFT(#REF!, FIND(",",#REF!) - 1), FIND("{token}", SUBSTITUTE(#REF!, " ", "{token}", 2)) + 1, LEN(#REF!))</f>
        <v>#REF!</v>
      </c>
      <c r="H1026" s="236" t="s">
        <v>2004</v>
      </c>
      <c r="I1026" s="230">
        <v>45657</v>
      </c>
      <c r="J1026" s="230" t="s">
        <v>34</v>
      </c>
      <c r="K1026" s="226">
        <v>45657</v>
      </c>
      <c r="L1026" s="259" t="s">
        <v>1671</v>
      </c>
      <c r="M1026" s="222">
        <v>1376</v>
      </c>
      <c r="N1026" s="2" t="str">
        <f t="shared" ca="1" si="31"/>
        <v>CLOSED</v>
      </c>
    </row>
    <row r="1027" spans="1:14" ht="30">
      <c r="A1027" s="64" t="s">
        <v>714</v>
      </c>
      <c r="B1027" s="98" t="e">
        <f>VLOOKUP([2]!Table27[[#This Row],[Location 
(drop-down)]],'[2]List source'!D$2:E$59,2,FALSE)</f>
        <v>#VALUE!</v>
      </c>
      <c r="C1027" s="179" t="s">
        <v>3405</v>
      </c>
      <c r="D1027" s="2" t="e">
        <f t="shared" si="32"/>
        <v>#VALUE!</v>
      </c>
      <c r="E1027" s="227" t="s">
        <v>3406</v>
      </c>
      <c r="F1027" s="165" t="e" cm="1">
        <f t="array" aca="1" ref="F1027" ca="1">MID(LEFT(#REF!, INDEX(_xlfn._xlws.FILTER(ROW(INDIRECT("1:" &amp; LEN(#REF!))), (48 &lt;= CODE(MID(#REF!, ROW(INDIRECT("1:" &amp; LEN(#REF!))), 1))) * (CODE(MID(#REF!, ROW(INDIRECT("1:" &amp; LEN(#REF!))), 1)) &lt;= 57)), 1) - 1), FIND(":",#REF!) + 2, LEN(#REF!))</f>
        <v>#REF!</v>
      </c>
      <c r="G1027" s="227" t="e">
        <f>MID(LEFT(#REF!, FIND(",",#REF!) - 1), FIND("{token}", SUBSTITUTE(#REF!, " ", "{token}", 2)) + 1, LEN(#REF!))</f>
        <v>#REF!</v>
      </c>
      <c r="H1027" s="165" t="s">
        <v>3407</v>
      </c>
      <c r="I1027" s="230">
        <v>45657</v>
      </c>
      <c r="J1027" s="230" t="s">
        <v>34</v>
      </c>
      <c r="K1027" s="226">
        <v>45657</v>
      </c>
      <c r="L1027" s="259" t="s">
        <v>1671</v>
      </c>
      <c r="M1027" s="222">
        <v>1378</v>
      </c>
      <c r="N1027" s="2" t="str">
        <f t="shared" ca="1" si="31"/>
        <v>CLOSED</v>
      </c>
    </row>
    <row r="1028" spans="1:14" ht="30">
      <c r="A1028" s="64" t="s">
        <v>714</v>
      </c>
      <c r="B1028" s="98" t="e">
        <f>VLOOKUP([2]!Table27[[#This Row],[Location 
(drop-down)]],'[2]List source'!D$2:E$59,2,FALSE)</f>
        <v>#VALUE!</v>
      </c>
      <c r="C1028" s="179" t="s">
        <v>3408</v>
      </c>
      <c r="D1028" s="2" t="e">
        <f t="shared" si="32"/>
        <v>#VALUE!</v>
      </c>
      <c r="E1028" s="227" t="s">
        <v>3409</v>
      </c>
      <c r="F1028" s="165" t="e" cm="1">
        <f t="array" aca="1" ref="F1028" ca="1">MID(LEFT(#REF!, INDEX(_xlfn._xlws.FILTER(ROW(INDIRECT("1:" &amp; LEN(#REF!))), (48 &lt;= CODE(MID(#REF!, ROW(INDIRECT("1:" &amp; LEN(#REF!))), 1))) * (CODE(MID(#REF!, ROW(INDIRECT("1:" &amp; LEN(#REF!))), 1)) &lt;= 57)), 1) - 1), FIND(":",#REF!) + 2, LEN(#REF!))</f>
        <v>#REF!</v>
      </c>
      <c r="G1028" s="227" t="e">
        <f>MID(LEFT(#REF!, FIND(",",#REF!) - 1), FIND("{token}", SUBSTITUTE(#REF!, " ", "{token}", 2)) + 1, LEN(#REF!))</f>
        <v>#REF!</v>
      </c>
      <c r="H1028" s="236" t="s">
        <v>2012</v>
      </c>
      <c r="I1028" s="230">
        <v>45657</v>
      </c>
      <c r="J1028" s="230" t="s">
        <v>34</v>
      </c>
      <c r="K1028" s="226">
        <v>45657</v>
      </c>
      <c r="L1028" s="259" t="s">
        <v>1671</v>
      </c>
      <c r="M1028" s="222">
        <v>1379</v>
      </c>
      <c r="N1028" s="2" t="str">
        <f t="shared" ca="1" si="31"/>
        <v>CLOSED</v>
      </c>
    </row>
    <row r="1029" spans="1:14" ht="30">
      <c r="A1029" s="64" t="s">
        <v>399</v>
      </c>
      <c r="B1029" s="98" t="e">
        <f>VLOOKUP([2]!Table27[[#This Row],[Location 
(drop-down)]],'[2]List source'!D$2:E$59,2,FALSE)</f>
        <v>#VALUE!</v>
      </c>
      <c r="C1029" s="179" t="s">
        <v>3410</v>
      </c>
      <c r="D1029" s="2" t="e">
        <f t="shared" si="32"/>
        <v>#VALUE!</v>
      </c>
      <c r="E1029" s="227" t="s">
        <v>3411</v>
      </c>
      <c r="F1029" s="165" t="s">
        <v>3068</v>
      </c>
      <c r="G1029" s="227" t="e">
        <f>MID(LEFT(#REF!, FIND(",",#REF!) - 1), FIND("{token}", SUBSTITUTE(#REF!, " ", "{token}", 2)) + 1, LEN(#REF!))</f>
        <v>#REF!</v>
      </c>
      <c r="H1029" s="236" t="s">
        <v>3412</v>
      </c>
      <c r="I1029" s="230">
        <v>45657</v>
      </c>
      <c r="J1029" s="230" t="s">
        <v>34</v>
      </c>
      <c r="K1029" s="226">
        <v>45657</v>
      </c>
      <c r="L1029" s="165" t="s">
        <v>1505</v>
      </c>
      <c r="M1029" s="222">
        <v>1381</v>
      </c>
      <c r="N1029" s="2" t="str">
        <f t="shared" ca="1" si="31"/>
        <v>CLOSED</v>
      </c>
    </row>
    <row r="1030" spans="1:14" ht="15">
      <c r="A1030" s="64" t="s">
        <v>314</v>
      </c>
      <c r="B1030" s="98" t="e">
        <f>VLOOKUP([2]!Table27[[#This Row],[Location 
(drop-down)]],'[2]List source'!D$2:E$59,2,FALSE)</f>
        <v>#VALUE!</v>
      </c>
      <c r="C1030" s="179" t="s">
        <v>3413</v>
      </c>
      <c r="D1030" s="2" t="e">
        <f t="shared" si="32"/>
        <v>#VALUE!</v>
      </c>
      <c r="E1030" s="227" t="s">
        <v>3414</v>
      </c>
      <c r="F1030" s="165" t="s">
        <v>1524</v>
      </c>
      <c r="G1030" s="227" t="e">
        <f>MID(LEFT(#REF!, FIND(",",#REF!) - 1), FIND("{token}", SUBSTITUTE(#REF!, " ", "{token}", 2)) + 1, LEN(#REF!))</f>
        <v>#REF!</v>
      </c>
      <c r="H1030" s="236" t="s">
        <v>3415</v>
      </c>
      <c r="I1030" s="230">
        <v>45657</v>
      </c>
      <c r="J1030" s="230" t="s">
        <v>34</v>
      </c>
      <c r="K1030" s="226">
        <v>45657</v>
      </c>
      <c r="L1030" s="259" t="s">
        <v>1671</v>
      </c>
      <c r="M1030" s="222">
        <v>1383</v>
      </c>
      <c r="N1030" s="2" t="str">
        <f t="shared" ca="1" si="31"/>
        <v>CLOSED</v>
      </c>
    </row>
    <row r="1031" spans="1:14" ht="30">
      <c r="A1031" s="64" t="s">
        <v>294</v>
      </c>
      <c r="B1031" s="98" t="e">
        <f>VLOOKUP([2]!Table27[[#This Row],[Location 
(drop-down)]],'[2]List source'!D$2:E$59,2,FALSE)</f>
        <v>#VALUE!</v>
      </c>
      <c r="C1031" s="179" t="s">
        <v>3416</v>
      </c>
      <c r="D1031" s="2" t="e">
        <f t="shared" si="32"/>
        <v>#VALUE!</v>
      </c>
      <c r="E1031" s="227" t="s">
        <v>3417</v>
      </c>
      <c r="F1031" s="165" t="s">
        <v>1524</v>
      </c>
      <c r="G1031" s="227" t="e">
        <f>MID(LEFT(#REF!, FIND(",",#REF!) - 1), FIND("{token}", SUBSTITUTE(#REF!, " ", "{token}", 2)) + 1, LEN(#REF!))</f>
        <v>#REF!</v>
      </c>
      <c r="H1031" s="236" t="s">
        <v>3418</v>
      </c>
      <c r="I1031" s="230">
        <v>45657</v>
      </c>
      <c r="J1031" s="230" t="s">
        <v>34</v>
      </c>
      <c r="K1031" s="226">
        <v>45657</v>
      </c>
      <c r="L1031" s="259" t="s">
        <v>1671</v>
      </c>
      <c r="M1031" s="222">
        <v>1386</v>
      </c>
      <c r="N1031" s="2" t="str">
        <f t="shared" ca="1" si="31"/>
        <v>CLOSED</v>
      </c>
    </row>
    <row r="1032" spans="1:14" ht="15">
      <c r="A1032" s="64" t="s">
        <v>103</v>
      </c>
      <c r="B1032" s="98" t="e">
        <f>VLOOKUP([2]!Table27[[#This Row],[Location 
(drop-down)]],'[2]List source'!D$2:E$59,2,FALSE)</f>
        <v>#VALUE!</v>
      </c>
      <c r="C1032" s="179" t="s">
        <v>3419</v>
      </c>
      <c r="D1032" s="2" t="e">
        <f t="shared" si="32"/>
        <v>#VALUE!</v>
      </c>
      <c r="E1032" s="227" t="s">
        <v>3420</v>
      </c>
      <c r="F1032" s="165" t="s">
        <v>1769</v>
      </c>
      <c r="G1032" s="227" t="e">
        <f>MID(LEFT(#REF!, FIND(",",#REF!) - 1), FIND("{token}", SUBSTITUTE(#REF!, " ", "{token}", 2)) + 1, LEN(#REF!))</f>
        <v>#REF!</v>
      </c>
      <c r="H1032" s="165">
        <v>2.21</v>
      </c>
      <c r="I1032" s="230">
        <v>45657</v>
      </c>
      <c r="J1032" s="230" t="s">
        <v>34</v>
      </c>
      <c r="K1032" s="226">
        <v>45657</v>
      </c>
      <c r="L1032" s="259" t="s">
        <v>1671</v>
      </c>
      <c r="M1032" s="222">
        <v>1392</v>
      </c>
      <c r="N1032" s="2" t="str">
        <f t="shared" ca="1" si="31"/>
        <v>CLOSED</v>
      </c>
    </row>
    <row r="1033" spans="1:14" ht="30">
      <c r="A1033" s="64" t="s">
        <v>500</v>
      </c>
      <c r="B1033" s="98" t="e">
        <f>VLOOKUP([2]!Table27[[#This Row],[Location 
(drop-down)]],'[2]List source'!D$2:E$59,2,FALSE)</f>
        <v>#VALUE!</v>
      </c>
      <c r="C1033" s="179" t="s">
        <v>3421</v>
      </c>
      <c r="D1033" s="212" t="e">
        <f t="shared" si="32"/>
        <v>#VALUE!</v>
      </c>
      <c r="E1033" s="227" t="s">
        <v>3422</v>
      </c>
      <c r="F1033" s="165" t="e" cm="1">
        <f t="array" aca="1" ref="F1033" ca="1">MID(LEFT(#REF!, INDEX(_xlfn._xlws.FILTER(ROW(INDIRECT("1:" &amp; LEN(#REF!))), (48 &lt;= CODE(MID(#REF!, ROW(INDIRECT("1:" &amp; LEN(#REF!))), 1))) * (CODE(MID(#REF!, ROW(INDIRECT("1:" &amp; LEN(#REF!))), 1)) &lt;= 57)), 1) - 1), FIND(":",#REF!) + 2, LEN(#REF!))</f>
        <v>#REF!</v>
      </c>
      <c r="G1033" s="227" t="e">
        <f>MID(LEFT(#REF!, FIND(",",#REF!) - 1), FIND("{token}", SUBSTITUTE(#REF!, " ", "{token}", 2)) + 1, LEN(#REF!))</f>
        <v>#REF!</v>
      </c>
      <c r="H1033" s="165" t="s">
        <v>3423</v>
      </c>
      <c r="I1033" s="230">
        <v>45657</v>
      </c>
      <c r="J1033" s="230" t="s">
        <v>34</v>
      </c>
      <c r="K1033" s="226">
        <v>45657</v>
      </c>
      <c r="L1033" s="259" t="s">
        <v>1671</v>
      </c>
      <c r="M1033" s="222">
        <v>1397</v>
      </c>
      <c r="N1033" s="2" t="str">
        <f t="shared" ca="1" si="31"/>
        <v>CLOSED</v>
      </c>
    </row>
    <row r="1034" spans="1:14" ht="30">
      <c r="A1034" s="64" t="s">
        <v>500</v>
      </c>
      <c r="B1034" s="98" t="e">
        <f>VLOOKUP([2]!Table27[[#This Row],[Location 
(drop-down)]],'[2]List source'!D$2:E$59,2,FALSE)</f>
        <v>#VALUE!</v>
      </c>
      <c r="C1034" s="179" t="s">
        <v>3424</v>
      </c>
      <c r="D1034" s="2" t="e">
        <f t="shared" si="32"/>
        <v>#VALUE!</v>
      </c>
      <c r="E1034" s="227" t="s">
        <v>3425</v>
      </c>
      <c r="F1034" s="165" t="e" cm="1">
        <f t="array" aca="1" ref="F1034" ca="1">MID(LEFT(#REF!, INDEX(_xlfn._xlws.FILTER(ROW(INDIRECT("1:" &amp; LEN(#REF!))), (48 &lt;= CODE(MID(#REF!, ROW(INDIRECT("1:" &amp; LEN(#REF!))), 1))) * (CODE(MID(#REF!, ROW(INDIRECT("1:" &amp; LEN(#REF!))), 1)) &lt;= 57)), 1) - 1), FIND(":",#REF!) + 2, LEN(#REF!))</f>
        <v>#REF!</v>
      </c>
      <c r="G1034" s="227" t="e">
        <f>MID(LEFT(#REF!, FIND(",",#REF!) - 1), FIND("{token}", SUBSTITUTE(#REF!, " ", "{token}", 2)) + 1, LEN(#REF!))</f>
        <v>#REF!</v>
      </c>
      <c r="H1034" s="236" t="s">
        <v>2918</v>
      </c>
      <c r="I1034" s="230">
        <v>45657</v>
      </c>
      <c r="J1034" s="230" t="s">
        <v>34</v>
      </c>
      <c r="K1034" s="226">
        <v>45657</v>
      </c>
      <c r="L1034" s="259" t="s">
        <v>1671</v>
      </c>
      <c r="M1034" s="222">
        <v>1398</v>
      </c>
      <c r="N1034" s="2" t="str">
        <f t="shared" ca="1" si="31"/>
        <v>CLOSED</v>
      </c>
    </row>
    <row r="1035" spans="1:14" ht="30">
      <c r="A1035" s="64" t="s">
        <v>500</v>
      </c>
      <c r="B1035" s="98" t="e">
        <f>VLOOKUP([2]!Table27[[#This Row],[Location 
(drop-down)]],'[2]List source'!D$2:E$59,2,FALSE)</f>
        <v>#VALUE!</v>
      </c>
      <c r="C1035" s="179" t="s">
        <v>3426</v>
      </c>
      <c r="D1035" s="2" t="e">
        <f t="shared" si="32"/>
        <v>#VALUE!</v>
      </c>
      <c r="E1035" s="227" t="s">
        <v>3427</v>
      </c>
      <c r="F1035" s="165" t="e" cm="1">
        <f t="array" aca="1" ref="F1035" ca="1">MID(LEFT(#REF!, INDEX(_xlfn._xlws.FILTER(ROW(INDIRECT("1:" &amp; LEN(#REF!))), (48 &lt;= CODE(MID(#REF!, ROW(INDIRECT("1:" &amp; LEN(#REF!))), 1))) * (CODE(MID(#REF!, ROW(INDIRECT("1:" &amp; LEN(#REF!))), 1)) &lt;= 57)), 1) - 1), FIND(":",#REF!) + 2, LEN(#REF!))</f>
        <v>#REF!</v>
      </c>
      <c r="G1035" s="227" t="e">
        <f>MID(LEFT(#REF!, FIND(",",#REF!) - 1), FIND("{token}", SUBSTITUTE(#REF!, " ", "{token}", 2)) + 1, LEN(#REF!))</f>
        <v>#REF!</v>
      </c>
      <c r="H1035" s="165">
        <v>2.2000000000000002</v>
      </c>
      <c r="I1035" s="230">
        <v>45657</v>
      </c>
      <c r="J1035" s="230" t="s">
        <v>34</v>
      </c>
      <c r="K1035" s="226">
        <v>45657</v>
      </c>
      <c r="L1035" s="259" t="s">
        <v>1671</v>
      </c>
      <c r="M1035" s="222">
        <v>1399</v>
      </c>
      <c r="N1035" s="2" t="str">
        <f t="shared" ca="1" si="31"/>
        <v>CLOSED</v>
      </c>
    </row>
    <row r="1036" spans="1:14" ht="15">
      <c r="A1036" s="64" t="s">
        <v>139</v>
      </c>
      <c r="B1036" s="98" t="e">
        <f>VLOOKUP([2]!Table27[[#This Row],[Location 
(drop-down)]],'[2]List source'!D$2:E$59,2,FALSE)</f>
        <v>#VALUE!</v>
      </c>
      <c r="C1036" s="179" t="s">
        <v>3428</v>
      </c>
      <c r="D1036" s="2" t="e">
        <f t="shared" si="32"/>
        <v>#VALUE!</v>
      </c>
      <c r="E1036" s="227" t="s">
        <v>3429</v>
      </c>
      <c r="F1036" s="165" t="e" cm="1">
        <f t="array" aca="1" ref="F1036" ca="1">MID(LEFT(#REF!, INDEX(_xlfn._xlws.FILTER(ROW(INDIRECT("1:" &amp; LEN(#REF!))), (48 &lt;= CODE(MID(#REF!, ROW(INDIRECT("1:" &amp; LEN(#REF!))), 1))) * (CODE(MID(#REF!, ROW(INDIRECT("1:" &amp; LEN(#REF!))), 1)) &lt;= 57)), 1) - 1), FIND(":",#REF!) + 2, LEN(#REF!))</f>
        <v>#REF!</v>
      </c>
      <c r="G1036" s="227" t="e">
        <f>MID(LEFT(#REF!, FIND(",",#REF!) - 1), FIND("{token}", SUBSTITUTE(#REF!, " ", "{token}", 2)) + 1, LEN(#REF!))</f>
        <v>#REF!</v>
      </c>
      <c r="H1036" s="236" t="s">
        <v>2536</v>
      </c>
      <c r="I1036" s="230">
        <v>45657</v>
      </c>
      <c r="J1036" s="230" t="s">
        <v>34</v>
      </c>
      <c r="K1036" s="226">
        <v>45657</v>
      </c>
      <c r="L1036" s="259" t="s">
        <v>1671</v>
      </c>
      <c r="M1036" s="222">
        <v>1400</v>
      </c>
      <c r="N1036" s="2" t="str">
        <f t="shared" ca="1" si="31"/>
        <v>CLOSED</v>
      </c>
    </row>
    <row r="1037" spans="1:14" ht="30">
      <c r="A1037" s="64" t="s">
        <v>432</v>
      </c>
      <c r="B1037" s="98" t="e">
        <f>VLOOKUP([2]!Table27[[#This Row],[Location 
(drop-down)]],'[2]List source'!D$2:E$59,2,FALSE)</f>
        <v>#VALUE!</v>
      </c>
      <c r="C1037" s="179" t="s">
        <v>3430</v>
      </c>
      <c r="D1037" s="2" t="e">
        <f t="shared" si="32"/>
        <v>#VALUE!</v>
      </c>
      <c r="E1037" s="227" t="s">
        <v>3431</v>
      </c>
      <c r="F1037" s="165" t="e" cm="1">
        <f t="array" aca="1" ref="F1037" ca="1">MID(LEFT(#REF!, INDEX(_xlfn._xlws.FILTER(ROW(INDIRECT("1:" &amp; LEN(#REF!))), (48 &lt;= CODE(MID(#REF!, ROW(INDIRECT("1:" &amp; LEN(#REF!))), 1))) * (CODE(MID(#REF!, ROW(INDIRECT("1:" &amp; LEN(#REF!))), 1)) &lt;= 57)), 1) - 1), FIND(":",#REF!) + 2, LEN(#REF!))</f>
        <v>#REF!</v>
      </c>
      <c r="G1037" s="227" t="e">
        <f>MID(LEFT(#REF!, FIND(",",#REF!) - 1), FIND("{token}", SUBSTITUTE(#REF!, " ", "{token}", 2)) + 1, LEN(#REF!))</f>
        <v>#REF!</v>
      </c>
      <c r="H1037" s="236" t="s">
        <v>3432</v>
      </c>
      <c r="I1037" s="230">
        <v>45657</v>
      </c>
      <c r="J1037" s="230" t="s">
        <v>34</v>
      </c>
      <c r="K1037" s="226">
        <v>45657</v>
      </c>
      <c r="L1037" s="259" t="s">
        <v>1671</v>
      </c>
      <c r="M1037" s="222">
        <v>1402</v>
      </c>
      <c r="N1037" s="2" t="str">
        <f t="shared" ca="1" si="31"/>
        <v>CLOSED</v>
      </c>
    </row>
    <row r="1038" spans="1:14" ht="30">
      <c r="A1038" s="64" t="s">
        <v>399</v>
      </c>
      <c r="B1038" s="98" t="e">
        <f>VLOOKUP([2]!Table27[[#This Row],[Location 
(drop-down)]],'[2]List source'!D$2:E$59,2,FALSE)</f>
        <v>#VALUE!</v>
      </c>
      <c r="C1038" s="179" t="s">
        <v>3433</v>
      </c>
      <c r="D1038" s="2" t="e">
        <f t="shared" si="32"/>
        <v>#VALUE!</v>
      </c>
      <c r="E1038" s="227" t="s">
        <v>3434</v>
      </c>
      <c r="F1038" s="165" t="e" cm="1">
        <f t="array" aca="1" ref="F1038" ca="1">MID(LEFT(#REF!, INDEX(_xlfn._xlws.FILTER(ROW(INDIRECT("1:" &amp; LEN(#REF!))), (48 &lt;= CODE(MID(#REF!, ROW(INDIRECT("1:" &amp; LEN(#REF!))), 1))) * (CODE(MID(#REF!, ROW(INDIRECT("1:" &amp; LEN(#REF!))), 1)) &lt;= 57)), 1) - 1), FIND(":",#REF!) + 2, LEN(#REF!))</f>
        <v>#REF!</v>
      </c>
      <c r="G1038" s="227" t="e">
        <f>MID(LEFT(#REF!, FIND(",",#REF!) - 1), FIND("{token}", SUBSTITUTE(#REF!, " ", "{token}", 2)) + 1, LEN(#REF!))</f>
        <v>#REF!</v>
      </c>
      <c r="H1038" s="236" t="s">
        <v>3435</v>
      </c>
      <c r="I1038" s="230">
        <v>45657</v>
      </c>
      <c r="J1038" s="230" t="s">
        <v>34</v>
      </c>
      <c r="K1038" s="226">
        <v>45657</v>
      </c>
      <c r="L1038" s="165" t="s">
        <v>1505</v>
      </c>
      <c r="M1038" s="222">
        <v>1403</v>
      </c>
      <c r="N1038" s="2" t="str">
        <f t="shared" ca="1" si="31"/>
        <v>CLOSED</v>
      </c>
    </row>
    <row r="1039" spans="1:14" ht="30">
      <c r="A1039" s="64" t="s">
        <v>399</v>
      </c>
      <c r="B1039" s="98" t="e">
        <f>VLOOKUP([2]!Table27[[#This Row],[Location 
(drop-down)]],'[2]List source'!D$2:E$59,2,FALSE)</f>
        <v>#VALUE!</v>
      </c>
      <c r="C1039" s="179" t="s">
        <v>3436</v>
      </c>
      <c r="D1039" s="2" t="e">
        <f t="shared" si="32"/>
        <v>#VALUE!</v>
      </c>
      <c r="E1039" s="227" t="s">
        <v>3437</v>
      </c>
      <c r="F1039" s="165" t="e" cm="1">
        <f t="array" aca="1" ref="F1039" ca="1">MID(LEFT(#REF!, INDEX(_xlfn._xlws.FILTER(ROW(INDIRECT("1:" &amp; LEN(#REF!))), (48 &lt;= CODE(MID(#REF!, ROW(INDIRECT("1:" &amp; LEN(#REF!))), 1))) * (CODE(MID(#REF!, ROW(INDIRECT("1:" &amp; LEN(#REF!))), 1)) &lt;= 57)), 1) - 1), FIND(":",#REF!) + 2, LEN(#REF!))</f>
        <v>#REF!</v>
      </c>
      <c r="G1039" s="227" t="e">
        <f>MID(LEFT(#REF!, FIND(",",#REF!) - 1), FIND("{token}", SUBSTITUTE(#REF!, " ", "{token}", 2)) + 1, LEN(#REF!))</f>
        <v>#REF!</v>
      </c>
      <c r="H1039" s="165">
        <v>2.65</v>
      </c>
      <c r="I1039" s="230">
        <v>45657</v>
      </c>
      <c r="J1039" s="230" t="s">
        <v>34</v>
      </c>
      <c r="K1039" s="226">
        <v>45657</v>
      </c>
      <c r="L1039" s="259" t="s">
        <v>1671</v>
      </c>
      <c r="M1039" s="222">
        <v>1404</v>
      </c>
      <c r="N1039" s="2" t="str">
        <f t="shared" ca="1" si="31"/>
        <v>CLOSED</v>
      </c>
    </row>
    <row r="1040" spans="1:14" ht="30">
      <c r="A1040" s="64" t="s">
        <v>39</v>
      </c>
      <c r="B1040" s="98" t="e">
        <f>VLOOKUP([2]!Table27[[#This Row],[Location 
(drop-down)]],'[2]List source'!D$2:E$59,2,FALSE)</f>
        <v>#VALUE!</v>
      </c>
      <c r="C1040" s="179" t="s">
        <v>3438</v>
      </c>
      <c r="D1040" s="2" t="e">
        <f t="shared" si="32"/>
        <v>#VALUE!</v>
      </c>
      <c r="E1040" s="227" t="s">
        <v>3439</v>
      </c>
      <c r="F1040" s="165" t="s">
        <v>1811</v>
      </c>
      <c r="G1040" s="227" t="e">
        <f>MID(LEFT(#REF!, FIND(",",#REF!) - 1), FIND("{token}", SUBSTITUTE(#REF!, " ", "{token}", 2)) + 1, LEN(#REF!))</f>
        <v>#REF!</v>
      </c>
      <c r="H1040" s="165">
        <v>2.2400000000000002</v>
      </c>
      <c r="I1040" s="230">
        <v>45657</v>
      </c>
      <c r="J1040" s="230" t="s">
        <v>34</v>
      </c>
      <c r="K1040" s="226">
        <v>45657</v>
      </c>
      <c r="L1040" s="259" t="s">
        <v>1671</v>
      </c>
      <c r="M1040" s="222">
        <v>1409</v>
      </c>
      <c r="N1040" s="2" t="str">
        <f t="shared" ca="1" si="31"/>
        <v>CLOSED</v>
      </c>
    </row>
    <row r="1041" spans="1:14" ht="30">
      <c r="A1041" s="64" t="s">
        <v>80</v>
      </c>
      <c r="B1041" s="98" t="e">
        <f>VLOOKUP([2]!Table27[[#This Row],[Location 
(drop-down)]],'[2]List source'!D$2:E$59,2,FALSE)</f>
        <v>#VALUE!</v>
      </c>
      <c r="C1041" s="179" t="s">
        <v>3440</v>
      </c>
      <c r="D1041" s="2" t="e">
        <f t="shared" si="32"/>
        <v>#VALUE!</v>
      </c>
      <c r="E1041" s="227" t="s">
        <v>3441</v>
      </c>
      <c r="F1041" s="165" t="s">
        <v>1769</v>
      </c>
      <c r="G1041" s="227" t="e">
        <f>MID(LEFT(#REF!, FIND(",",#REF!) - 1), FIND("{token}", SUBSTITUTE(#REF!, " ", "{token}", 2)) + 1, LEN(#REF!))</f>
        <v>#REF!</v>
      </c>
      <c r="H1041" s="165">
        <v>30.61</v>
      </c>
      <c r="I1041" s="230">
        <v>45657</v>
      </c>
      <c r="J1041" s="230" t="s">
        <v>34</v>
      </c>
      <c r="K1041" s="226">
        <v>45659</v>
      </c>
      <c r="L1041" s="165" t="s">
        <v>1505</v>
      </c>
      <c r="M1041" s="222">
        <v>1394</v>
      </c>
      <c r="N1041" s="2" t="str">
        <f t="shared" ca="1" si="31"/>
        <v>CLOSED</v>
      </c>
    </row>
    <row r="1042" spans="1:14" ht="30">
      <c r="A1042" s="64" t="s">
        <v>80</v>
      </c>
      <c r="B1042" s="98" t="e">
        <f>VLOOKUP([2]!Table27[[#This Row],[Location 
(drop-down)]],'[2]List source'!D$2:E$59,2,FALSE)</f>
        <v>#VALUE!</v>
      </c>
      <c r="C1042" s="179" t="s">
        <v>3442</v>
      </c>
      <c r="D1042" s="2" t="e">
        <f t="shared" si="32"/>
        <v>#VALUE!</v>
      </c>
      <c r="E1042" s="227" t="s">
        <v>3443</v>
      </c>
      <c r="F1042" s="165" t="s">
        <v>1769</v>
      </c>
      <c r="G1042" s="227" t="e">
        <f>MID(LEFT(#REF!, FIND(",",#REF!) - 1), FIND("{token}", SUBSTITUTE(#REF!, " ", "{token}", 2)) + 1, LEN(#REF!))</f>
        <v>#REF!</v>
      </c>
      <c r="H1042" s="165">
        <v>-46.09</v>
      </c>
      <c r="I1042" s="230">
        <v>45657</v>
      </c>
      <c r="J1042" s="230" t="s">
        <v>34</v>
      </c>
      <c r="K1042" s="226">
        <v>45659</v>
      </c>
      <c r="L1042" s="165" t="s">
        <v>1505</v>
      </c>
      <c r="M1042" s="222">
        <v>1395</v>
      </c>
      <c r="N1042" s="2" t="str">
        <f t="shared" ca="1" si="31"/>
        <v>CLOSED</v>
      </c>
    </row>
    <row r="1043" spans="1:14" ht="30">
      <c r="A1043" s="90" t="s">
        <v>114</v>
      </c>
      <c r="B1043" s="98" t="e">
        <f>VLOOKUP([2]!Table27[[#This Row],[Location 
(drop-down)]],'[2]List source'!D$2:E$59,2,FALSE)</f>
        <v>#VALUE!</v>
      </c>
      <c r="C1043" s="182" t="s">
        <v>3444</v>
      </c>
      <c r="D1043" s="377" t="e">
        <f t="shared" si="32"/>
        <v>#VALUE!</v>
      </c>
      <c r="E1043" s="227" t="s">
        <v>3445</v>
      </c>
      <c r="F1043" s="165" t="e" cm="1">
        <f t="array" aca="1" ref="F1043" ca="1">MID(LEFT(#REF!, INDEX(_xlfn._xlws.FILTER(ROW(INDIRECT("1:" &amp; LEN(#REF!))), (48 &lt;= CODE(MID(#REF!, ROW(INDIRECT("1:" &amp; LEN(#REF!))), 1))) * (CODE(MID(#REF!, ROW(INDIRECT("1:" &amp; LEN(#REF!))), 1)) &lt;= 57)), 1) - 1), FIND(":",#REF!) + 2, LEN(#REF!))</f>
        <v>#REF!</v>
      </c>
      <c r="G1043" s="227" t="e">
        <f>MID(LEFT(#REF!, FIND(",",#REF!) - 1), FIND("{token}", SUBSTITUTE(#REF!, " ", "{token}", 2)) + 1, LEN(#REF!))</f>
        <v>#REF!</v>
      </c>
      <c r="H1043" s="165">
        <v>14.8</v>
      </c>
      <c r="I1043" s="230">
        <v>45495</v>
      </c>
      <c r="J1043" s="342" t="s">
        <v>69</v>
      </c>
      <c r="K1043" s="221">
        <v>45660</v>
      </c>
      <c r="L1043" s="165"/>
      <c r="M1043" s="222">
        <v>690</v>
      </c>
      <c r="N1043" s="2" t="str">
        <f t="shared" ca="1" si="31"/>
        <v>CLOSED</v>
      </c>
    </row>
    <row r="1044" spans="1:14" ht="30">
      <c r="A1044" s="64" t="s">
        <v>294</v>
      </c>
      <c r="B1044" s="98" t="e">
        <f>VLOOKUP([2]!Table27[[#This Row],[Location 
(drop-down)]],'[2]List source'!D$2:E$59,2,FALSE)</f>
        <v>#VALUE!</v>
      </c>
      <c r="C1044" s="179" t="s">
        <v>3446</v>
      </c>
      <c r="D1044" s="378" t="e">
        <f t="shared" si="32"/>
        <v>#VALUE!</v>
      </c>
      <c r="E1044" s="227" t="s">
        <v>3447</v>
      </c>
      <c r="F1044" s="165" t="s">
        <v>1811</v>
      </c>
      <c r="G1044" s="227" t="e">
        <f>MID(LEFT(#REF!, FIND(",",#REF!) - 1), FIND("{token}", SUBSTITUTE(#REF!, " ", "{token}", 2)) + 1, LEN(#REF!))</f>
        <v>#REF!</v>
      </c>
      <c r="H1044" s="165">
        <v>217.54</v>
      </c>
      <c r="I1044" s="230">
        <v>45509</v>
      </c>
      <c r="J1044" s="230" t="s">
        <v>34</v>
      </c>
      <c r="K1044" s="226">
        <v>45660</v>
      </c>
      <c r="L1044" s="165" t="s">
        <v>1505</v>
      </c>
      <c r="M1044" s="222">
        <v>708</v>
      </c>
      <c r="N1044" s="2" t="str">
        <f t="shared" ca="1" si="31"/>
        <v>CLOSED</v>
      </c>
    </row>
    <row r="1045" spans="1:14" ht="30">
      <c r="A1045" s="64" t="s">
        <v>30</v>
      </c>
      <c r="B1045" s="98" t="e">
        <f>VLOOKUP([2]!Table27[[#This Row],[Location 
(drop-down)]],'[2]List source'!D$2:E$59,2,FALSE)</f>
        <v>#VALUE!</v>
      </c>
      <c r="C1045" s="179" t="s">
        <v>3448</v>
      </c>
      <c r="D1045" s="2" t="e">
        <f t="shared" si="32"/>
        <v>#VALUE!</v>
      </c>
      <c r="E1045" s="227" t="s">
        <v>3449</v>
      </c>
      <c r="F1045" s="165" t="e" cm="1">
        <f t="array" aca="1" ref="F1045" ca="1">MID(LEFT(#REF!, INDEX(_xlfn._xlws.FILTER(ROW(INDIRECT("1:" &amp; LEN(#REF!))), (48 &lt;= CODE(MID(#REF!, ROW(INDIRECT("1:" &amp; LEN(#REF!))), 1))) * (CODE(MID(#REF!, ROW(INDIRECT("1:" &amp; LEN(#REF!))), 1)) &lt;= 57)), 1) - 1), FIND(":",#REF!) + 2, LEN(#REF!))</f>
        <v>#REF!</v>
      </c>
      <c r="G1045" s="227" t="e">
        <f>MID(LEFT(#REF!, FIND(",",#REF!) - 1), FIND("{token}", SUBSTITUTE(#REF!, " ", "{token}", 2)) + 1, LEN(#REF!))</f>
        <v>#REF!</v>
      </c>
      <c r="H1045" s="236" t="s">
        <v>3450</v>
      </c>
      <c r="I1045" s="230">
        <v>45657</v>
      </c>
      <c r="J1045" s="230" t="s">
        <v>34</v>
      </c>
      <c r="K1045" s="226">
        <v>45660</v>
      </c>
      <c r="L1045" s="165" t="s">
        <v>1505</v>
      </c>
      <c r="M1045" s="222">
        <v>1345</v>
      </c>
      <c r="N1045" s="2" t="str">
        <f t="shared" ca="1" si="31"/>
        <v>CLOSED</v>
      </c>
    </row>
    <row r="1046" spans="1:14" ht="30">
      <c r="A1046" s="64" t="s">
        <v>294</v>
      </c>
      <c r="B1046" s="98" t="e">
        <f>VLOOKUP([2]!Table27[[#This Row],[Location 
(drop-down)]],'[2]List source'!D$2:E$59,2,FALSE)</f>
        <v>#VALUE!</v>
      </c>
      <c r="C1046" s="179" t="s">
        <v>844</v>
      </c>
      <c r="D1046" s="378" t="e">
        <f t="shared" si="32"/>
        <v>#VALUE!</v>
      </c>
      <c r="E1046" s="227" t="s">
        <v>3451</v>
      </c>
      <c r="F1046" s="165" t="s">
        <v>1811</v>
      </c>
      <c r="G1046" s="227" t="e">
        <f>MID(LEFT(#REF!, FIND(",",#REF!) - 1), FIND("{token}", SUBSTITUTE(#REF!, " ", "{token}", 2)) + 1, LEN(#REF!))</f>
        <v>#REF!</v>
      </c>
      <c r="H1046" s="236" t="s">
        <v>3452</v>
      </c>
      <c r="I1046" s="230">
        <v>45412</v>
      </c>
      <c r="J1046" s="230" t="s">
        <v>34</v>
      </c>
      <c r="K1046" s="226">
        <v>45663</v>
      </c>
      <c r="L1046" s="165" t="s">
        <v>1505</v>
      </c>
      <c r="M1046" s="222">
        <v>321</v>
      </c>
      <c r="N1046" s="2" t="str">
        <f t="shared" ca="1" si="31"/>
        <v>CLOSED</v>
      </c>
    </row>
    <row r="1047" spans="1:14" ht="15">
      <c r="A1047" s="64" t="s">
        <v>64</v>
      </c>
      <c r="B1047" s="98" t="e">
        <f>VLOOKUP([2]!Table27[[#This Row],[Location 
(drop-down)]],'[2]List source'!D$2:E$59,2,FALSE)</f>
        <v>#VALUE!</v>
      </c>
      <c r="C1047" s="179" t="s">
        <v>3453</v>
      </c>
      <c r="D1047" s="2" t="e">
        <f t="shared" si="32"/>
        <v>#VALUE!</v>
      </c>
      <c r="E1047" s="227" t="s">
        <v>3454</v>
      </c>
      <c r="F1047" s="165" t="s">
        <v>1769</v>
      </c>
      <c r="G1047" s="227" t="e">
        <f>MID(LEFT(#REF!, FIND(",",#REF!) - 1), FIND("{token}", SUBSTITUTE(#REF!, " ", "{token}", 2)) + 1, LEN(#REF!))</f>
        <v>#REF!</v>
      </c>
      <c r="H1047" s="236" t="s">
        <v>3455</v>
      </c>
      <c r="I1047" s="230">
        <v>45657</v>
      </c>
      <c r="J1047" s="230" t="s">
        <v>34</v>
      </c>
      <c r="K1047" s="226">
        <v>45663</v>
      </c>
      <c r="L1047" s="165" t="s">
        <v>1505</v>
      </c>
      <c r="M1047" s="222">
        <v>1396</v>
      </c>
      <c r="N1047" s="2" t="str">
        <f t="shared" ca="1" si="31"/>
        <v>CLOSED</v>
      </c>
    </row>
    <row r="1048" spans="1:14" ht="15">
      <c r="A1048" s="64" t="s">
        <v>462</v>
      </c>
      <c r="B1048" s="98" t="e">
        <f>VLOOKUP([2]!Table27[[#This Row],[Location 
(drop-down)]],'[2]List source'!D$2:E$59,2,FALSE)</f>
        <v>#VALUE!</v>
      </c>
      <c r="C1048" s="179" t="s">
        <v>3456</v>
      </c>
      <c r="D1048" s="2" t="e">
        <f t="shared" si="32"/>
        <v>#VALUE!</v>
      </c>
      <c r="E1048" s="227" t="s">
        <v>3457</v>
      </c>
      <c r="F1048" s="165" t="s">
        <v>1520</v>
      </c>
      <c r="G1048" s="227" t="e">
        <f>MID(LEFT(#REF!, FIND(",",#REF!) - 1), FIND("{token}", SUBSTITUTE(#REF!, " ", "{token}", 2)) + 1, LEN(#REF!))</f>
        <v>#REF!</v>
      </c>
      <c r="H1048" s="236" t="s">
        <v>2004</v>
      </c>
      <c r="I1048" s="230">
        <v>45652</v>
      </c>
      <c r="J1048" s="230" t="s">
        <v>34</v>
      </c>
      <c r="K1048" s="226">
        <v>45664</v>
      </c>
      <c r="L1048" s="165" t="s">
        <v>1505</v>
      </c>
      <c r="M1048" s="222">
        <v>1227</v>
      </c>
      <c r="N1048" s="2" t="str">
        <f t="shared" ref="N1048:N1111" ca="1" si="33">IF(ISBLANK(K1048), TODAY()-(I1048), "CLOSED")</f>
        <v>CLOSED</v>
      </c>
    </row>
    <row r="1049" spans="1:14" ht="30">
      <c r="A1049" s="64" t="s">
        <v>294</v>
      </c>
      <c r="B1049" s="98" t="e">
        <f>VLOOKUP([2]!Table27[[#This Row],[Location 
(drop-down)]],'[2]List source'!D$2:E$59,2,FALSE)</f>
        <v>#VALUE!</v>
      </c>
      <c r="C1049" s="179" t="s">
        <v>3458</v>
      </c>
      <c r="D1049" s="2" t="e">
        <f t="shared" si="32"/>
        <v>#VALUE!</v>
      </c>
      <c r="E1049" s="227" t="s">
        <v>3459</v>
      </c>
      <c r="F1049" s="165" t="s">
        <v>1811</v>
      </c>
      <c r="G1049" s="227" t="e">
        <f>MID(LEFT(#REF!, FIND(",",#REF!) - 1), FIND("{token}", SUBSTITUTE(#REF!, " ", "{token}", 2)) + 1, LEN(#REF!))</f>
        <v>#REF!</v>
      </c>
      <c r="H1049" s="165">
        <v>3151.5</v>
      </c>
      <c r="I1049" s="230">
        <v>45657</v>
      </c>
      <c r="J1049" s="230" t="s">
        <v>34</v>
      </c>
      <c r="K1049" s="226">
        <v>45664</v>
      </c>
      <c r="L1049" s="165" t="s">
        <v>1505</v>
      </c>
      <c r="M1049" s="222">
        <v>1413</v>
      </c>
      <c r="N1049" s="2" t="str">
        <f t="shared" ca="1" si="33"/>
        <v>CLOSED</v>
      </c>
    </row>
    <row r="1050" spans="1:14" ht="18.75">
      <c r="A1050" s="64" t="s">
        <v>213</v>
      </c>
      <c r="B1050" s="98" t="e">
        <f>VLOOKUP([2]!Table27[[#This Row],[Location 
(drop-down)]],'[2]List source'!D$2:E$59,2,FALSE)</f>
        <v>#VALUE!</v>
      </c>
      <c r="C1050" s="179" t="s">
        <v>3460</v>
      </c>
      <c r="D1050" s="379" t="e">
        <f t="shared" si="32"/>
        <v>#VALUE!</v>
      </c>
      <c r="E1050" s="227" t="s">
        <v>3461</v>
      </c>
      <c r="F1050" s="165" t="e" cm="1">
        <f t="array" aca="1" ref="F1050" ca="1">MID(LEFT(#REF!, INDEX(_xlfn._xlws.FILTER(ROW(INDIRECT("1:" &amp; LEN(#REF!))), (48 &lt;= CODE(MID(#REF!, ROW(INDIRECT("1:" &amp; LEN(#REF!))), 1))) * (CODE(MID(#REF!, ROW(INDIRECT("1:" &amp; LEN(#REF!))), 1)) &lt;= 57)), 1) - 1), FIND(":",#REF!) + 2, LEN(#REF!))</f>
        <v>#REF!</v>
      </c>
      <c r="G1050" s="227" t="e">
        <f>MID(LEFT(#REF!, FIND(",",#REF!) - 1), FIND("{token}", SUBSTITUTE(#REF!, " ", "{token}", 2)) + 1, LEN(#REF!))</f>
        <v>#REF!</v>
      </c>
      <c r="H1050" s="236" t="s">
        <v>3462</v>
      </c>
      <c r="I1050" s="230">
        <v>45540</v>
      </c>
      <c r="J1050" s="230" t="s">
        <v>239</v>
      </c>
      <c r="K1050" s="226">
        <v>45665</v>
      </c>
      <c r="L1050" s="92"/>
      <c r="M1050" s="222">
        <v>911</v>
      </c>
      <c r="N1050" s="2" t="str">
        <f t="shared" ca="1" si="33"/>
        <v>CLOSED</v>
      </c>
    </row>
    <row r="1051" spans="1:14" ht="15">
      <c r="A1051" s="128" t="s">
        <v>213</v>
      </c>
      <c r="B1051" s="98" t="e">
        <f>VLOOKUP([2]!Table27[[#This Row],[Location 
(drop-down)]],'[2]List source'!D$2:E$59,2,FALSE)</f>
        <v>#VALUE!</v>
      </c>
      <c r="C1051" s="185" t="s">
        <v>3463</v>
      </c>
      <c r="D1051" s="380" t="e">
        <f t="shared" si="32"/>
        <v>#VALUE!</v>
      </c>
      <c r="E1051" s="339" t="s">
        <v>3464</v>
      </c>
      <c r="F1051" s="329" t="s">
        <v>1520</v>
      </c>
      <c r="G1051" s="339" t="e">
        <f>MID(LEFT(#REF!, FIND(",",#REF!) - 1), FIND("{token}", SUBSTITUTE(#REF!, " ", "{token}", 2)) + 1, LEN(#REF!))</f>
        <v>#REF!</v>
      </c>
      <c r="H1051" s="329">
        <v>-2.23</v>
      </c>
      <c r="I1051" s="331">
        <v>45642</v>
      </c>
      <c r="J1051" s="331" t="s">
        <v>239</v>
      </c>
      <c r="K1051" s="332">
        <v>45665</v>
      </c>
      <c r="L1051" s="381"/>
      <c r="M1051" s="222">
        <v>1039</v>
      </c>
      <c r="N1051" s="2" t="str">
        <f t="shared" ca="1" si="33"/>
        <v>CLOSED</v>
      </c>
    </row>
    <row r="1052" spans="1:14" ht="30">
      <c r="A1052" s="85" t="s">
        <v>358</v>
      </c>
      <c r="B1052" s="98" t="e">
        <f>VLOOKUP([2]!Table27[[#This Row],[Location 
(drop-down)]],'[2]List source'!D$2:E$59,2,FALSE)</f>
        <v>#VALUE!</v>
      </c>
      <c r="C1052" s="183" t="s">
        <v>3465</v>
      </c>
      <c r="D1052" s="382" t="e">
        <f t="shared" si="32"/>
        <v>#VALUE!</v>
      </c>
      <c r="E1052" s="227" t="s">
        <v>3466</v>
      </c>
      <c r="F1052" s="165" t="e" cm="1">
        <f t="array" aca="1" ref="F1052" ca="1">MID(LEFT(#REF!, INDEX(_xlfn._xlws.FILTER(ROW(INDIRECT("1:" &amp; LEN(#REF!))), (48 &lt;= CODE(MID(#REF!, ROW(INDIRECT("1:" &amp; LEN(#REF!))), 1))) * (CODE(MID(#REF!, ROW(INDIRECT("1:" &amp; LEN(#REF!))), 1)) &lt;= 57)), 1) - 1), FIND(":",#REF!) + 2, LEN(#REF!))</f>
        <v>#REF!</v>
      </c>
      <c r="G1052" s="227" t="e">
        <f>MID(LEFT(#REF!, FIND(",",#REF!) - 1), FIND("{token}", SUBSTITUTE(#REF!, " ", "{token}", 2)) + 1, LEN(#REF!))</f>
        <v>#REF!</v>
      </c>
      <c r="H1052" s="165">
        <v>9.3000000000000007</v>
      </c>
      <c r="I1052" s="230">
        <v>45645</v>
      </c>
      <c r="J1052" s="230" t="s">
        <v>310</v>
      </c>
      <c r="K1052" s="226">
        <v>45665</v>
      </c>
      <c r="L1052" s="92"/>
      <c r="M1052" s="222">
        <v>1180</v>
      </c>
      <c r="N1052" s="2" t="str">
        <f t="shared" ca="1" si="33"/>
        <v>CLOSED</v>
      </c>
    </row>
    <row r="1053" spans="1:14" ht="30">
      <c r="A1053" s="64" t="s">
        <v>1334</v>
      </c>
      <c r="B1053" s="98" t="e">
        <f>VLOOKUP([2]!Table27[[#This Row],[Location 
(drop-down)]],'[2]List source'!D$2:E$59,2,FALSE)</f>
        <v>#VALUE!</v>
      </c>
      <c r="C1053" s="179" t="s">
        <v>3467</v>
      </c>
      <c r="D1053" s="2" t="e">
        <f t="shared" si="32"/>
        <v>#VALUE!</v>
      </c>
      <c r="E1053" s="227" t="s">
        <v>3468</v>
      </c>
      <c r="F1053" s="165" t="s">
        <v>1524</v>
      </c>
      <c r="G1053" s="227" t="e">
        <f>MID(LEFT(#REF!, FIND(",",#REF!) - 1), FIND("{token}", SUBSTITUTE(#REF!, " ", "{token}", 2)) + 1, LEN(#REF!))</f>
        <v>#REF!</v>
      </c>
      <c r="H1053" s="165">
        <v>8.5500000000000007</v>
      </c>
      <c r="I1053" s="230">
        <v>45657</v>
      </c>
      <c r="J1053" s="230" t="s">
        <v>34</v>
      </c>
      <c r="K1053" s="226">
        <v>45665</v>
      </c>
      <c r="L1053" s="259" t="s">
        <v>1505</v>
      </c>
      <c r="M1053" s="222">
        <v>1382</v>
      </c>
      <c r="N1053" s="2" t="str">
        <f t="shared" ca="1" si="33"/>
        <v>CLOSED</v>
      </c>
    </row>
    <row r="1054" spans="1:14" ht="30">
      <c r="A1054" s="64" t="s">
        <v>1334</v>
      </c>
      <c r="B1054" s="98" t="e">
        <f>VLOOKUP([2]!Table27[[#This Row],[Location 
(drop-down)]],'[2]List source'!D$2:E$59,2,FALSE)</f>
        <v>#VALUE!</v>
      </c>
      <c r="C1054" s="179" t="s">
        <v>3469</v>
      </c>
      <c r="D1054" s="2" t="e">
        <f t="shared" si="32"/>
        <v>#VALUE!</v>
      </c>
      <c r="E1054" s="227" t="s">
        <v>3470</v>
      </c>
      <c r="F1054" s="165" t="s">
        <v>1769</v>
      </c>
      <c r="G1054" s="227" t="e">
        <f>MID(LEFT(#REF!, FIND(",",#REF!) - 1), FIND("{token}", SUBSTITUTE(#REF!, " ", "{token}", 2)) + 1, LEN(#REF!))</f>
        <v>#REF!</v>
      </c>
      <c r="H1054" s="165" t="s">
        <v>3471</v>
      </c>
      <c r="I1054" s="230">
        <v>45657</v>
      </c>
      <c r="J1054" s="230" t="s">
        <v>34</v>
      </c>
      <c r="K1054" s="226">
        <v>45665</v>
      </c>
      <c r="L1054" s="165" t="s">
        <v>1837</v>
      </c>
      <c r="M1054" s="222">
        <v>1389</v>
      </c>
      <c r="N1054" s="2" t="str">
        <f t="shared" ca="1" si="33"/>
        <v>CLOSED</v>
      </c>
    </row>
    <row r="1055" spans="1:14" ht="30">
      <c r="A1055" s="64" t="s">
        <v>1334</v>
      </c>
      <c r="B1055" s="98" t="e">
        <f>VLOOKUP([2]!Table27[[#This Row],[Location 
(drop-down)]],'[2]List source'!D$2:E$59,2,FALSE)</f>
        <v>#VALUE!</v>
      </c>
      <c r="C1055" s="179" t="s">
        <v>3472</v>
      </c>
      <c r="D1055" s="2" t="e">
        <f t="shared" si="32"/>
        <v>#VALUE!</v>
      </c>
      <c r="E1055" s="227" t="s">
        <v>3473</v>
      </c>
      <c r="F1055" s="165" t="s">
        <v>1769</v>
      </c>
      <c r="G1055" s="227" t="e">
        <f>MID(LEFT(#REF!, FIND(",",#REF!) - 1), FIND("{token}", SUBSTITUTE(#REF!, " ", "{token}", 2)) + 1, LEN(#REF!))</f>
        <v>#REF!</v>
      </c>
      <c r="H1055" s="165">
        <v>64.86</v>
      </c>
      <c r="I1055" s="230">
        <v>45657</v>
      </c>
      <c r="J1055" s="230" t="s">
        <v>34</v>
      </c>
      <c r="K1055" s="226">
        <v>45665</v>
      </c>
      <c r="L1055" s="165" t="s">
        <v>1505</v>
      </c>
      <c r="M1055" s="222">
        <v>1390</v>
      </c>
      <c r="N1055" s="2" t="str">
        <f t="shared" ca="1" si="33"/>
        <v>CLOSED</v>
      </c>
    </row>
    <row r="1056" spans="1:14" ht="30">
      <c r="A1056" s="86" t="s">
        <v>294</v>
      </c>
      <c r="B1056" s="98" t="e">
        <f>VLOOKUP([2]!Table27[[#This Row],[Location 
(drop-down)]],'[2]List source'!D$2:E$59,2,FALSE)</f>
        <v>#VALUE!</v>
      </c>
      <c r="C1056" s="180" t="s">
        <v>3474</v>
      </c>
      <c r="D1056" s="373" t="e">
        <f t="shared" si="32"/>
        <v>#VALUE!</v>
      </c>
      <c r="E1056" s="227" t="s">
        <v>3475</v>
      </c>
      <c r="F1056" s="165" t="e" cm="1">
        <f t="array" aca="1" ref="F1056" ca="1">MID(LEFT(#REF!, INDEX(_xlfn._xlws.FILTER(ROW(INDIRECT("1:" &amp; LEN(#REF!))), (48 &lt;= CODE(MID(#REF!, ROW(INDIRECT("1:" &amp; LEN(#REF!))), 1))) * (CODE(MID(#REF!, ROW(INDIRECT("1:" &amp; LEN(#REF!))), 1)) &lt;= 57)), 1) - 1), FIND(":",#REF!) + 2, LEN(#REF!))</f>
        <v>#REF!</v>
      </c>
      <c r="G1056" s="227" t="e">
        <f>MID(LEFT(#REF!, FIND(",",#REF!) - 1), FIND("{token}", SUBSTITUTE(#REF!, " ", "{token}", 2)) + 1, LEN(#REF!))</f>
        <v>#REF!</v>
      </c>
      <c r="H1056" s="236" t="s">
        <v>3476</v>
      </c>
      <c r="I1056" s="230">
        <v>45435</v>
      </c>
      <c r="J1056" s="234" t="s">
        <v>239</v>
      </c>
      <c r="K1056" s="372">
        <v>45667</v>
      </c>
      <c r="L1056" s="165"/>
      <c r="M1056" s="222">
        <v>561</v>
      </c>
      <c r="N1056" s="2" t="str">
        <f t="shared" ca="1" si="33"/>
        <v>CLOSED</v>
      </c>
    </row>
    <row r="1057" spans="1:14" ht="15">
      <c r="A1057" s="64" t="s">
        <v>43</v>
      </c>
      <c r="B1057" s="98" t="e">
        <f>VLOOKUP([2]!Table27[[#This Row],[Location 
(drop-down)]],'[2]List source'!D$2:E$59,2,FALSE)</f>
        <v>#VALUE!</v>
      </c>
      <c r="C1057" s="179" t="s">
        <v>3477</v>
      </c>
      <c r="D1057" s="2" t="e">
        <f t="shared" si="32"/>
        <v>#VALUE!</v>
      </c>
      <c r="E1057" s="227" t="s">
        <v>3478</v>
      </c>
      <c r="F1057" s="165" t="e" cm="1">
        <f t="array" aca="1" ref="F1057" ca="1">MID(LEFT(#REF!, INDEX(_xlfn._xlws.FILTER(ROW(INDIRECT("1:" &amp; LEN(#REF!))), (48 &lt;= CODE(MID(#REF!, ROW(INDIRECT("1:" &amp; LEN(#REF!))), 1))) * (CODE(MID(#REF!, ROW(INDIRECT("1:" &amp; LEN(#REF!))), 1)) &lt;= 57)), 1) - 1), FIND(":",#REF!) + 2, LEN(#REF!))</f>
        <v>#REF!</v>
      </c>
      <c r="G1057" s="227" t="e">
        <f>MID(LEFT(#REF!, FIND(",",#REF!) - 1), FIND("{token}", SUBSTITUTE(#REF!, " ", "{token}", 2)) + 1, LEN(#REF!))</f>
        <v>#REF!</v>
      </c>
      <c r="H1057" s="165">
        <v>4.84</v>
      </c>
      <c r="I1057" s="230">
        <v>45657</v>
      </c>
      <c r="J1057" s="230" t="s">
        <v>34</v>
      </c>
      <c r="K1057" s="226">
        <v>45670</v>
      </c>
      <c r="L1057" s="165" t="s">
        <v>1505</v>
      </c>
      <c r="M1057" s="222">
        <v>1317</v>
      </c>
      <c r="N1057" s="2" t="str">
        <f t="shared" ca="1" si="33"/>
        <v>CLOSED</v>
      </c>
    </row>
    <row r="1058" spans="1:14" ht="30">
      <c r="A1058" s="128" t="s">
        <v>485</v>
      </c>
      <c r="B1058" s="98" t="e">
        <f>VLOOKUP([2]!Table27[[#This Row],[Location 
(drop-down)]],'[2]List source'!D$2:E$59,2,FALSE)</f>
        <v>#VALUE!</v>
      </c>
      <c r="C1058" s="185" t="s">
        <v>654</v>
      </c>
      <c r="D1058" s="383" t="e">
        <f t="shared" si="32"/>
        <v>#VALUE!</v>
      </c>
      <c r="E1058" s="339" t="s">
        <v>3479</v>
      </c>
      <c r="F1058" s="329" t="e" cm="1">
        <f t="array" aca="1" ref="F1058" ca="1">MID(LEFT(#REF!, INDEX(_xlfn._xlws.FILTER(ROW(INDIRECT("1:" &amp; LEN(#REF!))), (48 &lt;= CODE(MID(#REF!, ROW(INDIRECT("1:" &amp; LEN(#REF!))), 1))) * (CODE(MID(#REF!, ROW(INDIRECT("1:" &amp; LEN(#REF!))), 1)) &lt;= 57)), 1) - 1), FIND(":",#REF!) + 2, LEN(#REF!))</f>
        <v>#REF!</v>
      </c>
      <c r="G1058" s="339" t="e">
        <f>MID(LEFT(#REF!, FIND(",",#REF!) - 1), FIND("{token}", SUBSTITUTE(#REF!, " ", "{token}", 2)) + 1, LEN(#REF!))</f>
        <v>#REF!</v>
      </c>
      <c r="H1058" s="329" t="s">
        <v>1579</v>
      </c>
      <c r="I1058" s="384">
        <v>45397</v>
      </c>
      <c r="J1058" s="331" t="s">
        <v>239</v>
      </c>
      <c r="K1058" s="332">
        <v>45671</v>
      </c>
      <c r="L1058" s="385"/>
      <c r="M1058" s="222">
        <v>203</v>
      </c>
      <c r="N1058" s="2" t="str">
        <f t="shared" ca="1" si="33"/>
        <v>CLOSED</v>
      </c>
    </row>
    <row r="1059" spans="1:14" ht="30">
      <c r="A1059" s="64" t="s">
        <v>39</v>
      </c>
      <c r="B1059" s="98" t="e">
        <f>VLOOKUP([2]!Table27[[#This Row],[Location 
(drop-down)]],'[2]List source'!D$2:E$59,2,FALSE)</f>
        <v>#VALUE!</v>
      </c>
      <c r="C1059" s="179" t="s">
        <v>3480</v>
      </c>
      <c r="D1059" s="378" t="e">
        <f t="shared" si="32"/>
        <v>#VALUE!</v>
      </c>
      <c r="E1059" s="227" t="s">
        <v>3481</v>
      </c>
      <c r="F1059" s="165" t="e" cm="1">
        <f t="array" aca="1" ref="F1059" ca="1">MID(LEFT(#REF!, INDEX(_xlfn._xlws.FILTER(ROW(INDIRECT("1:" &amp; LEN(#REF!))), (48 &lt;= CODE(MID(#REF!, ROW(INDIRECT("1:" &amp; LEN(#REF!))), 1))) * (CODE(MID(#REF!, ROW(INDIRECT("1:" &amp; LEN(#REF!))), 1)) &lt;= 57)), 1) - 1), FIND(":",#REF!) + 2, LEN(#REF!))</f>
        <v>#REF!</v>
      </c>
      <c r="G1059" s="227" t="e">
        <f>MID(LEFT(#REF!, FIND(",",#REF!) - 1), FIND("{token}", SUBSTITUTE(#REF!, " ", "{token}", 2)) + 1, LEN(#REF!))</f>
        <v>#REF!</v>
      </c>
      <c r="H1059" s="165">
        <v>2.29</v>
      </c>
      <c r="I1059" s="230">
        <v>45495</v>
      </c>
      <c r="J1059" s="230" t="s">
        <v>239</v>
      </c>
      <c r="K1059" s="226">
        <v>45671</v>
      </c>
      <c r="L1059" s="165"/>
      <c r="M1059" s="222">
        <v>665</v>
      </c>
      <c r="N1059" s="2" t="str">
        <f t="shared" ca="1" si="33"/>
        <v>CLOSED</v>
      </c>
    </row>
    <row r="1060" spans="1:14" ht="30">
      <c r="A1060" s="85" t="s">
        <v>294</v>
      </c>
      <c r="B1060" s="98" t="e">
        <f>VLOOKUP([2]!Table27[[#This Row],[Location 
(drop-down)]],'[2]List source'!D$2:E$59,2,FALSE)</f>
        <v>#VALUE!</v>
      </c>
      <c r="C1060" s="183" t="s">
        <v>3482</v>
      </c>
      <c r="D1060" s="386" t="e">
        <f t="shared" si="32"/>
        <v>#VALUE!</v>
      </c>
      <c r="E1060" s="334" t="s">
        <v>3483</v>
      </c>
      <c r="F1060" s="335" t="e" cm="1">
        <f t="array" aca="1" ref="F1060" ca="1">MID(LEFT(#REF!, INDEX(_xlfn._xlws.FILTER(ROW(INDIRECT("1:" &amp; LEN(#REF!))), (48 &lt;= CODE(MID(#REF!, ROW(INDIRECT("1:" &amp; LEN(#REF!))), 1))) * (CODE(MID(#REF!, ROW(INDIRECT("1:" &amp; LEN(#REF!))), 1)) &lt;= 57)), 1) - 1), FIND(":",#REF!) + 2, LEN(#REF!))</f>
        <v>#REF!</v>
      </c>
      <c r="G1060" s="334" t="e">
        <f>MID(LEFT(#REF!, FIND(",",#REF!) - 1), FIND("{token}", SUBSTITUTE(#REF!, " ", "{token}", 2)) + 1, LEN(#REF!))</f>
        <v>#REF!</v>
      </c>
      <c r="H1060" s="205" t="s">
        <v>3484</v>
      </c>
      <c r="I1060" s="337">
        <v>45509</v>
      </c>
      <c r="J1060" s="337" t="s">
        <v>239</v>
      </c>
      <c r="K1060" s="338">
        <v>45671</v>
      </c>
      <c r="L1060" s="165"/>
      <c r="M1060" s="222">
        <v>702</v>
      </c>
      <c r="N1060" s="2" t="str">
        <f t="shared" ca="1" si="33"/>
        <v>CLOSED</v>
      </c>
    </row>
    <row r="1061" spans="1:14" ht="18.75">
      <c r="A1061" s="64" t="s">
        <v>64</v>
      </c>
      <c r="B1061" s="98" t="e">
        <f>VLOOKUP([2]!Table27[[#This Row],[Location 
(drop-down)]],'[2]List source'!D$2:E$59,2,FALSE)</f>
        <v>#VALUE!</v>
      </c>
      <c r="C1061" s="179" t="s">
        <v>3485</v>
      </c>
      <c r="D1061" s="379" t="e">
        <f t="shared" si="32"/>
        <v>#VALUE!</v>
      </c>
      <c r="E1061" s="227" t="s">
        <v>3486</v>
      </c>
      <c r="F1061" s="165" t="e" cm="1">
        <f t="array" aca="1" ref="F1061" ca="1">MID(LEFT(#REF!, INDEX(_xlfn._xlws.FILTER(ROW(INDIRECT("1:" &amp; LEN(#REF!))), (48 &lt;= CODE(MID(#REF!, ROW(INDIRECT("1:" &amp; LEN(#REF!))), 1))) * (CODE(MID(#REF!, ROW(INDIRECT("1:" &amp; LEN(#REF!))), 1)) &lt;= 57)), 1) - 1), FIND(":",#REF!) + 2, LEN(#REF!))</f>
        <v>#REF!</v>
      </c>
      <c r="G1061" s="227" t="e">
        <f>MID(LEFT(#REF!, FIND(",",#REF!) - 1), FIND("{token}", SUBSTITUTE(#REF!, " ", "{token}", 2)) + 1, LEN(#REF!))</f>
        <v>#REF!</v>
      </c>
      <c r="H1061" s="236" t="s">
        <v>1962</v>
      </c>
      <c r="I1061" s="230">
        <v>45533</v>
      </c>
      <c r="J1061" s="230" t="s">
        <v>34</v>
      </c>
      <c r="K1061" s="226">
        <v>45671</v>
      </c>
      <c r="L1061" s="165" t="s">
        <v>1837</v>
      </c>
      <c r="M1061" s="222">
        <v>823</v>
      </c>
      <c r="N1061" s="2" t="str">
        <f t="shared" ca="1" si="33"/>
        <v>CLOSED</v>
      </c>
    </row>
    <row r="1062" spans="1:14" ht="15">
      <c r="A1062" s="64" t="s">
        <v>64</v>
      </c>
      <c r="B1062" s="98" t="e">
        <f>VLOOKUP([2]!Table27[[#This Row],[Location 
(drop-down)]],'[2]List source'!D$2:E$59,2,FALSE)</f>
        <v>#VALUE!</v>
      </c>
      <c r="C1062" s="179" t="s">
        <v>3487</v>
      </c>
      <c r="D1062" s="2" t="e">
        <f t="shared" si="32"/>
        <v>#VALUE!</v>
      </c>
      <c r="E1062" s="227" t="s">
        <v>3488</v>
      </c>
      <c r="F1062" s="165" t="e" cm="1">
        <f t="array" aca="1" ref="F1062" ca="1">MID(LEFT(#REF!, INDEX(_xlfn._xlws.FILTER(ROW(INDIRECT("1:" &amp; LEN(#REF!))), (48 &lt;= CODE(MID(#REF!, ROW(INDIRECT("1:" &amp; LEN(#REF!))), 1))) * (CODE(MID(#REF!, ROW(INDIRECT("1:" &amp; LEN(#REF!))), 1)) &lt;= 57)), 1) - 1), FIND(":",#REF!) + 2, LEN(#REF!))</f>
        <v>#REF!</v>
      </c>
      <c r="G1062" s="227" t="e">
        <f>MID(LEFT(#REF!, FIND(",",#REF!) - 1), FIND("{token}", SUBSTITUTE(#REF!, " ", "{token}", 2)) + 1, LEN(#REF!))</f>
        <v>#REF!</v>
      </c>
      <c r="H1062" s="236" t="s">
        <v>3489</v>
      </c>
      <c r="I1062" s="230">
        <v>45657</v>
      </c>
      <c r="J1062" s="230" t="s">
        <v>34</v>
      </c>
      <c r="K1062" s="226">
        <v>45671</v>
      </c>
      <c r="L1062" s="165" t="s">
        <v>1505</v>
      </c>
      <c r="M1062" s="222">
        <v>1354</v>
      </c>
      <c r="N1062" s="2" t="str">
        <f t="shared" ca="1" si="33"/>
        <v>CLOSED</v>
      </c>
    </row>
    <row r="1063" spans="1:14" ht="15">
      <c r="A1063" s="64" t="s">
        <v>103</v>
      </c>
      <c r="B1063" s="98" t="e">
        <f>VLOOKUP([2]!Table27[[#This Row],[Location 
(drop-down)]],'[2]List source'!D$2:E$59,2,FALSE)</f>
        <v>#VALUE!</v>
      </c>
      <c r="C1063" s="179" t="s">
        <v>3490</v>
      </c>
      <c r="D1063" s="2" t="e">
        <f t="shared" si="32"/>
        <v>#VALUE!</v>
      </c>
      <c r="E1063" s="227" t="s">
        <v>3491</v>
      </c>
      <c r="F1063" s="165" t="s">
        <v>1769</v>
      </c>
      <c r="G1063" s="227" t="e">
        <f>MID(LEFT(#REF!, FIND(",",#REF!) - 1), FIND("{token}", SUBSTITUTE(#REF!, " ", "{token}", 2)) + 1, LEN(#REF!))</f>
        <v>#REF!</v>
      </c>
      <c r="H1063" s="165">
        <v>86.67</v>
      </c>
      <c r="I1063" s="230">
        <v>45657</v>
      </c>
      <c r="J1063" s="230" t="s">
        <v>34</v>
      </c>
      <c r="K1063" s="226">
        <v>45671</v>
      </c>
      <c r="L1063" s="165" t="s">
        <v>1505</v>
      </c>
      <c r="M1063" s="222">
        <v>1393</v>
      </c>
      <c r="N1063" s="2" t="str">
        <f t="shared" ca="1" si="33"/>
        <v>CLOSED</v>
      </c>
    </row>
    <row r="1064" spans="1:14" ht="18.75">
      <c r="A1064" s="85" t="s">
        <v>314</v>
      </c>
      <c r="B1064" s="98" t="e">
        <f>VLOOKUP([2]!Table27[[#This Row],[Location 
(drop-down)]],'[2]List source'!D$2:E$59,2,FALSE)</f>
        <v>#VALUE!</v>
      </c>
      <c r="C1064" s="183" t="s">
        <v>1362</v>
      </c>
      <c r="D1064" s="386" t="e">
        <f t="shared" si="32"/>
        <v>#VALUE!</v>
      </c>
      <c r="E1064" s="334" t="s">
        <v>3492</v>
      </c>
      <c r="F1064" s="335" t="e" cm="1">
        <f t="array" aca="1" ref="F1064" ca="1">MID(LEFT(#REF!, INDEX(_xlfn._xlws.FILTER(ROW(INDIRECT("1:" &amp; LEN(#REF!))), (48 &lt;= CODE(MID(#REF!, ROW(INDIRECT("1:" &amp; LEN(#REF!))), 1))) * (CODE(MID(#REF!, ROW(INDIRECT("1:" &amp; LEN(#REF!))), 1)) &lt;= 57)), 1) - 1), FIND(":",#REF!) + 2, LEN(#REF!))</f>
        <v>#REF!</v>
      </c>
      <c r="G1064" s="334" t="e">
        <f>MID(LEFT(#REF!, FIND(",",#REF!) - 1), FIND("{token}", SUBSTITUTE(#REF!, " ", "{token}", 2)) + 1, LEN(#REF!))</f>
        <v>#REF!</v>
      </c>
      <c r="H1064" s="335" t="s">
        <v>3493</v>
      </c>
      <c r="I1064" s="337">
        <v>45412</v>
      </c>
      <c r="J1064" s="337" t="s">
        <v>239</v>
      </c>
      <c r="K1064" s="338">
        <v>45672</v>
      </c>
      <c r="L1064" s="165"/>
      <c r="M1064" s="222">
        <v>290</v>
      </c>
      <c r="N1064" s="2" t="str">
        <f t="shared" ca="1" si="33"/>
        <v>CLOSED</v>
      </c>
    </row>
    <row r="1065" spans="1:14" ht="18.75">
      <c r="A1065" s="85" t="s">
        <v>15</v>
      </c>
      <c r="B1065" s="98" t="e">
        <f>VLOOKUP([2]!Table27[[#This Row],[Location 
(drop-down)]],'[2]List source'!D$2:E$59,2,FALSE)</f>
        <v>#VALUE!</v>
      </c>
      <c r="C1065" s="183" t="s">
        <v>915</v>
      </c>
      <c r="D1065" s="386" t="e">
        <f t="shared" si="32"/>
        <v>#VALUE!</v>
      </c>
      <c r="E1065" s="387" t="s">
        <v>3494</v>
      </c>
      <c r="F1065" s="388" t="s">
        <v>1850</v>
      </c>
      <c r="G1065" s="387" t="e">
        <f>MID(LEFT(#REF!, FIND(",",#REF!) - 1), FIND("{token}", SUBSTITUTE(#REF!, " ", "{token}", 2)) + 1, LEN(#REF!))</f>
        <v>#REF!</v>
      </c>
      <c r="H1065" s="388">
        <v>9.31</v>
      </c>
      <c r="I1065" s="337">
        <v>45415</v>
      </c>
      <c r="J1065" s="337"/>
      <c r="K1065" s="338">
        <v>45672</v>
      </c>
      <c r="L1065" s="335"/>
      <c r="M1065" s="389">
        <v>352</v>
      </c>
      <c r="N1065" s="2" t="str">
        <f t="shared" ca="1" si="33"/>
        <v>CLOSED</v>
      </c>
    </row>
    <row r="1066" spans="1:14" ht="18.75">
      <c r="A1066" s="64" t="s">
        <v>344</v>
      </c>
      <c r="B1066" s="98" t="e">
        <f>VLOOKUP([2]!Table27[[#This Row],[Location 
(drop-down)]],'[2]List source'!D$2:E$59,2,FALSE)</f>
        <v>#VALUE!</v>
      </c>
      <c r="C1066" s="179" t="s">
        <v>3495</v>
      </c>
      <c r="D1066" s="378" t="e">
        <f t="shared" si="32"/>
        <v>#VALUE!</v>
      </c>
      <c r="E1066" s="227" t="s">
        <v>3496</v>
      </c>
      <c r="F1066" s="165" t="e" cm="1">
        <f t="array" aca="1" ref="F1066" ca="1">MID(LEFT(#REF!, INDEX(_xlfn._xlws.FILTER(ROW(INDIRECT("1:" &amp; LEN(#REF!))), (48 &lt;= CODE(MID(#REF!, ROW(INDIRECT("1:" &amp; LEN(#REF!))), 1))) * (CODE(MID(#REF!, ROW(INDIRECT("1:" &amp; LEN(#REF!))), 1)) &lt;= 57)), 1) - 1), FIND(":",#REF!) + 2, LEN(#REF!))</f>
        <v>#REF!</v>
      </c>
      <c r="G1066" s="227" t="e">
        <f>MID(LEFT(#REF!, FIND(",",#REF!) - 1), FIND("{token}", SUBSTITUTE(#REF!, " ", "{token}", 2)) + 1, LEN(#REF!))</f>
        <v>#REF!</v>
      </c>
      <c r="H1066" s="165">
        <v>16.010000000000002</v>
      </c>
      <c r="I1066" s="230">
        <v>45513</v>
      </c>
      <c r="J1066" s="230" t="s">
        <v>327</v>
      </c>
      <c r="K1066" s="226">
        <v>45672</v>
      </c>
      <c r="L1066" s="165"/>
      <c r="M1066" s="222">
        <v>789</v>
      </c>
      <c r="N1066" s="2" t="str">
        <f t="shared" ca="1" si="33"/>
        <v>CLOSED</v>
      </c>
    </row>
    <row r="1067" spans="1:14" ht="15">
      <c r="A1067" s="85" t="s">
        <v>15</v>
      </c>
      <c r="B1067" s="98" t="e">
        <f>VLOOKUP([2]!Table27[[#This Row],[Location 
(drop-down)]],'[2]List source'!D$2:E$59,2,FALSE)</f>
        <v>#VALUE!</v>
      </c>
      <c r="C1067" s="183" t="s">
        <v>3497</v>
      </c>
      <c r="D1067" s="382" t="e">
        <f t="shared" si="32"/>
        <v>#VALUE!</v>
      </c>
      <c r="E1067" s="334" t="s">
        <v>3498</v>
      </c>
      <c r="F1067" s="335" t="s">
        <v>3068</v>
      </c>
      <c r="G1067" s="334" t="e">
        <f>MID(LEFT(#REF!, FIND(",",#REF!) - 1), FIND("{token}", SUBSTITUTE(#REF!, " ", "{token}", 2)) + 1, LEN(#REF!))</f>
        <v>#REF!</v>
      </c>
      <c r="H1067" s="336" t="s">
        <v>3499</v>
      </c>
      <c r="I1067" s="337">
        <v>45593</v>
      </c>
      <c r="J1067" s="337" t="s">
        <v>21</v>
      </c>
      <c r="K1067" s="338">
        <v>45672</v>
      </c>
      <c r="L1067" s="335"/>
      <c r="M1067" s="389">
        <v>1035</v>
      </c>
      <c r="N1067" s="2" t="str">
        <f t="shared" ca="1" si="33"/>
        <v>CLOSED</v>
      </c>
    </row>
    <row r="1068" spans="1:14" ht="15">
      <c r="A1068" s="85" t="s">
        <v>1082</v>
      </c>
      <c r="B1068" s="98" t="e">
        <f>VLOOKUP([2]!Table27[[#This Row],[Location 
(drop-down)]],'[2]List source'!D$2:E$59,2,FALSE)</f>
        <v>#VALUE!</v>
      </c>
      <c r="C1068" s="183" t="s">
        <v>3500</v>
      </c>
      <c r="D1068" s="382" t="e">
        <f t="shared" si="32"/>
        <v>#VALUE!</v>
      </c>
      <c r="E1068" s="334" t="s">
        <v>3501</v>
      </c>
      <c r="F1068" s="335" t="e" cm="1">
        <f t="array" aca="1" ref="F1068" ca="1">MID(LEFT(#REF!, INDEX(_xlfn._xlws.FILTER(ROW(INDIRECT("1:" &amp; LEN(#REF!))), (48 &lt;= CODE(MID(#REF!, ROW(INDIRECT("1:" &amp; LEN(#REF!))), 1))) * (CODE(MID(#REF!, ROW(INDIRECT("1:" &amp; LEN(#REF!))), 1)) &lt;= 57)), 1) - 1), FIND(":",#REF!) + 2, LEN(#REF!))</f>
        <v>#REF!</v>
      </c>
      <c r="G1068" s="334" t="e">
        <f>MID(LEFT(#REF!, FIND(",",#REF!) - 1), FIND("{token}", SUBSTITUTE(#REF!, " ", "{token}", 2)) + 1, LEN(#REF!))</f>
        <v>#REF!</v>
      </c>
      <c r="H1068" s="336" t="s">
        <v>3502</v>
      </c>
      <c r="I1068" s="337">
        <v>45653</v>
      </c>
      <c r="J1068" s="337" t="s">
        <v>130</v>
      </c>
      <c r="K1068" s="338">
        <v>45672</v>
      </c>
      <c r="L1068" s="165"/>
      <c r="M1068" s="222">
        <v>1250</v>
      </c>
      <c r="N1068" s="2" t="str">
        <f t="shared" ca="1" si="33"/>
        <v>CLOSED</v>
      </c>
    </row>
    <row r="1069" spans="1:14" ht="30">
      <c r="A1069" s="64" t="s">
        <v>202</v>
      </c>
      <c r="B1069" s="98" t="e">
        <f>VLOOKUP([2]!Table27[[#This Row],[Location 
(drop-down)]],'[2]List source'!D$2:E$59,2,FALSE)</f>
        <v>#VALUE!</v>
      </c>
      <c r="C1069" s="179" t="s">
        <v>3503</v>
      </c>
      <c r="D1069" s="2" t="e">
        <f t="shared" si="32"/>
        <v>#VALUE!</v>
      </c>
      <c r="E1069" s="227" t="s">
        <v>3504</v>
      </c>
      <c r="F1069" s="165" t="e" cm="1">
        <f t="array" aca="1" ref="F1069" ca="1">MID(LEFT(#REF!, INDEX(_xlfn._xlws.FILTER(ROW(INDIRECT("1:" &amp; LEN(#REF!))), (48 &lt;= CODE(MID(#REF!, ROW(INDIRECT("1:" &amp; LEN(#REF!))), 1))) * (CODE(MID(#REF!, ROW(INDIRECT("1:" &amp; LEN(#REF!))), 1)) &lt;= 57)), 1) - 1), FIND(":",#REF!) + 2, LEN(#REF!))</f>
        <v>#REF!</v>
      </c>
      <c r="G1069" s="227" t="e">
        <f>MID(LEFT(#REF!, FIND(",",#REF!) - 1), FIND("{token}", SUBSTITUTE(#REF!, " ", "{token}", 2)) + 1, LEN(#REF!))</f>
        <v>#REF!</v>
      </c>
      <c r="H1069" s="236" t="s">
        <v>1762</v>
      </c>
      <c r="I1069" s="230">
        <v>45642</v>
      </c>
      <c r="J1069" s="230" t="s">
        <v>47</v>
      </c>
      <c r="K1069" s="226">
        <v>45676</v>
      </c>
      <c r="L1069" s="165"/>
      <c r="M1069" s="222">
        <v>1113</v>
      </c>
      <c r="N1069" s="2" t="str">
        <f t="shared" ca="1" si="33"/>
        <v>CLOSED</v>
      </c>
    </row>
    <row r="1070" spans="1:14" ht="30">
      <c r="A1070" s="85" t="s">
        <v>30</v>
      </c>
      <c r="B1070" s="98" t="e">
        <f>VLOOKUP([2]!Table27[[#This Row],[Location 
(drop-down)]],'[2]List source'!D$2:E$59,2,FALSE)</f>
        <v>#VALUE!</v>
      </c>
      <c r="C1070" s="183" t="s">
        <v>826</v>
      </c>
      <c r="D1070" s="386" t="e">
        <f t="shared" si="32"/>
        <v>#VALUE!</v>
      </c>
      <c r="E1070" s="227" t="s">
        <v>3505</v>
      </c>
      <c r="F1070" s="165" t="s">
        <v>1814</v>
      </c>
      <c r="G1070" s="227" t="e">
        <f>MID(LEFT(#REF!, FIND(",",#REF!) - 1), FIND("{token}", SUBSTITUTE(#REF!, " ", "{token}", 2)) + 1, LEN(#REF!))</f>
        <v>#REF!</v>
      </c>
      <c r="H1070" s="165">
        <v>2.74</v>
      </c>
      <c r="I1070" s="230">
        <v>45413</v>
      </c>
      <c r="J1070" s="337" t="s">
        <v>111</v>
      </c>
      <c r="K1070" s="338">
        <v>45677</v>
      </c>
      <c r="L1070" s="165"/>
      <c r="M1070" s="222">
        <v>324</v>
      </c>
      <c r="N1070" s="2" t="str">
        <f t="shared" ca="1" si="33"/>
        <v>CLOSED</v>
      </c>
    </row>
    <row r="1071" spans="1:14" ht="18.75">
      <c r="A1071" s="64" t="s">
        <v>64</v>
      </c>
      <c r="B1071" s="98" t="e">
        <f>VLOOKUP([2]!Table27[[#This Row],[Location 
(drop-down)]],'[2]List source'!D$2:E$59,2,FALSE)</f>
        <v>#VALUE!</v>
      </c>
      <c r="C1071" s="179" t="s">
        <v>3506</v>
      </c>
      <c r="D1071" s="379" t="e">
        <f t="shared" si="32"/>
        <v>#VALUE!</v>
      </c>
      <c r="E1071" s="227" t="s">
        <v>2526</v>
      </c>
      <c r="F1071" s="165" t="e" cm="1">
        <f t="array" aca="1" ref="F1071" ca="1">MID(LEFT(#REF!, INDEX(_xlfn._xlws.FILTER(ROW(INDIRECT("1:" &amp; LEN(#REF!))), (48 &lt;= CODE(MID(#REF!, ROW(INDIRECT("1:" &amp; LEN(#REF!))), 1))) * (CODE(MID(#REF!, ROW(INDIRECT("1:" &amp; LEN(#REF!))), 1)) &lt;= 57)), 1) - 1), FIND(":",#REF!) + 2, LEN(#REF!))</f>
        <v>#REF!</v>
      </c>
      <c r="G1071" s="227" t="e">
        <f>MID(LEFT(#REF!, FIND(",",#REF!) - 1), FIND("{token}", SUBSTITUTE(#REF!, " ", "{token}", 2)) + 1, LEN(#REF!))</f>
        <v>#REF!</v>
      </c>
      <c r="H1071" s="165">
        <v>2.38</v>
      </c>
      <c r="I1071" s="230">
        <v>45534</v>
      </c>
      <c r="J1071" s="230" t="s">
        <v>34</v>
      </c>
      <c r="K1071" s="226">
        <v>45677</v>
      </c>
      <c r="L1071" s="92" t="s">
        <v>1505</v>
      </c>
      <c r="M1071" s="222">
        <v>872</v>
      </c>
      <c r="N1071" s="2" t="str">
        <f t="shared" ca="1" si="33"/>
        <v>CLOSED</v>
      </c>
    </row>
    <row r="1072" spans="1:14" ht="30">
      <c r="A1072" s="64" t="s">
        <v>125</v>
      </c>
      <c r="B1072" s="98" t="e">
        <f>VLOOKUP([2]!Table27[[#This Row],[Location 
(drop-down)]],'[2]List source'!D$2:E$59,2,FALSE)</f>
        <v>#VALUE!</v>
      </c>
      <c r="C1072" s="179" t="s">
        <v>3507</v>
      </c>
      <c r="D1072" s="2" t="e">
        <f t="shared" si="32"/>
        <v>#VALUE!</v>
      </c>
      <c r="E1072" s="227" t="s">
        <v>3508</v>
      </c>
      <c r="F1072" s="165" t="e" cm="1">
        <f t="array" aca="1" ref="F1072" ca="1">MID(LEFT(#REF!, INDEX(_xlfn._xlws.FILTER(ROW(INDIRECT("1:" &amp; LEN(#REF!))), (48 &lt;= CODE(MID(#REF!, ROW(INDIRECT("1:" &amp; LEN(#REF!))), 1))) * (CODE(MID(#REF!, ROW(INDIRECT("1:" &amp; LEN(#REF!))), 1)) &lt;= 57)), 1) - 1), FIND(":",#REF!) + 2, LEN(#REF!))</f>
        <v>#REF!</v>
      </c>
      <c r="G1072" s="227" t="e">
        <f>MID(LEFT(#REF!, FIND(",",#REF!) - 1), FIND("{token}", SUBSTITUTE(#REF!, " ", "{token}", 2)) + 1, LEN(#REF!))</f>
        <v>#REF!</v>
      </c>
      <c r="H1072" s="165" t="s">
        <v>3509</v>
      </c>
      <c r="I1072" s="230">
        <v>45595</v>
      </c>
      <c r="J1072" s="337" t="s">
        <v>111</v>
      </c>
      <c r="K1072" s="338">
        <v>45677</v>
      </c>
      <c r="L1072" s="165"/>
      <c r="M1072" s="222">
        <v>1065</v>
      </c>
      <c r="N1072" s="2" t="str">
        <f t="shared" ca="1" si="33"/>
        <v>CLOSED</v>
      </c>
    </row>
    <row r="1073" spans="1:14" ht="30">
      <c r="A1073" s="64" t="s">
        <v>30</v>
      </c>
      <c r="B1073" s="98" t="e">
        <f>VLOOKUP([2]!Table27[[#This Row],[Location 
(drop-down)]],'[2]List source'!D$2:E$59,2,FALSE)</f>
        <v>#VALUE!</v>
      </c>
      <c r="C1073" s="179" t="s">
        <v>589</v>
      </c>
      <c r="D1073" s="378" t="e">
        <f t="shared" si="32"/>
        <v>#VALUE!</v>
      </c>
      <c r="E1073" s="227" t="s">
        <v>3510</v>
      </c>
      <c r="F1073" s="165" t="e" cm="1">
        <f t="array" aca="1" ref="F1073" ca="1">MID(LEFT(#REF!, INDEX(_xlfn._xlws.FILTER(ROW(INDIRECT("1:" &amp; LEN(#REF!))), (48 &lt;= CODE(MID(#REF!, ROW(INDIRECT("1:" &amp; LEN(#REF!))), 1))) * (CODE(MID(#REF!, ROW(INDIRECT("1:" &amp; LEN(#REF!))), 1)) &lt;= 57)), 1) - 1), FIND(":",#REF!) + 2, LEN(#REF!))</f>
        <v>#REF!</v>
      </c>
      <c r="G1073" s="201" t="e">
        <f>MID(LEFT(#REF!, FIND(",",#REF!) - 1), FIND("{token}", SUBSTITUTE(#REF!, " ", "{token}", 2)) + 1, LEN(#REF!))</f>
        <v>#REF!</v>
      </c>
      <c r="H1073" s="165">
        <v>6</v>
      </c>
      <c r="I1073" s="230">
        <v>45376</v>
      </c>
      <c r="J1073" s="230" t="s">
        <v>111</v>
      </c>
      <c r="K1073" s="226">
        <v>45679</v>
      </c>
      <c r="L1073" s="165"/>
      <c r="M1073" s="222">
        <v>124</v>
      </c>
      <c r="N1073" s="2" t="str">
        <f t="shared" ca="1" si="33"/>
        <v>CLOSED</v>
      </c>
    </row>
    <row r="1074" spans="1:14" ht="30">
      <c r="A1074" s="64" t="s">
        <v>30</v>
      </c>
      <c r="B1074" s="98" t="e">
        <f>VLOOKUP([2]!Table27[[#This Row],[Location 
(drop-down)]],'[2]List source'!D$2:E$59,2,FALSE)</f>
        <v>#VALUE!</v>
      </c>
      <c r="C1074" s="179" t="s">
        <v>3511</v>
      </c>
      <c r="D1074" s="379" t="e">
        <f t="shared" si="32"/>
        <v>#VALUE!</v>
      </c>
      <c r="E1074" s="227" t="s">
        <v>3512</v>
      </c>
      <c r="F1074" s="165" t="e" cm="1">
        <f t="array" aca="1" ref="F1074" ca="1">MID(LEFT(#REF!, INDEX(_xlfn._xlws.FILTER(ROW(INDIRECT("1:" &amp; LEN(#REF!))), (48 &lt;= CODE(MID(#REF!, ROW(INDIRECT("1:" &amp; LEN(#REF!))), 1))) * (CODE(MID(#REF!, ROW(INDIRECT("1:" &amp; LEN(#REF!))), 1)) &lt;= 57)), 1) - 1), FIND(":",#REF!) + 2, LEN(#REF!))</f>
        <v>#REF!</v>
      </c>
      <c r="G1074" s="227" t="e">
        <f>MID(LEFT(#REF!, FIND(",",#REF!) - 1), FIND("{token}", SUBSTITUTE(#REF!, " ", "{token}", 2)) + 1, LEN(#REF!))</f>
        <v>#REF!</v>
      </c>
      <c r="H1074" s="236" t="s">
        <v>3513</v>
      </c>
      <c r="I1074" s="230">
        <v>45546</v>
      </c>
      <c r="J1074" s="230" t="s">
        <v>34</v>
      </c>
      <c r="K1074" s="226">
        <v>45679</v>
      </c>
      <c r="L1074" s="165" t="s">
        <v>1505</v>
      </c>
      <c r="M1074" s="222">
        <v>962</v>
      </c>
      <c r="N1074" s="2" t="str">
        <f t="shared" ca="1" si="33"/>
        <v>CLOSED</v>
      </c>
    </row>
    <row r="1075" spans="1:14" ht="30">
      <c r="A1075" s="64" t="s">
        <v>39</v>
      </c>
      <c r="B1075" s="98" t="e">
        <f>VLOOKUP([2]!Table27[[#This Row],[Location 
(drop-down)]],'[2]List source'!D$2:E$59,2,FALSE)</f>
        <v>#VALUE!</v>
      </c>
      <c r="C1075" s="179" t="s">
        <v>3514</v>
      </c>
      <c r="D1075" s="378" t="e">
        <f t="shared" si="32"/>
        <v>#VALUE!</v>
      </c>
      <c r="E1075" s="176" t="s">
        <v>3515</v>
      </c>
      <c r="F1075" s="165" t="s">
        <v>1811</v>
      </c>
      <c r="G1075" s="227" t="e">
        <f>MID(LEFT(#REF!, FIND(",",#REF!) - 1), FIND("{token}", SUBSTITUTE(#REF!, " ", "{token}", 2)) + 1, LEN(#REF!))</f>
        <v>#REF!</v>
      </c>
      <c r="H1075" s="236" t="s">
        <v>3516</v>
      </c>
      <c r="I1075" s="230">
        <v>45509</v>
      </c>
      <c r="J1075" s="230" t="s">
        <v>327</v>
      </c>
      <c r="K1075" s="226">
        <v>45680</v>
      </c>
      <c r="L1075" s="92"/>
      <c r="M1075" s="222">
        <v>707</v>
      </c>
      <c r="N1075" s="2" t="str">
        <f t="shared" ca="1" si="33"/>
        <v>CLOSED</v>
      </c>
    </row>
    <row r="1076" spans="1:14" ht="30">
      <c r="A1076" s="64" t="s">
        <v>39</v>
      </c>
      <c r="B1076" s="98" t="e">
        <f>VLOOKUP([2]!Table27[[#This Row],[Location 
(drop-down)]],'[2]List source'!D$2:E$59,2,FALSE)</f>
        <v>#VALUE!</v>
      </c>
      <c r="C1076" s="179" t="s">
        <v>3517</v>
      </c>
      <c r="D1076" s="2" t="e">
        <f t="shared" si="32"/>
        <v>#VALUE!</v>
      </c>
      <c r="E1076" s="227" t="s">
        <v>3518</v>
      </c>
      <c r="F1076" s="165" t="s">
        <v>1811</v>
      </c>
      <c r="G1076" s="227" t="e">
        <f>MID(LEFT(#REF!, FIND(",",#REF!) - 1), FIND("{token}", SUBSTITUTE(#REF!, " ", "{token}", 2)) + 1, LEN(#REF!))</f>
        <v>#REF!</v>
      </c>
      <c r="H1076" s="236" t="s">
        <v>3519</v>
      </c>
      <c r="I1076" s="230">
        <v>45657</v>
      </c>
      <c r="J1076" s="230" t="s">
        <v>327</v>
      </c>
      <c r="K1076" s="226">
        <v>45680</v>
      </c>
      <c r="L1076" s="165"/>
      <c r="M1076" s="222">
        <v>1408</v>
      </c>
      <c r="N1076" s="2" t="str">
        <f t="shared" ca="1" si="33"/>
        <v>CLOSED</v>
      </c>
    </row>
    <row r="1077" spans="1:14" ht="18.75">
      <c r="A1077" s="90" t="s">
        <v>167</v>
      </c>
      <c r="B1077" s="98" t="e">
        <f>VLOOKUP([2]!Table27[[#This Row],[Location 
(drop-down)]],'[2]List source'!D$2:E$59,2,FALSE)</f>
        <v>#VALUE!</v>
      </c>
      <c r="C1077" s="182" t="s">
        <v>960</v>
      </c>
      <c r="D1077" s="377" t="e">
        <f t="shared" si="32"/>
        <v>#VALUE!</v>
      </c>
      <c r="E1077" s="227" t="s">
        <v>3520</v>
      </c>
      <c r="F1077" s="165" t="e" cm="1">
        <f t="array" aca="1" ref="F1077" ca="1">MID(LEFT(#REF!, INDEX(_xlfn._xlws.FILTER(ROW(INDIRECT("1:" &amp; LEN(#REF!))), (48 &lt;= CODE(MID(#REF!, ROW(INDIRECT("1:" &amp; LEN(#REF!))), 1))) * (CODE(MID(#REF!, ROW(INDIRECT("1:" &amp; LEN(#REF!))), 1)) &lt;= 57)), 1) - 1), FIND(":",#REF!) + 2, LEN(#REF!))</f>
        <v>#REF!</v>
      </c>
      <c r="G1077" s="227" t="e">
        <f>MID(LEFT(#REF!, FIND(",",#REF!) - 1), FIND("{token}", SUBSTITUTE(#REF!, " ", "{token}", 2)) + 1, LEN(#REF!))</f>
        <v>#REF!</v>
      </c>
      <c r="H1077" s="165">
        <v>-2.2000000000000002</v>
      </c>
      <c r="I1077" s="260">
        <v>45397</v>
      </c>
      <c r="J1077" s="342" t="s">
        <v>310</v>
      </c>
      <c r="K1077" s="221">
        <v>45685</v>
      </c>
      <c r="L1077" s="120"/>
      <c r="M1077" s="222">
        <v>193</v>
      </c>
      <c r="N1077" s="2" t="str">
        <f t="shared" ca="1" si="33"/>
        <v>CLOSED</v>
      </c>
    </row>
    <row r="1078" spans="1:14" ht="18.75">
      <c r="A1078" s="90" t="s">
        <v>167</v>
      </c>
      <c r="B1078" s="98" t="e">
        <f>VLOOKUP([2]!Table27[[#This Row],[Location 
(drop-down)]],'[2]List source'!D$2:E$59,2,FALSE)</f>
        <v>#VALUE!</v>
      </c>
      <c r="C1078" s="182" t="s">
        <v>3521</v>
      </c>
      <c r="D1078" s="377" t="e">
        <f t="shared" si="32"/>
        <v>#VALUE!</v>
      </c>
      <c r="E1078" s="227" t="s">
        <v>3522</v>
      </c>
      <c r="F1078" s="165" t="e" cm="1">
        <f t="array" aca="1" ref="F1078" ca="1">MID(LEFT(#REF!, INDEX(_xlfn._xlws.FILTER(ROW(INDIRECT("1:" &amp; LEN(#REF!))), (48 &lt;= CODE(MID(#REF!, ROW(INDIRECT("1:" &amp; LEN(#REF!))), 1))) * (CODE(MID(#REF!, ROW(INDIRECT("1:" &amp; LEN(#REF!))), 1)) &lt;= 57)), 1) - 1), FIND(":",#REF!) + 2, LEN(#REF!))</f>
        <v>#REF!</v>
      </c>
      <c r="G1078" s="227" t="e">
        <f>MID(LEFT(#REF!, FIND(",",#REF!) - 1), FIND("{token}", SUBSTITUTE(#REF!, " ", "{token}", 2)) + 1, LEN(#REF!))</f>
        <v>#REF!</v>
      </c>
      <c r="H1078" s="236" t="s">
        <v>2117</v>
      </c>
      <c r="I1078" s="230">
        <v>45435</v>
      </c>
      <c r="J1078" s="342" t="s">
        <v>310</v>
      </c>
      <c r="K1078" s="221">
        <v>45685</v>
      </c>
      <c r="L1078" s="165"/>
      <c r="M1078" s="222">
        <v>625</v>
      </c>
      <c r="N1078" s="2" t="str">
        <f t="shared" ca="1" si="33"/>
        <v>CLOSED</v>
      </c>
    </row>
    <row r="1079" spans="1:14" ht="30">
      <c r="A1079" s="85" t="s">
        <v>39</v>
      </c>
      <c r="B1079" s="98" t="e">
        <f>VLOOKUP([2]!Table27[[#This Row],[Location 
(drop-down)]],'[2]List source'!D$2:E$59,2,FALSE)</f>
        <v>#VALUE!</v>
      </c>
      <c r="C1079" s="183" t="s">
        <v>3523</v>
      </c>
      <c r="D1079" s="390" t="e">
        <f t="shared" si="32"/>
        <v>#VALUE!</v>
      </c>
      <c r="E1079" s="334" t="s">
        <v>3524</v>
      </c>
      <c r="F1079" s="335" t="e" cm="1">
        <f t="array" aca="1" ref="F1079" ca="1">MID(LEFT(#REF!, INDEX(_xlfn._xlws.FILTER(ROW(INDIRECT("1:" &amp; LEN(#REF!))), (48 &lt;= CODE(MID(#REF!, ROW(INDIRECT("1:" &amp; LEN(#REF!))), 1))) * (CODE(MID(#REF!, ROW(INDIRECT("1:" &amp; LEN(#REF!))), 1)) &lt;= 57)), 1) - 1), FIND(":",#REF!) + 2, LEN(#REF!))</f>
        <v>#REF!</v>
      </c>
      <c r="G1079" s="334" t="e">
        <f>MID(LEFT(#REF!, FIND(",",#REF!) - 1), FIND("{token}", SUBSTITUTE(#REF!, " ", "{token}", 2)) + 1, LEN(#REF!))</f>
        <v>#REF!</v>
      </c>
      <c r="H1079" s="336" t="s">
        <v>1872</v>
      </c>
      <c r="I1079" s="337">
        <v>45541</v>
      </c>
      <c r="J1079" s="337" t="s">
        <v>239</v>
      </c>
      <c r="K1079" s="338">
        <v>45685</v>
      </c>
      <c r="L1079" s="165"/>
      <c r="M1079" s="222">
        <v>928</v>
      </c>
      <c r="N1079" s="2" t="str">
        <f t="shared" ca="1" si="33"/>
        <v>CLOSED</v>
      </c>
    </row>
    <row r="1080" spans="1:14" ht="15">
      <c r="A1080" s="85" t="s">
        <v>64</v>
      </c>
      <c r="B1080" s="98" t="e">
        <f>VLOOKUP([2]!Table27[[#This Row],[Location 
(drop-down)]],'[2]List source'!D$2:E$59,2,FALSE)</f>
        <v>#VALUE!</v>
      </c>
      <c r="C1080" s="183" t="s">
        <v>3525</v>
      </c>
      <c r="D1080" s="382" t="e">
        <f t="shared" si="32"/>
        <v>#VALUE!</v>
      </c>
      <c r="E1080" s="334" t="s">
        <v>3526</v>
      </c>
      <c r="F1080" s="335" t="s">
        <v>1769</v>
      </c>
      <c r="G1080" s="334" t="e">
        <f>MID(LEFT(#REF!, FIND(",",#REF!) - 1), FIND("{token}", SUBSTITUTE(#REF!, " ", "{token}", 2)) + 1, LEN(#REF!))</f>
        <v>#REF!</v>
      </c>
      <c r="H1080" s="336" t="s">
        <v>1778</v>
      </c>
      <c r="I1080" s="337">
        <v>45631</v>
      </c>
      <c r="J1080" s="337" t="s">
        <v>239</v>
      </c>
      <c r="K1080" s="338">
        <v>45685</v>
      </c>
      <c r="L1080" s="165"/>
      <c r="M1080" s="222">
        <v>1076</v>
      </c>
      <c r="N1080" s="2" t="str">
        <f t="shared" ca="1" si="33"/>
        <v>CLOSED</v>
      </c>
    </row>
    <row r="1081" spans="1:14" ht="30">
      <c r="A1081" s="86" t="s">
        <v>125</v>
      </c>
      <c r="B1081" s="98" t="e">
        <f>VLOOKUP([2]!Table27[[#This Row],[Location 
(drop-down)]],'[2]List source'!D$2:E$59,2,FALSE)</f>
        <v>#VALUE!</v>
      </c>
      <c r="C1081" s="180" t="s">
        <v>3527</v>
      </c>
      <c r="D1081" s="391" t="e">
        <f t="shared" si="32"/>
        <v>#VALUE!</v>
      </c>
      <c r="E1081" s="231" t="s">
        <v>3528</v>
      </c>
      <c r="F1081" s="232" t="e" cm="1">
        <f t="array" aca="1" ref="F1081" ca="1">MID(LEFT(#REF!, INDEX(_xlfn._xlws.FILTER(ROW(INDIRECT("1:" &amp; LEN(#REF!))), (48 &lt;= CODE(MID(#REF!, ROW(INDIRECT("1:" &amp; LEN(#REF!))), 1))) * (CODE(MID(#REF!, ROW(INDIRECT("1:" &amp; LEN(#REF!))), 1)) &lt;= 57)), 1) - 1), FIND(":",#REF!) + 2, LEN(#REF!))</f>
        <v>#REF!</v>
      </c>
      <c r="G1081" s="231" t="e">
        <f>MID(LEFT(#REF!, FIND(",",#REF!) - 1), FIND("{token}", SUBSTITUTE(#REF!, " ", "{token}", 2)) + 1, LEN(#REF!))</f>
        <v>#REF!</v>
      </c>
      <c r="H1081" s="233" t="s">
        <v>3529</v>
      </c>
      <c r="I1081" s="234">
        <v>45643</v>
      </c>
      <c r="J1081" s="234" t="s">
        <v>2934</v>
      </c>
      <c r="K1081" s="372">
        <v>45685</v>
      </c>
      <c r="L1081" s="232" t="s">
        <v>1505</v>
      </c>
      <c r="M1081" s="222">
        <v>1143</v>
      </c>
      <c r="N1081" s="2" t="str">
        <f t="shared" ca="1" si="33"/>
        <v>CLOSED</v>
      </c>
    </row>
    <row r="1082" spans="1:14" ht="30">
      <c r="A1082" s="64" t="s">
        <v>39</v>
      </c>
      <c r="B1082" s="98" t="e">
        <f>VLOOKUP([2]!Table27[[#This Row],[Location 
(drop-down)]],'[2]List source'!D$2:E$59,2,FALSE)</f>
        <v>#VALUE!</v>
      </c>
      <c r="C1082" s="179" t="s">
        <v>3530</v>
      </c>
      <c r="D1082" s="378" t="e">
        <f t="shared" si="32"/>
        <v>#VALUE!</v>
      </c>
      <c r="E1082" s="227" t="s">
        <v>3531</v>
      </c>
      <c r="F1082" s="165" t="e" cm="1">
        <f t="array" aca="1" ref="F1082" ca="1">MID(LEFT(#REF!, INDEX(_xlfn._xlws.FILTER(ROW(INDIRECT("1:" &amp; LEN(#REF!))), (48 &lt;= CODE(MID(#REF!, ROW(INDIRECT("1:" &amp; LEN(#REF!))), 1))) * (CODE(MID(#REF!, ROW(INDIRECT("1:" &amp; LEN(#REF!))), 1)) &lt;= 57)), 1) - 1), FIND(":",#REF!) + 2, LEN(#REF!))</f>
        <v>#REF!</v>
      </c>
      <c r="G1082" s="227" t="e">
        <f>MID(LEFT(#REF!, FIND(",",#REF!) - 1), FIND("{token}", SUBSTITUTE(#REF!, " ", "{token}", 2)) + 1, LEN(#REF!))</f>
        <v>#REF!</v>
      </c>
      <c r="H1082" s="236" t="s">
        <v>3106</v>
      </c>
      <c r="I1082" s="230">
        <v>45495</v>
      </c>
      <c r="J1082" s="230" t="s">
        <v>327</v>
      </c>
      <c r="K1082" s="226">
        <v>45686</v>
      </c>
      <c r="L1082" s="165"/>
      <c r="M1082" s="222">
        <v>662</v>
      </c>
      <c r="N1082" s="2" t="str">
        <f t="shared" ca="1" si="33"/>
        <v>CLOSED</v>
      </c>
    </row>
    <row r="1083" spans="1:14" ht="15">
      <c r="A1083" s="90" t="s">
        <v>167</v>
      </c>
      <c r="B1083" s="98" t="e">
        <f>VLOOKUP([2]!Table27[[#This Row],[Location 
(drop-down)]],'[2]List source'!D$2:E$59,2,FALSE)</f>
        <v>#VALUE!</v>
      </c>
      <c r="C1083" s="182" t="s">
        <v>3532</v>
      </c>
      <c r="D1083" s="392" t="e">
        <f t="shared" si="32"/>
        <v>#VALUE!</v>
      </c>
      <c r="E1083" s="227" t="s">
        <v>3533</v>
      </c>
      <c r="F1083" s="165" t="s">
        <v>1769</v>
      </c>
      <c r="G1083" s="227" t="e">
        <f>MID(LEFT(#REF!, FIND(",",#REF!) - 1), FIND("{token}", SUBSTITUTE(#REF!, " ", "{token}", 2)) + 1, LEN(#REF!))</f>
        <v>#REF!</v>
      </c>
      <c r="H1083" s="236" t="s">
        <v>3078</v>
      </c>
      <c r="I1083" s="230">
        <v>45653</v>
      </c>
      <c r="J1083" s="342" t="s">
        <v>310</v>
      </c>
      <c r="K1083" s="221">
        <v>45686</v>
      </c>
      <c r="L1083" s="165"/>
      <c r="M1083" s="222">
        <v>1244</v>
      </c>
      <c r="N1083" s="2" t="str">
        <f t="shared" ca="1" si="33"/>
        <v>CLOSED</v>
      </c>
    </row>
    <row r="1084" spans="1:14" ht="30">
      <c r="A1084" s="90" t="s">
        <v>1334</v>
      </c>
      <c r="B1084" s="98" t="e">
        <f>VLOOKUP([2]!Table27[[#This Row],[Location 
(drop-down)]],'[2]List source'!D$2:E$59,2,FALSE)</f>
        <v>#VALUE!</v>
      </c>
      <c r="C1084" s="182" t="s">
        <v>3534</v>
      </c>
      <c r="D1084" s="377" t="e">
        <f t="shared" si="32"/>
        <v>#VALUE!</v>
      </c>
      <c r="E1084" s="227" t="s">
        <v>2965</v>
      </c>
      <c r="F1084" s="165" t="e" cm="1">
        <f t="array" aca="1" ref="F1084" ca="1">MID(LEFT(#REF!, INDEX(_xlfn._xlws.FILTER(ROW(INDIRECT("1:" &amp; LEN(#REF!))), (48 &lt;= CODE(MID(#REF!, ROW(INDIRECT("1:" &amp; LEN(#REF!))), 1))) * (CODE(MID(#REF!, ROW(INDIRECT("1:" &amp; LEN(#REF!))), 1)) &lt;= 57)), 1) - 1), FIND(":",#REF!) + 2, LEN(#REF!))</f>
        <v>#REF!</v>
      </c>
      <c r="G1084" s="227" t="e">
        <f>MID(LEFT(#REF!, FIND(",",#REF!) - 1), FIND("{token}", SUBSTITUTE(#REF!, " ", "{token}", 2)) + 1, LEN(#REF!))</f>
        <v>#REF!</v>
      </c>
      <c r="H1084" s="236" t="s">
        <v>1653</v>
      </c>
      <c r="I1084" s="230">
        <v>45435</v>
      </c>
      <c r="J1084" s="342" t="s">
        <v>310</v>
      </c>
      <c r="K1084" s="221">
        <v>45687</v>
      </c>
      <c r="L1084" s="165"/>
      <c r="M1084" s="222">
        <v>608</v>
      </c>
      <c r="N1084" s="2" t="str">
        <f t="shared" ca="1" si="33"/>
        <v>CLOSED</v>
      </c>
    </row>
    <row r="1085" spans="1:14" ht="18.75">
      <c r="A1085" s="90" t="s">
        <v>167</v>
      </c>
      <c r="B1085" s="98" t="e">
        <f>VLOOKUP([2]!Table27[[#This Row],[Location 
(drop-down)]],'[2]List source'!D$2:E$59,2,FALSE)</f>
        <v>#VALUE!</v>
      </c>
      <c r="C1085" s="182" t="s">
        <v>3535</v>
      </c>
      <c r="D1085" s="393" t="e">
        <f t="shared" si="32"/>
        <v>#VALUE!</v>
      </c>
      <c r="E1085" s="227" t="s">
        <v>3536</v>
      </c>
      <c r="F1085" s="165" t="e" cm="1">
        <f t="array" aca="1" ref="F1085" ca="1">MID(LEFT(#REF!, INDEX(_xlfn._xlws.FILTER(ROW(INDIRECT("1:" &amp; LEN(#REF!))), (48 &lt;= CODE(MID(#REF!, ROW(INDIRECT("1:" &amp; LEN(#REF!))), 1))) * (CODE(MID(#REF!, ROW(INDIRECT("1:" &amp; LEN(#REF!))), 1)) &lt;= 57)), 1) - 1), FIND(":",#REF!) + 2, LEN(#REF!))</f>
        <v>#REF!</v>
      </c>
      <c r="G1085" s="227" t="e">
        <f>MID(LEFT(#REF!, FIND(",",#REF!) - 1), FIND("{token}", SUBSTITUTE(#REF!, " ", "{token}", 2)) + 1, LEN(#REF!))</f>
        <v>#REF!</v>
      </c>
      <c r="H1085" s="165">
        <v>646.87</v>
      </c>
      <c r="I1085" s="230">
        <v>45533</v>
      </c>
      <c r="J1085" s="342" t="s">
        <v>310</v>
      </c>
      <c r="K1085" s="221">
        <v>45687</v>
      </c>
      <c r="L1085" s="165"/>
      <c r="M1085" s="222">
        <v>825</v>
      </c>
      <c r="N1085" s="2" t="str">
        <f t="shared" ca="1" si="33"/>
        <v>CLOSED</v>
      </c>
    </row>
    <row r="1086" spans="1:14" ht="30">
      <c r="A1086" s="90" t="s">
        <v>500</v>
      </c>
      <c r="B1086" s="98" t="e">
        <f>VLOOKUP([2]!Table27[[#This Row],[Location 
(drop-down)]],'[2]List source'!D$2:E$59,2,FALSE)</f>
        <v>#VALUE!</v>
      </c>
      <c r="C1086" s="182" t="s">
        <v>3537</v>
      </c>
      <c r="D1086" s="393" t="e">
        <f t="shared" si="32"/>
        <v>#VALUE!</v>
      </c>
      <c r="E1086" s="227" t="s">
        <v>3538</v>
      </c>
      <c r="F1086" s="165" t="e" cm="1">
        <f t="array" aca="1" ref="F1086" ca="1">MID(LEFT(#REF!, INDEX(_xlfn._xlws.FILTER(ROW(INDIRECT("1:" &amp; LEN(#REF!))), (48 &lt;= CODE(MID(#REF!, ROW(INDIRECT("1:" &amp; LEN(#REF!))), 1))) * (CODE(MID(#REF!, ROW(INDIRECT("1:" &amp; LEN(#REF!))), 1)) &lt;= 57)), 1) - 1), FIND(":",#REF!) + 2, LEN(#REF!))</f>
        <v>#REF!</v>
      </c>
      <c r="G1086" s="227" t="e">
        <f>MID(LEFT(#REF!, FIND(",",#REF!) - 1), FIND("{token}", SUBSTITUTE(#REF!, " ", "{token}", 2)) + 1, LEN(#REF!))</f>
        <v>#REF!</v>
      </c>
      <c r="H1086" s="236" t="s">
        <v>2507</v>
      </c>
      <c r="I1086" s="230">
        <v>45533</v>
      </c>
      <c r="J1086" s="342" t="s">
        <v>310</v>
      </c>
      <c r="K1086" s="221">
        <v>45687</v>
      </c>
      <c r="L1086" s="165"/>
      <c r="M1086" s="222">
        <v>840</v>
      </c>
      <c r="N1086" s="2" t="str">
        <f t="shared" ca="1" si="33"/>
        <v>CLOSED</v>
      </c>
    </row>
    <row r="1087" spans="1:14" ht="18.75">
      <c r="A1087" s="90" t="s">
        <v>103</v>
      </c>
      <c r="B1087" s="98" t="e">
        <f>VLOOKUP([2]!Table27[[#This Row],[Location 
(drop-down)]],'[2]List source'!D$2:E$59,2,FALSE)</f>
        <v>#VALUE!</v>
      </c>
      <c r="C1087" s="182" t="s">
        <v>3539</v>
      </c>
      <c r="D1087" s="393" t="e">
        <f t="shared" si="32"/>
        <v>#VALUE!</v>
      </c>
      <c r="E1087" s="227" t="s">
        <v>3540</v>
      </c>
      <c r="F1087" s="165" t="e" cm="1">
        <f t="array" aca="1" ref="F1087" ca="1">MID(LEFT(#REF!, INDEX(_xlfn._xlws.FILTER(ROW(INDIRECT("1:" &amp; LEN(#REF!))), (48 &lt;= CODE(MID(#REF!, ROW(INDIRECT("1:" &amp; LEN(#REF!))), 1))) * (CODE(MID(#REF!, ROW(INDIRECT("1:" &amp; LEN(#REF!))), 1)) &lt;= 57)), 1) - 1), FIND(":",#REF!) + 2, LEN(#REF!))</f>
        <v>#REF!</v>
      </c>
      <c r="G1087" s="227" t="e">
        <f>MID(LEFT(#REF!, FIND(",",#REF!) - 1), FIND("{token}", SUBSTITUTE(#REF!, " ", "{token}", 2)) + 1, LEN(#REF!))</f>
        <v>#REF!</v>
      </c>
      <c r="H1087" s="236" t="s">
        <v>3541</v>
      </c>
      <c r="I1087" s="230">
        <v>45540</v>
      </c>
      <c r="J1087" s="342" t="s">
        <v>310</v>
      </c>
      <c r="K1087" s="221">
        <v>45687</v>
      </c>
      <c r="L1087" s="165"/>
      <c r="M1087" s="222">
        <v>909</v>
      </c>
      <c r="N1087" s="2" t="str">
        <f t="shared" ca="1" si="33"/>
        <v>CLOSED</v>
      </c>
    </row>
    <row r="1088" spans="1:14" ht="18.75">
      <c r="A1088" s="187" t="s">
        <v>103</v>
      </c>
      <c r="B1088" s="98" t="e">
        <f>VLOOKUP([2]!Table27[[#This Row],[Location 
(drop-down)]],'[2]List source'!D$2:E$59,2,FALSE)</f>
        <v>#VALUE!</v>
      </c>
      <c r="C1088" s="182" t="s">
        <v>3542</v>
      </c>
      <c r="D1088" s="393" t="e">
        <f t="shared" si="32"/>
        <v>#VALUE!</v>
      </c>
      <c r="E1088" s="227" t="s">
        <v>3543</v>
      </c>
      <c r="F1088" s="165" t="e" cm="1">
        <f t="array" aca="1" ref="F1088" ca="1">MID(LEFT(#REF!, INDEX(_xlfn._xlws.FILTER(ROW(INDIRECT("1:" &amp; LEN(#REF!))), (48 &lt;= CODE(MID(#REF!, ROW(INDIRECT("1:" &amp; LEN(#REF!))), 1))) * (CODE(MID(#REF!, ROW(INDIRECT("1:" &amp; LEN(#REF!))), 1)) &lt;= 57)), 1) - 1), FIND(":",#REF!) + 2, LEN(#REF!))</f>
        <v>#REF!</v>
      </c>
      <c r="G1088" s="227" t="e">
        <f>MID(LEFT(#REF!, FIND(",",#REF!) - 1), FIND("{token}", SUBSTITUTE(#REF!, " ", "{token}", 2)) + 1, LEN(#REF!))</f>
        <v>#REF!</v>
      </c>
      <c r="H1088" s="236" t="s">
        <v>2134</v>
      </c>
      <c r="I1088" s="230">
        <v>45541</v>
      </c>
      <c r="J1088" s="342" t="s">
        <v>310</v>
      </c>
      <c r="K1088" s="221">
        <v>45687</v>
      </c>
      <c r="L1088" s="165"/>
      <c r="M1088" s="222">
        <v>939</v>
      </c>
      <c r="N1088" s="2" t="str">
        <f t="shared" ca="1" si="33"/>
        <v>CLOSED</v>
      </c>
    </row>
    <row r="1089" spans="1:14" ht="15">
      <c r="A1089" s="128" t="s">
        <v>64</v>
      </c>
      <c r="B1089" s="98" t="e">
        <f>VLOOKUP([2]!Table27[[#This Row],[Location 
(drop-down)]],'[2]List source'!D$2:E$59,2,FALSE)</f>
        <v>#VALUE!</v>
      </c>
      <c r="C1089" s="185" t="s">
        <v>3544</v>
      </c>
      <c r="D1089" s="380" t="e">
        <f t="shared" si="32"/>
        <v>#VALUE!</v>
      </c>
      <c r="E1089" s="339" t="s">
        <v>3545</v>
      </c>
      <c r="F1089" s="329" t="s">
        <v>1520</v>
      </c>
      <c r="G1089" s="339" t="e">
        <f>MID(LEFT(#REF!, FIND(",",#REF!) - 1), FIND("{token}", SUBSTITUTE(#REF!, " ", "{token}", 2)) + 1, LEN(#REF!))</f>
        <v>#REF!</v>
      </c>
      <c r="H1089" s="329">
        <v>2.2599999999999998</v>
      </c>
      <c r="I1089" s="331">
        <v>45582</v>
      </c>
      <c r="J1089" s="331" t="s">
        <v>239</v>
      </c>
      <c r="K1089" s="332">
        <v>45687</v>
      </c>
      <c r="L1089" s="165"/>
      <c r="M1089" s="222">
        <v>1005</v>
      </c>
      <c r="N1089" s="2" t="str">
        <f t="shared" ca="1" si="33"/>
        <v>CLOSED</v>
      </c>
    </row>
    <row r="1090" spans="1:14" ht="15">
      <c r="A1090" s="64" t="s">
        <v>53</v>
      </c>
      <c r="B1090" s="98" t="e">
        <f>VLOOKUP([2]!Table27[[#This Row],[Location 
(drop-down)]],'[2]List source'!D$2:E$59,2,FALSE)</f>
        <v>#VALUE!</v>
      </c>
      <c r="C1090" s="179" t="s">
        <v>3546</v>
      </c>
      <c r="D1090" s="2" t="e">
        <f t="shared" ref="D1090:D1153" si="34">"PTO" &amp; C1090 &amp; "-" &amp; B1090 &amp; "-" &amp; "23"</f>
        <v>#VALUE!</v>
      </c>
      <c r="E1090" s="227" t="s">
        <v>3547</v>
      </c>
      <c r="F1090" s="165" t="s">
        <v>1520</v>
      </c>
      <c r="G1090" s="227" t="e">
        <f>MID(LEFT(#REF!, FIND(",",#REF!) - 1), FIND("{token}", SUBSTITUTE(#REF!, " ", "{token}", 2)) + 1, LEN(#REF!))</f>
        <v>#REF!</v>
      </c>
      <c r="H1090" s="165">
        <v>3.6</v>
      </c>
      <c r="I1090" s="230">
        <v>45582</v>
      </c>
      <c r="J1090" s="230" t="s">
        <v>327</v>
      </c>
      <c r="K1090" s="226">
        <v>45687</v>
      </c>
      <c r="L1090" s="165"/>
      <c r="M1090" s="222">
        <v>1011</v>
      </c>
      <c r="N1090" s="2" t="str">
        <f t="shared" ca="1" si="33"/>
        <v>CLOSED</v>
      </c>
    </row>
    <row r="1091" spans="1:14" ht="30">
      <c r="A1091" s="64" t="s">
        <v>30</v>
      </c>
      <c r="B1091" s="98" t="e">
        <f>VLOOKUP([2]!Table27[[#This Row],[Location 
(drop-down)]],'[2]List source'!D$2:E$59,2,FALSE)</f>
        <v>#VALUE!</v>
      </c>
      <c r="C1091" s="179" t="s">
        <v>3548</v>
      </c>
      <c r="D1091" s="2" t="e">
        <f t="shared" si="34"/>
        <v>#VALUE!</v>
      </c>
      <c r="E1091" s="227" t="s">
        <v>3549</v>
      </c>
      <c r="F1091" s="165" t="e" cm="1">
        <f t="array" aca="1" ref="F1091" ca="1">MID(LEFT(#REF!, INDEX(_xlfn._xlws.FILTER(ROW(INDIRECT("1:" &amp; LEN(#REF!))), (48 &lt;= CODE(MID(#REF!, ROW(INDIRECT("1:" &amp; LEN(#REF!))), 1))) * (CODE(MID(#REF!, ROW(INDIRECT("1:" &amp; LEN(#REF!))), 1)) &lt;= 57)), 1) - 1), FIND(":",#REF!) + 2, LEN(#REF!))</f>
        <v>#REF!</v>
      </c>
      <c r="G1091" s="227" t="e">
        <f>MID(LEFT(#REF!, FIND(",",#REF!) - 1), FIND("{token}", SUBSTITUTE(#REF!, " ", "{token}", 2)) + 1, LEN(#REF!))</f>
        <v>#REF!</v>
      </c>
      <c r="H1091" s="236" t="s">
        <v>1971</v>
      </c>
      <c r="I1091" s="230">
        <v>45657</v>
      </c>
      <c r="J1091" s="230" t="s">
        <v>111</v>
      </c>
      <c r="K1091" s="226">
        <v>45687</v>
      </c>
      <c r="L1091" s="165"/>
      <c r="M1091" s="222">
        <v>1348</v>
      </c>
      <c r="N1091" s="2" t="str">
        <f t="shared" ca="1" si="33"/>
        <v>CLOSED</v>
      </c>
    </row>
    <row r="1092" spans="1:14" ht="15">
      <c r="A1092" s="128" t="s">
        <v>64</v>
      </c>
      <c r="B1092" s="98" t="e">
        <f>VLOOKUP([2]!Table27[[#This Row],[Location 
(drop-down)]],'[2]List source'!D$2:E$59,2,FALSE)</f>
        <v>#VALUE!</v>
      </c>
      <c r="C1092" s="185" t="s">
        <v>3550</v>
      </c>
      <c r="D1092" s="380" t="e">
        <f t="shared" si="34"/>
        <v>#VALUE!</v>
      </c>
      <c r="E1092" s="339" t="s">
        <v>3551</v>
      </c>
      <c r="F1092" s="329" t="e" cm="1">
        <f t="array" aca="1" ref="F1092" ca="1">MID(LEFT(#REF!, INDEX(_xlfn._xlws.FILTER(ROW(INDIRECT("1:" &amp; LEN(#REF!))), (48 &lt;= CODE(MID(#REF!, ROW(INDIRECT("1:" &amp; LEN(#REF!))), 1))) * (CODE(MID(#REF!, ROW(INDIRECT("1:" &amp; LEN(#REF!))), 1)) &lt;= 57)), 1) - 1), FIND(":",#REF!) + 2, LEN(#REF!))</f>
        <v>#REF!</v>
      </c>
      <c r="G1092" s="339" t="e">
        <f>MID(LEFT(#REF!, FIND(",",#REF!) - 1), FIND("{token}", SUBSTITUTE(#REF!, " ", "{token}", 2)) + 1, LEN(#REF!))</f>
        <v>#REF!</v>
      </c>
      <c r="H1092" s="329">
        <v>3.62</v>
      </c>
      <c r="I1092" s="331">
        <v>45657</v>
      </c>
      <c r="J1092" s="230" t="s">
        <v>239</v>
      </c>
      <c r="K1092" s="226">
        <v>45687</v>
      </c>
      <c r="L1092" s="165"/>
      <c r="M1092" s="222">
        <v>1353</v>
      </c>
      <c r="N1092" s="2" t="str">
        <f t="shared" ca="1" si="33"/>
        <v>CLOSED</v>
      </c>
    </row>
    <row r="1093" spans="1:14" ht="30">
      <c r="A1093" s="64" t="s">
        <v>294</v>
      </c>
      <c r="B1093" s="98" t="e">
        <f>VLOOKUP([2]!Table27[[#This Row],[Location 
(drop-down)]],'[2]List source'!D$2:E$59,2,FALSE)</f>
        <v>#VALUE!</v>
      </c>
      <c r="C1093" s="179" t="s">
        <v>3552</v>
      </c>
      <c r="D1093" s="378" t="e">
        <f t="shared" si="34"/>
        <v>#VALUE!</v>
      </c>
      <c r="E1093" s="227" t="s">
        <v>3553</v>
      </c>
      <c r="F1093" s="165" t="s">
        <v>1811</v>
      </c>
      <c r="G1093" s="227" t="e">
        <f>MID(LEFT(#REF!, FIND(",",#REF!) - 1), FIND("{token}", SUBSTITUTE(#REF!, " ", "{token}", 2)) + 1, LEN(#REF!))</f>
        <v>#REF!</v>
      </c>
      <c r="H1093" s="236" t="s">
        <v>3554</v>
      </c>
      <c r="I1093" s="230">
        <v>45509</v>
      </c>
      <c r="J1093" s="230" t="s">
        <v>34</v>
      </c>
      <c r="K1093" s="226">
        <v>45688</v>
      </c>
      <c r="L1093" s="165" t="s">
        <v>1837</v>
      </c>
      <c r="M1093" s="222">
        <v>710</v>
      </c>
      <c r="N1093" s="2" t="str">
        <f t="shared" ca="1" si="33"/>
        <v>CLOSED</v>
      </c>
    </row>
    <row r="1094" spans="1:14" ht="15">
      <c r="A1094" s="188" t="s">
        <v>500</v>
      </c>
      <c r="B1094" s="98" t="e">
        <f>VLOOKUP([2]!Table27[[#This Row],[Location 
(drop-down)]],'[2]List source'!D$2:E$59,2,FALSE)</f>
        <v>#VALUE!</v>
      </c>
      <c r="C1094" s="182" t="s">
        <v>3555</v>
      </c>
      <c r="D1094" s="392" t="e">
        <f t="shared" si="34"/>
        <v>#VALUE!</v>
      </c>
      <c r="E1094" s="227" t="s">
        <v>3556</v>
      </c>
      <c r="F1094" s="165" t="e" cm="1">
        <f t="array" aca="1" ref="F1094" ca="1">MID(LEFT(#REF!, INDEX(_xlfn._xlws.FILTER(ROW(INDIRECT("1:" &amp; LEN(#REF!))), (48 &lt;= CODE(MID(#REF!, ROW(INDIRECT("1:" &amp; LEN(#REF!))), 1))) * (CODE(MID(#REF!, ROW(INDIRECT("1:" &amp; LEN(#REF!))), 1)) &lt;= 57)), 1) - 1), FIND(":",#REF!) + 2, LEN(#REF!))</f>
        <v>#REF!</v>
      </c>
      <c r="G1094" s="227" t="e">
        <f>MID(LEFT(#REF!, FIND(",",#REF!) - 1), FIND("{token}", SUBSTITUTE(#REF!, " ", "{token}", 2)) + 1, LEN(#REF!))</f>
        <v>#REF!</v>
      </c>
      <c r="H1094" s="236" t="s">
        <v>3557</v>
      </c>
      <c r="I1094" s="230">
        <v>45594</v>
      </c>
      <c r="J1094" s="342" t="s">
        <v>310</v>
      </c>
      <c r="K1094" s="221">
        <v>45688</v>
      </c>
      <c r="L1094" s="165"/>
      <c r="M1094" s="222">
        <v>1057</v>
      </c>
      <c r="N1094" s="2" t="str">
        <f t="shared" ca="1" si="33"/>
        <v>CLOSED</v>
      </c>
    </row>
    <row r="1095" spans="1:14" ht="30">
      <c r="A1095" s="64" t="s">
        <v>500</v>
      </c>
      <c r="B1095" s="98" t="e">
        <f>VLOOKUP([2]!Table27[[#This Row],[Location 
(drop-down)]],'[2]List source'!D$2:E$59,2,FALSE)</f>
        <v>#VALUE!</v>
      </c>
      <c r="C1095" s="179" t="s">
        <v>3558</v>
      </c>
      <c r="D1095" s="2" t="e">
        <f t="shared" si="34"/>
        <v>#VALUE!</v>
      </c>
      <c r="E1095" s="227" t="s">
        <v>3559</v>
      </c>
      <c r="F1095" s="165" t="e" cm="1">
        <f t="array" aca="1" ref="F1095" ca="1">MID(LEFT(#REF!, INDEX(_xlfn._xlws.FILTER(ROW(INDIRECT("1:" &amp; LEN(#REF!))), (48 &lt;= CODE(MID(#REF!, ROW(INDIRECT("1:" &amp; LEN(#REF!))), 1))) * (CODE(MID(#REF!, ROW(INDIRECT("1:" &amp; LEN(#REF!))), 1)) &lt;= 57)), 1) - 1), FIND(":",#REF!) + 2, LEN(#REF!))</f>
        <v>#REF!</v>
      </c>
      <c r="G1095" s="227" t="e">
        <f>MID(LEFT(#REF!, FIND(",",#REF!) - 1), FIND("{token}", SUBSTITUTE(#REF!, " ", "{token}", 2)) + 1, LEN(#REF!))</f>
        <v>#REF!</v>
      </c>
      <c r="H1095" s="165">
        <v>3.3</v>
      </c>
      <c r="I1095" s="230">
        <v>45635</v>
      </c>
      <c r="J1095" s="230" t="s">
        <v>310</v>
      </c>
      <c r="K1095" s="226">
        <v>45688</v>
      </c>
      <c r="L1095" s="165"/>
      <c r="M1095" s="222">
        <v>1089</v>
      </c>
      <c r="N1095" s="2" t="str">
        <f t="shared" ca="1" si="33"/>
        <v>CLOSED</v>
      </c>
    </row>
    <row r="1096" spans="1:14" ht="30">
      <c r="A1096" s="90" t="s">
        <v>500</v>
      </c>
      <c r="B1096" s="98" t="e">
        <f>VLOOKUP([2]!Table27[[#This Row],[Location 
(drop-down)]],'[2]List source'!D$2:E$59,2,FALSE)</f>
        <v>#VALUE!</v>
      </c>
      <c r="C1096" s="182" t="s">
        <v>3560</v>
      </c>
      <c r="D1096" s="392" t="e">
        <f t="shared" si="34"/>
        <v>#VALUE!</v>
      </c>
      <c r="E1096" s="227" t="s">
        <v>3561</v>
      </c>
      <c r="F1096" s="165" t="e" cm="1">
        <f t="array" aca="1" ref="F1096" ca="1">MID(LEFT(#REF!, INDEX(_xlfn._xlws.FILTER(ROW(INDIRECT("1:" &amp; LEN(#REF!))), (48 &lt;= CODE(MID(#REF!, ROW(INDIRECT("1:" &amp; LEN(#REF!))), 1))) * (CODE(MID(#REF!, ROW(INDIRECT("1:" &amp; LEN(#REF!))), 1)) &lt;= 57)), 1) - 1), FIND(":",#REF!) + 2, LEN(#REF!))</f>
        <v>#REF!</v>
      </c>
      <c r="G1096" s="227" t="e">
        <f>MID(LEFT(#REF!, FIND(",",#REF!) - 1), FIND("{token}", SUBSTITUTE(#REF!, " ", "{token}", 2)) + 1, LEN(#REF!))</f>
        <v>#REF!</v>
      </c>
      <c r="H1096" s="165">
        <v>2.76</v>
      </c>
      <c r="I1096" s="230">
        <v>45642</v>
      </c>
      <c r="J1096" s="342" t="s">
        <v>310</v>
      </c>
      <c r="K1096" s="221">
        <v>45688</v>
      </c>
      <c r="L1096" s="165"/>
      <c r="M1096" s="222">
        <v>1112</v>
      </c>
      <c r="N1096" s="2" t="str">
        <f t="shared" ca="1" si="33"/>
        <v>CLOSED</v>
      </c>
    </row>
    <row r="1097" spans="1:14" ht="15">
      <c r="A1097" s="90" t="s">
        <v>139</v>
      </c>
      <c r="B1097" s="98" t="e">
        <f>VLOOKUP([2]!Table27[[#This Row],[Location 
(drop-down)]],'[2]List source'!D$2:E$59,2,FALSE)</f>
        <v>#VALUE!</v>
      </c>
      <c r="C1097" s="182" t="s">
        <v>3562</v>
      </c>
      <c r="D1097" s="392" t="e">
        <f t="shared" si="34"/>
        <v>#VALUE!</v>
      </c>
      <c r="E1097" s="227" t="s">
        <v>3563</v>
      </c>
      <c r="F1097" s="165" t="e" cm="1">
        <f t="array" aca="1" ref="F1097" ca="1">MID(LEFT(#REF!, INDEX(_xlfn._xlws.FILTER(ROW(INDIRECT("1:" &amp; LEN(#REF!))), (48 &lt;= CODE(MID(#REF!, ROW(INDIRECT("1:" &amp; LEN(#REF!))), 1))) * (CODE(MID(#REF!, ROW(INDIRECT("1:" &amp; LEN(#REF!))), 1)) &lt;= 57)), 1) - 1), FIND(":",#REF!) + 2, LEN(#REF!))</f>
        <v>#REF!</v>
      </c>
      <c r="G1097" s="227" t="e">
        <f>MID(LEFT(#REF!, FIND(",",#REF!) - 1), FIND("{token}", SUBSTITUTE(#REF!, " ", "{token}", 2)) + 1, LEN(#REF!))</f>
        <v>#REF!</v>
      </c>
      <c r="H1097" s="165">
        <v>3.27</v>
      </c>
      <c r="I1097" s="230">
        <v>45643</v>
      </c>
      <c r="J1097" s="342" t="s">
        <v>310</v>
      </c>
      <c r="K1097" s="221">
        <v>45688</v>
      </c>
      <c r="L1097" s="92"/>
      <c r="M1097" s="222">
        <v>1159</v>
      </c>
      <c r="N1097" s="2" t="str">
        <f t="shared" ca="1" si="33"/>
        <v>CLOSED</v>
      </c>
    </row>
    <row r="1098" spans="1:14" ht="15">
      <c r="A1098" s="90" t="s">
        <v>1253</v>
      </c>
      <c r="B1098" s="98" t="e">
        <f>VLOOKUP([2]!Table27[[#This Row],[Location 
(drop-down)]],'[2]List source'!D$2:E$59,2,FALSE)</f>
        <v>#VALUE!</v>
      </c>
      <c r="C1098" s="182" t="s">
        <v>3564</v>
      </c>
      <c r="D1098" s="392" t="e">
        <f t="shared" si="34"/>
        <v>#VALUE!</v>
      </c>
      <c r="E1098" s="227" t="s">
        <v>3565</v>
      </c>
      <c r="F1098" s="165" t="s">
        <v>1520</v>
      </c>
      <c r="G1098" s="227" t="e">
        <f>MID(LEFT(#REF!, FIND(",",#REF!) - 1), FIND("{token}", SUBSTITUTE(#REF!, " ", "{token}", 2)) + 1, LEN(#REF!))</f>
        <v>#REF!</v>
      </c>
      <c r="H1098" s="165">
        <v>3.67</v>
      </c>
      <c r="I1098" s="230">
        <v>45644</v>
      </c>
      <c r="J1098" s="342" t="s">
        <v>310</v>
      </c>
      <c r="K1098" s="221">
        <v>45688</v>
      </c>
      <c r="L1098" s="165"/>
      <c r="M1098" s="222">
        <v>1165</v>
      </c>
      <c r="N1098" s="2" t="str">
        <f t="shared" ca="1" si="33"/>
        <v>CLOSED</v>
      </c>
    </row>
    <row r="1099" spans="1:14" ht="30">
      <c r="A1099" s="124" t="s">
        <v>30</v>
      </c>
      <c r="B1099" s="98" t="e">
        <f>VLOOKUP([2]!Table27[[#This Row],[Location 
(drop-down)]],'[2]List source'!D$2:E$59,2,FALSE)</f>
        <v>#VALUE!</v>
      </c>
      <c r="C1099" s="179" t="s">
        <v>3566</v>
      </c>
      <c r="D1099" s="2" t="e">
        <f t="shared" si="34"/>
        <v>#VALUE!</v>
      </c>
      <c r="E1099" s="251" t="s">
        <v>3567</v>
      </c>
      <c r="F1099" s="274" t="e" cm="1">
        <f t="array" aca="1" ref="F1099" ca="1">MID(LEFT(#REF!, INDEX(_xlfn._xlws.FILTER(ROW(INDIRECT("1:" &amp; LEN(#REF!))), (48 &lt;= CODE(MID(#REF!, ROW(INDIRECT("1:" &amp; LEN(#REF!))), 1))) * (CODE(MID(#REF!, ROW(INDIRECT("1:" &amp; LEN(#REF!))), 1)) &lt;= 57)), 1) - 1), FIND(":",#REF!) + 2, LEN(#REF!))</f>
        <v>#REF!</v>
      </c>
      <c r="G1099" s="251" t="e">
        <f>MID(LEFT(#REF!, FIND(",",#REF!) - 1), FIND("{token}", SUBSTITUTE(#REF!, " ", "{token}", 2)) + 1, LEN(#REF!))</f>
        <v>#REF!</v>
      </c>
      <c r="H1099" s="274">
        <v>6.21</v>
      </c>
      <c r="I1099" s="304">
        <v>45656</v>
      </c>
      <c r="J1099" s="304" t="s">
        <v>111</v>
      </c>
      <c r="K1099" s="320">
        <v>45688</v>
      </c>
      <c r="L1099" s="274"/>
      <c r="M1099" s="297">
        <v>1289</v>
      </c>
      <c r="N1099" s="2" t="str">
        <f t="shared" ca="1" si="33"/>
        <v>CLOSED</v>
      </c>
    </row>
    <row r="1100" spans="1:14" ht="30">
      <c r="A1100" s="64" t="s">
        <v>30</v>
      </c>
      <c r="B1100" s="98" t="e">
        <f>VLOOKUP([2]!Table27[[#This Row],[Location 
(drop-down)]],'[2]List source'!D$2:E$59,2,FALSE)</f>
        <v>#VALUE!</v>
      </c>
      <c r="C1100" s="179" t="s">
        <v>3568</v>
      </c>
      <c r="D1100" s="2" t="e">
        <f t="shared" si="34"/>
        <v>#VALUE!</v>
      </c>
      <c r="E1100" s="227" t="s">
        <v>3569</v>
      </c>
      <c r="F1100" s="165" t="e" cm="1">
        <f t="array" aca="1" ref="F1100" ca="1">MID(LEFT(#REF!, INDEX(_xlfn._xlws.FILTER(ROW(INDIRECT("1:" &amp; LEN(#REF!))), (48 &lt;= CODE(MID(#REF!, ROW(INDIRECT("1:" &amp; LEN(#REF!))), 1))) * (CODE(MID(#REF!, ROW(INDIRECT("1:" &amp; LEN(#REF!))), 1)) &lt;= 57)), 1) - 1), FIND(":",#REF!) + 2, LEN(#REF!))</f>
        <v>#REF!</v>
      </c>
      <c r="G1100" s="227" t="e">
        <f>MID(LEFT(#REF!, FIND(",",#REF!) - 1), FIND("{token}", SUBSTITUTE(#REF!, " ", "{token}", 2)) + 1, LEN(#REF!))</f>
        <v>#REF!</v>
      </c>
      <c r="H1100" s="165">
        <v>2.9</v>
      </c>
      <c r="I1100" s="230">
        <v>45657</v>
      </c>
      <c r="J1100" s="230" t="s">
        <v>111</v>
      </c>
      <c r="K1100" s="226">
        <v>45688</v>
      </c>
      <c r="L1100" s="275"/>
      <c r="M1100" s="222">
        <v>1346</v>
      </c>
      <c r="N1100" s="2" t="str">
        <f t="shared" ca="1" si="33"/>
        <v>CLOSED</v>
      </c>
    </row>
    <row r="1101" spans="1:14" ht="30">
      <c r="A1101" s="64" t="s">
        <v>30</v>
      </c>
      <c r="B1101" s="98" t="e">
        <f>VLOOKUP([2]!Table27[[#This Row],[Location 
(drop-down)]],'[2]List source'!D$2:E$59,2,FALSE)</f>
        <v>#VALUE!</v>
      </c>
      <c r="C1101" s="179" t="s">
        <v>3570</v>
      </c>
      <c r="D1101" s="2" t="e">
        <f t="shared" si="34"/>
        <v>#VALUE!</v>
      </c>
      <c r="E1101" s="227" t="s">
        <v>3571</v>
      </c>
      <c r="F1101" s="165" t="e" cm="1">
        <f t="array" aca="1" ref="F1101" ca="1">MID(LEFT(#REF!, INDEX(_xlfn._xlws.FILTER(ROW(INDIRECT("1:" &amp; LEN(#REF!))), (48 &lt;= CODE(MID(#REF!, ROW(INDIRECT("1:" &amp; LEN(#REF!))), 1))) * (CODE(MID(#REF!, ROW(INDIRECT("1:" &amp; LEN(#REF!))), 1)) &lt;= 57)), 1) - 1), FIND(":",#REF!) + 2, LEN(#REF!))</f>
        <v>#REF!</v>
      </c>
      <c r="G1101" s="227" t="e">
        <f>MID(LEFT(#REF!, FIND(",",#REF!) - 1), FIND("{token}", SUBSTITUTE(#REF!, " ", "{token}", 2)) + 1, LEN(#REF!))</f>
        <v>#REF!</v>
      </c>
      <c r="H1101" s="236" t="s">
        <v>2012</v>
      </c>
      <c r="I1101" s="230">
        <v>45657</v>
      </c>
      <c r="J1101" s="230" t="s">
        <v>111</v>
      </c>
      <c r="K1101" s="226">
        <v>45688</v>
      </c>
      <c r="L1101" s="275"/>
      <c r="M1101" s="222">
        <v>1347</v>
      </c>
      <c r="N1101" s="2" t="str">
        <f t="shared" ca="1" si="33"/>
        <v>CLOSED</v>
      </c>
    </row>
    <row r="1102" spans="1:14" ht="15">
      <c r="A1102" s="64" t="s">
        <v>167</v>
      </c>
      <c r="B1102" s="98" t="e">
        <f>VLOOKUP([2]!Table27[[#This Row],[Location 
(drop-down)]],'[2]List source'!D$2:E$59,2,FALSE)</f>
        <v>#VALUE!</v>
      </c>
      <c r="C1102" s="179" t="s">
        <v>3572</v>
      </c>
      <c r="D1102" s="2" t="e">
        <f t="shared" si="34"/>
        <v>#VALUE!</v>
      </c>
      <c r="E1102" s="227" t="s">
        <v>3573</v>
      </c>
      <c r="F1102" s="165" t="e" cm="1">
        <f t="array" aca="1" ref="F1102" ca="1">MID(LEFT(#REF!, INDEX(_xlfn._xlws.FILTER(ROW(INDIRECT("1:" &amp; LEN(#REF!))), (48 &lt;= CODE(MID(#REF!, ROW(INDIRECT("1:" &amp; LEN(#REF!))), 1))) * (CODE(MID(#REF!, ROW(INDIRECT("1:" &amp; LEN(#REF!))), 1)) &lt;= 57)), 1) - 1), FIND(":",#REF!) + 2, LEN(#REF!))</f>
        <v>#REF!</v>
      </c>
      <c r="G1102" s="227" t="e">
        <f>MID(LEFT(#REF!, FIND(",",#REF!) - 1), FIND("{token}", SUBSTITUTE(#REF!, " ", "{token}", 2)) + 1, LEN(#REF!))</f>
        <v>#REF!</v>
      </c>
      <c r="H1102" s="236" t="s">
        <v>1889</v>
      </c>
      <c r="I1102" s="230">
        <v>45657</v>
      </c>
      <c r="J1102" s="230" t="s">
        <v>310</v>
      </c>
      <c r="K1102" s="226">
        <v>45688</v>
      </c>
      <c r="L1102" s="275"/>
      <c r="M1102" s="222">
        <v>1356</v>
      </c>
      <c r="N1102" s="2" t="str">
        <f t="shared" ca="1" si="33"/>
        <v>CLOSED</v>
      </c>
    </row>
    <row r="1103" spans="1:14" ht="18.75">
      <c r="A1103" s="90" t="s">
        <v>103</v>
      </c>
      <c r="B1103" s="98" t="e">
        <f>VLOOKUP([2]!Table27[[#This Row],[Location 
(drop-down)]],'[2]List source'!D$2:E$59,2,FALSE)</f>
        <v>#VALUE!</v>
      </c>
      <c r="C1103" s="182" t="s">
        <v>1436</v>
      </c>
      <c r="D1103" s="377" t="e">
        <f t="shared" si="34"/>
        <v>#VALUE!</v>
      </c>
      <c r="E1103" s="227" t="s">
        <v>3574</v>
      </c>
      <c r="F1103" s="165" t="e" cm="1">
        <f t="array" aca="1" ref="F1103" ca="1">MID(LEFT(#REF!, INDEX(_xlfn._xlws.FILTER(ROW(INDIRECT("1:" &amp; LEN(#REF!))), (48 &lt;= CODE(MID(#REF!, ROW(INDIRECT("1:" &amp; LEN(#REF!))), 1))) * (CODE(MID(#REF!, ROW(INDIRECT("1:" &amp; LEN(#REF!))), 1)) &lt;= 57)), 1) - 1), FIND(":",#REF!) + 2, LEN(#REF!))</f>
        <v>#REF!</v>
      </c>
      <c r="G1103" s="227" t="e">
        <f>MID(LEFT(#REF!, FIND(",",#REF!) - 1), FIND("{token}", SUBSTITUTE(#REF!, " ", "{token}", 2)) + 1, LEN(#REF!))</f>
        <v>#REF!</v>
      </c>
      <c r="H1103" s="165">
        <v>2.0499999999999998</v>
      </c>
      <c r="I1103" s="230">
        <v>45533</v>
      </c>
      <c r="J1103" s="342" t="s">
        <v>310</v>
      </c>
      <c r="K1103" s="221">
        <v>45692</v>
      </c>
      <c r="L1103" s="275"/>
      <c r="M1103" s="222">
        <v>366</v>
      </c>
      <c r="N1103" s="2" t="str">
        <f t="shared" ca="1" si="33"/>
        <v>CLOSED</v>
      </c>
    </row>
    <row r="1104" spans="1:14" ht="30">
      <c r="A1104" s="64" t="s">
        <v>591</v>
      </c>
      <c r="B1104" s="98" t="e">
        <f>VLOOKUP([2]!Table27[[#This Row],[Location 
(drop-down)]],'[2]List source'!D$2:E$59,2,FALSE)</f>
        <v>#VALUE!</v>
      </c>
      <c r="C1104" s="179" t="s">
        <v>3575</v>
      </c>
      <c r="D1104" s="2" t="e">
        <f t="shared" si="34"/>
        <v>#VALUE!</v>
      </c>
      <c r="E1104" s="227" t="s">
        <v>3576</v>
      </c>
      <c r="F1104" s="165" t="e" cm="1">
        <f t="array" aca="1" ref="F1104" ca="1">MID(LEFT(#REF!, INDEX(_xlfn._xlws.FILTER(ROW(INDIRECT("1:" &amp; LEN(#REF!))), (48 &lt;= CODE(MID(#REF!, ROW(INDIRECT("1:" &amp; LEN(#REF!))), 1))) * (CODE(MID(#REF!, ROW(INDIRECT("1:" &amp; LEN(#REF!))), 1)) &lt;= 57)), 1) - 1), FIND(":",#REF!) + 2, LEN(#REF!))</f>
        <v>#REF!</v>
      </c>
      <c r="G1104" s="227" t="e">
        <f>MID(LEFT(#REF!, FIND(",",#REF!) - 1), FIND("{token}", SUBSTITUTE(#REF!, " ", "{token}", 2)) + 1, LEN(#REF!))</f>
        <v>#REF!</v>
      </c>
      <c r="H1104" s="165">
        <v>3.48</v>
      </c>
      <c r="I1104" s="230">
        <v>45595</v>
      </c>
      <c r="J1104" s="230" t="s">
        <v>29</v>
      </c>
      <c r="K1104" s="226">
        <v>45692</v>
      </c>
      <c r="L1104" s="275"/>
      <c r="M1104" s="222">
        <v>1063</v>
      </c>
      <c r="N1104" s="2" t="str">
        <f t="shared" ca="1" si="33"/>
        <v>CLOSED</v>
      </c>
    </row>
    <row r="1105" spans="1:14" ht="30">
      <c r="A1105" s="90" t="s">
        <v>1334</v>
      </c>
      <c r="B1105" s="98" t="e">
        <f>VLOOKUP([2]!Table27[[#This Row],[Location 
(drop-down)]],'[2]List source'!D$2:E$59,2,FALSE)</f>
        <v>#VALUE!</v>
      </c>
      <c r="C1105" s="182" t="s">
        <v>3577</v>
      </c>
      <c r="D1105" s="392" t="e">
        <f t="shared" si="34"/>
        <v>#VALUE!</v>
      </c>
      <c r="E1105" s="227" t="s">
        <v>3012</v>
      </c>
      <c r="F1105" s="165" t="s">
        <v>1769</v>
      </c>
      <c r="G1105" s="227" t="e">
        <f>MID(LEFT(#REF!, FIND(",",#REF!) - 1), FIND("{token}", SUBSTITUTE(#REF!, " ", "{token}", 2)) + 1, LEN(#REF!))</f>
        <v>#REF!</v>
      </c>
      <c r="H1105" s="165">
        <v>2.38</v>
      </c>
      <c r="I1105" s="230">
        <v>45631</v>
      </c>
      <c r="J1105" s="342" t="s">
        <v>310</v>
      </c>
      <c r="K1105" s="221">
        <v>45692</v>
      </c>
      <c r="L1105" s="165"/>
      <c r="M1105" s="222">
        <v>1073</v>
      </c>
      <c r="N1105" s="2" t="str">
        <f t="shared" ca="1" si="33"/>
        <v>CLOSED</v>
      </c>
    </row>
    <row r="1106" spans="1:14" ht="30">
      <c r="A1106" s="64" t="s">
        <v>119</v>
      </c>
      <c r="B1106" s="98" t="e">
        <f>VLOOKUP([2]!Table27[[#This Row],[Location 
(drop-down)]],'[2]List source'!D$2:E$59,2,FALSE)</f>
        <v>#VALUE!</v>
      </c>
      <c r="C1106" s="179" t="s">
        <v>3578</v>
      </c>
      <c r="D1106" s="2" t="e">
        <f t="shared" si="34"/>
        <v>#VALUE!</v>
      </c>
      <c r="E1106" s="227" t="s">
        <v>3579</v>
      </c>
      <c r="F1106" s="165" t="s">
        <v>1520</v>
      </c>
      <c r="G1106" s="227" t="e">
        <f>MID(LEFT(#REF!, FIND(",",#REF!) - 1), FIND("{token}", SUBSTITUTE(#REF!, " ", "{token}", 2)) + 1, LEN(#REF!))</f>
        <v>#REF!</v>
      </c>
      <c r="H1106" s="165">
        <v>3.16</v>
      </c>
      <c r="I1106" s="230">
        <v>45652</v>
      </c>
      <c r="J1106" s="230" t="s">
        <v>111</v>
      </c>
      <c r="K1106" s="226">
        <v>45692</v>
      </c>
      <c r="L1106" s="165"/>
      <c r="M1106" s="222">
        <v>1229</v>
      </c>
      <c r="N1106" s="2" t="str">
        <f t="shared" ca="1" si="33"/>
        <v>CLOSED</v>
      </c>
    </row>
    <row r="1107" spans="1:14" ht="30">
      <c r="A1107" s="64" t="s">
        <v>73</v>
      </c>
      <c r="B1107" s="98" t="e">
        <f>VLOOKUP([2]!Table27[[#This Row],[Location 
(drop-down)]],'[2]List source'!D$2:E$59,2,FALSE)</f>
        <v>#VALUE!</v>
      </c>
      <c r="C1107" s="179" t="s">
        <v>359</v>
      </c>
      <c r="D1107" s="378" t="e">
        <f t="shared" si="34"/>
        <v>#VALUE!</v>
      </c>
      <c r="E1107" s="227" t="s">
        <v>3580</v>
      </c>
      <c r="F1107" s="165" t="e" cm="1">
        <f t="array" aca="1" ref="F1107" ca="1">MID(LEFT(#REF!, INDEX(_xlfn._xlws.FILTER(ROW(INDIRECT("1:" &amp; LEN(#REF!))), (48 &lt;= CODE(MID(#REF!, ROW(INDIRECT("1:" &amp; LEN(#REF!))), 1))) * (CODE(MID(#REF!, ROW(INDIRECT("1:" &amp; LEN(#REF!))), 1)) &lt;= 57)), 1) - 1), FIND(":",#REF!) + 2, LEN(#REF!))</f>
        <v>#REF!</v>
      </c>
      <c r="G1107" s="227" t="e">
        <f>MID(LEFT(#REF!, FIND(",",#REF!) - 1), FIND("{token}", SUBSTITUTE(#REF!, " ", "{token}", 2)) + 1, LEN(#REF!))</f>
        <v>#REF!</v>
      </c>
      <c r="H1107" s="236" t="s">
        <v>3581</v>
      </c>
      <c r="I1107" s="230">
        <v>45376</v>
      </c>
      <c r="J1107" s="230" t="s">
        <v>327</v>
      </c>
      <c r="K1107" s="226">
        <v>45694</v>
      </c>
      <c r="L1107" s="165"/>
      <c r="M1107" s="222">
        <v>128</v>
      </c>
      <c r="N1107" s="2" t="str">
        <f t="shared" ca="1" si="33"/>
        <v>CLOSED</v>
      </c>
    </row>
    <row r="1108" spans="1:14" ht="18.75">
      <c r="A1108" s="81" t="s">
        <v>462</v>
      </c>
      <c r="B1108" s="98" t="e">
        <f>VLOOKUP([2]!Table27[[#This Row],[Location 
(drop-down)]],'[2]List source'!D$2:E$59,2,FALSE)</f>
        <v>#VALUE!</v>
      </c>
      <c r="C1108" s="194" t="s">
        <v>3582</v>
      </c>
      <c r="D1108" s="394" t="e">
        <f t="shared" si="34"/>
        <v>#VALUE!</v>
      </c>
      <c r="E1108" s="227" t="s">
        <v>3583</v>
      </c>
      <c r="F1108" s="165" t="e" cm="1">
        <f t="array" aca="1" ref="F1108" ca="1">MID(LEFT(#REF!, INDEX(_xlfn._xlws.FILTER(ROW(INDIRECT("1:" &amp; LEN(#REF!))), (48 &lt;= CODE(MID(#REF!, ROW(INDIRECT("1:" &amp; LEN(#REF!))), 1))) * (CODE(MID(#REF!, ROW(INDIRECT("1:" &amp; LEN(#REF!))), 1)) &lt;= 57)), 1) - 1), FIND(":",#REF!) + 2, LEN(#REF!))</f>
        <v>#REF!</v>
      </c>
      <c r="G1108" s="227" t="e">
        <f>MID(LEFT(#REF!, FIND(",",#REF!) - 1), FIND("{token}", SUBSTITUTE(#REF!, " ", "{token}", 2)) + 1, LEN(#REF!))</f>
        <v>#REF!</v>
      </c>
      <c r="H1108" s="165">
        <v>5.18</v>
      </c>
      <c r="I1108" s="230">
        <v>45435</v>
      </c>
      <c r="J1108" s="230" t="s">
        <v>29</v>
      </c>
      <c r="K1108" s="226">
        <v>45694</v>
      </c>
      <c r="L1108" s="165"/>
      <c r="M1108" s="222">
        <v>610</v>
      </c>
      <c r="N1108" s="2" t="str">
        <f t="shared" ca="1" si="33"/>
        <v>CLOSED</v>
      </c>
    </row>
    <row r="1109" spans="1:14" ht="30">
      <c r="A1109" s="64" t="s">
        <v>73</v>
      </c>
      <c r="B1109" s="98" t="e">
        <f>VLOOKUP([2]!Table27[[#This Row],[Location 
(drop-down)]],'[2]List source'!D$2:E$59,2,FALSE)</f>
        <v>#VALUE!</v>
      </c>
      <c r="C1109" s="179" t="s">
        <v>3584</v>
      </c>
      <c r="D1109" s="379" t="e">
        <f t="shared" si="34"/>
        <v>#VALUE!</v>
      </c>
      <c r="E1109" s="227" t="s">
        <v>3585</v>
      </c>
      <c r="F1109" s="165" t="e" cm="1">
        <f t="array" aca="1" ref="F1109" ca="1">MID(LEFT(#REF!, INDEX(_xlfn._xlws.FILTER(ROW(INDIRECT("1:" &amp; LEN(#REF!))), (48 &lt;= CODE(MID(#REF!, ROW(INDIRECT("1:" &amp; LEN(#REF!))), 1))) * (CODE(MID(#REF!, ROW(INDIRECT("1:" &amp; LEN(#REF!))), 1)) &lt;= 57)), 1) - 1), FIND(":",#REF!) + 2, LEN(#REF!))</f>
        <v>#REF!</v>
      </c>
      <c r="G1109" s="227" t="e">
        <f>MID(LEFT(#REF!, FIND(",",#REF!) - 1), FIND("{token}", SUBSTITUTE(#REF!, " ", "{token}", 2)) + 1, LEN(#REF!))</f>
        <v>#REF!</v>
      </c>
      <c r="H1109" s="236" t="s">
        <v>3586</v>
      </c>
      <c r="I1109" s="230">
        <v>45533</v>
      </c>
      <c r="J1109" s="230" t="s">
        <v>327</v>
      </c>
      <c r="K1109" s="226">
        <v>45694</v>
      </c>
      <c r="L1109" s="165"/>
      <c r="M1109" s="222">
        <v>829</v>
      </c>
      <c r="N1109" s="2" t="str">
        <f t="shared" ca="1" si="33"/>
        <v>CLOSED</v>
      </c>
    </row>
    <row r="1110" spans="1:14" ht="30">
      <c r="A1110" s="90" t="s">
        <v>500</v>
      </c>
      <c r="B1110" s="98" t="e">
        <f>VLOOKUP([2]!Table27[[#This Row],[Location 
(drop-down)]],'[2]List source'!D$2:E$59,2,FALSE)</f>
        <v>#VALUE!</v>
      </c>
      <c r="C1110" s="182" t="s">
        <v>3587</v>
      </c>
      <c r="D1110" s="392" t="e">
        <f t="shared" si="34"/>
        <v>#VALUE!</v>
      </c>
      <c r="E1110" s="227" t="s">
        <v>3588</v>
      </c>
      <c r="F1110" s="165" t="e" cm="1">
        <f t="array" aca="1" ref="F1110" ca="1">MID(LEFT(#REF!, INDEX(_xlfn._xlws.FILTER(ROW(INDIRECT("1:" &amp; LEN(#REF!))), (48 &lt;= CODE(MID(#REF!, ROW(INDIRECT("1:" &amp; LEN(#REF!))), 1))) * (CODE(MID(#REF!, ROW(INDIRECT("1:" &amp; LEN(#REF!))), 1)) &lt;= 57)), 1) - 1), FIND(":",#REF!) + 2, LEN(#REF!))</f>
        <v>#REF!</v>
      </c>
      <c r="G1110" s="227" t="e">
        <f>MID(LEFT(#REF!, FIND(",",#REF!) - 1), FIND("{token}", SUBSTITUTE(#REF!, " ", "{token}", 2)) + 1, LEN(#REF!))</f>
        <v>#REF!</v>
      </c>
      <c r="H1110" s="165">
        <v>2.0299999999999998</v>
      </c>
      <c r="I1110" s="230">
        <v>45643</v>
      </c>
      <c r="J1110" s="342" t="s">
        <v>310</v>
      </c>
      <c r="K1110" s="221">
        <v>45694</v>
      </c>
      <c r="L1110" s="165"/>
      <c r="M1110" s="222">
        <v>1157</v>
      </c>
      <c r="N1110" s="2" t="str">
        <f t="shared" ca="1" si="33"/>
        <v>CLOSED</v>
      </c>
    </row>
    <row r="1111" spans="1:14" ht="30">
      <c r="A1111" s="64" t="s">
        <v>119</v>
      </c>
      <c r="B1111" s="98" t="e">
        <f>VLOOKUP([2]!Table27[[#This Row],[Location 
(drop-down)]],'[2]List source'!D$2:E$59,2,FALSE)</f>
        <v>#VALUE!</v>
      </c>
      <c r="C1111" s="179" t="s">
        <v>3589</v>
      </c>
      <c r="D1111" s="2" t="e">
        <f t="shared" si="34"/>
        <v>#VALUE!</v>
      </c>
      <c r="E1111" s="227" t="s">
        <v>3590</v>
      </c>
      <c r="F1111" s="165" t="s">
        <v>1520</v>
      </c>
      <c r="G1111" s="227" t="e">
        <f>MID(LEFT(#REF!, FIND(",",#REF!) - 1), FIND("{token}", SUBSTITUTE(#REF!, " ", "{token}", 2)) + 1, LEN(#REF!))</f>
        <v>#REF!</v>
      </c>
      <c r="H1111" s="236" t="s">
        <v>1679</v>
      </c>
      <c r="I1111" s="230">
        <v>45652</v>
      </c>
      <c r="J1111" s="230" t="s">
        <v>111</v>
      </c>
      <c r="K1111" s="226">
        <v>45694</v>
      </c>
      <c r="L1111" s="275"/>
      <c r="M1111" s="222">
        <v>1228</v>
      </c>
      <c r="N1111" s="2" t="str">
        <f t="shared" ca="1" si="33"/>
        <v>CLOSED</v>
      </c>
    </row>
    <row r="1112" spans="1:14" ht="30">
      <c r="A1112" s="90" t="s">
        <v>294</v>
      </c>
      <c r="B1112" s="98" t="e">
        <f>VLOOKUP([2]!Table27[[#This Row],[Location 
(drop-down)]],'[2]List source'!D$2:E$59,2,FALSE)</f>
        <v>#VALUE!</v>
      </c>
      <c r="C1112" s="182" t="s">
        <v>3591</v>
      </c>
      <c r="D1112" s="392" t="e">
        <f t="shared" si="34"/>
        <v>#VALUE!</v>
      </c>
      <c r="E1112" s="227" t="s">
        <v>3592</v>
      </c>
      <c r="F1112" s="165" t="s">
        <v>1811</v>
      </c>
      <c r="G1112" s="227" t="e">
        <f>MID(LEFT(#REF!, FIND(",",#REF!) - 1), FIND("{token}", SUBSTITUTE(#REF!, " ", "{token}", 2)) + 1, LEN(#REF!))</f>
        <v>#REF!</v>
      </c>
      <c r="H1112" s="236" t="s">
        <v>3593</v>
      </c>
      <c r="I1112" s="230">
        <v>45657</v>
      </c>
      <c r="J1112" s="342" t="s">
        <v>34</v>
      </c>
      <c r="K1112" s="221">
        <v>45695</v>
      </c>
      <c r="L1112" s="165" t="s">
        <v>1837</v>
      </c>
      <c r="M1112" s="222">
        <v>1410</v>
      </c>
      <c r="N1112" s="2" t="str">
        <f t="shared" ref="N1112:N1175" ca="1" si="35">IF(ISBLANK(K1112), TODAY()-(I1112), "CLOSED")</f>
        <v>CLOSED</v>
      </c>
    </row>
    <row r="1113" spans="1:14" ht="30">
      <c r="A1113" s="90" t="s">
        <v>294</v>
      </c>
      <c r="B1113" s="98" t="e">
        <f>VLOOKUP([2]!Table27[[#This Row],[Location 
(drop-down)]],'[2]List source'!D$2:E$59,2,FALSE)</f>
        <v>#VALUE!</v>
      </c>
      <c r="C1113" s="182" t="s">
        <v>3594</v>
      </c>
      <c r="D1113" s="392" t="e">
        <f t="shared" si="34"/>
        <v>#VALUE!</v>
      </c>
      <c r="E1113" s="227" t="s">
        <v>3595</v>
      </c>
      <c r="F1113" s="165" t="s">
        <v>1811</v>
      </c>
      <c r="G1113" s="227" t="e">
        <f>MID(LEFT(#REF!, FIND(",",#REF!) - 1), FIND("{token}", SUBSTITUTE(#REF!, " ", "{token}", 2)) + 1, LEN(#REF!))</f>
        <v>#REF!</v>
      </c>
      <c r="H1113" s="236" t="s">
        <v>3596</v>
      </c>
      <c r="I1113" s="230">
        <v>45657</v>
      </c>
      <c r="J1113" s="342" t="s">
        <v>34</v>
      </c>
      <c r="K1113" s="221">
        <v>45695</v>
      </c>
      <c r="L1113" s="275" t="s">
        <v>1837</v>
      </c>
      <c r="M1113" s="222">
        <v>1411</v>
      </c>
      <c r="N1113" s="2" t="str">
        <f t="shared" ca="1" si="35"/>
        <v>CLOSED</v>
      </c>
    </row>
    <row r="1114" spans="1:14" ht="30">
      <c r="A1114" s="90" t="s">
        <v>294</v>
      </c>
      <c r="B1114" s="98" t="e">
        <f>VLOOKUP([2]!Table27[[#This Row],[Location 
(drop-down)]],'[2]List source'!D$2:E$59,2,FALSE)</f>
        <v>#VALUE!</v>
      </c>
      <c r="C1114" s="182" t="s">
        <v>3597</v>
      </c>
      <c r="D1114" s="392" t="e">
        <f t="shared" si="34"/>
        <v>#VALUE!</v>
      </c>
      <c r="E1114" s="227" t="s">
        <v>3598</v>
      </c>
      <c r="F1114" s="165" t="s">
        <v>1811</v>
      </c>
      <c r="G1114" s="227" t="e">
        <f>MID(LEFT(#REF!, FIND(",",#REF!) - 1), FIND("{token}", SUBSTITUTE(#REF!, " ", "{token}", 2)) + 1, LEN(#REF!))</f>
        <v>#REF!</v>
      </c>
      <c r="H1114" s="236" t="s">
        <v>3599</v>
      </c>
      <c r="I1114" s="230">
        <v>45657</v>
      </c>
      <c r="J1114" s="342" t="s">
        <v>34</v>
      </c>
      <c r="K1114" s="221">
        <v>45695</v>
      </c>
      <c r="L1114" s="165"/>
      <c r="M1114" s="222">
        <v>1414</v>
      </c>
      <c r="N1114" s="2" t="str">
        <f t="shared" ca="1" si="35"/>
        <v>CLOSED</v>
      </c>
    </row>
    <row r="1115" spans="1:14" ht="30">
      <c r="A1115" s="64" t="s">
        <v>73</v>
      </c>
      <c r="B1115" s="98" t="e">
        <f>VLOOKUP([2]!Table27[[#This Row],[Location 
(drop-down)]],'[2]List source'!D$2:E$59,2,FALSE)</f>
        <v>#VALUE!</v>
      </c>
      <c r="C1115" s="179" t="s">
        <v>3600</v>
      </c>
      <c r="D1115" s="378" t="e">
        <f t="shared" si="34"/>
        <v>#VALUE!</v>
      </c>
      <c r="E1115" s="227" t="s">
        <v>3601</v>
      </c>
      <c r="F1115" s="165" t="e" cm="1">
        <f t="array" aca="1" ref="F1115" ca="1">MID(LEFT(#REF!, INDEX(_xlfn._xlws.FILTER(ROW(INDIRECT("1:" &amp; LEN(#REF!))), (48 &lt;= CODE(MID(#REF!, ROW(INDIRECT("1:" &amp; LEN(#REF!))), 1))) * (CODE(MID(#REF!, ROW(INDIRECT("1:" &amp; LEN(#REF!))), 1)) &lt;= 57)), 1) - 1), FIND(":",#REF!) + 2, LEN(#REF!))</f>
        <v>#REF!</v>
      </c>
      <c r="G1115" s="227" t="e">
        <f>MID(LEFT(#REF!, FIND(",",#REF!) - 1), FIND("{token}", SUBSTITUTE(#REF!, " ", "{token}", 2)) + 1, LEN(#REF!))</f>
        <v>#REF!</v>
      </c>
      <c r="H1115" s="236" t="s">
        <v>1883</v>
      </c>
      <c r="I1115" s="230">
        <v>45435</v>
      </c>
      <c r="J1115" s="230" t="s">
        <v>239</v>
      </c>
      <c r="K1115" s="226">
        <v>45698</v>
      </c>
      <c r="L1115" s="165"/>
      <c r="M1115" s="222">
        <v>630</v>
      </c>
      <c r="N1115" s="2" t="str">
        <f t="shared" ca="1" si="35"/>
        <v>CLOSED</v>
      </c>
    </row>
    <row r="1116" spans="1:14" ht="30">
      <c r="A1116" s="64" t="s">
        <v>294</v>
      </c>
      <c r="B1116" s="98" t="e">
        <f>VLOOKUP([2]!Table27[[#This Row],[Location 
(drop-down)]],'[2]List source'!D$2:E$59,2,FALSE)</f>
        <v>#VALUE!</v>
      </c>
      <c r="C1116" s="179" t="s">
        <v>3602</v>
      </c>
      <c r="D1116" s="379" t="e">
        <f t="shared" si="34"/>
        <v>#VALUE!</v>
      </c>
      <c r="E1116" s="227" t="s">
        <v>3603</v>
      </c>
      <c r="F1116" s="165" t="e" cm="1">
        <f t="array" aca="1" ref="F1116" ca="1">MID(LEFT(#REF!, INDEX(_xlfn._xlws.FILTER(ROW(INDIRECT("1:" &amp; LEN(#REF!))), (48 &lt;= CODE(MID(#REF!, ROW(INDIRECT("1:" &amp; LEN(#REF!))), 1))) * (CODE(MID(#REF!, ROW(INDIRECT("1:" &amp; LEN(#REF!))), 1)) &lt;= 57)), 1) - 1), FIND(":",#REF!) + 2, LEN(#REF!))</f>
        <v>#REF!</v>
      </c>
      <c r="G1116" s="227" t="e">
        <f>MID(LEFT(#REF!, FIND(",",#REF!) - 1), FIND("{token}", SUBSTITUTE(#REF!, " ", "{token}", 2)) + 1, LEN(#REF!))</f>
        <v>#REF!</v>
      </c>
      <c r="H1116" s="165" t="s">
        <v>3604</v>
      </c>
      <c r="I1116" s="230">
        <v>45546</v>
      </c>
      <c r="J1116" s="230" t="s">
        <v>327</v>
      </c>
      <c r="K1116" s="226">
        <v>45698</v>
      </c>
      <c r="L1116" s="275"/>
      <c r="M1116" s="222">
        <v>973</v>
      </c>
      <c r="N1116" s="2" t="str">
        <f t="shared" ca="1" si="35"/>
        <v>CLOSED</v>
      </c>
    </row>
    <row r="1117" spans="1:14" ht="15">
      <c r="A1117" s="64" t="s">
        <v>53</v>
      </c>
      <c r="B1117" s="98" t="e">
        <f>VLOOKUP([2]!Table27[[#This Row],[Location 
(drop-down)]],'[2]List source'!D$2:E$59,2,FALSE)</f>
        <v>#VALUE!</v>
      </c>
      <c r="C1117" s="179" t="s">
        <v>3605</v>
      </c>
      <c r="D1117" s="2" t="e">
        <f t="shared" si="34"/>
        <v>#VALUE!</v>
      </c>
      <c r="E1117" s="227" t="s">
        <v>3606</v>
      </c>
      <c r="F1117" s="165" t="e" cm="1">
        <f t="array" aca="1" ref="F1117" ca="1">MID(LEFT(#REF!, INDEX(_xlfn._xlws.FILTER(ROW(INDIRECT("1:" &amp; LEN(#REF!))), (48 &lt;= CODE(MID(#REF!, ROW(INDIRECT("1:" &amp; LEN(#REF!))), 1))) * (CODE(MID(#REF!, ROW(INDIRECT("1:" &amp; LEN(#REF!))), 1)) &lt;= 57)), 1) - 1), FIND(":",#REF!) + 2, LEN(#REF!))</f>
        <v>#REF!</v>
      </c>
      <c r="G1117" s="227" t="e">
        <f>MID(LEFT(#REF!, FIND(",",#REF!) - 1), FIND("{token}", SUBSTITUTE(#REF!, " ", "{token}", 2)) + 1, LEN(#REF!))</f>
        <v>#REF!</v>
      </c>
      <c r="H1117" s="165" t="s">
        <v>3607</v>
      </c>
      <c r="I1117" s="230">
        <v>45593</v>
      </c>
      <c r="J1117" s="230" t="s">
        <v>327</v>
      </c>
      <c r="K1117" s="226">
        <v>45698</v>
      </c>
      <c r="L1117" s="275"/>
      <c r="M1117" s="222">
        <v>1051</v>
      </c>
      <c r="N1117" s="2" t="str">
        <f t="shared" ca="1" si="35"/>
        <v>CLOSED</v>
      </c>
    </row>
    <row r="1118" spans="1:14" ht="30">
      <c r="A1118" s="86" t="s">
        <v>125</v>
      </c>
      <c r="B1118" s="98" t="e">
        <f>VLOOKUP([2]!Table27[[#This Row],[Location 
(drop-down)]],'[2]List source'!D$2:E$59,2,FALSE)</f>
        <v>#VALUE!</v>
      </c>
      <c r="C1118" s="180" t="s">
        <v>3608</v>
      </c>
      <c r="D1118" s="391" t="e">
        <f t="shared" si="34"/>
        <v>#VALUE!</v>
      </c>
      <c r="E1118" s="231" t="s">
        <v>3609</v>
      </c>
      <c r="F1118" s="232" t="e" cm="1">
        <f t="array" aca="1" ref="F1118" ca="1">MID(LEFT(#REF!, INDEX(_xlfn._xlws.FILTER(ROW(INDIRECT("1:" &amp; LEN(#REF!))), (48 &lt;= CODE(MID(#REF!, ROW(INDIRECT("1:" &amp; LEN(#REF!))), 1))) * (CODE(MID(#REF!, ROW(INDIRECT("1:" &amp; LEN(#REF!))), 1)) &lt;= 57)), 1) - 1), FIND(":",#REF!) + 2, LEN(#REF!))</f>
        <v>#REF!</v>
      </c>
      <c r="G1118" s="231" t="e">
        <f>MID(LEFT(#REF!, FIND(",",#REF!) - 1), FIND("{token}", SUBSTITUTE(#REF!, " ", "{token}", 2)) + 1, LEN(#REF!))</f>
        <v>#REF!</v>
      </c>
      <c r="H1118" s="233" t="s">
        <v>3610</v>
      </c>
      <c r="I1118" s="234">
        <v>45657</v>
      </c>
      <c r="J1118" s="234" t="s">
        <v>34</v>
      </c>
      <c r="K1118" s="372">
        <v>45698</v>
      </c>
      <c r="L1118" s="395" t="s">
        <v>1505</v>
      </c>
      <c r="M1118" s="222">
        <v>1302</v>
      </c>
      <c r="N1118" s="2" t="str">
        <f t="shared" ca="1" si="35"/>
        <v>CLOSED</v>
      </c>
    </row>
    <row r="1119" spans="1:14" ht="30">
      <c r="A1119" s="64" t="s">
        <v>73</v>
      </c>
      <c r="B1119" s="98" t="e">
        <f>VLOOKUP([2]!Table27[[#This Row],[Location 
(drop-down)]],'[2]List source'!D$2:E$59,2,FALSE)</f>
        <v>#VALUE!</v>
      </c>
      <c r="C1119" s="179" t="s">
        <v>3611</v>
      </c>
      <c r="D1119" s="2" t="e">
        <f t="shared" si="34"/>
        <v>#VALUE!</v>
      </c>
      <c r="E1119" s="227" t="s">
        <v>3612</v>
      </c>
      <c r="F1119" s="165" t="s">
        <v>1524</v>
      </c>
      <c r="G1119" s="227" t="e">
        <f>MID(LEFT(#REF!, FIND(",",#REF!) - 1), FIND("{token}", SUBSTITUTE(#REF!, " ", "{token}", 2)) + 1, LEN(#REF!))</f>
        <v>#REF!</v>
      </c>
      <c r="H1119" s="236" t="s">
        <v>3613</v>
      </c>
      <c r="I1119" s="230">
        <v>45657</v>
      </c>
      <c r="J1119" s="230" t="s">
        <v>327</v>
      </c>
      <c r="K1119" s="226">
        <v>45698</v>
      </c>
      <c r="L1119" s="165"/>
      <c r="M1119" s="222">
        <v>1387</v>
      </c>
      <c r="N1119" s="2" t="str">
        <f t="shared" ca="1" si="35"/>
        <v>CLOSED</v>
      </c>
    </row>
    <row r="1120" spans="1:14" ht="30">
      <c r="A1120" s="64" t="s">
        <v>125</v>
      </c>
      <c r="B1120" s="98" t="e">
        <f>VLOOKUP([2]!Table27[[#This Row],[Location 
(drop-down)]],'[2]List source'!D$2:E$59,2,FALSE)</f>
        <v>#VALUE!</v>
      </c>
      <c r="C1120" s="179" t="s">
        <v>3614</v>
      </c>
      <c r="D1120" s="378" t="e">
        <f t="shared" si="34"/>
        <v>#VALUE!</v>
      </c>
      <c r="E1120" s="227" t="s">
        <v>3615</v>
      </c>
      <c r="F1120" s="165" t="e" cm="1">
        <f t="array" aca="1" ref="F1120" ca="1">MID(LEFT(#REF!, INDEX(_xlfn._xlws.FILTER(ROW(INDIRECT("1:" &amp; LEN(#REF!))), (48 &lt;= CODE(MID(#REF!, ROW(INDIRECT("1:" &amp; LEN(#REF!))), 1))) * (CODE(MID(#REF!, ROW(INDIRECT("1:" &amp; LEN(#REF!))), 1)) &lt;= 57)), 1) - 1), FIND(":",#REF!) + 2, LEN(#REF!))</f>
        <v>#REF!</v>
      </c>
      <c r="G1120" s="227" t="e">
        <f>MID(LEFT(#REF!, FIND(",",#REF!) - 1), FIND("{token}", SUBSTITUTE(#REF!, " ", "{token}", 2)) + 1, LEN(#REF!))</f>
        <v>#REF!</v>
      </c>
      <c r="H1120" s="165">
        <v>7.25</v>
      </c>
      <c r="I1120" s="230">
        <v>45510</v>
      </c>
      <c r="J1120" s="230" t="s">
        <v>111</v>
      </c>
      <c r="K1120" s="226">
        <v>45700</v>
      </c>
      <c r="L1120" s="275"/>
      <c r="M1120" s="222">
        <v>714</v>
      </c>
      <c r="N1120" s="2" t="str">
        <f t="shared" ca="1" si="35"/>
        <v>CLOSED</v>
      </c>
    </row>
    <row r="1121" spans="1:14" ht="30">
      <c r="A1121" s="64" t="s">
        <v>125</v>
      </c>
      <c r="B1121" s="98" t="e">
        <f>VLOOKUP([2]!Table27[[#This Row],[Location 
(drop-down)]],'[2]List source'!D$2:E$59,2,FALSE)</f>
        <v>#VALUE!</v>
      </c>
      <c r="C1121" s="179" t="s">
        <v>3616</v>
      </c>
      <c r="D1121" s="379" t="e">
        <f t="shared" si="34"/>
        <v>#VALUE!</v>
      </c>
      <c r="E1121" s="227" t="s">
        <v>3617</v>
      </c>
      <c r="F1121" s="165" t="e" cm="1">
        <f t="array" aca="1" ref="F1121" ca="1">MID(LEFT(#REF!, INDEX(_xlfn._xlws.FILTER(ROW(INDIRECT("1:" &amp; LEN(#REF!))), (48 &lt;= CODE(MID(#REF!, ROW(INDIRECT("1:" &amp; LEN(#REF!))), 1))) * (CODE(MID(#REF!, ROW(INDIRECT("1:" &amp; LEN(#REF!))), 1)) &lt;= 57)), 1) - 1), FIND(":",#REF!) + 2, LEN(#REF!))</f>
        <v>#REF!</v>
      </c>
      <c r="G1121" s="227" t="e">
        <f>MID(LEFT(#REF!, FIND(",",#REF!) - 1), FIND("{token}", SUBSTITUTE(#REF!, " ", "{token}", 2)) + 1, LEN(#REF!))</f>
        <v>#REF!</v>
      </c>
      <c r="H1121" s="165" t="s">
        <v>3618</v>
      </c>
      <c r="I1121" s="230">
        <v>45540</v>
      </c>
      <c r="J1121" s="230" t="s">
        <v>111</v>
      </c>
      <c r="K1121" s="226">
        <v>45701</v>
      </c>
      <c r="L1121" s="275"/>
      <c r="M1121" s="222">
        <v>904</v>
      </c>
      <c r="N1121" s="2" t="str">
        <f t="shared" ca="1" si="35"/>
        <v>CLOSED</v>
      </c>
    </row>
    <row r="1122" spans="1:14" ht="30">
      <c r="A1122" s="64" t="s">
        <v>73</v>
      </c>
      <c r="B1122" s="98" t="e">
        <f>VLOOKUP([2]!Table27[[#This Row],[Location 
(drop-down)]],'[2]List source'!D$2:E$59,2,FALSE)</f>
        <v>#VALUE!</v>
      </c>
      <c r="C1122" s="179" t="s">
        <v>1244</v>
      </c>
      <c r="D1122" s="378" t="e">
        <f t="shared" si="34"/>
        <v>#VALUE!</v>
      </c>
      <c r="E1122" s="227" t="s">
        <v>3619</v>
      </c>
      <c r="F1122" s="165" t="e" cm="1">
        <f t="array" aca="1" ref="F1122" ca="1">MID(LEFT(#REF!, INDEX(_xlfn._xlws.FILTER(ROW(INDIRECT("1:" &amp; LEN(#REF!))), (48 &lt;= CODE(MID(#REF!, ROW(INDIRECT("1:" &amp; LEN(#REF!))), 1))) * (CODE(MID(#REF!, ROW(INDIRECT("1:" &amp; LEN(#REF!))), 1)) &lt;= 57)), 1) - 1), FIND(":",#REF!) + 2, LEN(#REF!))</f>
        <v>#REF!</v>
      </c>
      <c r="G1122" s="227" t="e">
        <f>MID(LEFT(#REF!, FIND(",",#REF!) - 1), FIND("{token}", SUBSTITUTE(#REF!, " ", "{token}", 2)) + 1, LEN(#REF!))</f>
        <v>#REF!</v>
      </c>
      <c r="H1122" s="236" t="s">
        <v>3620</v>
      </c>
      <c r="I1122" s="260">
        <v>45397</v>
      </c>
      <c r="J1122" s="230" t="s">
        <v>327</v>
      </c>
      <c r="K1122" s="226">
        <v>45708</v>
      </c>
      <c r="L1122" s="165"/>
      <c r="M1122" s="222">
        <v>198</v>
      </c>
      <c r="N1122" s="2" t="str">
        <f t="shared" ca="1" si="35"/>
        <v>CLOSED</v>
      </c>
    </row>
    <row r="1123" spans="1:14" ht="30">
      <c r="A1123" s="64" t="s">
        <v>30</v>
      </c>
      <c r="B1123" s="98" t="e">
        <f>VLOOKUP([2]!Table27[[#This Row],[Location 
(drop-down)]],'[2]List source'!D$2:E$59,2,FALSE)</f>
        <v>#VALUE!</v>
      </c>
      <c r="C1123" s="179" t="s">
        <v>3621</v>
      </c>
      <c r="D1123" s="378" t="e">
        <f t="shared" si="34"/>
        <v>#VALUE!</v>
      </c>
      <c r="E1123" s="227" t="s">
        <v>3622</v>
      </c>
      <c r="F1123" s="165" t="e" cm="1">
        <f t="array" aca="1" ref="F1123" ca="1">MID(LEFT(#REF!, INDEX(_xlfn._xlws.FILTER(ROW(INDIRECT("1:" &amp; LEN(#REF!))), (48 &lt;= CODE(MID(#REF!, ROW(INDIRECT("1:" &amp; LEN(#REF!))), 1))) * (CODE(MID(#REF!, ROW(INDIRECT("1:" &amp; LEN(#REF!))), 1)) &lt;= 57)), 1) - 1), FIND(":",#REF!) + 2, LEN(#REF!))</f>
        <v>#REF!</v>
      </c>
      <c r="G1123" s="227" t="e">
        <f>MID(LEFT(#REF!, FIND(",",#REF!) - 1), FIND("{token}", SUBSTITUTE(#REF!, " ", "{token}", 2)) + 1, LEN(#REF!))</f>
        <v>#REF!</v>
      </c>
      <c r="H1123" s="236" t="s">
        <v>3623</v>
      </c>
      <c r="I1123" s="230">
        <v>45510</v>
      </c>
      <c r="J1123" s="230" t="s">
        <v>111</v>
      </c>
      <c r="K1123" s="226">
        <v>45708</v>
      </c>
      <c r="L1123" s="165"/>
      <c r="M1123" s="222">
        <v>716</v>
      </c>
      <c r="N1123" s="2" t="str">
        <f t="shared" ca="1" si="35"/>
        <v>CLOSED</v>
      </c>
    </row>
    <row r="1124" spans="1:14" ht="30">
      <c r="A1124" s="64" t="s">
        <v>30</v>
      </c>
      <c r="B1124" s="98" t="e">
        <f>VLOOKUP([2]!Table27[[#This Row],[Location 
(drop-down)]],'[2]List source'!D$2:E$59,2,FALSE)</f>
        <v>#VALUE!</v>
      </c>
      <c r="C1124" s="179" t="s">
        <v>3624</v>
      </c>
      <c r="D1124" s="378" t="e">
        <f t="shared" si="34"/>
        <v>#VALUE!</v>
      </c>
      <c r="E1124" s="227" t="s">
        <v>3346</v>
      </c>
      <c r="F1124" s="165" t="e" cm="1">
        <f t="array" aca="1" ref="F1124" ca="1">MID(LEFT(#REF!, INDEX(_xlfn._xlws.FILTER(ROW(INDIRECT("1:" &amp; LEN(#REF!))), (48 &lt;= CODE(MID(#REF!, ROW(INDIRECT("1:" &amp; LEN(#REF!))), 1))) * (CODE(MID(#REF!, ROW(INDIRECT("1:" &amp; LEN(#REF!))), 1)) &lt;= 57)), 1) - 1), FIND(":",#REF!) + 2, LEN(#REF!))</f>
        <v>#REF!</v>
      </c>
      <c r="G1124" s="227" t="e">
        <f>MID(LEFT(#REF!, FIND(",",#REF!) - 1), FIND("{token}", SUBSTITUTE(#REF!, " ", "{token}", 2)) + 1, LEN(#REF!))</f>
        <v>#REF!</v>
      </c>
      <c r="H1124" s="165">
        <v>2.5499999999999998</v>
      </c>
      <c r="I1124" s="230">
        <v>45513</v>
      </c>
      <c r="J1124" s="230" t="s">
        <v>111</v>
      </c>
      <c r="K1124" s="226">
        <v>45708</v>
      </c>
      <c r="L1124" s="165"/>
      <c r="M1124" s="222">
        <v>785</v>
      </c>
      <c r="N1124" s="2" t="str">
        <f t="shared" ca="1" si="35"/>
        <v>CLOSED</v>
      </c>
    </row>
    <row r="1125" spans="1:14" ht="15">
      <c r="A1125" s="64" t="s">
        <v>15</v>
      </c>
      <c r="B1125" s="98" t="e">
        <f>VLOOKUP([2]!Table27[[#This Row],[Location 
(drop-down)]],'[2]List source'!D$2:E$59,2,FALSE)</f>
        <v>#VALUE!</v>
      </c>
      <c r="C1125" s="179" t="s">
        <v>3625</v>
      </c>
      <c r="D1125" s="2" t="e">
        <f t="shared" si="34"/>
        <v>#VALUE!</v>
      </c>
      <c r="E1125" s="227" t="s">
        <v>3626</v>
      </c>
      <c r="F1125" s="165" t="s">
        <v>1520</v>
      </c>
      <c r="G1125" s="227" t="e">
        <f>MID(LEFT(#REF!, FIND(",",#REF!) - 1), FIND("{token}", SUBSTITUTE(#REF!, " ", "{token}", 2)) + 1, LEN(#REF!))</f>
        <v>#REF!</v>
      </c>
      <c r="H1125" s="236" t="s">
        <v>2862</v>
      </c>
      <c r="I1125" s="230">
        <v>45582</v>
      </c>
      <c r="J1125" s="230" t="s">
        <v>21</v>
      </c>
      <c r="K1125" s="226">
        <v>45708</v>
      </c>
      <c r="L1125" s="165"/>
      <c r="M1125" s="222">
        <v>1023</v>
      </c>
      <c r="N1125" s="2" t="str">
        <f t="shared" ca="1" si="35"/>
        <v>CLOSED</v>
      </c>
    </row>
    <row r="1126" spans="1:14" ht="15">
      <c r="A1126" s="64" t="s">
        <v>15</v>
      </c>
      <c r="B1126" s="98" t="e">
        <f>VLOOKUP([2]!Table27[[#This Row],[Location 
(drop-down)]],'[2]List source'!D$2:E$59,2,FALSE)</f>
        <v>#VALUE!</v>
      </c>
      <c r="C1126" s="179" t="s">
        <v>3627</v>
      </c>
      <c r="D1126" s="2" t="e">
        <f t="shared" si="34"/>
        <v>#VALUE!</v>
      </c>
      <c r="E1126" s="227" t="s">
        <v>3628</v>
      </c>
      <c r="F1126" s="165" t="s">
        <v>3068</v>
      </c>
      <c r="G1126" s="227" t="e">
        <f>MID(LEFT(#REF!, FIND(",",#REF!) - 1), FIND("{token}", SUBSTITUTE(#REF!, " ", "{token}", 2)) + 1, LEN(#REF!))</f>
        <v>#REF!</v>
      </c>
      <c r="H1126" s="236" t="s">
        <v>3629</v>
      </c>
      <c r="I1126" s="230">
        <v>45593</v>
      </c>
      <c r="J1126" s="230" t="s">
        <v>21</v>
      </c>
      <c r="K1126" s="226">
        <v>45708</v>
      </c>
      <c r="L1126" s="165"/>
      <c r="M1126" s="222">
        <v>1034</v>
      </c>
      <c r="N1126" s="2" t="str">
        <f t="shared" ca="1" si="35"/>
        <v>CLOSED</v>
      </c>
    </row>
    <row r="1127" spans="1:14" ht="30">
      <c r="A1127" s="64" t="s">
        <v>30</v>
      </c>
      <c r="B1127" s="98" t="e">
        <f>VLOOKUP([2]!Table27[[#This Row],[Location 
(drop-down)]],'[2]List source'!D$2:E$59,2,FALSE)</f>
        <v>#VALUE!</v>
      </c>
      <c r="C1127" s="179" t="s">
        <v>3630</v>
      </c>
      <c r="D1127" s="2" t="e">
        <f t="shared" si="34"/>
        <v>#VALUE!</v>
      </c>
      <c r="E1127" s="227" t="s">
        <v>3631</v>
      </c>
      <c r="F1127" s="165" t="s">
        <v>2274</v>
      </c>
      <c r="G1127" s="227" t="e">
        <f>MID(LEFT(#REF!, FIND(",",#REF!) - 1), FIND("{token}", SUBSTITUTE(#REF!, " ", "{token}", 2)) + 1, LEN(#REF!))</f>
        <v>#REF!</v>
      </c>
      <c r="H1127" s="165">
        <v>-10.82</v>
      </c>
      <c r="I1127" s="230">
        <v>45642</v>
      </c>
      <c r="J1127" s="230" t="s">
        <v>111</v>
      </c>
      <c r="K1127" s="226">
        <v>45708</v>
      </c>
      <c r="L1127" s="165"/>
      <c r="M1127" s="222">
        <v>1123</v>
      </c>
      <c r="N1127" s="2" t="str">
        <f t="shared" ca="1" si="35"/>
        <v>CLOSED</v>
      </c>
    </row>
    <row r="1128" spans="1:14" ht="30">
      <c r="A1128" s="85" t="s">
        <v>485</v>
      </c>
      <c r="B1128" s="98" t="e">
        <f>VLOOKUP([2]!Table27[[#This Row],[Location 
(drop-down)]],'[2]List source'!D$2:E$59,2,FALSE)</f>
        <v>#VALUE!</v>
      </c>
      <c r="C1128" s="183" t="s">
        <v>1271</v>
      </c>
      <c r="D1128" s="386" t="e">
        <f t="shared" si="34"/>
        <v>#VALUE!</v>
      </c>
      <c r="E1128" s="334" t="s">
        <v>3632</v>
      </c>
      <c r="F1128" s="335" t="s">
        <v>1520</v>
      </c>
      <c r="G1128" s="334" t="e">
        <f>MID(LEFT(#REF!, FIND(",",#REF!) - 1), FIND("{token}", SUBSTITUTE(#REF!, " ", "{token}", 2)) + 1, LEN(#REF!))</f>
        <v>#REF!</v>
      </c>
      <c r="H1128" s="336" t="s">
        <v>3633</v>
      </c>
      <c r="I1128" s="337">
        <v>45426</v>
      </c>
      <c r="J1128" s="337" t="s">
        <v>239</v>
      </c>
      <c r="K1128" s="338">
        <v>45711</v>
      </c>
      <c r="L1128" s="165"/>
      <c r="M1128" s="222">
        <v>464</v>
      </c>
      <c r="N1128" s="2" t="str">
        <f t="shared" ca="1" si="35"/>
        <v>CLOSED</v>
      </c>
    </row>
    <row r="1129" spans="1:14" ht="30">
      <c r="A1129" s="64" t="s">
        <v>485</v>
      </c>
      <c r="B1129" s="98" t="e">
        <f>VLOOKUP([2]!Table27[[#This Row],[Location 
(drop-down)]],'[2]List source'!D$2:E$59,2,FALSE)</f>
        <v>#VALUE!</v>
      </c>
      <c r="C1129" s="179" t="s">
        <v>3634</v>
      </c>
      <c r="D1129" s="378" t="e">
        <f t="shared" si="34"/>
        <v>#VALUE!</v>
      </c>
      <c r="E1129" s="227" t="s">
        <v>3635</v>
      </c>
      <c r="F1129" s="165" t="e" cm="1">
        <f t="array" aca="1" ref="F1129" ca="1">MID(LEFT(#REF!, INDEX(_xlfn._xlws.FILTER(ROW(INDIRECT("1:" &amp; LEN(#REF!))), (48 &lt;= CODE(MID(#REF!, ROW(INDIRECT("1:" &amp; LEN(#REF!))), 1))) * (CODE(MID(#REF!, ROW(INDIRECT("1:" &amp; LEN(#REF!))), 1)) &lt;= 57)), 1) - 1), FIND(":",#REF!) + 2, LEN(#REF!))</f>
        <v>#REF!</v>
      </c>
      <c r="G1129" s="227" t="e">
        <f>MID(LEFT(#REF!, FIND(",",#REF!) - 1), FIND("{token}", SUBSTITUTE(#REF!, " ", "{token}", 2)) + 1, LEN(#REF!))</f>
        <v>#REF!</v>
      </c>
      <c r="H1129" s="236" t="s">
        <v>3636</v>
      </c>
      <c r="I1129" s="230">
        <v>45435</v>
      </c>
      <c r="J1129" s="230" t="s">
        <v>239</v>
      </c>
      <c r="K1129" s="226">
        <v>45711</v>
      </c>
      <c r="L1129" s="165"/>
      <c r="M1129" s="222">
        <v>631</v>
      </c>
      <c r="N1129" s="2" t="str">
        <f t="shared" ca="1" si="35"/>
        <v>CLOSED</v>
      </c>
    </row>
    <row r="1130" spans="1:14" ht="30">
      <c r="A1130" s="64" t="s">
        <v>294</v>
      </c>
      <c r="B1130" s="98" t="e">
        <f>VLOOKUP([2]!Table27[[#This Row],[Location 
(drop-down)]],'[2]List source'!D$2:E$59,2,FALSE)</f>
        <v>#VALUE!</v>
      </c>
      <c r="C1130" s="179" t="s">
        <v>3637</v>
      </c>
      <c r="D1130" s="379" t="e">
        <f t="shared" si="34"/>
        <v>#VALUE!</v>
      </c>
      <c r="E1130" s="227" t="s">
        <v>3638</v>
      </c>
      <c r="F1130" s="165" t="e" cm="1">
        <f t="array" aca="1" ref="F1130" ca="1">MID(LEFT(#REF!, INDEX(_xlfn._xlws.FILTER(ROW(INDIRECT("1:" &amp; LEN(#REF!))), (48 &lt;= CODE(MID(#REF!, ROW(INDIRECT("1:" &amp; LEN(#REF!))), 1))) * (CODE(MID(#REF!, ROW(INDIRECT("1:" &amp; LEN(#REF!))), 1)) &lt;= 57)), 1) - 1), FIND(":",#REF!) + 2, LEN(#REF!))</f>
        <v>#REF!</v>
      </c>
      <c r="G1130" s="227" t="e">
        <f>MID(LEFT(#REF!, FIND(",",#REF!) - 1), FIND("{token}", SUBSTITUTE(#REF!, " ", "{token}", 2)) + 1, LEN(#REF!))</f>
        <v>#REF!</v>
      </c>
      <c r="H1130" s="236" t="s">
        <v>2308</v>
      </c>
      <c r="I1130" s="230">
        <v>45541</v>
      </c>
      <c r="J1130" s="230" t="s">
        <v>239</v>
      </c>
      <c r="K1130" s="226">
        <v>45711</v>
      </c>
      <c r="L1130" s="165"/>
      <c r="M1130" s="222">
        <v>947</v>
      </c>
      <c r="N1130" s="2" t="str">
        <f t="shared" ca="1" si="35"/>
        <v>CLOSED</v>
      </c>
    </row>
    <row r="1131" spans="1:14" ht="30">
      <c r="A1131" s="64" t="s">
        <v>485</v>
      </c>
      <c r="B1131" s="98" t="e">
        <f>VLOOKUP([2]!Table27[[#This Row],[Location 
(drop-down)]],'[2]List source'!D$2:E$59,2,FALSE)</f>
        <v>#VALUE!</v>
      </c>
      <c r="C1131" s="179" t="s">
        <v>3639</v>
      </c>
      <c r="D1131" s="2" t="e">
        <f t="shared" si="34"/>
        <v>#VALUE!</v>
      </c>
      <c r="E1131" s="227" t="s">
        <v>3640</v>
      </c>
      <c r="F1131" s="165" t="e" cm="1">
        <f t="array" aca="1" ref="F1131" ca="1">MID(LEFT(#REF!, INDEX(_xlfn._xlws.FILTER(ROW(INDIRECT("1:" &amp; LEN(#REF!))), (48 &lt;= CODE(MID(#REF!, ROW(INDIRECT("1:" &amp; LEN(#REF!))), 1))) * (CODE(MID(#REF!, ROW(INDIRECT("1:" &amp; LEN(#REF!))), 1)) &lt;= 57)), 1) - 1), FIND(":",#REF!) + 2, LEN(#REF!))</f>
        <v>#REF!</v>
      </c>
      <c r="G1131" s="227" t="e">
        <f>MID(LEFT(#REF!, FIND(",",#REF!) - 1), FIND("{token}", SUBSTITUTE(#REF!, " ", "{token}", 2)) + 1, LEN(#REF!))</f>
        <v>#REF!</v>
      </c>
      <c r="H1131" s="165" t="s">
        <v>3641</v>
      </c>
      <c r="I1131" s="230">
        <v>45594</v>
      </c>
      <c r="J1131" s="230" t="s">
        <v>239</v>
      </c>
      <c r="K1131" s="226">
        <v>45711</v>
      </c>
      <c r="L1131" s="165"/>
      <c r="M1131" s="222">
        <v>1053</v>
      </c>
      <c r="N1131" s="2" t="str">
        <f t="shared" ca="1" si="35"/>
        <v>CLOSED</v>
      </c>
    </row>
    <row r="1132" spans="1:14" ht="30">
      <c r="A1132" s="64" t="s">
        <v>39</v>
      </c>
      <c r="B1132" s="98" t="e">
        <f>VLOOKUP([2]!Table27[[#This Row],[Location 
(drop-down)]],'[2]List source'!D$2:E$59,2,FALSE)</f>
        <v>#VALUE!</v>
      </c>
      <c r="C1132" s="179" t="s">
        <v>3642</v>
      </c>
      <c r="D1132" s="2" t="e">
        <f t="shared" si="34"/>
        <v>#VALUE!</v>
      </c>
      <c r="E1132" s="227" t="s">
        <v>3643</v>
      </c>
      <c r="F1132" s="165" t="e" cm="1">
        <f t="array" aca="1" ref="F1132" ca="1">MID(LEFT(#REF!, INDEX(_xlfn._xlws.FILTER(ROW(INDIRECT("1:" &amp; LEN(#REF!))), (48 &lt;= CODE(MID(#REF!, ROW(INDIRECT("1:" &amp; LEN(#REF!))), 1))) * (CODE(MID(#REF!, ROW(INDIRECT("1:" &amp; LEN(#REF!))), 1)) &lt;= 57)), 1) - 1), FIND(":",#REF!) + 2, LEN(#REF!))</f>
        <v>#REF!</v>
      </c>
      <c r="G1132" s="227" t="e">
        <f>MID(LEFT(#REF!, FIND(",",#REF!) - 1), FIND("{token}", SUBSTITUTE(#REF!, " ", "{token}", 2)) + 1, LEN(#REF!))</f>
        <v>#REF!</v>
      </c>
      <c r="H1132" s="165">
        <v>2.17</v>
      </c>
      <c r="I1132" s="230">
        <v>45594</v>
      </c>
      <c r="J1132" s="230" t="s">
        <v>239</v>
      </c>
      <c r="K1132" s="226">
        <v>45711</v>
      </c>
      <c r="L1132" s="165"/>
      <c r="M1132" s="222">
        <v>1055</v>
      </c>
      <c r="N1132" s="2" t="str">
        <f t="shared" ca="1" si="35"/>
        <v>CLOSED</v>
      </c>
    </row>
    <row r="1133" spans="1:14" ht="18.75">
      <c r="A1133" s="64" t="s">
        <v>15</v>
      </c>
      <c r="B1133" s="98" t="e">
        <f>VLOOKUP([2]!Table27[[#This Row],[Location 
(drop-down)]],'[2]List source'!D$2:E$59,2,FALSE)</f>
        <v>#VALUE!</v>
      </c>
      <c r="C1133" s="179" t="s">
        <v>558</v>
      </c>
      <c r="D1133" s="378" t="e">
        <f t="shared" si="34"/>
        <v>#VALUE!</v>
      </c>
      <c r="E1133" s="227" t="s">
        <v>3644</v>
      </c>
      <c r="F1133" s="165" t="s">
        <v>1520</v>
      </c>
      <c r="G1133" s="227" t="e">
        <f>MID(LEFT(#REF!, FIND(",",#REF!) - 1), FIND("{token}", SUBSTITUTE(#REF!, " ", "{token}", 2)) + 1, LEN(#REF!))</f>
        <v>#REF!</v>
      </c>
      <c r="H1133" s="236" t="s">
        <v>3645</v>
      </c>
      <c r="I1133" s="230">
        <v>45426</v>
      </c>
      <c r="J1133" s="230" t="s">
        <v>21</v>
      </c>
      <c r="K1133" s="226">
        <v>45712</v>
      </c>
      <c r="L1133" s="275"/>
      <c r="M1133" s="222">
        <v>472</v>
      </c>
      <c r="N1133" s="2" t="str">
        <f t="shared" ca="1" si="35"/>
        <v>CLOSED</v>
      </c>
    </row>
    <row r="1134" spans="1:14" ht="18.75">
      <c r="A1134" s="90" t="s">
        <v>103</v>
      </c>
      <c r="B1134" s="98" t="e">
        <f>VLOOKUP([2]!Table27[[#This Row],[Location 
(drop-down)]],'[2]List source'!D$2:E$59,2,FALSE)</f>
        <v>#VALUE!</v>
      </c>
      <c r="C1134" s="182" t="s">
        <v>3646</v>
      </c>
      <c r="D1134" s="377" t="e">
        <f t="shared" si="34"/>
        <v>#VALUE!</v>
      </c>
      <c r="E1134" s="227" t="s">
        <v>3647</v>
      </c>
      <c r="F1134" s="165" t="e" cm="1">
        <f t="array" aca="1" ref="F1134" ca="1">MID(LEFT(#REF!, INDEX(_xlfn._xlws.FILTER(ROW(INDIRECT("1:" &amp; LEN(#REF!))), (48 &lt;= CODE(MID(#REF!, ROW(INDIRECT("1:" &amp; LEN(#REF!))), 1))) * (CODE(MID(#REF!, ROW(INDIRECT("1:" &amp; LEN(#REF!))), 1)) &lt;= 57)), 1) - 1), FIND(":",#REF!) + 2, LEN(#REF!))</f>
        <v>#REF!</v>
      </c>
      <c r="G1134" s="227" t="e">
        <f>MID(LEFT(#REF!, FIND(",",#REF!) - 1), FIND("{token}", SUBSTITUTE(#REF!, " ", "{token}", 2)) + 1, LEN(#REF!))</f>
        <v>#REF!</v>
      </c>
      <c r="H1134" s="165" t="s">
        <v>1579</v>
      </c>
      <c r="I1134" s="230">
        <v>45533</v>
      </c>
      <c r="J1134" s="342" t="s">
        <v>310</v>
      </c>
      <c r="K1134" s="221">
        <v>45712</v>
      </c>
      <c r="L1134" s="165"/>
      <c r="M1134" s="222">
        <v>820</v>
      </c>
      <c r="N1134" s="2" t="str">
        <f t="shared" ca="1" si="35"/>
        <v>CLOSED</v>
      </c>
    </row>
    <row r="1135" spans="1:14" ht="15">
      <c r="A1135" s="64" t="s">
        <v>15</v>
      </c>
      <c r="B1135" s="98" t="e">
        <f>VLOOKUP([2]!Table27[[#This Row],[Location 
(drop-down)]],'[2]List source'!D$2:E$59,2,FALSE)</f>
        <v>#VALUE!</v>
      </c>
      <c r="C1135" s="179" t="s">
        <v>3648</v>
      </c>
      <c r="D1135" s="2" t="e">
        <f t="shared" si="34"/>
        <v>#VALUE!</v>
      </c>
      <c r="E1135" s="227" t="s">
        <v>3649</v>
      </c>
      <c r="F1135" s="165" t="e" cm="1">
        <f t="array" aca="1" ref="F1135" ca="1">MID(LEFT(#REF!, INDEX(_xlfn._xlws.FILTER(ROW(INDIRECT("1:" &amp; LEN(#REF!))), (48 &lt;= CODE(MID(#REF!, ROW(INDIRECT("1:" &amp; LEN(#REF!))), 1))) * (CODE(MID(#REF!, ROW(INDIRECT("1:" &amp; LEN(#REF!))), 1)) &lt;= 57)), 1) - 1), FIND(":",#REF!) + 2, LEN(#REF!))</f>
        <v>#REF!</v>
      </c>
      <c r="G1135" s="227" t="e">
        <f>MID(LEFT(#REF!, FIND(",",#REF!) - 1), FIND("{token}", SUBSTITUTE(#REF!, " ", "{token}", 2)) + 1, LEN(#REF!))</f>
        <v>#REF!</v>
      </c>
      <c r="H1135" s="236" t="s">
        <v>3650</v>
      </c>
      <c r="I1135" s="230">
        <v>45595</v>
      </c>
      <c r="J1135" s="230" t="s">
        <v>21</v>
      </c>
      <c r="K1135" s="226">
        <v>45712</v>
      </c>
      <c r="L1135" s="165"/>
      <c r="M1135" s="222">
        <v>1061</v>
      </c>
      <c r="N1135" s="2" t="str">
        <f t="shared" ca="1" si="35"/>
        <v>CLOSED</v>
      </c>
    </row>
    <row r="1136" spans="1:14" ht="15">
      <c r="A1136" s="64" t="s">
        <v>15</v>
      </c>
      <c r="B1136" s="98" t="e">
        <f>VLOOKUP([2]!Table27[[#This Row],[Location 
(drop-down)]],'[2]List source'!D$2:E$59,2,FALSE)</f>
        <v>#VALUE!</v>
      </c>
      <c r="C1136" s="179" t="s">
        <v>3651</v>
      </c>
      <c r="D1136" s="2" t="e">
        <f t="shared" si="34"/>
        <v>#VALUE!</v>
      </c>
      <c r="E1136" s="227" t="s">
        <v>3652</v>
      </c>
      <c r="F1136" s="165" t="s">
        <v>2279</v>
      </c>
      <c r="G1136" s="227" t="e">
        <f>MID(LEFT(#REF!, FIND(",",#REF!) - 1), FIND("{token}", SUBSTITUTE(#REF!, " ", "{token}", 2)) + 1, LEN(#REF!))</f>
        <v>#REF!</v>
      </c>
      <c r="H1136" s="165">
        <v>2.66</v>
      </c>
      <c r="I1136" s="230">
        <v>45635</v>
      </c>
      <c r="J1136" s="230" t="s">
        <v>21</v>
      </c>
      <c r="K1136" s="226">
        <v>45712</v>
      </c>
      <c r="L1136" s="165"/>
      <c r="M1136" s="222">
        <v>1084</v>
      </c>
      <c r="N1136" s="2" t="str">
        <f t="shared" ca="1" si="35"/>
        <v>CLOSED</v>
      </c>
    </row>
    <row r="1137" spans="1:14" ht="15">
      <c r="A1137" s="64" t="s">
        <v>103</v>
      </c>
      <c r="B1137" s="98" t="e">
        <f>VLOOKUP([2]!Table27[[#This Row],[Location 
(drop-down)]],'[2]List source'!D$2:E$59,2,FALSE)</f>
        <v>#VALUE!</v>
      </c>
      <c r="C1137" s="179" t="s">
        <v>3653</v>
      </c>
      <c r="D1137" s="2" t="e">
        <f t="shared" si="34"/>
        <v>#VALUE!</v>
      </c>
      <c r="E1137" s="227" t="s">
        <v>3654</v>
      </c>
      <c r="F1137" s="165" t="e" cm="1">
        <f t="array" aca="1" ref="F1137" ca="1">MID(LEFT(#REF!, INDEX(_xlfn._xlws.FILTER(ROW(INDIRECT("1:" &amp; LEN(#REF!))), (48 &lt;= CODE(MID(#REF!, ROW(INDIRECT("1:" &amp; LEN(#REF!))), 1))) * (CODE(MID(#REF!, ROW(INDIRECT("1:" &amp; LEN(#REF!))), 1)) &lt;= 57)), 1) - 1), FIND(":",#REF!) + 2, LEN(#REF!))</f>
        <v>#REF!</v>
      </c>
      <c r="G1137" s="227" t="e">
        <f>MID(LEFT(#REF!, FIND(",",#REF!) - 1), FIND("{token}", SUBSTITUTE(#REF!, " ", "{token}", 2)) + 1, LEN(#REF!))</f>
        <v>#REF!</v>
      </c>
      <c r="H1137" s="165">
        <v>2.9</v>
      </c>
      <c r="I1137" s="230">
        <v>45657</v>
      </c>
      <c r="J1137" s="230" t="s">
        <v>310</v>
      </c>
      <c r="K1137" s="226">
        <v>45712</v>
      </c>
      <c r="L1137" s="275"/>
      <c r="M1137" s="222">
        <v>1350</v>
      </c>
      <c r="N1137" s="2" t="str">
        <f t="shared" ca="1" si="35"/>
        <v>CLOSED</v>
      </c>
    </row>
    <row r="1138" spans="1:14" ht="30">
      <c r="A1138" s="64" t="s">
        <v>30</v>
      </c>
      <c r="B1138" s="98" t="e">
        <f>VLOOKUP([2]!Table27[[#This Row],[Location 
(drop-down)]],'[2]List source'!D$2:E$59,2,FALSE)</f>
        <v>#VALUE!</v>
      </c>
      <c r="C1138" s="179" t="s">
        <v>442</v>
      </c>
      <c r="D1138" s="378" t="e">
        <f t="shared" si="34"/>
        <v>#VALUE!</v>
      </c>
      <c r="E1138" s="227" t="s">
        <v>3655</v>
      </c>
      <c r="F1138" s="165" t="s">
        <v>1818</v>
      </c>
      <c r="G1138" s="227" t="e">
        <f>MID(LEFT(#REF!, FIND(",",#REF!) - 1), FIND("{token}", SUBSTITUTE(#REF!, " ", "{token}", 2)) + 1, LEN(#REF!))</f>
        <v>#REF!</v>
      </c>
      <c r="H1138" s="165">
        <v>-18.61</v>
      </c>
      <c r="I1138" s="230">
        <v>45413</v>
      </c>
      <c r="J1138" s="230" t="s">
        <v>111</v>
      </c>
      <c r="K1138" s="226">
        <v>45713</v>
      </c>
      <c r="L1138" s="275"/>
      <c r="M1138" s="222">
        <v>326</v>
      </c>
      <c r="N1138" s="2" t="str">
        <f t="shared" ca="1" si="35"/>
        <v>CLOSED</v>
      </c>
    </row>
    <row r="1139" spans="1:14" ht="30">
      <c r="A1139" s="64" t="s">
        <v>73</v>
      </c>
      <c r="B1139" s="98" t="e">
        <f>VLOOKUP([2]!Table27[[#This Row],[Location 
(drop-down)]],'[2]List source'!D$2:E$59,2,FALSE)</f>
        <v>#VALUE!</v>
      </c>
      <c r="C1139" s="179" t="s">
        <v>1340</v>
      </c>
      <c r="D1139" s="378" t="e">
        <f t="shared" si="34"/>
        <v>#VALUE!</v>
      </c>
      <c r="E1139" s="227" t="s">
        <v>3656</v>
      </c>
      <c r="F1139" s="165" t="s">
        <v>1520</v>
      </c>
      <c r="G1139" s="227" t="e">
        <f>MID(LEFT(#REF!, FIND(",",#REF!) - 1), FIND("{token}", SUBSTITUTE(#REF!, " ", "{token}", 2)) + 1, LEN(#REF!))</f>
        <v>#REF!</v>
      </c>
      <c r="H1139" s="165">
        <v>5.75</v>
      </c>
      <c r="I1139" s="230">
        <v>45426</v>
      </c>
      <c r="J1139" s="230" t="s">
        <v>239</v>
      </c>
      <c r="K1139" s="226">
        <v>45713</v>
      </c>
      <c r="L1139" s="165"/>
      <c r="M1139" s="222">
        <v>461</v>
      </c>
      <c r="N1139" s="2" t="str">
        <f t="shared" ca="1" si="35"/>
        <v>CLOSED</v>
      </c>
    </row>
    <row r="1140" spans="1:14" ht="18.75">
      <c r="A1140" s="90" t="s">
        <v>311</v>
      </c>
      <c r="B1140" s="98" t="e">
        <f>VLOOKUP([2]!Table27[[#This Row],[Location 
(drop-down)]],'[2]List source'!D$2:E$59,2,FALSE)</f>
        <v>#VALUE!</v>
      </c>
      <c r="C1140" s="182" t="s">
        <v>3657</v>
      </c>
      <c r="D1140" s="377" t="e">
        <f t="shared" si="34"/>
        <v>#VALUE!</v>
      </c>
      <c r="E1140" s="227" t="s">
        <v>3658</v>
      </c>
      <c r="F1140" s="165" t="e" cm="1">
        <f t="array" aca="1" ref="F1140" ca="1">MID(LEFT(#REF!, INDEX(_xlfn._xlws.FILTER(ROW(INDIRECT("1:" &amp; LEN(#REF!))), (48 &lt;= CODE(MID(#REF!, ROW(INDIRECT("1:" &amp; LEN(#REF!))), 1))) * (CODE(MID(#REF!, ROW(INDIRECT("1:" &amp; LEN(#REF!))), 1)) &lt;= 57)), 1) - 1), FIND(":",#REF!) + 2, LEN(#REF!))</f>
        <v>#REF!</v>
      </c>
      <c r="G1140" s="227" t="e">
        <f>MID(LEFT(#REF!, FIND(",",#REF!) - 1), FIND("{token}", SUBSTITUTE(#REF!, " ", "{token}", 2)) + 1, LEN(#REF!))</f>
        <v>#REF!</v>
      </c>
      <c r="H1140" s="165">
        <v>-9.8800000000000008</v>
      </c>
      <c r="I1140" s="230">
        <v>45510</v>
      </c>
      <c r="J1140" s="342" t="s">
        <v>310</v>
      </c>
      <c r="K1140" s="221">
        <v>45713</v>
      </c>
      <c r="L1140" s="165"/>
      <c r="M1140" s="222">
        <v>717</v>
      </c>
      <c r="N1140" s="2" t="str">
        <f t="shared" ca="1" si="35"/>
        <v>CLOSED</v>
      </c>
    </row>
    <row r="1141" spans="1:14" ht="30">
      <c r="A1141" s="64" t="s">
        <v>73</v>
      </c>
      <c r="B1141" s="98" t="e">
        <f>VLOOKUP([2]!Table27[[#This Row],[Location 
(drop-down)]],'[2]List source'!D$2:E$59,2,FALSE)</f>
        <v>#VALUE!</v>
      </c>
      <c r="C1141" s="179" t="s">
        <v>3659</v>
      </c>
      <c r="D1141" s="378" t="e">
        <f t="shared" si="34"/>
        <v>#VALUE!</v>
      </c>
      <c r="E1141" s="227" t="s">
        <v>3660</v>
      </c>
      <c r="F1141" s="165" t="e" cm="1">
        <f t="array" aca="1" ref="F1141" ca="1">MID(LEFT(#REF!, INDEX(_xlfn._xlws.FILTER(ROW(INDIRECT("1:" &amp; LEN(#REF!))), (48 &lt;= CODE(MID(#REF!, ROW(INDIRECT("1:" &amp; LEN(#REF!))), 1))) * (CODE(MID(#REF!, ROW(INDIRECT("1:" &amp; LEN(#REF!))), 1)) &lt;= 57)), 1) - 1), FIND(":",#REF!) + 2, LEN(#REF!))</f>
        <v>#REF!</v>
      </c>
      <c r="G1141" s="227" t="e">
        <f>MID(LEFT(#REF!, FIND(",",#REF!) - 1), FIND("{token}", SUBSTITUTE(#REF!, " ", "{token}", 2)) + 1, LEN(#REF!))</f>
        <v>#REF!</v>
      </c>
      <c r="H1141" s="165">
        <v>5.48</v>
      </c>
      <c r="I1141" s="230">
        <v>45511</v>
      </c>
      <c r="J1141" s="230" t="s">
        <v>239</v>
      </c>
      <c r="K1141" s="226">
        <v>45713</v>
      </c>
      <c r="L1141" s="92"/>
      <c r="M1141" s="222">
        <v>744</v>
      </c>
      <c r="N1141" s="2" t="str">
        <f t="shared" ca="1" si="35"/>
        <v>CLOSED</v>
      </c>
    </row>
    <row r="1142" spans="1:14" ht="18.75">
      <c r="A1142" s="90" t="s">
        <v>311</v>
      </c>
      <c r="B1142" s="98" t="e">
        <f>VLOOKUP([2]!Table27[[#This Row],[Location 
(drop-down)]],'[2]List source'!D$2:E$59,2,FALSE)</f>
        <v>#VALUE!</v>
      </c>
      <c r="C1142" s="182" t="s">
        <v>3661</v>
      </c>
      <c r="D1142" s="393" t="e">
        <f t="shared" si="34"/>
        <v>#VALUE!</v>
      </c>
      <c r="E1142" s="227" t="s">
        <v>3662</v>
      </c>
      <c r="F1142" s="165" t="e" cm="1">
        <f t="array" aca="1" ref="F1142" ca="1">MID(LEFT(#REF!, INDEX(_xlfn._xlws.FILTER(ROW(INDIRECT("1:" &amp; LEN(#REF!))), (48 &lt;= CODE(MID(#REF!, ROW(INDIRECT("1:" &amp; LEN(#REF!))), 1))) * (CODE(MID(#REF!, ROW(INDIRECT("1:" &amp; LEN(#REF!))), 1)) &lt;= 57)), 1) - 1), FIND(":",#REF!) + 2, LEN(#REF!))</f>
        <v>#REF!</v>
      </c>
      <c r="G1142" s="227" t="e">
        <f>MID(LEFT(#REF!, FIND(",",#REF!) - 1), FIND("{token}", SUBSTITUTE(#REF!, " ", "{token}", 2)) + 1, LEN(#REF!))</f>
        <v>#REF!</v>
      </c>
      <c r="H1142" s="165">
        <v>2.58</v>
      </c>
      <c r="I1142" s="230">
        <v>45534</v>
      </c>
      <c r="J1142" s="342" t="s">
        <v>310</v>
      </c>
      <c r="K1142" s="221">
        <v>45713</v>
      </c>
      <c r="L1142" s="92"/>
      <c r="M1142" s="222">
        <v>864</v>
      </c>
      <c r="N1142" s="2" t="str">
        <f t="shared" ca="1" si="35"/>
        <v>CLOSED</v>
      </c>
    </row>
    <row r="1143" spans="1:14" ht="18.75">
      <c r="A1143" s="90" t="s">
        <v>311</v>
      </c>
      <c r="B1143" s="98" t="e">
        <f>VLOOKUP([2]!Table27[[#This Row],[Location 
(drop-down)]],'[2]List source'!D$2:E$59,2,FALSE)</f>
        <v>#VALUE!</v>
      </c>
      <c r="C1143" s="182" t="s">
        <v>3663</v>
      </c>
      <c r="D1143" s="393" t="e">
        <f t="shared" si="34"/>
        <v>#VALUE!</v>
      </c>
      <c r="E1143" s="227" t="s">
        <v>3664</v>
      </c>
      <c r="F1143" s="165" t="e" cm="1">
        <f t="array" aca="1" ref="F1143" ca="1">MID(LEFT(#REF!, INDEX(_xlfn._xlws.FILTER(ROW(INDIRECT("1:" &amp; LEN(#REF!))), (48 &lt;= CODE(MID(#REF!, ROW(INDIRECT("1:" &amp; LEN(#REF!))), 1))) * (CODE(MID(#REF!, ROW(INDIRECT("1:" &amp; LEN(#REF!))), 1)) &lt;= 57)), 1) - 1), FIND(":",#REF!) + 2, LEN(#REF!))</f>
        <v>#REF!</v>
      </c>
      <c r="G1143" s="227" t="e">
        <f>MID(LEFT(#REF!, FIND(",",#REF!) - 1), FIND("{token}", SUBSTITUTE(#REF!, " ", "{token}", 2)) + 1, LEN(#REF!))</f>
        <v>#REF!</v>
      </c>
      <c r="H1143" s="165">
        <v>7.95</v>
      </c>
      <c r="I1143" s="230">
        <v>45534</v>
      </c>
      <c r="J1143" s="342" t="s">
        <v>310</v>
      </c>
      <c r="K1143" s="221">
        <v>45713</v>
      </c>
      <c r="L1143" s="92"/>
      <c r="M1143" s="222">
        <v>866</v>
      </c>
      <c r="N1143" s="2" t="str">
        <f t="shared" ca="1" si="35"/>
        <v>CLOSED</v>
      </c>
    </row>
    <row r="1144" spans="1:14" ht="30">
      <c r="A1144" s="64" t="s">
        <v>73</v>
      </c>
      <c r="B1144" s="98" t="e">
        <f>VLOOKUP([2]!Table27[[#This Row],[Location 
(drop-down)]],'[2]List source'!D$2:E$59,2,FALSE)</f>
        <v>#VALUE!</v>
      </c>
      <c r="C1144" s="179" t="s">
        <v>3665</v>
      </c>
      <c r="D1144" s="379" t="e">
        <f t="shared" si="34"/>
        <v>#VALUE!</v>
      </c>
      <c r="E1144" s="227" t="s">
        <v>3666</v>
      </c>
      <c r="F1144" s="165" t="e" cm="1">
        <f t="array" aca="1" ref="F1144" ca="1">MID(LEFT(#REF!, INDEX(_xlfn._xlws.FILTER(ROW(INDIRECT("1:" &amp; LEN(#REF!))), (48 &lt;= CODE(MID(#REF!, ROW(INDIRECT("1:" &amp; LEN(#REF!))), 1))) * (CODE(MID(#REF!, ROW(INDIRECT("1:" &amp; LEN(#REF!))), 1)) &lt;= 57)), 1) - 1), FIND(":",#REF!) + 2, LEN(#REF!))</f>
        <v>#REF!</v>
      </c>
      <c r="G1144" s="227" t="e">
        <f>MID(LEFT(#REF!, FIND(",",#REF!) - 1), FIND("{token}", SUBSTITUTE(#REF!, " ", "{token}", 2)) + 1, LEN(#REF!))</f>
        <v>#REF!</v>
      </c>
      <c r="H1144" s="165" t="s">
        <v>3667</v>
      </c>
      <c r="I1144" s="230">
        <v>45534</v>
      </c>
      <c r="J1144" s="230" t="s">
        <v>239</v>
      </c>
      <c r="K1144" s="226">
        <v>45713</v>
      </c>
      <c r="L1144" s="275"/>
      <c r="M1144" s="222">
        <v>881</v>
      </c>
      <c r="N1144" s="2" t="str">
        <f t="shared" ca="1" si="35"/>
        <v>CLOSED</v>
      </c>
    </row>
    <row r="1145" spans="1:14" ht="18.75">
      <c r="A1145" s="90" t="s">
        <v>311</v>
      </c>
      <c r="B1145" s="98" t="e">
        <f>VLOOKUP([2]!Table27[[#This Row],[Location 
(drop-down)]],'[2]List source'!D$2:E$59,2,FALSE)</f>
        <v>#VALUE!</v>
      </c>
      <c r="C1145" s="182" t="s">
        <v>3668</v>
      </c>
      <c r="D1145" s="393" t="e">
        <f t="shared" si="34"/>
        <v>#VALUE!</v>
      </c>
      <c r="E1145" s="227" t="s">
        <v>3669</v>
      </c>
      <c r="F1145" s="165" t="e" cm="1">
        <f t="array" aca="1" ref="F1145" ca="1">MID(LEFT(#REF!, INDEX(_xlfn._xlws.FILTER(ROW(INDIRECT("1:" &amp; LEN(#REF!))), (48 &lt;= CODE(MID(#REF!, ROW(INDIRECT("1:" &amp; LEN(#REF!))), 1))) * (CODE(MID(#REF!, ROW(INDIRECT("1:" &amp; LEN(#REF!))), 1)) &lt;= 57)), 1) - 1), FIND(":",#REF!) + 2, LEN(#REF!))</f>
        <v>#REF!</v>
      </c>
      <c r="G1145" s="227" t="e">
        <f>MID(LEFT(#REF!, FIND(",",#REF!) - 1), FIND("{token}", SUBSTITUTE(#REF!, " ", "{token}", 2)) + 1, LEN(#REF!))</f>
        <v>#REF!</v>
      </c>
      <c r="H1145" s="165">
        <v>7.67</v>
      </c>
      <c r="I1145" s="230">
        <v>45540</v>
      </c>
      <c r="J1145" s="342" t="s">
        <v>310</v>
      </c>
      <c r="K1145" s="221">
        <v>45713</v>
      </c>
      <c r="L1145" s="275"/>
      <c r="M1145" s="222">
        <v>910</v>
      </c>
      <c r="N1145" s="2" t="str">
        <f t="shared" ca="1" si="35"/>
        <v>CLOSED</v>
      </c>
    </row>
    <row r="1146" spans="1:14" ht="18.75">
      <c r="A1146" s="187" t="s">
        <v>311</v>
      </c>
      <c r="B1146" s="98" t="e">
        <f>VLOOKUP([2]!Table27[[#This Row],[Location 
(drop-down)]],'[2]List source'!D$2:E$59,2,FALSE)</f>
        <v>#VALUE!</v>
      </c>
      <c r="C1146" s="182" t="s">
        <v>3670</v>
      </c>
      <c r="D1146" s="393" t="e">
        <f t="shared" si="34"/>
        <v>#VALUE!</v>
      </c>
      <c r="E1146" s="227" t="s">
        <v>3671</v>
      </c>
      <c r="F1146" s="165" t="e" cm="1">
        <f t="array" aca="1" ref="F1146" ca="1">MID(LEFT(#REF!, INDEX(_xlfn._xlws.FILTER(ROW(INDIRECT("1:" &amp; LEN(#REF!))), (48 &lt;= CODE(MID(#REF!, ROW(INDIRECT("1:" &amp; LEN(#REF!))), 1))) * (CODE(MID(#REF!, ROW(INDIRECT("1:" &amp; LEN(#REF!))), 1)) &lt;= 57)), 1) - 1), FIND(":",#REF!) + 2, LEN(#REF!))</f>
        <v>#REF!</v>
      </c>
      <c r="G1146" s="227" t="e">
        <f>MID(LEFT(#REF!, FIND(",",#REF!) - 1), FIND("{token}", SUBSTITUTE(#REF!, " ", "{token}", 2)) + 1, LEN(#REF!))</f>
        <v>#REF!</v>
      </c>
      <c r="H1146" s="236" t="s">
        <v>3672</v>
      </c>
      <c r="I1146" s="230">
        <v>45541</v>
      </c>
      <c r="J1146" s="342" t="s">
        <v>310</v>
      </c>
      <c r="K1146" s="221">
        <v>45713</v>
      </c>
      <c r="L1146" s="165"/>
      <c r="M1146" s="222">
        <v>940</v>
      </c>
      <c r="N1146" s="2" t="str">
        <f t="shared" ca="1" si="35"/>
        <v>CLOSED</v>
      </c>
    </row>
    <row r="1147" spans="1:14" ht="30">
      <c r="A1147" s="64" t="s">
        <v>73</v>
      </c>
      <c r="B1147" s="98" t="e">
        <f>VLOOKUP([2]!Table27[[#This Row],[Location 
(drop-down)]],'[2]List source'!D$2:E$59,2,FALSE)</f>
        <v>#VALUE!</v>
      </c>
      <c r="C1147" s="179" t="s">
        <v>3673</v>
      </c>
      <c r="D1147" s="379" t="e">
        <f t="shared" si="34"/>
        <v>#VALUE!</v>
      </c>
      <c r="E1147" s="227" t="s">
        <v>3674</v>
      </c>
      <c r="F1147" s="165" t="e" cm="1">
        <f t="array" aca="1" ref="F1147" ca="1">MID(LEFT(#REF!, INDEX(_xlfn._xlws.FILTER(ROW(INDIRECT("1:" &amp; LEN(#REF!))), (48 &lt;= CODE(MID(#REF!, ROW(INDIRECT("1:" &amp; LEN(#REF!))), 1))) * (CODE(MID(#REF!, ROW(INDIRECT("1:" &amp; LEN(#REF!))), 1)) &lt;= 57)), 1) - 1), FIND(":",#REF!) + 2, LEN(#REF!))</f>
        <v>#REF!</v>
      </c>
      <c r="G1147" s="227" t="e">
        <f>MID(LEFT(#REF!, FIND(",",#REF!) - 1), FIND("{token}", SUBSTITUTE(#REF!, " ", "{token}", 2)) + 1, LEN(#REF!))</f>
        <v>#REF!</v>
      </c>
      <c r="H1147" s="165">
        <v>-2.13</v>
      </c>
      <c r="I1147" s="230">
        <v>45541</v>
      </c>
      <c r="J1147" s="230" t="s">
        <v>239</v>
      </c>
      <c r="K1147" s="226">
        <v>45713</v>
      </c>
      <c r="L1147" s="165"/>
      <c r="M1147" s="222">
        <v>949</v>
      </c>
      <c r="N1147" s="2" t="str">
        <f t="shared" ca="1" si="35"/>
        <v>CLOSED</v>
      </c>
    </row>
    <row r="1148" spans="1:14" ht="18.75">
      <c r="A1148" s="90" t="s">
        <v>311</v>
      </c>
      <c r="B1148" s="98" t="e">
        <f>VLOOKUP([2]!Table27[[#This Row],[Location 
(drop-down)]],'[2]List source'!D$2:E$59,2,FALSE)</f>
        <v>#VALUE!</v>
      </c>
      <c r="C1148" s="182" t="s">
        <v>3675</v>
      </c>
      <c r="D1148" s="393" t="e">
        <f t="shared" si="34"/>
        <v>#VALUE!</v>
      </c>
      <c r="E1148" s="227" t="s">
        <v>3676</v>
      </c>
      <c r="F1148" s="165" t="e" cm="1">
        <f t="array" aca="1" ref="F1148" ca="1">MID(LEFT(#REF!, INDEX(_xlfn._xlws.FILTER(ROW(INDIRECT("1:" &amp; LEN(#REF!))), (48 &lt;= CODE(MID(#REF!, ROW(INDIRECT("1:" &amp; LEN(#REF!))), 1))) * (CODE(MID(#REF!, ROW(INDIRECT("1:" &amp; LEN(#REF!))), 1)) &lt;= 57)), 1) - 1), FIND(":",#REF!) + 2, LEN(#REF!))</f>
        <v>#REF!</v>
      </c>
      <c r="G1148" s="227" t="e">
        <f>MID(LEFT(#REF!, FIND(",",#REF!) - 1), FIND("{token}", SUBSTITUTE(#REF!, " ", "{token}", 2)) + 1, LEN(#REF!))</f>
        <v>#REF!</v>
      </c>
      <c r="H1148" s="236" t="s">
        <v>1683</v>
      </c>
      <c r="I1148" s="230">
        <v>45546</v>
      </c>
      <c r="J1148" s="342" t="s">
        <v>310</v>
      </c>
      <c r="K1148" s="221">
        <v>45713</v>
      </c>
      <c r="L1148" s="275"/>
      <c r="M1148" s="222">
        <v>964</v>
      </c>
      <c r="N1148" s="2" t="str">
        <f t="shared" ca="1" si="35"/>
        <v>CLOSED</v>
      </c>
    </row>
    <row r="1149" spans="1:14" ht="30">
      <c r="A1149" s="64" t="s">
        <v>30</v>
      </c>
      <c r="B1149" s="98" t="e">
        <f>VLOOKUP([2]!Table27[[#This Row],[Location 
(drop-down)]],'[2]List source'!D$2:E$59,2,FALSE)</f>
        <v>#VALUE!</v>
      </c>
      <c r="C1149" s="179" t="s">
        <v>3677</v>
      </c>
      <c r="D1149" s="2" t="e">
        <f t="shared" si="34"/>
        <v>#VALUE!</v>
      </c>
      <c r="E1149" s="227" t="s">
        <v>3678</v>
      </c>
      <c r="F1149" s="165" t="e" cm="1">
        <f t="array" aca="1" ref="F1149" ca="1">MID(LEFT(#REF!, INDEX(_xlfn._xlws.FILTER(ROW(INDIRECT("1:" &amp; LEN(#REF!))), (48 &lt;= CODE(MID(#REF!, ROW(INDIRECT("1:" &amp; LEN(#REF!))), 1))) * (CODE(MID(#REF!, ROW(INDIRECT("1:" &amp; LEN(#REF!))), 1)) &lt;= 57)), 1) - 1), FIND(":",#REF!) + 2, LEN(#REF!))</f>
        <v>#REF!</v>
      </c>
      <c r="G1149" s="227" t="e">
        <f>MID(LEFT(#REF!, FIND(",",#REF!) - 1), FIND("{token}", SUBSTITUTE(#REF!, " ", "{token}", 2)) + 1, LEN(#REF!))</f>
        <v>#REF!</v>
      </c>
      <c r="H1149" s="236" t="s">
        <v>3679</v>
      </c>
      <c r="I1149" s="230">
        <v>45656</v>
      </c>
      <c r="J1149" s="230" t="s">
        <v>111</v>
      </c>
      <c r="K1149" s="226">
        <v>45713</v>
      </c>
      <c r="L1149" s="275"/>
      <c r="M1149" s="222">
        <v>1284</v>
      </c>
      <c r="N1149" s="2" t="str">
        <f t="shared" ca="1" si="35"/>
        <v>CLOSED</v>
      </c>
    </row>
    <row r="1150" spans="1:14" ht="18.75">
      <c r="A1150" s="186" t="s">
        <v>311</v>
      </c>
      <c r="B1150" s="98" t="e">
        <f>VLOOKUP([2]!Table27[[#This Row],[Location 
(drop-down)]],'[2]List source'!D$2:E$59,2,FALSE)</f>
        <v>#VALUE!</v>
      </c>
      <c r="C1150" s="179" t="s">
        <v>3680</v>
      </c>
      <c r="D1150" s="379" t="e">
        <f t="shared" si="34"/>
        <v>#VALUE!</v>
      </c>
      <c r="E1150" s="227" t="s">
        <v>3681</v>
      </c>
      <c r="F1150" s="165" t="e" cm="1">
        <f t="array" aca="1" ref="F1150" ca="1">MID(LEFT(#REF!, INDEX(_xlfn._xlws.FILTER(ROW(INDIRECT("1:" &amp; LEN(#REF!))), (48 &lt;= CODE(MID(#REF!, ROW(INDIRECT("1:" &amp; LEN(#REF!))), 1))) * (CODE(MID(#REF!, ROW(INDIRECT("1:" &amp; LEN(#REF!))), 1)) &lt;= 57)), 1) - 1), FIND(":",#REF!) + 2, LEN(#REF!))</f>
        <v>#REF!</v>
      </c>
      <c r="G1150" s="227" t="e">
        <f>MID(LEFT(#REF!, FIND(",",#REF!) - 1), FIND("{token}", SUBSTITUTE(#REF!, " ", "{token}", 2)) + 1, LEN(#REF!))</f>
        <v>#REF!</v>
      </c>
      <c r="H1150" s="165">
        <v>2.8</v>
      </c>
      <c r="I1150" s="230">
        <v>45541</v>
      </c>
      <c r="J1150" s="230" t="s">
        <v>34</v>
      </c>
      <c r="K1150" s="226">
        <v>45714</v>
      </c>
      <c r="L1150" s="165" t="s">
        <v>3682</v>
      </c>
      <c r="M1150" s="222">
        <v>941</v>
      </c>
      <c r="N1150" s="2" t="str">
        <f t="shared" ca="1" si="35"/>
        <v>CLOSED</v>
      </c>
    </row>
    <row r="1151" spans="1:14" ht="18.75">
      <c r="A1151" s="90" t="s">
        <v>311</v>
      </c>
      <c r="B1151" s="98" t="e">
        <f>VLOOKUP([2]!Table27[[#This Row],[Location 
(drop-down)]],'[2]List source'!D$2:E$59,2,FALSE)</f>
        <v>#VALUE!</v>
      </c>
      <c r="C1151" s="182" t="s">
        <v>3683</v>
      </c>
      <c r="D1151" s="393" t="e">
        <f t="shared" si="34"/>
        <v>#VALUE!</v>
      </c>
      <c r="E1151" s="227" t="s">
        <v>3684</v>
      </c>
      <c r="F1151" s="165" t="e" cm="1">
        <f t="array" aca="1" ref="F1151" ca="1">MID(LEFT(#REF!, INDEX(_xlfn._xlws.FILTER(ROW(INDIRECT("1:" &amp; LEN(#REF!))), (48 &lt;= CODE(MID(#REF!, ROW(INDIRECT("1:" &amp; LEN(#REF!))), 1))) * (CODE(MID(#REF!, ROW(INDIRECT("1:" &amp; LEN(#REF!))), 1)) &lt;= 57)), 1) - 1), FIND(":",#REF!) + 2, LEN(#REF!))</f>
        <v>#REF!</v>
      </c>
      <c r="G1151" s="227" t="e">
        <f>MID(LEFT(#REF!, FIND(",",#REF!) - 1), FIND("{token}", SUBSTITUTE(#REF!, " ", "{token}", 2)) + 1, LEN(#REF!))</f>
        <v>#REF!</v>
      </c>
      <c r="H1151" s="165">
        <v>3.22</v>
      </c>
      <c r="I1151" s="230">
        <v>45546</v>
      </c>
      <c r="J1151" s="342" t="s">
        <v>310</v>
      </c>
      <c r="K1151" s="221">
        <v>45714</v>
      </c>
      <c r="L1151" s="275"/>
      <c r="M1151" s="222">
        <v>965</v>
      </c>
      <c r="N1151" s="2" t="str">
        <f t="shared" ca="1" si="35"/>
        <v>CLOSED</v>
      </c>
    </row>
    <row r="1152" spans="1:14" ht="15">
      <c r="A1152" s="90" t="s">
        <v>311</v>
      </c>
      <c r="B1152" s="98" t="e">
        <f>VLOOKUP([2]!Table27[[#This Row],[Location 
(drop-down)]],'[2]List source'!D$2:E$59,2,FALSE)</f>
        <v>#VALUE!</v>
      </c>
      <c r="C1152" s="182" t="s">
        <v>3685</v>
      </c>
      <c r="D1152" s="392" t="e">
        <f t="shared" si="34"/>
        <v>#VALUE!</v>
      </c>
      <c r="E1152" s="227" t="s">
        <v>3686</v>
      </c>
      <c r="F1152" s="165" t="e" cm="1">
        <f t="array" aca="1" ref="F1152" ca="1">MID(LEFT(#REF!, INDEX(_xlfn._xlws.FILTER(ROW(INDIRECT("1:" &amp; LEN(#REF!))), (48 &lt;= CODE(MID(#REF!, ROW(INDIRECT("1:" &amp; LEN(#REF!))), 1))) * (CODE(MID(#REF!, ROW(INDIRECT("1:" &amp; LEN(#REF!))), 1)) &lt;= 57)), 1) - 1), FIND(":",#REF!) + 2, LEN(#REF!))</f>
        <v>#REF!</v>
      </c>
      <c r="G1152" s="227" t="e">
        <f>MID(LEFT(#REF!, FIND(",",#REF!) - 1), FIND("{token}", SUBSTITUTE(#REF!, " ", "{token}", 2)) + 1, LEN(#REF!))</f>
        <v>#REF!</v>
      </c>
      <c r="H1152" s="165">
        <v>4.41</v>
      </c>
      <c r="I1152" s="230">
        <v>45656</v>
      </c>
      <c r="J1152" s="342" t="s">
        <v>310</v>
      </c>
      <c r="K1152" s="221">
        <v>45714</v>
      </c>
      <c r="L1152" s="275"/>
      <c r="M1152" s="222">
        <v>1272</v>
      </c>
      <c r="N1152" s="2" t="str">
        <f t="shared" ca="1" si="35"/>
        <v>CLOSED</v>
      </c>
    </row>
    <row r="1153" spans="1:14" ht="15">
      <c r="A1153" s="90" t="s">
        <v>311</v>
      </c>
      <c r="B1153" s="98" t="e">
        <f>VLOOKUP([2]!Table27[[#This Row],[Location 
(drop-down)]],'[2]List source'!D$2:E$59,2,FALSE)</f>
        <v>#VALUE!</v>
      </c>
      <c r="C1153" s="182" t="s">
        <v>3687</v>
      </c>
      <c r="D1153" s="392" t="e">
        <f t="shared" si="34"/>
        <v>#VALUE!</v>
      </c>
      <c r="E1153" s="227" t="s">
        <v>3688</v>
      </c>
      <c r="F1153" s="165" t="e" cm="1">
        <f t="array" aca="1" ref="F1153" ca="1">MID(LEFT(#REF!, INDEX(_xlfn._xlws.FILTER(ROW(INDIRECT("1:" &amp; LEN(#REF!))), (48 &lt;= CODE(MID(#REF!, ROW(INDIRECT("1:" &amp; LEN(#REF!))), 1))) * (CODE(MID(#REF!, ROW(INDIRECT("1:" &amp; LEN(#REF!))), 1)) &lt;= 57)), 1) - 1), FIND(":",#REF!) + 2, LEN(#REF!))</f>
        <v>#REF!</v>
      </c>
      <c r="G1153" s="227" t="e">
        <f>MID(LEFT(#REF!, FIND(",",#REF!) - 1), FIND("{token}", SUBSTITUTE(#REF!, " ", "{token}", 2)) + 1, LEN(#REF!))</f>
        <v>#REF!</v>
      </c>
      <c r="H1153" s="165">
        <v>3.05</v>
      </c>
      <c r="I1153" s="230">
        <v>45656</v>
      </c>
      <c r="J1153" s="342" t="s">
        <v>310</v>
      </c>
      <c r="K1153" s="221">
        <v>45714</v>
      </c>
      <c r="L1153" s="165"/>
      <c r="M1153" s="222">
        <v>1273</v>
      </c>
      <c r="N1153" s="2" t="str">
        <f t="shared" ca="1" si="35"/>
        <v>CLOSED</v>
      </c>
    </row>
    <row r="1154" spans="1:14" ht="15">
      <c r="A1154" s="90" t="s">
        <v>311</v>
      </c>
      <c r="B1154" s="98" t="e">
        <f>VLOOKUP([2]!Table27[[#This Row],[Location 
(drop-down)]],'[2]List source'!D$2:E$59,2,FALSE)</f>
        <v>#VALUE!</v>
      </c>
      <c r="C1154" s="182" t="s">
        <v>3689</v>
      </c>
      <c r="D1154" s="392" t="e">
        <f t="shared" ref="D1154:D1217" si="36">"PTO" &amp; C1154 &amp; "-" &amp; B1154 &amp; "-" &amp; "23"</f>
        <v>#VALUE!</v>
      </c>
      <c r="E1154" s="227" t="s">
        <v>3690</v>
      </c>
      <c r="F1154" s="165" t="e" cm="1">
        <f t="array" aca="1" ref="F1154" ca="1">MID(LEFT(#REF!, INDEX(_xlfn._xlws.FILTER(ROW(INDIRECT("1:" &amp; LEN(#REF!))), (48 &lt;= CODE(MID(#REF!, ROW(INDIRECT("1:" &amp; LEN(#REF!))), 1))) * (CODE(MID(#REF!, ROW(INDIRECT("1:" &amp; LEN(#REF!))), 1)) &lt;= 57)), 1) - 1), FIND(":",#REF!) + 2, LEN(#REF!))</f>
        <v>#REF!</v>
      </c>
      <c r="G1154" s="227" t="e">
        <f>MID(LEFT(#REF!, FIND(",",#REF!) - 1), FIND("{token}", SUBSTITUTE(#REF!, " ", "{token}", 2)) + 1, LEN(#REF!))</f>
        <v>#REF!</v>
      </c>
      <c r="H1154" s="236" t="s">
        <v>1794</v>
      </c>
      <c r="I1154" s="230">
        <v>45656</v>
      </c>
      <c r="J1154" s="342" t="s">
        <v>34</v>
      </c>
      <c r="K1154" s="221">
        <v>45714</v>
      </c>
      <c r="L1154" s="165" t="s">
        <v>1505</v>
      </c>
      <c r="M1154" s="222">
        <v>1290</v>
      </c>
      <c r="N1154" s="2" t="str">
        <f t="shared" ca="1" si="35"/>
        <v>CLOSED</v>
      </c>
    </row>
    <row r="1155" spans="1:14" ht="15">
      <c r="A1155" s="90" t="s">
        <v>311</v>
      </c>
      <c r="B1155" s="98" t="e">
        <f>VLOOKUP([2]!Table27[[#This Row],[Location 
(drop-down)]],'[2]List source'!D$2:E$59,2,FALSE)</f>
        <v>#VALUE!</v>
      </c>
      <c r="C1155" s="182" t="s">
        <v>3691</v>
      </c>
      <c r="D1155" s="392" t="e">
        <f t="shared" si="36"/>
        <v>#VALUE!</v>
      </c>
      <c r="E1155" s="227" t="s">
        <v>3692</v>
      </c>
      <c r="F1155" s="165" t="e" cm="1">
        <f t="array" aca="1" ref="F1155" ca="1">MID(LEFT(#REF!, INDEX(_xlfn._xlws.FILTER(ROW(INDIRECT("1:" &amp; LEN(#REF!))), (48 &lt;= CODE(MID(#REF!, ROW(INDIRECT("1:" &amp; LEN(#REF!))), 1))) * (CODE(MID(#REF!, ROW(INDIRECT("1:" &amp; LEN(#REF!))), 1)) &lt;= 57)), 1) - 1), FIND(":",#REF!) + 2, LEN(#REF!))</f>
        <v>#REF!</v>
      </c>
      <c r="G1155" s="227" t="e">
        <f>MID(LEFT(#REF!, FIND(",",#REF!) - 1), FIND("{token}", SUBSTITUTE(#REF!, " ", "{token}", 2)) + 1, LEN(#REF!))</f>
        <v>#REF!</v>
      </c>
      <c r="H1155" s="165">
        <v>146.16999999999999</v>
      </c>
      <c r="I1155" s="230">
        <v>45656</v>
      </c>
      <c r="J1155" s="342" t="s">
        <v>34</v>
      </c>
      <c r="K1155" s="221">
        <v>45714</v>
      </c>
      <c r="L1155" s="275" t="s">
        <v>1505</v>
      </c>
      <c r="M1155" s="222">
        <v>1291</v>
      </c>
      <c r="N1155" s="2" t="str">
        <f t="shared" ca="1" si="35"/>
        <v>CLOSED</v>
      </c>
    </row>
    <row r="1156" spans="1:14" ht="15">
      <c r="A1156" s="90" t="s">
        <v>311</v>
      </c>
      <c r="B1156" s="98" t="e">
        <f>VLOOKUP([2]!Table27[[#This Row],[Location 
(drop-down)]],'[2]List source'!D$2:E$59,2,FALSE)</f>
        <v>#VALUE!</v>
      </c>
      <c r="C1156" s="182" t="s">
        <v>3693</v>
      </c>
      <c r="D1156" s="392" t="e">
        <f t="shared" si="36"/>
        <v>#VALUE!</v>
      </c>
      <c r="E1156" s="227" t="s">
        <v>3694</v>
      </c>
      <c r="F1156" s="165" t="e" cm="1">
        <f t="array" aca="1" ref="F1156" ca="1">MID(LEFT(#REF!, INDEX(_xlfn._xlws.FILTER(ROW(INDIRECT("1:" &amp; LEN(#REF!))), (48 &lt;= CODE(MID(#REF!, ROW(INDIRECT("1:" &amp; LEN(#REF!))), 1))) * (CODE(MID(#REF!, ROW(INDIRECT("1:" &amp; LEN(#REF!))), 1)) &lt;= 57)), 1) - 1), FIND(":",#REF!) + 2, LEN(#REF!))</f>
        <v>#REF!</v>
      </c>
      <c r="G1156" s="227" t="e">
        <f>MID(LEFT(#REF!, FIND(",",#REF!) - 1), FIND("{token}", SUBSTITUTE(#REF!, " ", "{token}", 2)) + 1, LEN(#REF!))</f>
        <v>#REF!</v>
      </c>
      <c r="H1156" s="165">
        <v>-8.5399999999999991</v>
      </c>
      <c r="I1156" s="230">
        <v>45657</v>
      </c>
      <c r="J1156" s="342" t="s">
        <v>34</v>
      </c>
      <c r="K1156" s="221">
        <v>45714</v>
      </c>
      <c r="L1156" s="165"/>
      <c r="M1156" s="222">
        <v>1324</v>
      </c>
      <c r="N1156" s="2" t="str">
        <f t="shared" ca="1" si="35"/>
        <v>CLOSED</v>
      </c>
    </row>
    <row r="1157" spans="1:14" ht="15">
      <c r="A1157" s="90" t="s">
        <v>311</v>
      </c>
      <c r="B1157" s="98" t="e">
        <f>VLOOKUP([2]!Table27[[#This Row],[Location 
(drop-down)]],'[2]List source'!D$2:E$59,2,FALSE)</f>
        <v>#VALUE!</v>
      </c>
      <c r="C1157" s="182" t="s">
        <v>3695</v>
      </c>
      <c r="D1157" s="392" t="e">
        <f t="shared" si="36"/>
        <v>#VALUE!</v>
      </c>
      <c r="E1157" s="227" t="s">
        <v>3696</v>
      </c>
      <c r="F1157" s="165" t="e" cm="1">
        <f t="array" aca="1" ref="F1157" ca="1">MID(LEFT(#REF!, INDEX(_xlfn._xlws.FILTER(ROW(INDIRECT("1:" &amp; LEN(#REF!))), (48 &lt;= CODE(MID(#REF!, ROW(INDIRECT("1:" &amp; LEN(#REF!))), 1))) * (CODE(MID(#REF!, ROW(INDIRECT("1:" &amp; LEN(#REF!))), 1)) &lt;= 57)), 1) - 1), FIND(":",#REF!) + 2, LEN(#REF!))</f>
        <v>#REF!</v>
      </c>
      <c r="G1157" s="227" t="e">
        <f>MID(LEFT(#REF!, FIND(",",#REF!) - 1), FIND("{token}", SUBSTITUTE(#REF!, " ", "{token}", 2)) + 1, LEN(#REF!))</f>
        <v>#REF!</v>
      </c>
      <c r="H1157" s="165">
        <v>5.88</v>
      </c>
      <c r="I1157" s="230">
        <v>45657</v>
      </c>
      <c r="J1157" s="342" t="s">
        <v>310</v>
      </c>
      <c r="K1157" s="221">
        <v>45714</v>
      </c>
      <c r="L1157" s="275"/>
      <c r="M1157" s="222">
        <v>1325</v>
      </c>
      <c r="N1157" s="2" t="str">
        <f t="shared" ca="1" si="35"/>
        <v>CLOSED</v>
      </c>
    </row>
    <row r="1158" spans="1:14" ht="15">
      <c r="A1158" s="90" t="s">
        <v>311</v>
      </c>
      <c r="B1158" s="98" t="e">
        <f>VLOOKUP([2]!Table27[[#This Row],[Location 
(drop-down)]],'[2]List source'!D$2:E$59,2,FALSE)</f>
        <v>#VALUE!</v>
      </c>
      <c r="C1158" s="182" t="s">
        <v>3697</v>
      </c>
      <c r="D1158" s="392" t="e">
        <f t="shared" si="36"/>
        <v>#VALUE!</v>
      </c>
      <c r="E1158" s="227" t="s">
        <v>3698</v>
      </c>
      <c r="F1158" s="165" t="e" cm="1">
        <f t="array" aca="1" ref="F1158" ca="1">MID(LEFT(#REF!, INDEX(_xlfn._xlws.FILTER(ROW(INDIRECT("1:" &amp; LEN(#REF!))), (48 &lt;= CODE(MID(#REF!, ROW(INDIRECT("1:" &amp; LEN(#REF!))), 1))) * (CODE(MID(#REF!, ROW(INDIRECT("1:" &amp; LEN(#REF!))), 1)) &lt;= 57)), 1) - 1), FIND(":",#REF!) + 2, LEN(#REF!))</f>
        <v>#REF!</v>
      </c>
      <c r="G1158" s="227" t="e">
        <f>MID(LEFT(#REF!, FIND(",",#REF!) - 1), FIND("{token}", SUBSTITUTE(#REF!, " ", "{token}", 2)) + 1, LEN(#REF!))</f>
        <v>#REF!</v>
      </c>
      <c r="H1158" s="165">
        <v>3.17</v>
      </c>
      <c r="I1158" s="230">
        <v>45657</v>
      </c>
      <c r="J1158" s="342" t="s">
        <v>310</v>
      </c>
      <c r="K1158" s="221">
        <v>45714</v>
      </c>
      <c r="L1158" s="275"/>
      <c r="M1158" s="222">
        <v>1326</v>
      </c>
      <c r="N1158" s="2" t="str">
        <f t="shared" ca="1" si="35"/>
        <v>CLOSED</v>
      </c>
    </row>
    <row r="1159" spans="1:14" ht="30">
      <c r="A1159" s="90" t="s">
        <v>500</v>
      </c>
      <c r="B1159" s="98" t="e">
        <f>VLOOKUP([2]!Table27[[#This Row],[Location 
(drop-down)]],'[2]List source'!D$2:E$59,2,FALSE)</f>
        <v>#VALUE!</v>
      </c>
      <c r="C1159" s="182" t="s">
        <v>3699</v>
      </c>
      <c r="D1159" s="393" t="e">
        <f t="shared" si="36"/>
        <v>#VALUE!</v>
      </c>
      <c r="E1159" s="227" t="s">
        <v>3700</v>
      </c>
      <c r="F1159" s="165" t="e" cm="1">
        <f t="array" aca="1" ref="F1159" ca="1">MID(LEFT(#REF!, INDEX(_xlfn._xlws.FILTER(ROW(INDIRECT("1:" &amp; LEN(#REF!))), (48 &lt;= CODE(MID(#REF!, ROW(INDIRECT("1:" &amp; LEN(#REF!))), 1))) * (CODE(MID(#REF!, ROW(INDIRECT("1:" &amp; LEN(#REF!))), 1)) &lt;= 57)), 1) - 1), FIND(":",#REF!) + 2, LEN(#REF!))</f>
        <v>#REF!</v>
      </c>
      <c r="G1159" s="227" t="e">
        <f>MID(LEFT(#REF!, FIND(",",#REF!) - 1), FIND("{token}", SUBSTITUTE(#REF!, " ", "{token}", 2)) + 1, LEN(#REF!))</f>
        <v>#REF!</v>
      </c>
      <c r="H1159" s="165">
        <v>9.0299999999999994</v>
      </c>
      <c r="I1159" s="230">
        <v>45534</v>
      </c>
      <c r="J1159" s="342" t="s">
        <v>310</v>
      </c>
      <c r="K1159" s="221">
        <v>45715</v>
      </c>
      <c r="L1159" s="165"/>
      <c r="M1159" s="222">
        <v>887</v>
      </c>
      <c r="N1159" s="2" t="str">
        <f t="shared" ca="1" si="35"/>
        <v>CLOSED</v>
      </c>
    </row>
    <row r="1160" spans="1:14" ht="30">
      <c r="A1160" s="90" t="s">
        <v>1334</v>
      </c>
      <c r="B1160" s="98" t="e">
        <f>VLOOKUP([2]!Table27[[#This Row],[Location 
(drop-down)]],'[2]List source'!D$2:E$59,2,FALSE)</f>
        <v>#VALUE!</v>
      </c>
      <c r="C1160" s="182" t="s">
        <v>3701</v>
      </c>
      <c r="D1160" s="392" t="e">
        <f t="shared" si="36"/>
        <v>#VALUE!</v>
      </c>
      <c r="E1160" s="227" t="s">
        <v>3702</v>
      </c>
      <c r="F1160" s="165" t="s">
        <v>1769</v>
      </c>
      <c r="G1160" s="227" t="e">
        <f>MID(LEFT(#REF!, FIND(",",#REF!) - 1), FIND("{token}", SUBSTITUTE(#REF!, " ", "{token}", 2)) + 1, LEN(#REF!))</f>
        <v>#REF!</v>
      </c>
      <c r="H1160" s="165">
        <v>3.13</v>
      </c>
      <c r="I1160" s="230">
        <v>45653</v>
      </c>
      <c r="J1160" s="342" t="s">
        <v>310</v>
      </c>
      <c r="K1160" s="221">
        <v>45715</v>
      </c>
      <c r="L1160" s="165"/>
      <c r="M1160" s="222">
        <v>1243</v>
      </c>
      <c r="N1160" s="2" t="str">
        <f t="shared" ca="1" si="35"/>
        <v>CLOSED</v>
      </c>
    </row>
    <row r="1161" spans="1:14" ht="30">
      <c r="A1161" s="90" t="s">
        <v>500</v>
      </c>
      <c r="B1161" s="98" t="e">
        <f>VLOOKUP([2]!Table27[[#This Row],[Location 
(drop-down)]],'[2]List source'!D$2:E$59,2,FALSE)</f>
        <v>#VALUE!</v>
      </c>
      <c r="C1161" s="182" t="s">
        <v>3703</v>
      </c>
      <c r="D1161" s="392" t="e">
        <f t="shared" si="36"/>
        <v>#VALUE!</v>
      </c>
      <c r="E1161" s="227" t="s">
        <v>3704</v>
      </c>
      <c r="F1161" s="165" t="s">
        <v>1769</v>
      </c>
      <c r="G1161" s="227" t="e">
        <f>MID(LEFT(#REF!, FIND(",",#REF!) - 1), FIND("{token}", SUBSTITUTE(#REF!, " ", "{token}", 2)) + 1, LEN(#REF!))</f>
        <v>#REF!</v>
      </c>
      <c r="H1161" s="236" t="s">
        <v>3705</v>
      </c>
      <c r="I1161" s="230">
        <v>45653</v>
      </c>
      <c r="J1161" s="342" t="s">
        <v>310</v>
      </c>
      <c r="K1161" s="221">
        <v>45715</v>
      </c>
      <c r="L1161" s="165"/>
      <c r="M1161" s="222">
        <v>1245</v>
      </c>
      <c r="N1161" s="2" t="str">
        <f t="shared" ca="1" si="35"/>
        <v>CLOSED</v>
      </c>
    </row>
    <row r="1162" spans="1:14" ht="30">
      <c r="A1162" s="90" t="s">
        <v>500</v>
      </c>
      <c r="B1162" s="98" t="e">
        <f>VLOOKUP([2]!Table27[[#This Row],[Location 
(drop-down)]],'[2]List source'!D$2:E$59,2,FALSE)</f>
        <v>#VALUE!</v>
      </c>
      <c r="C1162" s="182" t="s">
        <v>3706</v>
      </c>
      <c r="D1162" s="392" t="e">
        <f t="shared" si="36"/>
        <v>#VALUE!</v>
      </c>
      <c r="E1162" s="227" t="s">
        <v>3707</v>
      </c>
      <c r="F1162" s="165" t="e" cm="1">
        <f t="array" aca="1" ref="F1162" ca="1">MID(LEFT(#REF!, INDEX(_xlfn._xlws.FILTER(ROW(INDIRECT("1:" &amp; LEN(#REF!))), (48 &lt;= CODE(MID(#REF!, ROW(INDIRECT("1:" &amp; LEN(#REF!))), 1))) * (CODE(MID(#REF!, ROW(INDIRECT("1:" &amp; LEN(#REF!))), 1)) &lt;= 57)), 1) - 1), FIND(":",#REF!) + 2, LEN(#REF!))</f>
        <v>#REF!</v>
      </c>
      <c r="G1162" s="227" t="e">
        <f>MID(LEFT(#REF!, FIND(",",#REF!) - 1), FIND("{token}", SUBSTITUTE(#REF!, " ", "{token}", 2)) + 1, LEN(#REF!))</f>
        <v>#REF!</v>
      </c>
      <c r="H1162" s="165" t="s">
        <v>1579</v>
      </c>
      <c r="I1162" s="230">
        <v>45656</v>
      </c>
      <c r="J1162" s="342" t="s">
        <v>310</v>
      </c>
      <c r="K1162" s="221">
        <v>45715</v>
      </c>
      <c r="L1162" s="165"/>
      <c r="M1162" s="222">
        <v>1296</v>
      </c>
      <c r="N1162" s="2" t="str">
        <f t="shared" ca="1" si="35"/>
        <v>CLOSED</v>
      </c>
    </row>
    <row r="1163" spans="1:14" ht="30">
      <c r="A1163" s="90" t="s">
        <v>1334</v>
      </c>
      <c r="B1163" s="98" t="e">
        <f>VLOOKUP([2]!Table27[[#This Row],[Location 
(drop-down)]],'[2]List source'!D$2:E$59,2,FALSE)</f>
        <v>#VALUE!</v>
      </c>
      <c r="C1163" s="182" t="s">
        <v>3708</v>
      </c>
      <c r="D1163" s="392" t="e">
        <f t="shared" si="36"/>
        <v>#VALUE!</v>
      </c>
      <c r="E1163" s="227" t="s">
        <v>3709</v>
      </c>
      <c r="F1163" s="165" t="s">
        <v>1769</v>
      </c>
      <c r="G1163" s="227" t="e">
        <f>MID(LEFT(#REF!, FIND(",",#REF!) - 1), FIND("{token}", SUBSTITUTE(#REF!, " ", "{token}", 2)) + 1, LEN(#REF!))</f>
        <v>#REF!</v>
      </c>
      <c r="H1163" s="165">
        <v>2.7</v>
      </c>
      <c r="I1163" s="230">
        <v>45657</v>
      </c>
      <c r="J1163" s="342" t="s">
        <v>310</v>
      </c>
      <c r="K1163" s="221">
        <v>45715</v>
      </c>
      <c r="L1163" s="165"/>
      <c r="M1163" s="222">
        <v>1391</v>
      </c>
      <c r="N1163" s="2" t="str">
        <f t="shared" ca="1" si="35"/>
        <v>CLOSED</v>
      </c>
    </row>
    <row r="1164" spans="1:14" ht="15">
      <c r="A1164" s="64" t="s">
        <v>344</v>
      </c>
      <c r="B1164" s="98" t="e">
        <f>VLOOKUP([2]!Table27[[#This Row],[Location 
(drop-down)]],'[2]List source'!D$2:E$59,2,FALSE)</f>
        <v>#VALUE!</v>
      </c>
      <c r="C1164" s="179" t="s">
        <v>3710</v>
      </c>
      <c r="D1164" s="2" t="e">
        <f t="shared" si="36"/>
        <v>#VALUE!</v>
      </c>
      <c r="E1164" s="2" t="s">
        <v>3711</v>
      </c>
      <c r="F1164" s="165" t="e" cm="1">
        <f t="array" aca="1" ref="F1164" ca="1">MID(LEFT(#REF!, INDEX(_xlfn._xlws.FILTER(ROW(INDIRECT("1:" &amp; LEN(#REF!))), (48 &lt;= CODE(MID(#REF!, ROW(INDIRECT("1:" &amp; LEN(#REF!))), 1))) * (CODE(MID(#REF!, ROW(INDIRECT("1:" &amp; LEN(#REF!))), 1)) &lt;= 57)), 1) - 1), FIND(":",#REF!) + 2, LEN(#REF!))</f>
        <v>#REF!</v>
      </c>
      <c r="G1164" s="227" t="e">
        <f>MID(LEFT(#REF!, FIND(",",#REF!) - 1), FIND("{token}", SUBSTITUTE(#REF!, " ", "{token}", 2)) + 1, LEN(#REF!))</f>
        <v>#REF!</v>
      </c>
      <c r="H1164" s="165">
        <v>3.01</v>
      </c>
      <c r="I1164" s="230">
        <v>45657</v>
      </c>
      <c r="J1164" s="230" t="s">
        <v>327</v>
      </c>
      <c r="K1164" s="226">
        <v>45720</v>
      </c>
      <c r="L1164" s="275"/>
      <c r="M1164" s="222">
        <v>1309</v>
      </c>
      <c r="N1164" s="2" t="str">
        <f t="shared" ca="1" si="35"/>
        <v>CLOSED</v>
      </c>
    </row>
    <row r="1165" spans="1:14" ht="30">
      <c r="A1165" s="86" t="s">
        <v>73</v>
      </c>
      <c r="B1165" s="98" t="e">
        <f>VLOOKUP([2]!Table27[[#This Row],[Location 
(drop-down)]],'[2]List source'!D$2:E$59,2,FALSE)</f>
        <v>#VALUE!</v>
      </c>
      <c r="C1165" s="180" t="s">
        <v>923</v>
      </c>
      <c r="D1165" s="396" t="e">
        <f t="shared" si="36"/>
        <v>#VALUE!</v>
      </c>
      <c r="E1165" s="231" t="s">
        <v>3712</v>
      </c>
      <c r="F1165" s="232" t="e" cm="1">
        <f t="array" aca="1" ref="F1165" ca="1">MID(LEFT(#REF!, INDEX(_xlfn._xlws.FILTER(ROW(INDIRECT("1:" &amp; LEN(#REF!))), (48 &lt;= CODE(MID(#REF!, ROW(INDIRECT("1:" &amp; LEN(#REF!))), 1))) * (CODE(MID(#REF!, ROW(INDIRECT("1:" &amp; LEN(#REF!))), 1)) &lt;= 57)), 1) - 1), FIND(":",#REF!) + 2, LEN(#REF!))</f>
        <v>#REF!</v>
      </c>
      <c r="G1165" s="231" t="e">
        <f>MID(LEFT(#REF!, FIND(",",#REF!) - 1), FIND("{token}", SUBSTITUTE(#REF!, " ", "{token}", 2)) + 1, LEN(#REF!))</f>
        <v>#REF!</v>
      </c>
      <c r="H1165" s="233" t="s">
        <v>3713</v>
      </c>
      <c r="I1165" s="234">
        <v>45418</v>
      </c>
      <c r="J1165" s="234" t="s">
        <v>239</v>
      </c>
      <c r="K1165" s="372">
        <v>45721</v>
      </c>
      <c r="L1165" s="275"/>
      <c r="M1165" s="222">
        <v>375</v>
      </c>
      <c r="N1165" s="2" t="str">
        <f t="shared" ca="1" si="35"/>
        <v>CLOSED</v>
      </c>
    </row>
    <row r="1166" spans="1:14" ht="30">
      <c r="A1166" s="64" t="s">
        <v>202</v>
      </c>
      <c r="B1166" s="98" t="e">
        <f>VLOOKUP([2]!Table27[[#This Row],[Location 
(drop-down)]],'[2]List source'!D$2:E$59,2,FALSE)</f>
        <v>#VALUE!</v>
      </c>
      <c r="C1166" s="179" t="s">
        <v>3714</v>
      </c>
      <c r="D1166" s="378" t="e">
        <f t="shared" si="36"/>
        <v>#VALUE!</v>
      </c>
      <c r="E1166" s="227" t="s">
        <v>2902</v>
      </c>
      <c r="F1166" s="165" t="e" cm="1">
        <f t="array" aca="1" ref="F1166" ca="1">MID(LEFT(#REF!, INDEX(_xlfn._xlws.FILTER(ROW(INDIRECT("1:" &amp; LEN(#REF!))), (48 &lt;= CODE(MID(#REF!, ROW(INDIRECT("1:" &amp; LEN(#REF!))), 1))) * (CODE(MID(#REF!, ROW(INDIRECT("1:" &amp; LEN(#REF!))), 1)) &lt;= 57)), 1) - 1), FIND(":",#REF!) + 2, LEN(#REF!))</f>
        <v>#REF!</v>
      </c>
      <c r="G1166" s="227" t="e">
        <f>MID(LEFT(#REF!, FIND(",",#REF!) - 1), FIND("{token}", SUBSTITUTE(#REF!, " ", "{token}", 2)) + 1, LEN(#REF!))</f>
        <v>#REF!</v>
      </c>
      <c r="H1166" s="236" t="s">
        <v>2903</v>
      </c>
      <c r="I1166" s="230">
        <v>45509</v>
      </c>
      <c r="J1166" s="230" t="s">
        <v>21</v>
      </c>
      <c r="K1166" s="226">
        <v>45721</v>
      </c>
      <c r="L1166" s="165"/>
      <c r="M1166" s="222">
        <v>694</v>
      </c>
      <c r="N1166" s="2" t="str">
        <f t="shared" ca="1" si="35"/>
        <v>CLOSED</v>
      </c>
    </row>
    <row r="1167" spans="1:14" ht="30">
      <c r="A1167" s="86" t="s">
        <v>485</v>
      </c>
      <c r="B1167" s="98" t="e">
        <f>VLOOKUP([2]!Table27[[#This Row],[Location 
(drop-down)]],'[2]List source'!D$2:E$59,2,FALSE)</f>
        <v>#VALUE!</v>
      </c>
      <c r="C1167" s="180" t="s">
        <v>3715</v>
      </c>
      <c r="D1167" s="397" t="e">
        <f t="shared" si="36"/>
        <v>#VALUE!</v>
      </c>
      <c r="E1167" s="231" t="s">
        <v>3716</v>
      </c>
      <c r="F1167" s="232" t="e" cm="1">
        <f t="array" aca="1" ref="F1167" ca="1">MID(LEFT(#REF!, INDEX(_xlfn._xlws.FILTER(ROW(INDIRECT("1:" &amp; LEN(#REF!))), (48 &lt;= CODE(MID(#REF!, ROW(INDIRECT("1:" &amp; LEN(#REF!))), 1))) * (CODE(MID(#REF!, ROW(INDIRECT("1:" &amp; LEN(#REF!))), 1)) &lt;= 57)), 1) - 1), FIND(":",#REF!) + 2, LEN(#REF!))</f>
        <v>#REF!</v>
      </c>
      <c r="G1167" s="231" t="e">
        <f>MID(LEFT(#REF!, FIND(",",#REF!) - 1), FIND("{token}", SUBSTITUTE(#REF!, " ", "{token}", 2)) + 1, LEN(#REF!))</f>
        <v>#REF!</v>
      </c>
      <c r="H1167" s="232">
        <v>7.54</v>
      </c>
      <c r="I1167" s="234">
        <v>45533</v>
      </c>
      <c r="J1167" s="234" t="s">
        <v>239</v>
      </c>
      <c r="K1167" s="372">
        <v>45721</v>
      </c>
      <c r="L1167" s="165"/>
      <c r="M1167" s="222">
        <v>830</v>
      </c>
      <c r="N1167" s="2" t="str">
        <f t="shared" ca="1" si="35"/>
        <v>CLOSED</v>
      </c>
    </row>
    <row r="1168" spans="1:14" ht="30">
      <c r="A1168" s="85" t="s">
        <v>73</v>
      </c>
      <c r="B1168" s="98" t="e">
        <f>VLOOKUP([2]!Table27[[#This Row],[Location 
(drop-down)]],'[2]List source'!D$2:E$59,2,FALSE)</f>
        <v>#VALUE!</v>
      </c>
      <c r="C1168" s="183" t="s">
        <v>3717</v>
      </c>
      <c r="D1168" s="382" t="e">
        <f t="shared" si="36"/>
        <v>#VALUE!</v>
      </c>
      <c r="E1168" s="334" t="s">
        <v>3718</v>
      </c>
      <c r="F1168" s="335" t="e" cm="1">
        <f t="array" aca="1" ref="F1168" ca="1">MID(LEFT(#REF!, INDEX(_xlfn._xlws.FILTER(ROW(INDIRECT("1:" &amp; LEN(#REF!))), (48 &lt;= CODE(MID(#REF!, ROW(INDIRECT("1:" &amp; LEN(#REF!))), 1))) * (CODE(MID(#REF!, ROW(INDIRECT("1:" &amp; LEN(#REF!))), 1)) &lt;= 57)), 1) - 1), FIND(":",#REF!) + 2, LEN(#REF!))</f>
        <v>#REF!</v>
      </c>
      <c r="G1168" s="334" t="e">
        <f>MID(LEFT(#REF!, FIND(",",#REF!) - 1), FIND("{token}", SUBSTITUTE(#REF!, " ", "{token}", 2)) + 1, LEN(#REF!))</f>
        <v>#REF!</v>
      </c>
      <c r="H1168" s="335" t="s">
        <v>3719</v>
      </c>
      <c r="I1168" s="337">
        <v>45656</v>
      </c>
      <c r="J1168" s="337" t="s">
        <v>239</v>
      </c>
      <c r="K1168" s="338">
        <v>45721</v>
      </c>
      <c r="L1168" s="275"/>
      <c r="M1168" s="222">
        <v>1277</v>
      </c>
      <c r="N1168" s="2" t="str">
        <f t="shared" ca="1" si="35"/>
        <v>CLOSED</v>
      </c>
    </row>
    <row r="1169" spans="1:14" ht="30">
      <c r="A1169" s="85" t="s">
        <v>73</v>
      </c>
      <c r="B1169" s="98" t="e">
        <f>VLOOKUP([2]!Table27[[#This Row],[Location 
(drop-down)]],'[2]List source'!D$2:E$59,2,FALSE)</f>
        <v>#VALUE!</v>
      </c>
      <c r="C1169" s="183" t="s">
        <v>3720</v>
      </c>
      <c r="D1169" s="382" t="e">
        <f t="shared" si="36"/>
        <v>#VALUE!</v>
      </c>
      <c r="E1169" s="334" t="s">
        <v>3721</v>
      </c>
      <c r="F1169" s="335" t="e" cm="1">
        <f t="array" aca="1" ref="F1169" ca="1">MID(LEFT(#REF!, INDEX(_xlfn._xlws.FILTER(ROW(INDIRECT("1:" &amp; LEN(#REF!))), (48 &lt;= CODE(MID(#REF!, ROW(INDIRECT("1:" &amp; LEN(#REF!))), 1))) * (CODE(MID(#REF!, ROW(INDIRECT("1:" &amp; LEN(#REF!))), 1)) &lt;= 57)), 1) - 1), FIND(":",#REF!) + 2, LEN(#REF!))</f>
        <v>#REF!</v>
      </c>
      <c r="G1169" s="334" t="e">
        <f>MID(LEFT(#REF!, FIND(",",#REF!) - 1), FIND("{token}", SUBSTITUTE(#REF!, " ", "{token}", 2)) + 1, LEN(#REF!))</f>
        <v>#REF!</v>
      </c>
      <c r="H1169" s="335" t="s">
        <v>1579</v>
      </c>
      <c r="I1169" s="337">
        <v>45656</v>
      </c>
      <c r="J1169" s="337" t="s">
        <v>239</v>
      </c>
      <c r="K1169" s="338">
        <v>45724</v>
      </c>
      <c r="L1169" s="275"/>
      <c r="M1169" s="222">
        <v>1293</v>
      </c>
      <c r="N1169" s="2" t="str">
        <f t="shared" ca="1" si="35"/>
        <v>CLOSED</v>
      </c>
    </row>
    <row r="1170" spans="1:14" ht="30">
      <c r="A1170" s="128" t="s">
        <v>39</v>
      </c>
      <c r="B1170" s="98" t="e">
        <f>VLOOKUP([2]!Table27[[#This Row],[Location 
(drop-down)]],'[2]List source'!D$2:E$59,2,FALSE)</f>
        <v>#VALUE!</v>
      </c>
      <c r="C1170" s="185" t="s">
        <v>3722</v>
      </c>
      <c r="D1170" s="380" t="e">
        <f t="shared" si="36"/>
        <v>#VALUE!</v>
      </c>
      <c r="E1170" s="339" t="s">
        <v>3723</v>
      </c>
      <c r="F1170" s="329" t="e" cm="1">
        <f t="array" aca="1" ref="F1170" ca="1">MID(LEFT(#REF!, INDEX(_xlfn._xlws.FILTER(ROW(INDIRECT("1:" &amp; LEN(#REF!))), (48 &lt;= CODE(MID(#REF!, ROW(INDIRECT("1:" &amp; LEN(#REF!))), 1))) * (CODE(MID(#REF!, ROW(INDIRECT("1:" &amp; LEN(#REF!))), 1)) &lt;= 57)), 1) - 1), FIND(":",#REF!) + 2, LEN(#REF!))</f>
        <v>#REF!</v>
      </c>
      <c r="G1170" s="339" t="e">
        <f>MID(LEFT(#REF!, FIND(",",#REF!) - 1), FIND("{token}", SUBSTITUTE(#REF!, " ", "{token}", 2)) + 1, LEN(#REF!))</f>
        <v>#REF!</v>
      </c>
      <c r="H1170" s="329">
        <v>8.67</v>
      </c>
      <c r="I1170" s="331">
        <v>45657</v>
      </c>
      <c r="J1170" s="331" t="s">
        <v>239</v>
      </c>
      <c r="K1170" s="332">
        <v>45724</v>
      </c>
      <c r="L1170" s="165"/>
      <c r="M1170" s="222">
        <v>1318</v>
      </c>
      <c r="N1170" s="2" t="str">
        <f t="shared" ca="1" si="35"/>
        <v>CLOSED</v>
      </c>
    </row>
    <row r="1171" spans="1:14" ht="30">
      <c r="A1171" s="128" t="s">
        <v>485</v>
      </c>
      <c r="B1171" s="98" t="e">
        <f>VLOOKUP([2]!Table27[[#This Row],[Location 
(drop-down)]],'[2]List source'!D$2:E$59,2,FALSE)</f>
        <v>#VALUE!</v>
      </c>
      <c r="C1171" s="185" t="s">
        <v>3724</v>
      </c>
      <c r="D1171" s="380" t="e">
        <f t="shared" si="36"/>
        <v>#VALUE!</v>
      </c>
      <c r="E1171" s="339" t="s">
        <v>3725</v>
      </c>
      <c r="F1171" s="329" t="e" cm="1">
        <f t="array" aca="1" ref="F1171" ca="1">MID(LEFT(#REF!, INDEX(_xlfn._xlws.FILTER(ROW(INDIRECT("1:" &amp; LEN(#REF!))), (48 &lt;= CODE(MID(#REF!, ROW(INDIRECT("1:" &amp; LEN(#REF!))), 1))) * (CODE(MID(#REF!, ROW(INDIRECT("1:" &amp; LEN(#REF!))), 1)) &lt;= 57)), 1) - 1), FIND(":",#REF!) + 2, LEN(#REF!))</f>
        <v>#REF!</v>
      </c>
      <c r="G1171" s="339" t="e">
        <f>MID(LEFT(#REF!, FIND(",",#REF!) - 1), FIND("{token}", SUBSTITUTE(#REF!, " ", "{token}", 2)) + 1, LEN(#REF!))</f>
        <v>#REF!</v>
      </c>
      <c r="H1171" s="398" t="s">
        <v>3726</v>
      </c>
      <c r="I1171" s="331">
        <v>45657</v>
      </c>
      <c r="J1171" s="331" t="s">
        <v>239</v>
      </c>
      <c r="K1171" s="332">
        <v>45724</v>
      </c>
      <c r="L1171" s="275"/>
      <c r="M1171" s="222">
        <v>1362</v>
      </c>
      <c r="N1171" s="2" t="str">
        <f t="shared" ca="1" si="35"/>
        <v>CLOSED</v>
      </c>
    </row>
    <row r="1172" spans="1:14" ht="15">
      <c r="A1172" s="64" t="s">
        <v>15</v>
      </c>
      <c r="B1172" s="98" t="e">
        <f>VLOOKUP([2]!Table27[[#This Row],[Location 
(drop-down)]],'[2]List source'!D$2:E$59,2,FALSE)</f>
        <v>#VALUE!</v>
      </c>
      <c r="C1172" s="179" t="s">
        <v>3727</v>
      </c>
      <c r="D1172" s="2" t="e">
        <f t="shared" si="36"/>
        <v>#VALUE!</v>
      </c>
      <c r="E1172" s="227" t="s">
        <v>3728</v>
      </c>
      <c r="F1172" s="165" t="s">
        <v>2279</v>
      </c>
      <c r="G1172" s="227" t="e">
        <f>MID(LEFT(#REF!, FIND(",",#REF!) - 1), FIND("{token}", SUBSTITUTE(#REF!, " ", "{token}", 2)) + 1, LEN(#REF!))</f>
        <v>#REF!</v>
      </c>
      <c r="H1172" s="165" t="s">
        <v>3729</v>
      </c>
      <c r="I1172" s="230">
        <v>45635</v>
      </c>
      <c r="J1172" s="230" t="s">
        <v>21</v>
      </c>
      <c r="K1172" s="226">
        <v>45725</v>
      </c>
      <c r="L1172" s="165"/>
      <c r="M1172" s="222">
        <v>1083</v>
      </c>
      <c r="N1172" s="2" t="str">
        <f t="shared" ca="1" si="35"/>
        <v>CLOSED</v>
      </c>
    </row>
    <row r="1173" spans="1:14" ht="15">
      <c r="A1173" s="64" t="s">
        <v>15</v>
      </c>
      <c r="B1173" s="98" t="e">
        <f>VLOOKUP([2]!Table27[[#This Row],[Location 
(drop-down)]],'[2]List source'!D$2:E$59,2,FALSE)</f>
        <v>#VALUE!</v>
      </c>
      <c r="C1173" s="179" t="s">
        <v>3730</v>
      </c>
      <c r="D1173" s="2" t="e">
        <f t="shared" si="36"/>
        <v>#VALUE!</v>
      </c>
      <c r="E1173" s="227" t="s">
        <v>3731</v>
      </c>
      <c r="F1173" s="165" t="s">
        <v>2160</v>
      </c>
      <c r="G1173" s="227" t="e">
        <f>MID(LEFT(#REF!, FIND(",",#REF!) - 1), FIND("{token}", SUBSTITUTE(#REF!, " ", "{token}", 2)) + 1, LEN(#REF!))</f>
        <v>#REF!</v>
      </c>
      <c r="H1173" s="165">
        <v>2.2599999999999998</v>
      </c>
      <c r="I1173" s="230">
        <v>45642</v>
      </c>
      <c r="J1173" s="230" t="s">
        <v>21</v>
      </c>
      <c r="K1173" s="226">
        <v>45725</v>
      </c>
      <c r="L1173" s="275"/>
      <c r="M1173" s="222">
        <v>1127</v>
      </c>
      <c r="N1173" s="2" t="str">
        <f t="shared" ca="1" si="35"/>
        <v>CLOSED</v>
      </c>
    </row>
    <row r="1174" spans="1:14" ht="30">
      <c r="A1174" s="64" t="s">
        <v>485</v>
      </c>
      <c r="B1174" s="98" t="e">
        <f>VLOOKUP([2]!Table27[[#This Row],[Location 
(drop-down)]],'[2]List source'!D$2:E$59,2,FALSE)</f>
        <v>#VALUE!</v>
      </c>
      <c r="C1174" s="179" t="s">
        <v>3732</v>
      </c>
      <c r="D1174" s="2" t="e">
        <f t="shared" si="36"/>
        <v>#VALUE!</v>
      </c>
      <c r="E1174" s="227" t="s">
        <v>3733</v>
      </c>
      <c r="F1174" s="165" t="e" cm="1">
        <f t="array" aca="1" ref="F1174" ca="1">MID(LEFT(#REF!, INDEX(_xlfn._xlws.FILTER(ROW(INDIRECT("1:" &amp; LEN(#REF!))), (48 &lt;= CODE(MID(#REF!, ROW(INDIRECT("1:" &amp; LEN(#REF!))), 1))) * (CODE(MID(#REF!, ROW(INDIRECT("1:" &amp; LEN(#REF!))), 1)) &lt;= 57)), 1) - 1), FIND(":",#REF!) + 2, LEN(#REF!))</f>
        <v>#REF!</v>
      </c>
      <c r="G1174" s="227" t="e">
        <f>MID(LEFT(#REF!, FIND(",",#REF!) - 1), FIND("{token}", SUBSTITUTE(#REF!, " ", "{token}", 2)) + 1, LEN(#REF!))</f>
        <v>#REF!</v>
      </c>
      <c r="H1174" s="165">
        <v>5.1100000000000003</v>
      </c>
      <c r="I1174" s="230">
        <v>45657</v>
      </c>
      <c r="J1174" s="230" t="s">
        <v>327</v>
      </c>
      <c r="K1174" s="226">
        <v>45727</v>
      </c>
      <c r="L1174" s="165"/>
      <c r="M1174" s="222">
        <v>1363</v>
      </c>
      <c r="N1174" s="2" t="str">
        <f t="shared" ca="1" si="35"/>
        <v>CLOSED</v>
      </c>
    </row>
    <row r="1175" spans="1:14" ht="15">
      <c r="A1175" s="64" t="s">
        <v>53</v>
      </c>
      <c r="B1175" s="98" t="e">
        <f>VLOOKUP([2]!Table27[[#This Row],[Location 
(drop-down)]],'[2]List source'!D$2:E$59,2,FALSE)</f>
        <v>#VALUE!</v>
      </c>
      <c r="C1175" s="179" t="s">
        <v>3734</v>
      </c>
      <c r="D1175" s="2" t="e">
        <f t="shared" si="36"/>
        <v>#VALUE!</v>
      </c>
      <c r="E1175" s="227" t="s">
        <v>3735</v>
      </c>
      <c r="F1175" s="165" t="e" cm="1">
        <f t="array" aca="1" ref="F1175" ca="1">MID(LEFT(#REF!, INDEX(_xlfn._xlws.FILTER(ROW(INDIRECT("1:" &amp; LEN(#REF!))), (48 &lt;= CODE(MID(#REF!, ROW(INDIRECT("1:" &amp; LEN(#REF!))), 1))) * (CODE(MID(#REF!, ROW(INDIRECT("1:" &amp; LEN(#REF!))), 1)) &lt;= 57)), 1) - 1), FIND(":",#REF!) + 2, LEN(#REF!))</f>
        <v>#REF!</v>
      </c>
      <c r="G1175" s="227" t="e">
        <f>MID(LEFT(#REF!, FIND(",",#REF!) - 1), FIND("{token}", SUBSTITUTE(#REF!, " ", "{token}", 2)) + 1, LEN(#REF!))</f>
        <v>#REF!</v>
      </c>
      <c r="H1175" s="165" t="s">
        <v>3736</v>
      </c>
      <c r="I1175" s="230">
        <v>45593</v>
      </c>
      <c r="J1175" s="230" t="s">
        <v>2934</v>
      </c>
      <c r="K1175" s="226">
        <v>45728</v>
      </c>
      <c r="L1175" s="165" t="s">
        <v>1505</v>
      </c>
      <c r="M1175" s="222">
        <v>1050</v>
      </c>
      <c r="N1175" s="2" t="str">
        <f t="shared" ca="1" si="35"/>
        <v>CLOSED</v>
      </c>
    </row>
    <row r="1176" spans="1:14" ht="30">
      <c r="A1176" s="64" t="s">
        <v>119</v>
      </c>
      <c r="B1176" s="98" t="e">
        <f>VLOOKUP([2]!Table27[[#This Row],[Location 
(drop-down)]],'[2]List source'!D$2:E$59,2,FALSE)</f>
        <v>#VALUE!</v>
      </c>
      <c r="C1176" s="179" t="s">
        <v>3737</v>
      </c>
      <c r="D1176" s="2" t="e">
        <f t="shared" si="36"/>
        <v>#VALUE!</v>
      </c>
      <c r="E1176" s="227" t="s">
        <v>3738</v>
      </c>
      <c r="F1176" s="165" t="e" cm="1">
        <f t="array" aca="1" ref="F1176" ca="1">MID(LEFT(#REF!, INDEX(_xlfn._xlws.FILTER(ROW(INDIRECT("1:" &amp; LEN(#REF!))), (48 &lt;= CODE(MID(#REF!, ROW(INDIRECT("1:" &amp; LEN(#REF!))), 1))) * (CODE(MID(#REF!, ROW(INDIRECT("1:" &amp; LEN(#REF!))), 1)) &lt;= 57)), 1) - 1), FIND(":",#REF!) + 2, LEN(#REF!))</f>
        <v>#REF!</v>
      </c>
      <c r="G1176" s="227" t="e">
        <f>MID(LEFT(#REF!, FIND(",",#REF!) - 1), FIND("{token}", SUBSTITUTE(#REF!, " ", "{token}", 2)) + 1, LEN(#REF!))</f>
        <v>#REF!</v>
      </c>
      <c r="H1176" s="236" t="s">
        <v>3739</v>
      </c>
      <c r="I1176" s="230">
        <v>45657</v>
      </c>
      <c r="J1176" s="230" t="s">
        <v>111</v>
      </c>
      <c r="K1176" s="226">
        <v>45735</v>
      </c>
      <c r="L1176" s="165"/>
      <c r="M1176" s="222">
        <v>1343</v>
      </c>
      <c r="N1176" s="2" t="str">
        <f t="shared" ref="N1176:N1239" ca="1" si="37">IF(ISBLANK(K1176), TODAY()-(I1176), "CLOSED")</f>
        <v>CLOSED</v>
      </c>
    </row>
    <row r="1177" spans="1:14" ht="30">
      <c r="A1177" s="64" t="s">
        <v>30</v>
      </c>
      <c r="B1177" s="98" t="e">
        <f>VLOOKUP([2]!Table27[[#This Row],[Location 
(drop-down)]],'[2]List source'!D$2:E$59,2,FALSE)</f>
        <v>#VALUE!</v>
      </c>
      <c r="C1177" s="179" t="s">
        <v>3740</v>
      </c>
      <c r="D1177" s="2" t="e">
        <f t="shared" si="36"/>
        <v>#VALUE!</v>
      </c>
      <c r="E1177" s="227" t="s">
        <v>3741</v>
      </c>
      <c r="F1177" s="165" t="s">
        <v>1520</v>
      </c>
      <c r="G1177" s="227" t="e">
        <f>MID(LEFT(#REF!, FIND(",",#REF!) - 1), FIND("{token}", SUBSTITUTE(#REF!, " ", "{token}", 2)) + 1, LEN(#REF!))</f>
        <v>#REF!</v>
      </c>
      <c r="H1177" s="236" t="s">
        <v>3742</v>
      </c>
      <c r="I1177" s="230">
        <v>45649</v>
      </c>
      <c r="J1177" s="230" t="s">
        <v>111</v>
      </c>
      <c r="K1177" s="226">
        <v>45740</v>
      </c>
      <c r="L1177" s="275"/>
      <c r="M1177" s="222">
        <v>1212</v>
      </c>
      <c r="N1177" s="2" t="str">
        <f t="shared" ca="1" si="37"/>
        <v>CLOSED</v>
      </c>
    </row>
    <row r="1178" spans="1:14" ht="18.75">
      <c r="A1178" s="64" t="s">
        <v>314</v>
      </c>
      <c r="B1178" s="98" t="e">
        <f>VLOOKUP([2]!Table27[[#This Row],[Location 
(drop-down)]],'[2]List source'!D$2:E$59,2,FALSE)</f>
        <v>#VALUE!</v>
      </c>
      <c r="C1178" s="179" t="s">
        <v>3743</v>
      </c>
      <c r="D1178" s="379" t="e">
        <f t="shared" si="36"/>
        <v>#VALUE!</v>
      </c>
      <c r="E1178" s="227" t="s">
        <v>3744</v>
      </c>
      <c r="F1178" s="165" t="e" cm="1">
        <f t="array" aca="1" ref="F1178" ca="1">MID(LEFT(#REF!, INDEX(_xlfn._xlws.FILTER(ROW(INDIRECT("1:" &amp; LEN(#REF!))), (48 &lt;= CODE(MID(#REF!, ROW(INDIRECT("1:" &amp; LEN(#REF!))), 1))) * (CODE(MID(#REF!, ROW(INDIRECT("1:" &amp; LEN(#REF!))), 1)) &lt;= 57)), 1) - 1), FIND(":",#REF!) + 2, LEN(#REF!))</f>
        <v>#REF!</v>
      </c>
      <c r="G1178" s="227" t="e">
        <f>MID(LEFT(#REF!, FIND(",",#REF!) - 1), FIND("{token}", SUBSTITUTE(#REF!, " ", "{token}", 2)) + 1, LEN(#REF!))</f>
        <v>#REF!</v>
      </c>
      <c r="H1178" s="236" t="s">
        <v>1727</v>
      </c>
      <c r="I1178" s="230">
        <v>45534</v>
      </c>
      <c r="J1178" s="230" t="s">
        <v>47</v>
      </c>
      <c r="K1178" s="226">
        <v>45741</v>
      </c>
      <c r="L1178" s="275"/>
      <c r="M1178" s="222">
        <v>875</v>
      </c>
      <c r="N1178" s="2" t="str">
        <f t="shared" ca="1" si="37"/>
        <v>CLOSED</v>
      </c>
    </row>
    <row r="1179" spans="1:14" ht="15">
      <c r="A1179" s="64" t="s">
        <v>314</v>
      </c>
      <c r="B1179" s="98" t="e">
        <f>VLOOKUP([2]!Table27[[#This Row],[Location 
(drop-down)]],'[2]List source'!D$2:E$59,2,FALSE)</f>
        <v>#VALUE!</v>
      </c>
      <c r="C1179" s="179" t="s">
        <v>3745</v>
      </c>
      <c r="D1179" s="2" t="e">
        <f t="shared" si="36"/>
        <v>#VALUE!</v>
      </c>
      <c r="E1179" s="227" t="s">
        <v>3746</v>
      </c>
      <c r="F1179" s="165" t="s">
        <v>1524</v>
      </c>
      <c r="G1179" s="227" t="e">
        <f>MID(LEFT(#REF!, FIND(",",#REF!) - 1), FIND("{token}", SUBSTITUTE(#REF!, " ", "{token}", 2)) + 1, LEN(#REF!))</f>
        <v>#REF!</v>
      </c>
      <c r="H1179" s="165">
        <v>2.72</v>
      </c>
      <c r="I1179" s="230">
        <v>45657</v>
      </c>
      <c r="J1179" s="230" t="s">
        <v>47</v>
      </c>
      <c r="K1179" s="226">
        <v>45741</v>
      </c>
      <c r="L1179" s="275"/>
      <c r="M1179" s="222">
        <v>1384</v>
      </c>
      <c r="N1179" s="2" t="str">
        <f t="shared" ca="1" si="37"/>
        <v>CLOSED</v>
      </c>
    </row>
    <row r="1180" spans="1:14" ht="18.75">
      <c r="A1180" s="64" t="s">
        <v>462</v>
      </c>
      <c r="B1180" s="98" t="e">
        <f>VLOOKUP([2]!Table27[[#This Row],[Location 
(drop-down)]],'[2]List source'!D$2:E$59,2,FALSE)</f>
        <v>#VALUE!</v>
      </c>
      <c r="C1180" s="179" t="s">
        <v>3747</v>
      </c>
      <c r="D1180" s="378" t="e">
        <f t="shared" si="36"/>
        <v>#VALUE!</v>
      </c>
      <c r="E1180" s="227" t="s">
        <v>3748</v>
      </c>
      <c r="F1180" s="165" t="e" cm="1">
        <f t="array" aca="1" ref="F1180" ca="1">MID(LEFT(#REF!, INDEX(_xlfn._xlws.FILTER(ROW(INDIRECT("1:" &amp; LEN(#REF!))), (48 &lt;= CODE(MID(#REF!, ROW(INDIRECT("1:" &amp; LEN(#REF!))), 1))) * (CODE(MID(#REF!, ROW(INDIRECT("1:" &amp; LEN(#REF!))), 1)) &lt;= 57)), 1) - 1), FIND(":",#REF!) + 2, LEN(#REF!))</f>
        <v>#REF!</v>
      </c>
      <c r="G1180" s="227" t="e">
        <f>MID(LEFT(#REF!, FIND(",",#REF!) - 1), FIND("{token}", SUBSTITUTE(#REF!, " ", "{token}", 2)) + 1, LEN(#REF!))</f>
        <v>#REF!</v>
      </c>
      <c r="H1180" s="165">
        <v>2.27</v>
      </c>
      <c r="I1180" s="230">
        <v>45435</v>
      </c>
      <c r="J1180" s="230" t="s">
        <v>29</v>
      </c>
      <c r="K1180" s="226">
        <v>45742</v>
      </c>
      <c r="L1180" s="165"/>
      <c r="M1180" s="222">
        <v>546</v>
      </c>
      <c r="N1180" s="2" t="str">
        <f t="shared" ca="1" si="37"/>
        <v>CLOSED</v>
      </c>
    </row>
    <row r="1181" spans="1:14" ht="30">
      <c r="A1181" s="85" t="s">
        <v>485</v>
      </c>
      <c r="B1181" s="98" t="e">
        <f>VLOOKUP([2]!Table27[[#This Row],[Location 
(drop-down)]],'[2]List source'!D$2:E$59,2,FALSE)</f>
        <v>#VALUE!</v>
      </c>
      <c r="C1181" s="183" t="s">
        <v>3749</v>
      </c>
      <c r="D1181" s="390" t="e">
        <f t="shared" si="36"/>
        <v>#VALUE!</v>
      </c>
      <c r="E1181" s="334" t="s">
        <v>3750</v>
      </c>
      <c r="F1181" s="335" t="e" cm="1">
        <f t="array" aca="1" ref="F1181" ca="1">MID(LEFT(#REF!, INDEX(_xlfn._xlws.FILTER(ROW(INDIRECT("1:" &amp; LEN(#REF!))), (48 &lt;= CODE(MID(#REF!, ROW(INDIRECT("1:" &amp; LEN(#REF!))), 1))) * (CODE(MID(#REF!, ROW(INDIRECT("1:" &amp; LEN(#REF!))), 1)) &lt;= 57)), 1) - 1), FIND(":",#REF!) + 2, LEN(#REF!))</f>
        <v>#REF!</v>
      </c>
      <c r="G1181" s="334" t="e">
        <f>MID(LEFT(#REF!, FIND(",",#REF!) - 1), FIND("{token}", SUBSTITUTE(#REF!, " ", "{token}", 2)) + 1, LEN(#REF!))</f>
        <v>#REF!</v>
      </c>
      <c r="H1181" s="335">
        <v>2.78</v>
      </c>
      <c r="I1181" s="337">
        <v>45533</v>
      </c>
      <c r="J1181" s="337" t="s">
        <v>239</v>
      </c>
      <c r="K1181" s="338">
        <v>45742</v>
      </c>
      <c r="L1181" s="275"/>
      <c r="M1181" s="222">
        <v>831</v>
      </c>
      <c r="N1181" s="2" t="str">
        <f t="shared" ca="1" si="37"/>
        <v>CLOSED</v>
      </c>
    </row>
    <row r="1182" spans="1:14" ht="30">
      <c r="A1182" s="128" t="s">
        <v>485</v>
      </c>
      <c r="B1182" s="98" t="e">
        <f>VLOOKUP([2]!Table27[[#This Row],[Location 
(drop-down)]],'[2]List source'!D$2:E$59,2,FALSE)</f>
        <v>#VALUE!</v>
      </c>
      <c r="C1182" s="185" t="s">
        <v>3751</v>
      </c>
      <c r="D1182" s="399" t="e">
        <f t="shared" si="36"/>
        <v>#VALUE!</v>
      </c>
      <c r="E1182" s="339" t="s">
        <v>3752</v>
      </c>
      <c r="F1182" s="329" t="e" cm="1">
        <f t="array" aca="1" ref="F1182" ca="1">MID(LEFT(#REF!, INDEX(_xlfn._xlws.FILTER(ROW(INDIRECT("1:" &amp; LEN(#REF!))), (48 &lt;= CODE(MID(#REF!, ROW(INDIRECT("1:" &amp; LEN(#REF!))), 1))) * (CODE(MID(#REF!, ROW(INDIRECT("1:" &amp; LEN(#REF!))), 1)) &lt;= 57)), 1) - 1), FIND(":",#REF!) + 2, LEN(#REF!))</f>
        <v>#REF!</v>
      </c>
      <c r="G1182" s="339" t="e">
        <f>MID(LEFT(#REF!, FIND(",",#REF!) - 1), FIND("{token}", SUBSTITUTE(#REF!, " ", "{token}", 2)) + 1, LEN(#REF!))</f>
        <v>#REF!</v>
      </c>
      <c r="H1182" s="398" t="s">
        <v>1808</v>
      </c>
      <c r="I1182" s="331">
        <v>45533</v>
      </c>
      <c r="J1182" s="331" t="s">
        <v>239</v>
      </c>
      <c r="K1182" s="332">
        <v>45742</v>
      </c>
      <c r="L1182" s="165"/>
      <c r="M1182" s="222">
        <v>832</v>
      </c>
      <c r="N1182" s="2" t="str">
        <f t="shared" ca="1" si="37"/>
        <v>CLOSED</v>
      </c>
    </row>
    <row r="1183" spans="1:14" ht="15">
      <c r="A1183" s="64" t="s">
        <v>462</v>
      </c>
      <c r="B1183" s="98" t="e">
        <f>VLOOKUP([2]!Table27[[#This Row],[Location 
(drop-down)]],'[2]List source'!D$2:E$59,2,FALSE)</f>
        <v>#VALUE!</v>
      </c>
      <c r="C1183" s="179" t="s">
        <v>3753</v>
      </c>
      <c r="D1183" s="2" t="e">
        <f t="shared" si="36"/>
        <v>#VALUE!</v>
      </c>
      <c r="E1183" s="227" t="s">
        <v>3754</v>
      </c>
      <c r="F1183" s="165" t="e" cm="1">
        <f t="array" aca="1" ref="F1183" ca="1">MID(LEFT(#REF!, INDEX(_xlfn._xlws.FILTER(ROW(INDIRECT("1:" &amp; LEN(#REF!))), (48 &lt;= CODE(MID(#REF!, ROW(INDIRECT("1:" &amp; LEN(#REF!))), 1))) * (CODE(MID(#REF!, ROW(INDIRECT("1:" &amp; LEN(#REF!))), 1)) &lt;= 57)), 1) - 1), FIND(":",#REF!) + 2, LEN(#REF!))</f>
        <v>#REF!</v>
      </c>
      <c r="G1183" s="227" t="e">
        <f>MID(LEFT(#REF!, FIND(",",#REF!) - 1), FIND("{token}", SUBSTITUTE(#REF!, " ", "{token}", 2)) + 1, LEN(#REF!))</f>
        <v>#REF!</v>
      </c>
      <c r="H1183" s="165">
        <v>2.68</v>
      </c>
      <c r="I1183" s="230">
        <v>45643</v>
      </c>
      <c r="J1183" s="230" t="s">
        <v>29</v>
      </c>
      <c r="K1183" s="226">
        <v>45742</v>
      </c>
      <c r="L1183" s="275"/>
      <c r="M1183" s="222">
        <v>1140</v>
      </c>
      <c r="N1183" s="2" t="str">
        <f t="shared" ca="1" si="37"/>
        <v>CLOSED</v>
      </c>
    </row>
    <row r="1184" spans="1:14" ht="30">
      <c r="A1184" s="85" t="s">
        <v>39</v>
      </c>
      <c r="B1184" s="98" t="e">
        <f>VLOOKUP([2]!Table27[[#This Row],[Location 
(drop-down)]],'[2]List source'!D$2:E$59,2,FALSE)</f>
        <v>#VALUE!</v>
      </c>
      <c r="C1184" s="183" t="s">
        <v>3755</v>
      </c>
      <c r="D1184" s="382" t="e">
        <f t="shared" si="36"/>
        <v>#VALUE!</v>
      </c>
      <c r="E1184" s="334" t="s">
        <v>3756</v>
      </c>
      <c r="F1184" s="335" t="e" cm="1">
        <f t="array" aca="1" ref="F1184" ca="1">MID(LEFT(#REF!, INDEX(_xlfn._xlws.FILTER(ROW(INDIRECT("1:" &amp; LEN(#REF!))), (48 &lt;= CODE(MID(#REF!, ROW(INDIRECT("1:" &amp; LEN(#REF!))), 1))) * (CODE(MID(#REF!, ROW(INDIRECT("1:" &amp; LEN(#REF!))), 1)) &lt;= 57)), 1) - 1), FIND(":",#REF!) + 2, LEN(#REF!))</f>
        <v>#REF!</v>
      </c>
      <c r="G1184" s="334" t="e">
        <f>MID(LEFT(#REF!, FIND(",",#REF!) - 1), FIND("{token}", SUBSTITUTE(#REF!, " ", "{token}", 2)) + 1, LEN(#REF!))</f>
        <v>#REF!</v>
      </c>
      <c r="H1184" s="335">
        <v>7.66</v>
      </c>
      <c r="I1184" s="337">
        <v>45657</v>
      </c>
      <c r="J1184" s="337" t="s">
        <v>130</v>
      </c>
      <c r="K1184" s="338">
        <v>45742</v>
      </c>
      <c r="L1184" s="165"/>
      <c r="M1184" s="222">
        <v>1298</v>
      </c>
      <c r="N1184" s="2" t="str">
        <f t="shared" ca="1" si="37"/>
        <v>CLOSED</v>
      </c>
    </row>
    <row r="1185" spans="1:14" ht="30">
      <c r="A1185" s="64" t="s">
        <v>399</v>
      </c>
      <c r="B1185" s="98" t="e">
        <f>VLOOKUP([2]!Table27[[#This Row],[Location 
(drop-down)]],'[2]List source'!D$2:E$59,2,FALSE)</f>
        <v>#VALUE!</v>
      </c>
      <c r="C1185" s="179" t="s">
        <v>3757</v>
      </c>
      <c r="D1185" s="2" t="e">
        <f t="shared" si="36"/>
        <v>#VALUE!</v>
      </c>
      <c r="E1185" s="227" t="s">
        <v>3758</v>
      </c>
      <c r="F1185" s="165" t="e" cm="1">
        <f t="array" aca="1" ref="F1185" ca="1">MID(LEFT(#REF!, INDEX(_xlfn._xlws.FILTER(ROW(INDIRECT("1:" &amp; LEN(#REF!))), (48 &lt;= CODE(MID(#REF!, ROW(INDIRECT("1:" &amp; LEN(#REF!))), 1))) * (CODE(MID(#REF!, ROW(INDIRECT("1:" &amp; LEN(#REF!))), 1)) &lt;= 57)), 1) - 1), FIND(":",#REF!) + 2, LEN(#REF!))</f>
        <v>#REF!</v>
      </c>
      <c r="G1185" s="227" t="e">
        <f>MID(LEFT(#REF!, FIND(",",#REF!) - 1), FIND("{token}", SUBSTITUTE(#REF!, " ", "{token}", 2)) + 1, LEN(#REF!))</f>
        <v>#REF!</v>
      </c>
      <c r="H1185" s="165">
        <v>3.35</v>
      </c>
      <c r="I1185" s="230">
        <v>45657</v>
      </c>
      <c r="J1185" s="230" t="s">
        <v>21</v>
      </c>
      <c r="K1185" s="226">
        <v>45742</v>
      </c>
      <c r="L1185" s="275"/>
      <c r="M1185" s="222">
        <v>1375</v>
      </c>
      <c r="N1185" s="2" t="str">
        <f t="shared" ca="1" si="37"/>
        <v>CLOSED</v>
      </c>
    </row>
    <row r="1186" spans="1:14" ht="30">
      <c r="A1186" s="64" t="s">
        <v>125</v>
      </c>
      <c r="B1186" s="98" t="e">
        <f>VLOOKUP([2]!Table27[[#This Row],[Location 
(drop-down)]],'[2]List source'!D$2:E$59,2,FALSE)</f>
        <v>#VALUE!</v>
      </c>
      <c r="C1186" s="179" t="s">
        <v>3759</v>
      </c>
      <c r="D1186" s="2" t="e">
        <f t="shared" si="36"/>
        <v>#VALUE!</v>
      </c>
      <c r="E1186" s="227" t="s">
        <v>3760</v>
      </c>
      <c r="F1186" s="165" t="e" cm="1">
        <f t="array" aca="1" ref="F1186" ca="1">MID(LEFT(#REF!, INDEX(_xlfn._xlws.FILTER(ROW(INDIRECT("1:" &amp; LEN(#REF!))), (48 &lt;= CODE(MID(#REF!, ROW(INDIRECT("1:" &amp; LEN(#REF!))), 1))) * (CODE(MID(#REF!, ROW(INDIRECT("1:" &amp; LEN(#REF!))), 1)) &lt;= 57)), 1) - 1), FIND(":",#REF!) + 2, LEN(#REF!))</f>
        <v>#REF!</v>
      </c>
      <c r="G1186" s="227" t="e">
        <f>MID(LEFT(#REF!, FIND(",",#REF!) - 1), FIND("{token}", SUBSTITUTE(#REF!, " ", "{token}", 2)) + 1, LEN(#REF!))</f>
        <v>#REF!</v>
      </c>
      <c r="H1186" s="165" t="s">
        <v>3761</v>
      </c>
      <c r="I1186" s="230"/>
      <c r="J1186" s="230" t="s">
        <v>111</v>
      </c>
      <c r="K1186" s="226">
        <v>45743</v>
      </c>
      <c r="L1186" s="275"/>
      <c r="M1186" s="222">
        <v>1321</v>
      </c>
      <c r="N1186" s="2" t="str">
        <f t="shared" ca="1" si="37"/>
        <v>CLOSED</v>
      </c>
    </row>
    <row r="1187" spans="1:14" ht="30">
      <c r="A1187" s="64" t="s">
        <v>125</v>
      </c>
      <c r="B1187" s="98" t="e">
        <f>VLOOKUP([2]!Table27[[#This Row],[Location 
(drop-down)]],'[2]List source'!D$2:E$59,2,FALSE)</f>
        <v>#VALUE!</v>
      </c>
      <c r="C1187" s="179" t="s">
        <v>3762</v>
      </c>
      <c r="D1187" s="2" t="e">
        <f t="shared" si="36"/>
        <v>#VALUE!</v>
      </c>
      <c r="E1187" s="227" t="s">
        <v>3763</v>
      </c>
      <c r="F1187" s="165" t="e" cm="1">
        <f t="array" aca="1" ref="F1187" ca="1">MID(LEFT(#REF!, INDEX(_xlfn._xlws.FILTER(ROW(INDIRECT("1:" &amp; LEN(#REF!))), (48 &lt;= CODE(MID(#REF!, ROW(INDIRECT("1:" &amp; LEN(#REF!))), 1))) * (CODE(MID(#REF!, ROW(INDIRECT("1:" &amp; LEN(#REF!))), 1)) &lt;= 57)), 1) - 1), FIND(":",#REF!) + 2, LEN(#REF!))</f>
        <v>#REF!</v>
      </c>
      <c r="G1187" s="227" t="e">
        <f>MID(LEFT(#REF!, FIND(",",#REF!) - 1), FIND("{token}", SUBSTITUTE(#REF!, " ", "{token}", 2)) + 1, LEN(#REF!))</f>
        <v>#REF!</v>
      </c>
      <c r="H1187" s="165">
        <v>11.96</v>
      </c>
      <c r="I1187" s="230">
        <v>45657</v>
      </c>
      <c r="J1187" s="230" t="s">
        <v>111</v>
      </c>
      <c r="K1187" s="226">
        <v>45744</v>
      </c>
      <c r="L1187" s="275"/>
      <c r="M1187" s="222">
        <v>1341</v>
      </c>
      <c r="N1187" s="2" t="str">
        <f t="shared" ca="1" si="37"/>
        <v>CLOSED</v>
      </c>
    </row>
    <row r="1188" spans="1:14" ht="30">
      <c r="A1188" s="85" t="s">
        <v>73</v>
      </c>
      <c r="B1188" s="98" t="e">
        <f>VLOOKUP([2]!Table27[[#This Row],[Location 
(drop-down)]],'[2]List source'!D$2:E$59,2,FALSE)</f>
        <v>#VALUE!</v>
      </c>
      <c r="C1188" s="183" t="s">
        <v>265</v>
      </c>
      <c r="D1188" s="386" t="e">
        <f t="shared" si="36"/>
        <v>#VALUE!</v>
      </c>
      <c r="E1188" s="334" t="s">
        <v>3764</v>
      </c>
      <c r="F1188" s="335" t="s">
        <v>1520</v>
      </c>
      <c r="G1188" s="334" t="e">
        <f>MID(LEFT(#REF!, FIND(",",#REF!) - 1), FIND("{token}", SUBSTITUTE(#REF!, " ", "{token}", 2)) + 1, LEN(#REF!))</f>
        <v>#REF!</v>
      </c>
      <c r="H1188" s="336" t="s">
        <v>3765</v>
      </c>
      <c r="I1188" s="337">
        <v>45426</v>
      </c>
      <c r="J1188" s="337" t="s">
        <v>239</v>
      </c>
      <c r="K1188" s="338">
        <v>45748</v>
      </c>
      <c r="L1188" s="165"/>
      <c r="M1188" s="222">
        <v>462</v>
      </c>
      <c r="N1188" s="2" t="str">
        <f t="shared" ca="1" si="37"/>
        <v>CLOSED</v>
      </c>
    </row>
    <row r="1189" spans="1:14" ht="30">
      <c r="A1189" s="64" t="s">
        <v>39</v>
      </c>
      <c r="B1189" s="98" t="e">
        <f>VLOOKUP([2]!Table27[[#This Row],[Location 
(drop-down)]],'[2]List source'!D$2:E$59,2,FALSE)</f>
        <v>#VALUE!</v>
      </c>
      <c r="C1189" s="179" t="s">
        <v>3766</v>
      </c>
      <c r="D1189" s="378" t="e">
        <f t="shared" si="36"/>
        <v>#VALUE!</v>
      </c>
      <c r="E1189" s="227" t="s">
        <v>3767</v>
      </c>
      <c r="F1189" s="165" t="e" cm="1">
        <f t="array" aca="1" ref="F1189" ca="1">MID(LEFT(#REF!, INDEX(_xlfn._xlws.FILTER(ROW(INDIRECT("1:" &amp; LEN(#REF!))), (48 &lt;= CODE(MID(#REF!, ROW(INDIRECT("1:" &amp; LEN(#REF!))), 1))) * (CODE(MID(#REF!, ROW(INDIRECT("1:" &amp; LEN(#REF!))), 1)) &lt;= 57)), 1) - 1), FIND(":",#REF!) + 2, LEN(#REF!))</f>
        <v>#REF!</v>
      </c>
      <c r="G1189" s="227" t="e">
        <f>MID(LEFT(#REF!, FIND(",",#REF!) - 1), FIND("{token}", SUBSTITUTE(#REF!, " ", "{token}", 2)) + 1, LEN(#REF!))</f>
        <v>#REF!</v>
      </c>
      <c r="H1189" s="165">
        <v>2.84</v>
      </c>
      <c r="I1189" s="230">
        <v>45495</v>
      </c>
      <c r="J1189" s="230" t="s">
        <v>239</v>
      </c>
      <c r="K1189" s="226">
        <v>45748</v>
      </c>
      <c r="L1189" s="165"/>
      <c r="M1189" s="222">
        <v>663</v>
      </c>
      <c r="N1189" s="2" t="str">
        <f t="shared" ca="1" si="37"/>
        <v>CLOSED</v>
      </c>
    </row>
    <row r="1190" spans="1:14" ht="30">
      <c r="A1190" s="86" t="s">
        <v>73</v>
      </c>
      <c r="B1190" s="98" t="e">
        <f>VLOOKUP([2]!Table27[[#This Row],[Location 
(drop-down)]],'[2]List source'!D$2:E$59,2,FALSE)</f>
        <v>#VALUE!</v>
      </c>
      <c r="C1190" s="180" t="s">
        <v>3768</v>
      </c>
      <c r="D1190" s="391" t="e">
        <f t="shared" si="36"/>
        <v>#VALUE!</v>
      </c>
      <c r="E1190" s="231" t="s">
        <v>3769</v>
      </c>
      <c r="F1190" s="232" t="s">
        <v>1520</v>
      </c>
      <c r="G1190" s="231" t="e">
        <f>MID(LEFT(#REF!, FIND(",",#REF!) - 1), FIND("{token}", SUBSTITUTE(#REF!, " ", "{token}", 2)) + 1, LEN(#REF!))</f>
        <v>#REF!</v>
      </c>
      <c r="H1190" s="233" t="s">
        <v>3770</v>
      </c>
      <c r="I1190" s="234">
        <v>45582</v>
      </c>
      <c r="J1190" s="234" t="s">
        <v>239</v>
      </c>
      <c r="K1190" s="372">
        <v>45748</v>
      </c>
      <c r="L1190" s="275"/>
      <c r="M1190" s="222">
        <v>1012</v>
      </c>
      <c r="N1190" s="2" t="str">
        <f t="shared" ca="1" si="37"/>
        <v>CLOSED</v>
      </c>
    </row>
    <row r="1191" spans="1:14" ht="30">
      <c r="A1191" s="85" t="s">
        <v>73</v>
      </c>
      <c r="B1191" s="98" t="e">
        <f>VLOOKUP([2]!Table27[[#This Row],[Location 
(drop-down)]],'[2]List source'!D$2:E$59,2,FALSE)</f>
        <v>#VALUE!</v>
      </c>
      <c r="C1191" s="183" t="s">
        <v>3771</v>
      </c>
      <c r="D1191" s="382" t="e">
        <f t="shared" si="36"/>
        <v>#VALUE!</v>
      </c>
      <c r="E1191" s="334" t="s">
        <v>3772</v>
      </c>
      <c r="F1191" s="335" t="s">
        <v>1520</v>
      </c>
      <c r="G1191" s="334" t="e">
        <f>MID(LEFT(#REF!, FIND(",",#REF!) - 1), FIND("{token}", SUBSTITUTE(#REF!, " ", "{token}", 2)) + 1, LEN(#REF!))</f>
        <v>#REF!</v>
      </c>
      <c r="H1191" s="336" t="s">
        <v>3773</v>
      </c>
      <c r="I1191" s="337">
        <v>45652</v>
      </c>
      <c r="J1191" s="337" t="s">
        <v>239</v>
      </c>
      <c r="K1191" s="338">
        <v>45748</v>
      </c>
      <c r="L1191" s="335"/>
      <c r="M1191" s="222">
        <v>1232</v>
      </c>
      <c r="N1191" s="2" t="str">
        <f t="shared" ca="1" si="37"/>
        <v>CLOSED</v>
      </c>
    </row>
    <row r="1192" spans="1:14" ht="30">
      <c r="A1192" s="64" t="s">
        <v>73</v>
      </c>
      <c r="B1192" s="98" t="e">
        <f>VLOOKUP([2]!Table27[[#This Row],[Location 
(drop-down)]],'[2]List source'!D$2:E$59,2,FALSE)</f>
        <v>#VALUE!</v>
      </c>
      <c r="C1192" s="179" t="s">
        <v>3774</v>
      </c>
      <c r="D1192" s="2" t="e">
        <f t="shared" si="36"/>
        <v>#VALUE!</v>
      </c>
      <c r="E1192" s="227" t="s">
        <v>3775</v>
      </c>
      <c r="F1192" s="165" t="e" cm="1">
        <f t="array" aca="1" ref="F1192" ca="1">MID(LEFT(#REF!, INDEX(_xlfn._xlws.FILTER(ROW(INDIRECT("1:" &amp; LEN(#REF!))), (48 &lt;= CODE(MID(#REF!, ROW(INDIRECT("1:" &amp; LEN(#REF!))), 1))) * (CODE(MID(#REF!, ROW(INDIRECT("1:" &amp; LEN(#REF!))), 1)) &lt;= 57)), 1) - 1), FIND(":",#REF!) + 2, LEN(#REF!))</f>
        <v>#REF!</v>
      </c>
      <c r="G1192" s="227" t="e">
        <f>MID(LEFT(#REF!, FIND(",",#REF!) - 1), FIND("{token}", SUBSTITUTE(#REF!, " ", "{token}", 2)) + 1, LEN(#REF!))</f>
        <v>#REF!</v>
      </c>
      <c r="H1192" s="236" t="s">
        <v>1965</v>
      </c>
      <c r="I1192" s="230">
        <v>45656</v>
      </c>
      <c r="J1192" s="230" t="s">
        <v>34</v>
      </c>
      <c r="K1192" s="226">
        <v>45748</v>
      </c>
      <c r="L1192" s="165" t="s">
        <v>3776</v>
      </c>
      <c r="M1192" s="222">
        <v>1278</v>
      </c>
      <c r="N1192" s="2" t="str">
        <f t="shared" ca="1" si="37"/>
        <v>CLOSED</v>
      </c>
    </row>
    <row r="1193" spans="1:14" ht="30">
      <c r="A1193" s="86" t="s">
        <v>73</v>
      </c>
      <c r="B1193" s="98" t="e">
        <f>VLOOKUP([2]!Table27[[#This Row],[Location 
(drop-down)]],'[2]List source'!D$2:E$59,2,FALSE)</f>
        <v>#VALUE!</v>
      </c>
      <c r="C1193" s="180" t="s">
        <v>3777</v>
      </c>
      <c r="D1193" s="391" t="e">
        <f t="shared" si="36"/>
        <v>#VALUE!</v>
      </c>
      <c r="E1193" s="231" t="s">
        <v>3778</v>
      </c>
      <c r="F1193" s="232" t="e" cm="1">
        <f t="array" aca="1" ref="F1193" ca="1">MID(LEFT(#REF!, INDEX(_xlfn._xlws.FILTER(ROW(INDIRECT("1:" &amp; LEN(#REF!))), (48 &lt;= CODE(MID(#REF!, ROW(INDIRECT("1:" &amp; LEN(#REF!))), 1))) * (CODE(MID(#REF!, ROW(INDIRECT("1:" &amp; LEN(#REF!))), 1)) &lt;= 57)), 1) - 1), FIND(":",#REF!) + 2, LEN(#REF!))</f>
        <v>#REF!</v>
      </c>
      <c r="G1193" s="231" t="e">
        <f>MID(LEFT(#REF!, FIND(",",#REF!) - 1), FIND("{token}", SUBSTITUTE(#REF!, " ", "{token}", 2)) + 1, LEN(#REF!))</f>
        <v>#REF!</v>
      </c>
      <c r="H1193" s="233" t="s">
        <v>3779</v>
      </c>
      <c r="I1193" s="234">
        <v>45656</v>
      </c>
      <c r="J1193" s="234" t="s">
        <v>239</v>
      </c>
      <c r="K1193" s="372">
        <v>45748</v>
      </c>
      <c r="L1193" s="165"/>
      <c r="M1193" s="222">
        <v>1294</v>
      </c>
      <c r="N1193" s="2" t="str">
        <f t="shared" ca="1" si="37"/>
        <v>CLOSED</v>
      </c>
    </row>
    <row r="1194" spans="1:14" ht="30">
      <c r="A1194" s="64" t="s">
        <v>294</v>
      </c>
      <c r="B1194" s="98" t="e">
        <f>VLOOKUP([2]!Table27[[#This Row],[Location 
(drop-down)]],'[2]List source'!D$2:E$59,2,FALSE)</f>
        <v>#VALUE!</v>
      </c>
      <c r="C1194" s="179" t="s">
        <v>3780</v>
      </c>
      <c r="D1194" s="2" t="e">
        <f t="shared" si="36"/>
        <v>#VALUE!</v>
      </c>
      <c r="E1194" s="227" t="s">
        <v>3781</v>
      </c>
      <c r="F1194" s="165" t="s">
        <v>1520</v>
      </c>
      <c r="G1194" s="227" t="e">
        <f>MID(LEFT(#REF!, FIND(",",#REF!) - 1), FIND("{token}", SUBSTITUTE(#REF!, " ", "{token}", 2)) + 1, LEN(#REF!))</f>
        <v>#REF!</v>
      </c>
      <c r="H1194" s="236" t="s">
        <v>3782</v>
      </c>
      <c r="I1194" s="230">
        <v>45582</v>
      </c>
      <c r="J1194" s="230" t="s">
        <v>327</v>
      </c>
      <c r="K1194" s="226">
        <v>45749</v>
      </c>
      <c r="L1194" s="165"/>
      <c r="M1194" s="222">
        <v>1008</v>
      </c>
      <c r="N1194" s="2" t="str">
        <f t="shared" ca="1" si="37"/>
        <v>CLOSED</v>
      </c>
    </row>
    <row r="1195" spans="1:14" ht="30">
      <c r="A1195" s="90" t="s">
        <v>1334</v>
      </c>
      <c r="B1195" s="98" t="e">
        <f>VLOOKUP([2]!Table27[[#This Row],[Location 
(drop-down)]],'[2]List source'!D$2:E$59,2,FALSE)</f>
        <v>#VALUE!</v>
      </c>
      <c r="C1195" s="182" t="s">
        <v>3783</v>
      </c>
      <c r="D1195" s="392" t="e">
        <f t="shared" si="36"/>
        <v>#VALUE!</v>
      </c>
      <c r="E1195" s="227" t="s">
        <v>3784</v>
      </c>
      <c r="F1195" s="165" t="s">
        <v>1769</v>
      </c>
      <c r="G1195" s="227" t="e">
        <f>MID(LEFT(#REF!, FIND(",",#REF!) - 1), FIND("{token}", SUBSTITUTE(#REF!, " ", "{token}", 2)) + 1, LEN(#REF!))</f>
        <v>#REF!</v>
      </c>
      <c r="H1195" s="236" t="s">
        <v>3785</v>
      </c>
      <c r="I1195" s="230">
        <v>45653</v>
      </c>
      <c r="J1195" s="342" t="s">
        <v>310</v>
      </c>
      <c r="K1195" s="221">
        <v>45749</v>
      </c>
      <c r="L1195" s="165"/>
      <c r="M1195" s="222">
        <v>1242</v>
      </c>
      <c r="N1195" s="2" t="str">
        <f t="shared" ca="1" si="37"/>
        <v>CLOSED</v>
      </c>
    </row>
    <row r="1196" spans="1:14" ht="30">
      <c r="A1196" s="90" t="s">
        <v>500</v>
      </c>
      <c r="B1196" s="98" t="e">
        <f>VLOOKUP([2]!Table27[[#This Row],[Location 
(drop-down)]],'[2]List source'!D$2:E$59,2,FALSE)</f>
        <v>#VALUE!</v>
      </c>
      <c r="C1196" s="182" t="s">
        <v>3786</v>
      </c>
      <c r="D1196" s="392" t="e">
        <f t="shared" si="36"/>
        <v>#VALUE!</v>
      </c>
      <c r="E1196" s="227" t="s">
        <v>3787</v>
      </c>
      <c r="F1196" s="165" t="e" cm="1">
        <f t="array" aca="1" ref="F1196" ca="1">MID(LEFT(#REF!, INDEX(_xlfn._xlws.FILTER(ROW(INDIRECT("1:" &amp; LEN(#REF!))), (48 &lt;= CODE(MID(#REF!, ROW(INDIRECT("1:" &amp; LEN(#REF!))), 1))) * (CODE(MID(#REF!, ROW(INDIRECT("1:" &amp; LEN(#REF!))), 1)) &lt;= 57)), 1) - 1), FIND(":",#REF!) + 2, LEN(#REF!))</f>
        <v>#REF!</v>
      </c>
      <c r="G1196" s="227" t="e">
        <f>MID(LEFT(#REF!, FIND(",",#REF!) - 1), FIND("{token}", SUBSTITUTE(#REF!, " ", "{token}", 2)) + 1, LEN(#REF!))</f>
        <v>#REF!</v>
      </c>
      <c r="H1196" s="165">
        <v>6.41</v>
      </c>
      <c r="I1196" s="230">
        <v>45653</v>
      </c>
      <c r="J1196" s="342" t="s">
        <v>310</v>
      </c>
      <c r="K1196" s="221">
        <v>45749</v>
      </c>
      <c r="L1196" s="165"/>
      <c r="M1196" s="222">
        <v>1257</v>
      </c>
      <c r="N1196" s="2" t="str">
        <f t="shared" ca="1" si="37"/>
        <v>CLOSED</v>
      </c>
    </row>
    <row r="1197" spans="1:14" ht="30">
      <c r="A1197" s="85" t="s">
        <v>73</v>
      </c>
      <c r="B1197" s="98" t="e">
        <f>VLOOKUP([2]!Table27[[#This Row],[Location 
(drop-down)]],'[2]List source'!D$2:E$59,2,FALSE)</f>
        <v>#VALUE!</v>
      </c>
      <c r="C1197" s="183" t="s">
        <v>3788</v>
      </c>
      <c r="D1197" s="386" t="e">
        <f t="shared" si="36"/>
        <v>#VALUE!</v>
      </c>
      <c r="E1197" s="334" t="s">
        <v>3789</v>
      </c>
      <c r="F1197" s="335" t="e" cm="1">
        <f t="array" aca="1" ref="F1197" ca="1">MID(LEFT(#REF!, INDEX(_xlfn._xlws.FILTER(ROW(INDIRECT("1:" &amp; LEN(#REF!))), (48 &lt;= CODE(MID(#REF!, ROW(INDIRECT("1:" &amp; LEN(#REF!))), 1))) * (CODE(MID(#REF!, ROW(INDIRECT("1:" &amp; LEN(#REF!))), 1)) &lt;= 57)), 1) - 1), FIND(":",#REF!) + 2, LEN(#REF!))</f>
        <v>#REF!</v>
      </c>
      <c r="G1197" s="334" t="e">
        <f>MID(LEFT(#REF!, FIND(",",#REF!) - 1), FIND("{token}", SUBSTITUTE(#REF!, " ", "{token}", 2)) + 1, LEN(#REF!))</f>
        <v>#REF!</v>
      </c>
      <c r="H1197" s="335">
        <v>2.1</v>
      </c>
      <c r="I1197" s="337">
        <v>45435</v>
      </c>
      <c r="J1197" s="337" t="s">
        <v>239</v>
      </c>
      <c r="K1197" s="338">
        <v>45750</v>
      </c>
      <c r="L1197" s="275"/>
      <c r="M1197" s="222">
        <v>565</v>
      </c>
      <c r="N1197" s="2" t="str">
        <f t="shared" ca="1" si="37"/>
        <v>CLOSED</v>
      </c>
    </row>
    <row r="1198" spans="1:14" ht="30">
      <c r="A1198" s="86" t="s">
        <v>73</v>
      </c>
      <c r="B1198" s="98" t="e">
        <f>VLOOKUP([2]!Table27[[#This Row],[Location 
(drop-down)]],'[2]List source'!D$2:E$59,2,FALSE)</f>
        <v>#VALUE!</v>
      </c>
      <c r="C1198" s="180" t="s">
        <v>3790</v>
      </c>
      <c r="D1198" s="396" t="e">
        <f t="shared" si="36"/>
        <v>#VALUE!</v>
      </c>
      <c r="E1198" s="231" t="s">
        <v>3791</v>
      </c>
      <c r="F1198" s="232" t="e" cm="1">
        <f t="array" aca="1" ref="F1198" ca="1">MID(LEFT(#REF!, INDEX(_xlfn._xlws.FILTER(ROW(INDIRECT("1:" &amp; LEN(#REF!))), (48 &lt;= CODE(MID(#REF!, ROW(INDIRECT("1:" &amp; LEN(#REF!))), 1))) * (CODE(MID(#REF!, ROW(INDIRECT("1:" &amp; LEN(#REF!))), 1)) &lt;= 57)), 1) - 1), FIND(":",#REF!) + 2, LEN(#REF!))</f>
        <v>#REF!</v>
      </c>
      <c r="G1198" s="231" t="e">
        <f>MID(LEFT(#REF!, FIND(",",#REF!) - 1), FIND("{token}", SUBSTITUTE(#REF!, " ", "{token}", 2)) + 1, LEN(#REF!))</f>
        <v>#REF!</v>
      </c>
      <c r="H1198" s="232" t="s">
        <v>3792</v>
      </c>
      <c r="I1198" s="234">
        <v>45435</v>
      </c>
      <c r="J1198" s="234" t="s">
        <v>239</v>
      </c>
      <c r="K1198" s="372">
        <v>45750</v>
      </c>
      <c r="L1198" s="275"/>
      <c r="M1198" s="222">
        <v>566</v>
      </c>
      <c r="N1198" s="2" t="str">
        <f t="shared" ca="1" si="37"/>
        <v>CLOSED</v>
      </c>
    </row>
    <row r="1199" spans="1:14" ht="30">
      <c r="A1199" s="85" t="s">
        <v>73</v>
      </c>
      <c r="B1199" s="98" t="e">
        <f>VLOOKUP([2]!Table27[[#This Row],[Location 
(drop-down)]],'[2]List source'!D$2:E$59,2,FALSE)</f>
        <v>#VALUE!</v>
      </c>
      <c r="C1199" s="183" t="s">
        <v>3793</v>
      </c>
      <c r="D1199" s="386" t="e">
        <f t="shared" si="36"/>
        <v>#VALUE!</v>
      </c>
      <c r="E1199" s="334" t="s">
        <v>3794</v>
      </c>
      <c r="F1199" s="335" t="e" cm="1">
        <f t="array" aca="1" ref="F1199" ca="1">MID(LEFT(#REF!, INDEX(_xlfn._xlws.FILTER(ROW(INDIRECT("1:" &amp; LEN(#REF!))), (48 &lt;= CODE(MID(#REF!, ROW(INDIRECT("1:" &amp; LEN(#REF!))), 1))) * (CODE(MID(#REF!, ROW(INDIRECT("1:" &amp; LEN(#REF!))), 1)) &lt;= 57)), 1) - 1), FIND(":",#REF!) + 2, LEN(#REF!))</f>
        <v>#REF!</v>
      </c>
      <c r="G1199" s="334" t="e">
        <f>MID(LEFT(#REF!, FIND(",",#REF!) - 1), FIND("{token}", SUBSTITUTE(#REF!, " ", "{token}", 2)) + 1, LEN(#REF!))</f>
        <v>#REF!</v>
      </c>
      <c r="H1199" s="336" t="s">
        <v>3795</v>
      </c>
      <c r="I1199" s="337">
        <v>45435</v>
      </c>
      <c r="J1199" s="337" t="s">
        <v>239</v>
      </c>
      <c r="K1199" s="338">
        <v>45750</v>
      </c>
      <c r="L1199" s="275"/>
      <c r="M1199" s="222">
        <v>567</v>
      </c>
      <c r="N1199" s="2" t="str">
        <f t="shared" ca="1" si="37"/>
        <v>CLOSED</v>
      </c>
    </row>
    <row r="1200" spans="1:14" ht="30">
      <c r="A1200" s="86" t="s">
        <v>73</v>
      </c>
      <c r="B1200" s="98" t="e">
        <f>VLOOKUP([2]!Table27[[#This Row],[Location 
(drop-down)]],'[2]List source'!D$2:E$59,2,FALSE)</f>
        <v>#VALUE!</v>
      </c>
      <c r="C1200" s="180" t="s">
        <v>3796</v>
      </c>
      <c r="D1200" s="397" t="e">
        <f t="shared" si="36"/>
        <v>#VALUE!</v>
      </c>
      <c r="E1200" s="231" t="s">
        <v>3797</v>
      </c>
      <c r="F1200" s="232" t="e" cm="1">
        <f t="array" aca="1" ref="F1200" ca="1">MID(LEFT(#REF!, INDEX(_xlfn._xlws.FILTER(ROW(INDIRECT("1:" &amp; LEN(#REF!))), (48 &lt;= CODE(MID(#REF!, ROW(INDIRECT("1:" &amp; LEN(#REF!))), 1))) * (CODE(MID(#REF!, ROW(INDIRECT("1:" &amp; LEN(#REF!))), 1)) &lt;= 57)), 1) - 1), FIND(":",#REF!) + 2, LEN(#REF!))</f>
        <v>#REF!</v>
      </c>
      <c r="G1200" s="231" t="e">
        <f>MID(LEFT(#REF!, FIND(",",#REF!) - 1), FIND("{token}", SUBSTITUTE(#REF!, " ", "{token}", 2)) + 1, LEN(#REF!))</f>
        <v>#REF!</v>
      </c>
      <c r="H1200" s="232">
        <v>2.34</v>
      </c>
      <c r="I1200" s="234">
        <v>45546</v>
      </c>
      <c r="J1200" s="234" t="s">
        <v>130</v>
      </c>
      <c r="K1200" s="372">
        <v>45750</v>
      </c>
      <c r="L1200" s="275"/>
      <c r="M1200" s="222">
        <v>974</v>
      </c>
      <c r="N1200" s="2" t="str">
        <f t="shared" ca="1" si="37"/>
        <v>CLOSED</v>
      </c>
    </row>
    <row r="1201" spans="1:14" ht="30">
      <c r="A1201" s="64" t="s">
        <v>125</v>
      </c>
      <c r="B1201" s="98" t="e">
        <f>VLOOKUP([2]!Table27[[#This Row],[Location 
(drop-down)]],'[2]List source'!D$2:E$59,2,FALSE)</f>
        <v>#VALUE!</v>
      </c>
      <c r="C1201" s="179" t="s">
        <v>3798</v>
      </c>
      <c r="D1201" s="2" t="e">
        <f t="shared" si="36"/>
        <v>#VALUE!</v>
      </c>
      <c r="E1201" s="227" t="s">
        <v>3799</v>
      </c>
      <c r="F1201" s="165" t="e" cm="1">
        <f t="array" aca="1" ref="F1201" ca="1">MID(LEFT(#REF!, INDEX(_xlfn._xlws.FILTER(ROW(INDIRECT("1:" &amp; LEN(#REF!))), (48 &lt;= CODE(MID(#REF!, ROW(INDIRECT("1:" &amp; LEN(#REF!))), 1))) * (CODE(MID(#REF!, ROW(INDIRECT("1:" &amp; LEN(#REF!))), 1)) &lt;= 57)), 1) - 1), FIND(":",#REF!) + 2, LEN(#REF!))</f>
        <v>#REF!</v>
      </c>
      <c r="G1201" s="227" t="e">
        <f>MID(LEFT(#REF!, FIND(",",#REF!) - 1), FIND("{token}", SUBSTITUTE(#REF!, " ", "{token}", 2)) + 1, LEN(#REF!))</f>
        <v>#REF!</v>
      </c>
      <c r="H1201" s="165">
        <v>3.15</v>
      </c>
      <c r="I1201" s="230">
        <v>45595</v>
      </c>
      <c r="J1201" s="230" t="s">
        <v>111</v>
      </c>
      <c r="K1201" s="226">
        <v>45750</v>
      </c>
      <c r="L1201" s="275" t="s">
        <v>1505</v>
      </c>
      <c r="M1201" s="222">
        <v>1064</v>
      </c>
      <c r="N1201" s="2" t="str">
        <f t="shared" ca="1" si="37"/>
        <v>CLOSED</v>
      </c>
    </row>
    <row r="1202" spans="1:14" ht="30">
      <c r="A1202" s="85" t="s">
        <v>73</v>
      </c>
      <c r="B1202" s="98" t="e">
        <f>VLOOKUP([2]!Table27[[#This Row],[Location 
(drop-down)]],'[2]List source'!D$2:E$59,2,FALSE)</f>
        <v>#VALUE!</v>
      </c>
      <c r="C1202" s="183" t="s">
        <v>3800</v>
      </c>
      <c r="D1202" s="382" t="e">
        <f t="shared" si="36"/>
        <v>#VALUE!</v>
      </c>
      <c r="E1202" s="334" t="s">
        <v>3801</v>
      </c>
      <c r="F1202" s="335" t="e" cm="1">
        <f t="array" aca="1" ref="F1202" ca="1">MID(LEFT(#REF!, INDEX(_xlfn._xlws.FILTER(ROW(INDIRECT("1:" &amp; LEN(#REF!))), (48 &lt;= CODE(MID(#REF!, ROW(INDIRECT("1:" &amp; LEN(#REF!))), 1))) * (CODE(MID(#REF!, ROW(INDIRECT("1:" &amp; LEN(#REF!))), 1)) &lt;= 57)), 1) - 1), FIND(":",#REF!) + 2, LEN(#REF!))</f>
        <v>#REF!</v>
      </c>
      <c r="G1202" s="334" t="e">
        <f>MID(LEFT(#REF!, FIND(",",#REF!) - 1), FIND("{token}", SUBSTITUTE(#REF!, " ", "{token}", 2)) + 1, LEN(#REF!))</f>
        <v>#REF!</v>
      </c>
      <c r="H1202" s="335" t="s">
        <v>3802</v>
      </c>
      <c r="I1202" s="337">
        <v>45600</v>
      </c>
      <c r="J1202" s="337" t="s">
        <v>239</v>
      </c>
      <c r="K1202" s="338">
        <v>45750</v>
      </c>
      <c r="L1202" s="165"/>
      <c r="M1202" s="222">
        <v>1069</v>
      </c>
      <c r="N1202" s="2" t="str">
        <f t="shared" ca="1" si="37"/>
        <v>CLOSED</v>
      </c>
    </row>
    <row r="1203" spans="1:14" ht="30">
      <c r="A1203" s="86" t="s">
        <v>73</v>
      </c>
      <c r="B1203" s="98" t="e">
        <f>VLOOKUP([2]!Table27[[#This Row],[Location 
(drop-down)]],'[2]List source'!D$2:E$59,2,FALSE)</f>
        <v>#VALUE!</v>
      </c>
      <c r="C1203" s="180" t="s">
        <v>3803</v>
      </c>
      <c r="D1203" s="391" t="e">
        <f t="shared" si="36"/>
        <v>#VALUE!</v>
      </c>
      <c r="E1203" s="231" t="s">
        <v>3804</v>
      </c>
      <c r="F1203" s="232" t="e" cm="1">
        <f t="array" aca="1" ref="F1203" ca="1">MID(LEFT(#REF!, INDEX(_xlfn._xlws.FILTER(ROW(INDIRECT("1:" &amp; LEN(#REF!))), (48 &lt;= CODE(MID(#REF!, ROW(INDIRECT("1:" &amp; LEN(#REF!))), 1))) * (CODE(MID(#REF!, ROW(INDIRECT("1:" &amp; LEN(#REF!))), 1)) &lt;= 57)), 1) - 1), FIND(":",#REF!) + 2, LEN(#REF!))</f>
        <v>#REF!</v>
      </c>
      <c r="G1203" s="231" t="e">
        <f>MID(LEFT(#REF!, FIND(",",#REF!) - 1), FIND("{token}", SUBSTITUTE(#REF!, " ", "{token}", 2)) + 1, LEN(#REF!))</f>
        <v>#REF!</v>
      </c>
      <c r="H1203" s="232">
        <v>2.83</v>
      </c>
      <c r="I1203" s="234">
        <v>45642</v>
      </c>
      <c r="J1203" s="234" t="s">
        <v>239</v>
      </c>
      <c r="K1203" s="372">
        <v>45750</v>
      </c>
      <c r="L1203" s="165"/>
      <c r="M1203" s="222">
        <v>1109</v>
      </c>
      <c r="N1203" s="2" t="str">
        <f t="shared" ca="1" si="37"/>
        <v>CLOSED</v>
      </c>
    </row>
    <row r="1204" spans="1:14" ht="30">
      <c r="A1204" s="90" t="s">
        <v>1334</v>
      </c>
      <c r="B1204" s="98" t="e">
        <f>VLOOKUP([2]!Table27[[#This Row],[Location 
(drop-down)]],'[2]List source'!D$2:E$59,2,FALSE)</f>
        <v>#VALUE!</v>
      </c>
      <c r="C1204" s="182" t="s">
        <v>3805</v>
      </c>
      <c r="D1204" s="392" t="e">
        <f t="shared" si="36"/>
        <v>#VALUE!</v>
      </c>
      <c r="E1204" s="227" t="s">
        <v>3806</v>
      </c>
      <c r="F1204" s="165" t="e" cm="1">
        <f t="array" aca="1" ref="F1204" ca="1">MID(LEFT(#REF!, INDEX(_xlfn._xlws.FILTER(ROW(INDIRECT("1:" &amp; LEN(#REF!))), (48 &lt;= CODE(MID(#REF!, ROW(INDIRECT("1:" &amp; LEN(#REF!))), 1))) * (CODE(MID(#REF!, ROW(INDIRECT("1:" &amp; LEN(#REF!))), 1)) &lt;= 57)), 1) - 1), FIND(":",#REF!) + 2, LEN(#REF!))</f>
        <v>#REF!</v>
      </c>
      <c r="G1204" s="227" t="e">
        <f>MID(LEFT(#REF!, FIND(",",#REF!) - 1), FIND("{token}", SUBSTITUTE(#REF!, " ", "{token}", 2)) + 1, LEN(#REF!))</f>
        <v>#REF!</v>
      </c>
      <c r="H1204" s="236" t="s">
        <v>2134</v>
      </c>
      <c r="I1204" s="230">
        <v>45656</v>
      </c>
      <c r="J1204" s="342" t="s">
        <v>310</v>
      </c>
      <c r="K1204" s="221">
        <v>45750</v>
      </c>
      <c r="L1204" s="165"/>
      <c r="M1204" s="222">
        <v>1261</v>
      </c>
      <c r="N1204" s="2" t="str">
        <f t="shared" ca="1" si="37"/>
        <v>CLOSED</v>
      </c>
    </row>
    <row r="1205" spans="1:14" ht="30">
      <c r="A1205" s="64" t="s">
        <v>30</v>
      </c>
      <c r="B1205" s="98" t="e">
        <f>VLOOKUP([2]!Table27[[#This Row],[Location 
(drop-down)]],'[2]List source'!D$2:E$59,2,FALSE)</f>
        <v>#VALUE!</v>
      </c>
      <c r="C1205" s="179" t="s">
        <v>876</v>
      </c>
      <c r="D1205" s="378" t="e">
        <f t="shared" si="36"/>
        <v>#VALUE!</v>
      </c>
      <c r="E1205" s="227" t="s">
        <v>3807</v>
      </c>
      <c r="F1205" s="165" t="s">
        <v>1833</v>
      </c>
      <c r="G1205" s="227" t="e">
        <f>MID(LEFT(#REF!, FIND(",",#REF!) - 1), FIND("{token}", SUBSTITUTE(#REF!, " ", "{token}", 2)) + 1, LEN(#REF!))</f>
        <v>#REF!</v>
      </c>
      <c r="H1205" s="236" t="s">
        <v>3808</v>
      </c>
      <c r="I1205" s="230">
        <v>45413</v>
      </c>
      <c r="J1205" s="230" t="s">
        <v>111</v>
      </c>
      <c r="K1205" s="226">
        <v>45754</v>
      </c>
      <c r="L1205" s="165"/>
      <c r="M1205" s="222">
        <v>339</v>
      </c>
      <c r="N1205" s="2" t="str">
        <f t="shared" ca="1" si="37"/>
        <v>CLOSED</v>
      </c>
    </row>
    <row r="1206" spans="1:14" ht="30">
      <c r="A1206" s="90" t="s">
        <v>500</v>
      </c>
      <c r="B1206" s="98" t="e">
        <f>VLOOKUP([2]!Table27[[#This Row],[Location 
(drop-down)]],'[2]List source'!D$2:E$59,2,FALSE)</f>
        <v>#VALUE!</v>
      </c>
      <c r="C1206" s="182" t="s">
        <v>3809</v>
      </c>
      <c r="D1206" s="392" t="e">
        <f t="shared" si="36"/>
        <v>#VALUE!</v>
      </c>
      <c r="E1206" s="227" t="s">
        <v>3810</v>
      </c>
      <c r="F1206" s="165" t="s">
        <v>1520</v>
      </c>
      <c r="G1206" s="227" t="e">
        <f>MID(LEFT(#REF!, FIND(",",#REF!) - 1), FIND("{token}", SUBSTITUTE(#REF!, " ", "{token}", 2)) + 1, LEN(#REF!))</f>
        <v>#REF!</v>
      </c>
      <c r="H1206" s="236" t="s">
        <v>3418</v>
      </c>
      <c r="I1206" s="230">
        <v>45582</v>
      </c>
      <c r="J1206" s="342" t="s">
        <v>310</v>
      </c>
      <c r="K1206" s="221">
        <v>45754</v>
      </c>
      <c r="L1206" s="165"/>
      <c r="M1206" s="222">
        <v>1017</v>
      </c>
      <c r="N1206" s="2" t="str">
        <f t="shared" ca="1" si="37"/>
        <v>CLOSED</v>
      </c>
    </row>
    <row r="1207" spans="1:14" ht="30">
      <c r="A1207" s="64" t="s">
        <v>500</v>
      </c>
      <c r="B1207" s="98" t="e">
        <f>VLOOKUP([2]!Table27[[#This Row],[Location 
(drop-down)]],'[2]List source'!D$2:E$59,2,FALSE)</f>
        <v>#VALUE!</v>
      </c>
      <c r="C1207" s="179" t="s">
        <v>3811</v>
      </c>
      <c r="D1207" s="2" t="e">
        <f t="shared" si="36"/>
        <v>#VALUE!</v>
      </c>
      <c r="E1207" s="227" t="s">
        <v>3812</v>
      </c>
      <c r="F1207" s="165" t="e" cm="1">
        <f t="array" aca="1" ref="F1207" ca="1">MID(LEFT(#REF!, INDEX(_xlfn._xlws.FILTER(ROW(INDIRECT("1:" &amp; LEN(#REF!))), (48 &lt;= CODE(MID(#REF!, ROW(INDIRECT("1:" &amp; LEN(#REF!))), 1))) * (CODE(MID(#REF!, ROW(INDIRECT("1:" &amp; LEN(#REF!))), 1)) &lt;= 57)), 1) - 1), FIND(":",#REF!) + 2, LEN(#REF!))</f>
        <v>#REF!</v>
      </c>
      <c r="G1207" s="227" t="e">
        <f>MID(LEFT(#REF!, FIND(",",#REF!) - 1), FIND("{token}", SUBSTITUTE(#REF!, " ", "{token}", 2)) + 1, LEN(#REF!))</f>
        <v>#REF!</v>
      </c>
      <c r="H1207" s="165">
        <v>2.15</v>
      </c>
      <c r="I1207" s="230">
        <v>45635</v>
      </c>
      <c r="J1207" s="230" t="s">
        <v>310</v>
      </c>
      <c r="K1207" s="226">
        <v>45754</v>
      </c>
      <c r="L1207" s="275"/>
      <c r="M1207" s="222">
        <v>1091</v>
      </c>
      <c r="N1207" s="2" t="str">
        <f t="shared" ca="1" si="37"/>
        <v>CLOSED</v>
      </c>
    </row>
    <row r="1208" spans="1:14" ht="30">
      <c r="A1208" s="64" t="s">
        <v>294</v>
      </c>
      <c r="B1208" s="98" t="e">
        <f>VLOOKUP([2]!Table27[[#This Row],[Location 
(drop-down)]],'[2]List source'!D$2:E$59,2,FALSE)</f>
        <v>#VALUE!</v>
      </c>
      <c r="C1208" s="179" t="s">
        <v>3813</v>
      </c>
      <c r="D1208" s="2" t="e">
        <f t="shared" si="36"/>
        <v>#VALUE!</v>
      </c>
      <c r="E1208" s="227" t="s">
        <v>3814</v>
      </c>
      <c r="F1208" s="165" t="e" cm="1">
        <f t="array" aca="1" ref="F1208" ca="1">MID(LEFT(#REF!, INDEX(_xlfn._xlws.FILTER(ROW(INDIRECT("1:" &amp; LEN(#REF!))), (48 &lt;= CODE(MID(#REF!, ROW(INDIRECT("1:" &amp; LEN(#REF!))), 1))) * (CODE(MID(#REF!, ROW(INDIRECT("1:" &amp; LEN(#REF!))), 1)) &lt;= 57)), 1) - 1), FIND(":",#REF!) + 2, LEN(#REF!))</f>
        <v>#REF!</v>
      </c>
      <c r="G1208" s="227" t="e">
        <f>MID(LEFT(#REF!, FIND(",",#REF!) - 1), FIND("{token}", SUBSTITUTE(#REF!, " ", "{token}", 2)) + 1, LEN(#REF!))</f>
        <v>#REF!</v>
      </c>
      <c r="H1208" s="165" t="s">
        <v>1579</v>
      </c>
      <c r="I1208" s="230">
        <v>45642</v>
      </c>
      <c r="J1208" s="230" t="s">
        <v>327</v>
      </c>
      <c r="K1208" s="226">
        <v>45754</v>
      </c>
      <c r="L1208" s="165"/>
      <c r="M1208" s="222">
        <v>1106</v>
      </c>
      <c r="N1208" s="2" t="str">
        <f t="shared" ca="1" si="37"/>
        <v>CLOSED</v>
      </c>
    </row>
    <row r="1209" spans="1:14" ht="30">
      <c r="A1209" s="90" t="s">
        <v>500</v>
      </c>
      <c r="B1209" s="98" t="e">
        <f>VLOOKUP([2]!Table27[[#This Row],[Location 
(drop-down)]],'[2]List source'!D$2:E$59,2,FALSE)</f>
        <v>#VALUE!</v>
      </c>
      <c r="C1209" s="182" t="s">
        <v>3815</v>
      </c>
      <c r="D1209" s="392" t="e">
        <f t="shared" si="36"/>
        <v>#VALUE!</v>
      </c>
      <c r="E1209" s="227" t="s">
        <v>3816</v>
      </c>
      <c r="F1209" s="165" t="e" cm="1">
        <f t="array" aca="1" ref="F1209" ca="1">MID(LEFT(#REF!, INDEX(_xlfn._xlws.FILTER(ROW(INDIRECT("1:" &amp; LEN(#REF!))), (48 &lt;= CODE(MID(#REF!, ROW(INDIRECT("1:" &amp; LEN(#REF!))), 1))) * (CODE(MID(#REF!, ROW(INDIRECT("1:" &amp; LEN(#REF!))), 1)) &lt;= 57)), 1) - 1), FIND(":",#REF!) + 2, LEN(#REF!))</f>
        <v>#REF!</v>
      </c>
      <c r="G1209" s="227" t="e">
        <f>MID(LEFT(#REF!, FIND(",",#REF!) - 1), FIND("{token}", SUBSTITUTE(#REF!, " ", "{token}", 2)) + 1, LEN(#REF!))</f>
        <v>#REF!</v>
      </c>
      <c r="H1209" s="165">
        <v>47.83</v>
      </c>
      <c r="I1209" s="230">
        <v>45645</v>
      </c>
      <c r="J1209" s="342" t="s">
        <v>310</v>
      </c>
      <c r="K1209" s="221">
        <v>45754</v>
      </c>
      <c r="L1209" s="165"/>
      <c r="M1209" s="222">
        <v>1182</v>
      </c>
      <c r="N1209" s="2" t="str">
        <f t="shared" ca="1" si="37"/>
        <v>CLOSED</v>
      </c>
    </row>
    <row r="1210" spans="1:14" ht="30">
      <c r="A1210" s="90" t="s">
        <v>500</v>
      </c>
      <c r="B1210" s="98" t="e">
        <f>VLOOKUP([2]!Table27[[#This Row],[Location 
(drop-down)]],'[2]List source'!D$2:E$59,2,FALSE)</f>
        <v>#VALUE!</v>
      </c>
      <c r="C1210" s="182" t="s">
        <v>3817</v>
      </c>
      <c r="D1210" s="392" t="e">
        <f t="shared" si="36"/>
        <v>#VALUE!</v>
      </c>
      <c r="E1210" s="227" t="s">
        <v>3818</v>
      </c>
      <c r="F1210" s="165" t="s">
        <v>1520</v>
      </c>
      <c r="G1210" s="227" t="e">
        <f>MID(LEFT(#REF!, FIND(",",#REF!) - 1), FIND("{token}", SUBSTITUTE(#REF!, " ", "{token}", 2)) + 1, LEN(#REF!))</f>
        <v>#REF!</v>
      </c>
      <c r="H1210" s="165" t="s">
        <v>3819</v>
      </c>
      <c r="I1210" s="230">
        <v>45652</v>
      </c>
      <c r="J1210" s="342" t="s">
        <v>310</v>
      </c>
      <c r="K1210" s="221">
        <v>45754</v>
      </c>
      <c r="L1210" s="165"/>
      <c r="M1210" s="222">
        <v>1235</v>
      </c>
      <c r="N1210" s="2" t="str">
        <f t="shared" ca="1" si="37"/>
        <v>CLOSED</v>
      </c>
    </row>
    <row r="1211" spans="1:14" ht="30">
      <c r="A1211" s="90" t="s">
        <v>500</v>
      </c>
      <c r="B1211" s="98" t="e">
        <f>VLOOKUP([2]!Table27[[#This Row],[Location 
(drop-down)]],'[2]List source'!D$2:E$59,2,FALSE)</f>
        <v>#VALUE!</v>
      </c>
      <c r="C1211" s="182" t="s">
        <v>3820</v>
      </c>
      <c r="D1211" s="392" t="e">
        <f t="shared" si="36"/>
        <v>#VALUE!</v>
      </c>
      <c r="E1211" s="227" t="s">
        <v>3821</v>
      </c>
      <c r="F1211" s="165" t="e" cm="1">
        <f t="array" aca="1" ref="F1211" ca="1">MID(LEFT(#REF!, INDEX(_xlfn._xlws.FILTER(ROW(INDIRECT("1:" &amp; LEN(#REF!))), (48 &lt;= CODE(MID(#REF!, ROW(INDIRECT("1:" &amp; LEN(#REF!))), 1))) * (CODE(MID(#REF!, ROW(INDIRECT("1:" &amp; LEN(#REF!))), 1)) &lt;= 57)), 1) - 1), FIND(":",#REF!) + 2, LEN(#REF!))</f>
        <v>#REF!</v>
      </c>
      <c r="G1211" s="227" t="e">
        <f>MID(LEFT(#REF!, FIND(",",#REF!) - 1), FIND("{token}", SUBSTITUTE(#REF!, " ", "{token}", 2)) + 1, LEN(#REF!))</f>
        <v>#REF!</v>
      </c>
      <c r="H1211" s="165" t="s">
        <v>1579</v>
      </c>
      <c r="I1211" s="230">
        <v>45656</v>
      </c>
      <c r="J1211" s="342" t="s">
        <v>310</v>
      </c>
      <c r="K1211" s="221">
        <v>45754</v>
      </c>
      <c r="L1211" s="165"/>
      <c r="M1211" s="222">
        <v>1297</v>
      </c>
      <c r="N1211" s="2" t="str">
        <f t="shared" ca="1" si="37"/>
        <v>CLOSED</v>
      </c>
    </row>
    <row r="1212" spans="1:14" ht="30">
      <c r="A1212" s="64" t="s">
        <v>125</v>
      </c>
      <c r="B1212" s="98" t="e">
        <f>VLOOKUP([2]!Table27[[#This Row],[Location 
(drop-down)]],'[2]List source'!D$2:E$59,2,FALSE)</f>
        <v>#VALUE!</v>
      </c>
      <c r="C1212" s="179" t="s">
        <v>3822</v>
      </c>
      <c r="D1212" s="2" t="e">
        <f t="shared" si="36"/>
        <v>#VALUE!</v>
      </c>
      <c r="E1212" s="227" t="s">
        <v>3823</v>
      </c>
      <c r="F1212" s="165" t="e" cm="1">
        <f t="array" aca="1" ref="F1212" ca="1">MID(LEFT(#REF!, INDEX(_xlfn._xlws.FILTER(ROW(INDIRECT("1:" &amp; LEN(#REF!))), (48 &lt;= CODE(MID(#REF!, ROW(INDIRECT("1:" &amp; LEN(#REF!))), 1))) * (CODE(MID(#REF!, ROW(INDIRECT("1:" &amp; LEN(#REF!))), 1)) &lt;= 57)), 1) - 1), FIND(":",#REF!) + 2, LEN(#REF!))</f>
        <v>#REF!</v>
      </c>
      <c r="G1212" s="227" t="e">
        <f>MID(LEFT(#REF!, FIND(",",#REF!) - 1), FIND("{token}", SUBSTITUTE(#REF!, " ", "{token}", 2)) + 1, LEN(#REF!))</f>
        <v>#REF!</v>
      </c>
      <c r="H1212" s="165">
        <v>4.2699999999999996</v>
      </c>
      <c r="I1212" s="230"/>
      <c r="J1212" s="230" t="s">
        <v>111</v>
      </c>
      <c r="K1212" s="226">
        <v>45754</v>
      </c>
      <c r="L1212" s="165"/>
      <c r="M1212" s="222">
        <v>1320</v>
      </c>
      <c r="N1212" s="2" t="str">
        <f t="shared" ca="1" si="37"/>
        <v>CLOSED</v>
      </c>
    </row>
    <row r="1213" spans="1:14" ht="30">
      <c r="A1213" s="64" t="s">
        <v>294</v>
      </c>
      <c r="B1213" s="98" t="e">
        <f>VLOOKUP([2]!Table27[[#This Row],[Location 
(drop-down)]],'[2]List source'!D$2:E$59,2,FALSE)</f>
        <v>#VALUE!</v>
      </c>
      <c r="C1213" s="179" t="s">
        <v>3824</v>
      </c>
      <c r="D1213" s="2" t="e">
        <f t="shared" si="36"/>
        <v>#VALUE!</v>
      </c>
      <c r="E1213" s="227" t="s">
        <v>3825</v>
      </c>
      <c r="F1213" s="165" t="s">
        <v>1811</v>
      </c>
      <c r="G1213" s="227" t="e">
        <f>MID(LEFT(#REF!, FIND(",",#REF!) - 1), FIND("{token}", SUBSTITUTE(#REF!, " ", "{token}", 2)) + 1, LEN(#REF!))</f>
        <v>#REF!</v>
      </c>
      <c r="H1213" s="236" t="s">
        <v>2004</v>
      </c>
      <c r="I1213" s="230">
        <v>45657</v>
      </c>
      <c r="J1213" s="230" t="s">
        <v>327</v>
      </c>
      <c r="K1213" s="226">
        <v>45754</v>
      </c>
      <c r="L1213" s="165"/>
      <c r="M1213" s="222">
        <v>1412</v>
      </c>
      <c r="N1213" s="2" t="str">
        <f t="shared" ca="1" si="37"/>
        <v>CLOSED</v>
      </c>
    </row>
    <row r="1214" spans="1:14" ht="30">
      <c r="A1214" s="90" t="s">
        <v>1334</v>
      </c>
      <c r="B1214" s="98" t="e">
        <f>VLOOKUP([2]!Table27[[#This Row],[Location 
(drop-down)]],'[2]List source'!D$2:E$59,2,FALSE)</f>
        <v>#VALUE!</v>
      </c>
      <c r="C1214" s="182" t="s">
        <v>3826</v>
      </c>
      <c r="D1214" s="393" t="e">
        <f t="shared" si="36"/>
        <v>#VALUE!</v>
      </c>
      <c r="E1214" s="227" t="s">
        <v>3827</v>
      </c>
      <c r="F1214" s="165" t="e" cm="1">
        <f t="array" aca="1" ref="F1214" ca="1">MID(LEFT(#REF!, INDEX(_xlfn._xlws.FILTER(ROW(INDIRECT("1:" &amp; LEN(#REF!))), (48 &lt;= CODE(MID(#REF!, ROW(INDIRECT("1:" &amp; LEN(#REF!))), 1))) * (CODE(MID(#REF!, ROW(INDIRECT("1:" &amp; LEN(#REF!))), 1)) &lt;= 57)), 1) - 1), FIND(":",#REF!) + 2, LEN(#REF!))</f>
        <v>#REF!</v>
      </c>
      <c r="G1214" s="227" t="e">
        <f>MID(LEFT(#REF!, FIND(",",#REF!) - 1), FIND("{token}", SUBSTITUTE(#REF!, " ", "{token}", 2)) + 1, LEN(#REF!))</f>
        <v>#REF!</v>
      </c>
      <c r="H1214" s="165">
        <v>3.71</v>
      </c>
      <c r="I1214" s="230">
        <v>45534</v>
      </c>
      <c r="J1214" s="342" t="s">
        <v>310</v>
      </c>
      <c r="K1214" s="221">
        <v>45756</v>
      </c>
      <c r="L1214" s="165"/>
      <c r="M1214" s="222">
        <v>851</v>
      </c>
      <c r="N1214" s="2" t="str">
        <f t="shared" ca="1" si="37"/>
        <v>CLOSED</v>
      </c>
    </row>
    <row r="1215" spans="1:14" ht="30">
      <c r="A1215" s="85" t="s">
        <v>485</v>
      </c>
      <c r="B1215" s="98" t="e">
        <f>VLOOKUP([2]!Table27[[#This Row],[Location 
(drop-down)]],'[2]List source'!D$2:E$59,2,FALSE)</f>
        <v>#VALUE!</v>
      </c>
      <c r="C1215" s="183" t="s">
        <v>546</v>
      </c>
      <c r="D1215" s="386" t="e">
        <f t="shared" si="36"/>
        <v>#VALUE!</v>
      </c>
      <c r="E1215" s="334" t="s">
        <v>3828</v>
      </c>
      <c r="F1215" s="335" t="e" cm="1">
        <f t="array" aca="1" ref="F1215" ca="1">MID(LEFT(#REF!, INDEX(_xlfn._xlws.FILTER(ROW(INDIRECT("1:" &amp; LEN(#REF!))), (48 &lt;= CODE(MID(#REF!, ROW(INDIRECT("1:" &amp; LEN(#REF!))), 1))) * (CODE(MID(#REF!, ROW(INDIRECT("1:" &amp; LEN(#REF!))), 1)) &lt;= 57)), 1) - 1), FIND(":",#REF!) + 2, LEN(#REF!))</f>
        <v>#REF!</v>
      </c>
      <c r="G1215" s="334" t="e">
        <f>MID(LEFT(#REF!, FIND(",",#REF!) - 1), FIND("{token}", SUBSTITUTE(#REF!, " ", "{token}", 2)) + 1, LEN(#REF!))</f>
        <v>#REF!</v>
      </c>
      <c r="H1215" s="336" t="s">
        <v>3829</v>
      </c>
      <c r="I1215" s="400">
        <v>45397</v>
      </c>
      <c r="J1215" s="337" t="s">
        <v>239</v>
      </c>
      <c r="K1215" s="338">
        <v>45757</v>
      </c>
      <c r="L1215" s="204"/>
      <c r="M1215" s="222">
        <v>204</v>
      </c>
      <c r="N1215" s="2" t="str">
        <f t="shared" ca="1" si="37"/>
        <v>CLOSED</v>
      </c>
    </row>
    <row r="1216" spans="1:14" ht="30">
      <c r="A1216" s="85" t="s">
        <v>485</v>
      </c>
      <c r="B1216" s="98" t="e">
        <f>VLOOKUP([2]!Table27[[#This Row],[Location 
(drop-down)]],'[2]List source'!D$2:E$59,2,FALSE)</f>
        <v>#VALUE!</v>
      </c>
      <c r="C1216" s="183" t="s">
        <v>1045</v>
      </c>
      <c r="D1216" s="386" t="e">
        <f t="shared" si="36"/>
        <v>#VALUE!</v>
      </c>
      <c r="E1216" s="334" t="s">
        <v>3830</v>
      </c>
      <c r="F1216" s="335" t="e" cm="1">
        <f t="array" aca="1" ref="F1216" ca="1">MID(LEFT(#REF!, INDEX(_xlfn._xlws.FILTER(ROW(INDIRECT("1:" &amp; LEN(#REF!))), (48 &lt;= CODE(MID(#REF!, ROW(INDIRECT("1:" &amp; LEN(#REF!))), 1))) * (CODE(MID(#REF!, ROW(INDIRECT("1:" &amp; LEN(#REF!))), 1)) &lt;= 57)), 1) - 1), FIND(":",#REF!) + 2, LEN(#REF!))</f>
        <v>#REF!</v>
      </c>
      <c r="G1216" s="334" t="e">
        <f>MID(LEFT(#REF!, FIND(",",#REF!) - 1), FIND("{token}", SUBSTITUTE(#REF!, " ", "{token}", 2)) + 1, LEN(#REF!))</f>
        <v>#REF!</v>
      </c>
      <c r="H1216" s="335" t="s">
        <v>3831</v>
      </c>
      <c r="I1216" s="400">
        <v>45397</v>
      </c>
      <c r="J1216" s="337" t="s">
        <v>239</v>
      </c>
      <c r="K1216" s="338">
        <v>45757</v>
      </c>
      <c r="L1216" s="204"/>
      <c r="M1216" s="222">
        <v>206</v>
      </c>
      <c r="N1216" s="2" t="str">
        <f t="shared" ca="1" si="37"/>
        <v>CLOSED</v>
      </c>
    </row>
    <row r="1217" spans="1:14" ht="30">
      <c r="A1217" s="86" t="s">
        <v>485</v>
      </c>
      <c r="B1217" s="98" t="e">
        <f>VLOOKUP([2]!Table27[[#This Row],[Location 
(drop-down)]],'[2]List source'!D$2:E$59,2,FALSE)</f>
        <v>#VALUE!</v>
      </c>
      <c r="C1217" s="180" t="s">
        <v>3832</v>
      </c>
      <c r="D1217" s="396" t="e">
        <f t="shared" si="36"/>
        <v>#VALUE!</v>
      </c>
      <c r="E1217" s="231" t="s">
        <v>3833</v>
      </c>
      <c r="F1217" s="232" t="e" cm="1">
        <f t="array" aca="1" ref="F1217" ca="1">MID(LEFT(#REF!, INDEX(_xlfn._xlws.FILTER(ROW(INDIRECT("1:" &amp; LEN(#REF!))), (48 &lt;= CODE(MID(#REF!, ROW(INDIRECT("1:" &amp; LEN(#REF!))), 1))) * (CODE(MID(#REF!, ROW(INDIRECT("1:" &amp; LEN(#REF!))), 1)) &lt;= 57)), 1) - 1), FIND(":",#REF!) + 2, LEN(#REF!))</f>
        <v>#REF!</v>
      </c>
      <c r="G1217" s="231" t="e">
        <f>MID(LEFT(#REF!, FIND(",",#REF!) - 1), FIND("{token}", SUBSTITUTE(#REF!, " ", "{token}", 2)) + 1, LEN(#REF!))</f>
        <v>#REF!</v>
      </c>
      <c r="H1217" s="232">
        <v>11.98</v>
      </c>
      <c r="I1217" s="234">
        <v>45435</v>
      </c>
      <c r="J1217" s="234" t="s">
        <v>239</v>
      </c>
      <c r="K1217" s="372">
        <v>45757</v>
      </c>
      <c r="L1217" s="165"/>
      <c r="M1217" s="222">
        <v>569</v>
      </c>
      <c r="N1217" s="2" t="str">
        <f t="shared" ca="1" si="37"/>
        <v>CLOSED</v>
      </c>
    </row>
    <row r="1218" spans="1:14" ht="30">
      <c r="A1218" s="85" t="s">
        <v>485</v>
      </c>
      <c r="B1218" s="98" t="e">
        <f>VLOOKUP([2]!Table27[[#This Row],[Location 
(drop-down)]],'[2]List source'!D$2:E$59,2,FALSE)</f>
        <v>#VALUE!</v>
      </c>
      <c r="C1218" s="183" t="s">
        <v>3834</v>
      </c>
      <c r="D1218" s="386" t="e">
        <f t="shared" ref="D1218:D1281" si="38">"PTO" &amp; C1218 &amp; "-" &amp; B1218 &amp; "-" &amp; "23"</f>
        <v>#VALUE!</v>
      </c>
      <c r="E1218" s="334" t="s">
        <v>3835</v>
      </c>
      <c r="F1218" s="335" t="e" cm="1">
        <f t="array" aca="1" ref="F1218" ca="1">MID(LEFT(#REF!, INDEX(_xlfn._xlws.FILTER(ROW(INDIRECT("1:" &amp; LEN(#REF!))), (48 &lt;= CODE(MID(#REF!, ROW(INDIRECT("1:" &amp; LEN(#REF!))), 1))) * (CODE(MID(#REF!, ROW(INDIRECT("1:" &amp; LEN(#REF!))), 1)) &lt;= 57)), 1) - 1), FIND(":",#REF!) + 2, LEN(#REF!))</f>
        <v>#REF!</v>
      </c>
      <c r="G1218" s="334" t="e">
        <f>MID(LEFT(#REF!, FIND(",",#REF!) - 1), FIND("{token}", SUBSTITUTE(#REF!, " ", "{token}", 2)) + 1, LEN(#REF!))</f>
        <v>#REF!</v>
      </c>
      <c r="H1218" s="336" t="s">
        <v>3836</v>
      </c>
      <c r="I1218" s="337">
        <v>45435</v>
      </c>
      <c r="J1218" s="337" t="s">
        <v>239</v>
      </c>
      <c r="K1218" s="338">
        <v>45757</v>
      </c>
      <c r="L1218" s="165"/>
      <c r="M1218" s="222">
        <v>570</v>
      </c>
      <c r="N1218" s="2" t="str">
        <f t="shared" ca="1" si="37"/>
        <v>CLOSED</v>
      </c>
    </row>
    <row r="1219" spans="1:14" ht="15">
      <c r="A1219" s="90" t="s">
        <v>139</v>
      </c>
      <c r="B1219" s="98" t="e">
        <f>VLOOKUP([2]!Table27[[#This Row],[Location 
(drop-down)]],'[2]List source'!D$2:E$59,2,FALSE)</f>
        <v>#VALUE!</v>
      </c>
      <c r="C1219" s="182" t="s">
        <v>3837</v>
      </c>
      <c r="D1219" s="392" t="e">
        <f t="shared" si="38"/>
        <v>#VALUE!</v>
      </c>
      <c r="E1219" s="227" t="s">
        <v>3838</v>
      </c>
      <c r="F1219" s="165" t="e" cm="1">
        <f t="array" aca="1" ref="F1219" ca="1">MID(LEFT(#REF!, INDEX(_xlfn._xlws.FILTER(ROW(INDIRECT("1:" &amp; LEN(#REF!))), (48 &lt;= CODE(MID(#REF!, ROW(INDIRECT("1:" &amp; LEN(#REF!))), 1))) * (CODE(MID(#REF!, ROW(INDIRECT("1:" &amp; LEN(#REF!))), 1)) &lt;= 57)), 1) - 1), FIND(":",#REF!) + 2, LEN(#REF!))</f>
        <v>#REF!</v>
      </c>
      <c r="G1219" s="227" t="e">
        <f>MID(LEFT(#REF!, FIND(",",#REF!) - 1), FIND("{token}", SUBSTITUTE(#REF!, " ", "{token}", 2)) + 1, LEN(#REF!))</f>
        <v>#REF!</v>
      </c>
      <c r="H1219" s="236" t="s">
        <v>3839</v>
      </c>
      <c r="I1219" s="230">
        <v>45653</v>
      </c>
      <c r="J1219" s="342" t="s">
        <v>310</v>
      </c>
      <c r="K1219" s="221">
        <v>45757</v>
      </c>
      <c r="L1219" s="165"/>
      <c r="M1219" s="222">
        <v>1239</v>
      </c>
      <c r="N1219" s="2" t="str">
        <f t="shared" ca="1" si="37"/>
        <v>CLOSED</v>
      </c>
    </row>
    <row r="1220" spans="1:14" ht="15">
      <c r="A1220" s="90" t="s">
        <v>139</v>
      </c>
      <c r="B1220" s="98" t="e">
        <f>VLOOKUP([2]!Table27[[#This Row],[Location 
(drop-down)]],'[2]List source'!D$2:E$59,2,FALSE)</f>
        <v>#VALUE!</v>
      </c>
      <c r="C1220" s="182" t="s">
        <v>3840</v>
      </c>
      <c r="D1220" s="392" t="e">
        <f t="shared" si="38"/>
        <v>#VALUE!</v>
      </c>
      <c r="E1220" s="227" t="s">
        <v>3841</v>
      </c>
      <c r="F1220" s="165" t="s">
        <v>1769</v>
      </c>
      <c r="G1220" s="227" t="e">
        <f>MID(LEFT(#REF!, FIND(",",#REF!) - 1), FIND("{token}", SUBSTITUTE(#REF!, " ", "{token}", 2)) + 1, LEN(#REF!))</f>
        <v>#REF!</v>
      </c>
      <c r="H1220" s="236" t="s">
        <v>3842</v>
      </c>
      <c r="I1220" s="230">
        <v>45653</v>
      </c>
      <c r="J1220" s="342" t="s">
        <v>310</v>
      </c>
      <c r="K1220" s="221">
        <v>45757</v>
      </c>
      <c r="L1220" s="165"/>
      <c r="M1220" s="222">
        <v>1246</v>
      </c>
      <c r="N1220" s="2" t="str">
        <f t="shared" ca="1" si="37"/>
        <v>CLOSED</v>
      </c>
    </row>
    <row r="1221" spans="1:14" ht="30">
      <c r="A1221" s="181" t="s">
        <v>500</v>
      </c>
      <c r="B1221" s="98" t="e">
        <f>VLOOKUP([2]!Table27[[#This Row],[Location 
(drop-down)]],'[2]List source'!D$2:E$59,2,FALSE)</f>
        <v>#VALUE!</v>
      </c>
      <c r="C1221" s="182" t="s">
        <v>3843</v>
      </c>
      <c r="D1221" s="392" t="e">
        <f t="shared" si="38"/>
        <v>#VALUE!</v>
      </c>
      <c r="E1221" s="251" t="s">
        <v>3844</v>
      </c>
      <c r="F1221" s="274" t="e" cm="1">
        <f t="array" aca="1" ref="F1221" ca="1">MID(LEFT(#REF!, INDEX(_xlfn._xlws.FILTER(ROW(INDIRECT("1:" &amp; LEN(#REF!))), (48 &lt;= CODE(MID(#REF!, ROW(INDIRECT("1:" &amp; LEN(#REF!))), 1))) * (CODE(MID(#REF!, ROW(INDIRECT("1:" &amp; LEN(#REF!))), 1)) &lt;= 57)), 1) - 1), FIND(":",#REF!) + 2, LEN(#REF!))</f>
        <v>#REF!</v>
      </c>
      <c r="G1221" s="251" t="e">
        <f>MID(LEFT(#REF!, FIND(",",#REF!) - 1), FIND("{token}", SUBSTITUTE(#REF!, " ", "{token}", 2)) + 1, LEN(#REF!))</f>
        <v>#REF!</v>
      </c>
      <c r="H1221" s="303" t="s">
        <v>3845</v>
      </c>
      <c r="I1221" s="304">
        <v>45653</v>
      </c>
      <c r="J1221" s="401" t="s">
        <v>310</v>
      </c>
      <c r="K1221" s="402">
        <v>45757</v>
      </c>
      <c r="L1221" s="274"/>
      <c r="M1221" s="297">
        <v>1254</v>
      </c>
      <c r="N1221" s="2" t="str">
        <f t="shared" ca="1" si="37"/>
        <v>CLOSED</v>
      </c>
    </row>
    <row r="1222" spans="1:14" ht="30">
      <c r="A1222" s="90" t="s">
        <v>500</v>
      </c>
      <c r="B1222" s="98" t="e">
        <f>VLOOKUP([2]!Table27[[#This Row],[Location 
(drop-down)]],'[2]List source'!D$2:E$59,2,FALSE)</f>
        <v>#VALUE!</v>
      </c>
      <c r="C1222" s="182" t="s">
        <v>3846</v>
      </c>
      <c r="D1222" s="377" t="e">
        <f t="shared" si="38"/>
        <v>#VALUE!</v>
      </c>
      <c r="E1222" s="227" t="s">
        <v>3847</v>
      </c>
      <c r="F1222" s="165" t="e" cm="1">
        <f t="array" aca="1" ref="F1222" ca="1">MID(LEFT(#REF!, INDEX(_xlfn._xlws.FILTER(ROW(INDIRECT("1:" &amp; LEN(#REF!))), (48 &lt;= CODE(MID(#REF!, ROW(INDIRECT("1:" &amp; LEN(#REF!))), 1))) * (CODE(MID(#REF!, ROW(INDIRECT("1:" &amp; LEN(#REF!))), 1)) &lt;= 57)), 1) - 1), FIND(":",#REF!) + 2, LEN(#REF!))</f>
        <v>#REF!</v>
      </c>
      <c r="G1222" s="227" t="e">
        <f>MID(LEFT(#REF!, FIND(",",#REF!) - 1), FIND("{token}", SUBSTITUTE(#REF!, " ", "{token}", 2)) + 1, LEN(#REF!))</f>
        <v>#REF!</v>
      </c>
      <c r="H1222" s="236" t="s">
        <v>3848</v>
      </c>
      <c r="I1222" s="230">
        <v>45513</v>
      </c>
      <c r="J1222" s="342" t="s">
        <v>310</v>
      </c>
      <c r="K1222" s="221">
        <v>45758</v>
      </c>
      <c r="L1222" s="165"/>
      <c r="M1222" s="222">
        <v>765</v>
      </c>
      <c r="N1222" s="2" t="str">
        <f t="shared" ca="1" si="37"/>
        <v>CLOSED</v>
      </c>
    </row>
    <row r="1223" spans="1:14" ht="30">
      <c r="A1223" s="90" t="s">
        <v>500</v>
      </c>
      <c r="B1223" s="98" t="e">
        <f>VLOOKUP([2]!Table27[[#This Row],[Location 
(drop-down)]],'[2]List source'!D$2:E$59,2,FALSE)</f>
        <v>#VALUE!</v>
      </c>
      <c r="C1223" s="182" t="s">
        <v>3849</v>
      </c>
      <c r="D1223" s="392" t="e">
        <f t="shared" si="38"/>
        <v>#VALUE!</v>
      </c>
      <c r="E1223" s="227" t="s">
        <v>3850</v>
      </c>
      <c r="F1223" s="165" t="s">
        <v>1520</v>
      </c>
      <c r="G1223" s="227" t="e">
        <f>MID(LEFT(#REF!, FIND(",",#REF!) - 1), FIND("{token}", SUBSTITUTE(#REF!, " ", "{token}", 2)) + 1, LEN(#REF!))</f>
        <v>#REF!</v>
      </c>
      <c r="H1223" s="165" t="s">
        <v>3851</v>
      </c>
      <c r="I1223" s="230">
        <v>45582</v>
      </c>
      <c r="J1223" s="342" t="s">
        <v>310</v>
      </c>
      <c r="K1223" s="221">
        <v>45758</v>
      </c>
      <c r="L1223" s="165"/>
      <c r="M1223" s="222">
        <v>1018</v>
      </c>
      <c r="N1223" s="2" t="str">
        <f t="shared" ca="1" si="37"/>
        <v>CLOSED</v>
      </c>
    </row>
    <row r="1224" spans="1:14" ht="30">
      <c r="A1224" s="90" t="s">
        <v>500</v>
      </c>
      <c r="B1224" s="98" t="e">
        <f>VLOOKUP([2]!Table27[[#This Row],[Location 
(drop-down)]],'[2]List source'!D$2:E$59,2,FALSE)</f>
        <v>#VALUE!</v>
      </c>
      <c r="C1224" s="182" t="s">
        <v>3852</v>
      </c>
      <c r="D1224" s="392" t="e">
        <f t="shared" si="38"/>
        <v>#VALUE!</v>
      </c>
      <c r="E1224" s="227" t="s">
        <v>3853</v>
      </c>
      <c r="F1224" s="165" t="s">
        <v>1520</v>
      </c>
      <c r="G1224" s="227" t="e">
        <f>MID(LEFT(#REF!, FIND(",",#REF!) - 1), FIND("{token}", SUBSTITUTE(#REF!, " ", "{token}", 2)) + 1, LEN(#REF!))</f>
        <v>#REF!</v>
      </c>
      <c r="H1224" s="236" t="s">
        <v>1965</v>
      </c>
      <c r="I1224" s="230">
        <v>45652</v>
      </c>
      <c r="J1224" s="342" t="s">
        <v>310</v>
      </c>
      <c r="K1224" s="221">
        <v>45758</v>
      </c>
      <c r="L1224" s="165"/>
      <c r="M1224" s="222">
        <v>1234</v>
      </c>
      <c r="N1224" s="2" t="str">
        <f t="shared" ca="1" si="37"/>
        <v>CLOSED</v>
      </c>
    </row>
    <row r="1225" spans="1:14" ht="30">
      <c r="A1225" s="90" t="s">
        <v>500</v>
      </c>
      <c r="B1225" s="98" t="e">
        <f>VLOOKUP([2]!Table27[[#This Row],[Location 
(drop-down)]],'[2]List source'!D$2:E$59,2,FALSE)</f>
        <v>#VALUE!</v>
      </c>
      <c r="C1225" s="182" t="s">
        <v>3854</v>
      </c>
      <c r="D1225" s="392" t="e">
        <f t="shared" si="38"/>
        <v>#VALUE!</v>
      </c>
      <c r="E1225" s="227" t="s">
        <v>3855</v>
      </c>
      <c r="F1225" s="165" t="s">
        <v>1520</v>
      </c>
      <c r="G1225" s="227" t="e">
        <f>MID(LEFT(#REF!, FIND(",",#REF!) - 1), FIND("{token}", SUBSTITUTE(#REF!, " ", "{token}", 2)) + 1, LEN(#REF!))</f>
        <v>#REF!</v>
      </c>
      <c r="H1225" s="236" t="s">
        <v>3856</v>
      </c>
      <c r="I1225" s="230">
        <v>45652</v>
      </c>
      <c r="J1225" s="342" t="s">
        <v>310</v>
      </c>
      <c r="K1225" s="221">
        <v>45758</v>
      </c>
      <c r="L1225" s="165"/>
      <c r="M1225" s="222">
        <v>1237</v>
      </c>
      <c r="N1225" s="2" t="str">
        <f t="shared" ca="1" si="37"/>
        <v>CLOSED</v>
      </c>
    </row>
    <row r="1226" spans="1:14" ht="30">
      <c r="A1226" s="90" t="s">
        <v>500</v>
      </c>
      <c r="B1226" s="98" t="e">
        <f>VLOOKUP([2]!Table27[[#This Row],[Location 
(drop-down)]],'[2]List source'!D$2:E$59,2,FALSE)</f>
        <v>#VALUE!</v>
      </c>
      <c r="C1226" s="182" t="s">
        <v>3857</v>
      </c>
      <c r="D1226" s="392" t="e">
        <f t="shared" si="38"/>
        <v>#VALUE!</v>
      </c>
      <c r="E1226" s="227" t="s">
        <v>3858</v>
      </c>
      <c r="F1226" s="165" t="s">
        <v>1520</v>
      </c>
      <c r="G1226" s="227" t="e">
        <f>MID(LEFT(#REF!, FIND(",",#REF!) - 1), FIND("{token}", SUBSTITUTE(#REF!, " ", "{token}", 2)) + 1, LEN(#REF!))</f>
        <v>#REF!</v>
      </c>
      <c r="H1226" s="236" t="s">
        <v>1953</v>
      </c>
      <c r="I1226" s="230">
        <v>45652</v>
      </c>
      <c r="J1226" s="342" t="s">
        <v>310</v>
      </c>
      <c r="K1226" s="221">
        <v>45758</v>
      </c>
      <c r="L1226" s="165"/>
      <c r="M1226" s="222">
        <v>1238</v>
      </c>
      <c r="N1226" s="2" t="str">
        <f t="shared" ca="1" si="37"/>
        <v>CLOSED</v>
      </c>
    </row>
    <row r="1227" spans="1:14" ht="30">
      <c r="A1227" s="90" t="s">
        <v>500</v>
      </c>
      <c r="B1227" s="98" t="e">
        <f>VLOOKUP([2]!Table27[[#This Row],[Location 
(drop-down)]],'[2]List source'!D$2:E$59,2,FALSE)</f>
        <v>#VALUE!</v>
      </c>
      <c r="C1227" s="182" t="s">
        <v>3859</v>
      </c>
      <c r="D1227" s="392" t="e">
        <f t="shared" si="38"/>
        <v>#VALUE!</v>
      </c>
      <c r="E1227" s="227" t="s">
        <v>3860</v>
      </c>
      <c r="F1227" s="165" t="e" cm="1">
        <f t="array" aca="1" ref="F1227" ca="1">MID(LEFT(#REF!, INDEX(_xlfn._xlws.FILTER(ROW(INDIRECT("1:" &amp; LEN(#REF!))), (48 &lt;= CODE(MID(#REF!, ROW(INDIRECT("1:" &amp; LEN(#REF!))), 1))) * (CODE(MID(#REF!, ROW(INDIRECT("1:" &amp; LEN(#REF!))), 1)) &lt;= 57)), 1) - 1), FIND(":",#REF!) + 2, LEN(#REF!))</f>
        <v>#REF!</v>
      </c>
      <c r="G1227" s="227" t="e">
        <f>MID(LEFT(#REF!, FIND(",",#REF!) - 1), FIND("{token}", SUBSTITUTE(#REF!, " ", "{token}", 2)) + 1, LEN(#REF!))</f>
        <v>#REF!</v>
      </c>
      <c r="H1227" s="165" t="s">
        <v>3861</v>
      </c>
      <c r="I1227" s="230">
        <v>45653</v>
      </c>
      <c r="J1227" s="342" t="s">
        <v>310</v>
      </c>
      <c r="K1227" s="221">
        <v>45758</v>
      </c>
      <c r="L1227" s="165"/>
      <c r="M1227" s="222">
        <v>1256</v>
      </c>
      <c r="N1227" s="2" t="str">
        <f t="shared" ca="1" si="37"/>
        <v>CLOSED</v>
      </c>
    </row>
    <row r="1228" spans="1:14" ht="15">
      <c r="A1228" s="64" t="s">
        <v>314</v>
      </c>
      <c r="B1228" s="98" t="e">
        <f>VLOOKUP([2]!Table27[[#This Row],[Location 
(drop-down)]],'[2]List source'!D$2:E$59,2,FALSE)</f>
        <v>#VALUE!</v>
      </c>
      <c r="C1228" s="179" t="s">
        <v>3862</v>
      </c>
      <c r="D1228" s="2" t="e">
        <f t="shared" si="38"/>
        <v>#VALUE!</v>
      </c>
      <c r="E1228" s="227" t="s">
        <v>3863</v>
      </c>
      <c r="F1228" s="165" t="e" cm="1">
        <f t="array" aca="1" ref="F1228" ca="1">MID(LEFT(#REF!, INDEX(_xlfn._xlws.FILTER(ROW(INDIRECT("1:" &amp; LEN(#REF!))), (48 &lt;= CODE(MID(#REF!, ROW(INDIRECT("1:" &amp; LEN(#REF!))), 1))) * (CODE(MID(#REF!, ROW(INDIRECT("1:" &amp; LEN(#REF!))), 1)) &lt;= 57)), 1) - 1), FIND(":",#REF!) + 2, LEN(#REF!))</f>
        <v>#REF!</v>
      </c>
      <c r="G1228" s="227" t="e">
        <f>MID(LEFT(#REF!, FIND(",",#REF!) - 1), FIND("{token}", SUBSTITUTE(#REF!, " ", "{token}", 2)) + 1, LEN(#REF!))</f>
        <v>#REF!</v>
      </c>
      <c r="H1228" s="236" t="s">
        <v>1653</v>
      </c>
      <c r="I1228" s="230">
        <v>45657</v>
      </c>
      <c r="J1228" s="230" t="s">
        <v>327</v>
      </c>
      <c r="K1228" s="226">
        <v>45758</v>
      </c>
      <c r="L1228" s="165"/>
      <c r="M1228" s="222">
        <v>1357</v>
      </c>
      <c r="N1228" s="2" t="str">
        <f t="shared" ca="1" si="37"/>
        <v>CLOSED</v>
      </c>
    </row>
    <row r="1229" spans="1:14" ht="15">
      <c r="A1229" s="64" t="s">
        <v>314</v>
      </c>
      <c r="B1229" s="98" t="e">
        <f>VLOOKUP([2]!Table27[[#This Row],[Location 
(drop-down)]],'[2]List source'!D$2:E$59,2,FALSE)</f>
        <v>#VALUE!</v>
      </c>
      <c r="C1229" s="179" t="s">
        <v>3864</v>
      </c>
      <c r="D1229" s="2" t="e">
        <f t="shared" si="38"/>
        <v>#VALUE!</v>
      </c>
      <c r="E1229" s="227" t="s">
        <v>3549</v>
      </c>
      <c r="F1229" s="165" t="e" cm="1">
        <f t="array" aca="1" ref="F1229" ca="1">MID(LEFT(#REF!, INDEX(_xlfn._xlws.FILTER(ROW(INDIRECT("1:" &amp; LEN(#REF!))), (48 &lt;= CODE(MID(#REF!, ROW(INDIRECT("1:" &amp; LEN(#REF!))), 1))) * (CODE(MID(#REF!, ROW(INDIRECT("1:" &amp; LEN(#REF!))), 1)) &lt;= 57)), 1) - 1), FIND(":",#REF!) + 2, LEN(#REF!))</f>
        <v>#REF!</v>
      </c>
      <c r="G1229" s="227" t="e">
        <f>MID(LEFT(#REF!, FIND(",",#REF!) - 1), FIND("{token}", SUBSTITUTE(#REF!, " ", "{token}", 2)) + 1, LEN(#REF!))</f>
        <v>#REF!</v>
      </c>
      <c r="H1229" s="236" t="s">
        <v>1971</v>
      </c>
      <c r="I1229" s="230">
        <v>45657</v>
      </c>
      <c r="J1229" s="230" t="s">
        <v>327</v>
      </c>
      <c r="K1229" s="226">
        <v>45758</v>
      </c>
      <c r="L1229" s="275"/>
      <c r="M1229" s="222">
        <v>1359</v>
      </c>
      <c r="N1229" s="2" t="str">
        <f t="shared" ca="1" si="37"/>
        <v>CLOSED</v>
      </c>
    </row>
    <row r="1230" spans="1:14" ht="30">
      <c r="A1230" s="90" t="s">
        <v>500</v>
      </c>
      <c r="B1230" s="98" t="e">
        <f>VLOOKUP([2]!Table27[[#This Row],[Location 
(drop-down)]],'[2]List source'!D$2:E$59,2,FALSE)</f>
        <v>#VALUE!</v>
      </c>
      <c r="C1230" s="182" t="s">
        <v>3865</v>
      </c>
      <c r="D1230" s="392" t="e">
        <f t="shared" si="38"/>
        <v>#VALUE!</v>
      </c>
      <c r="E1230" s="227" t="s">
        <v>3866</v>
      </c>
      <c r="F1230" s="165" t="e" cm="1">
        <f t="array" aca="1" ref="F1230" ca="1">MID(LEFT(#REF!, INDEX(_xlfn._xlws.FILTER(ROW(INDIRECT("1:" &amp; LEN(#REF!))), (48 &lt;= CODE(MID(#REF!, ROW(INDIRECT("1:" &amp; LEN(#REF!))), 1))) * (CODE(MID(#REF!, ROW(INDIRECT("1:" &amp; LEN(#REF!))), 1)) &lt;= 57)), 1) - 1), FIND(":",#REF!) + 2, LEN(#REF!))</f>
        <v>#REF!</v>
      </c>
      <c r="G1230" s="227" t="e">
        <f>MID(LEFT(#REF!, FIND(",",#REF!) - 1), FIND("{token}", SUBSTITUTE(#REF!, " ", "{token}", 2)) + 1, LEN(#REF!))</f>
        <v>#REF!</v>
      </c>
      <c r="H1230" s="165" t="s">
        <v>3867</v>
      </c>
      <c r="I1230" s="230">
        <v>45657</v>
      </c>
      <c r="J1230" s="342" t="s">
        <v>310</v>
      </c>
      <c r="K1230" s="221">
        <v>45758</v>
      </c>
      <c r="L1230" s="275"/>
      <c r="M1230" s="222">
        <v>1366</v>
      </c>
      <c r="N1230" s="2" t="str">
        <f t="shared" ca="1" si="37"/>
        <v>CLOSED</v>
      </c>
    </row>
    <row r="1231" spans="1:14" ht="15">
      <c r="A1231" s="64" t="s">
        <v>314</v>
      </c>
      <c r="B1231" s="98" t="e">
        <f>VLOOKUP([2]!Table27[[#This Row],[Location 
(drop-down)]],'[2]List source'!D$2:E$59,2,FALSE)</f>
        <v>#VALUE!</v>
      </c>
      <c r="C1231" s="179" t="s">
        <v>3868</v>
      </c>
      <c r="D1231" s="2" t="e">
        <f t="shared" si="38"/>
        <v>#VALUE!</v>
      </c>
      <c r="E1231" s="227" t="s">
        <v>3869</v>
      </c>
      <c r="F1231" s="165" t="s">
        <v>1524</v>
      </c>
      <c r="G1231" s="227" t="e">
        <f>MID(LEFT(#REF!, FIND(",",#REF!) - 1), FIND("{token}", SUBSTITUTE(#REF!, " ", "{token}", 2)) + 1, LEN(#REF!))</f>
        <v>#REF!</v>
      </c>
      <c r="H1231" s="236" t="s">
        <v>3870</v>
      </c>
      <c r="I1231" s="230">
        <v>45657</v>
      </c>
      <c r="J1231" s="230" t="s">
        <v>327</v>
      </c>
      <c r="K1231" s="226">
        <v>45758</v>
      </c>
      <c r="L1231" s="165"/>
      <c r="M1231" s="222">
        <v>1385</v>
      </c>
      <c r="N1231" s="2" t="str">
        <f t="shared" ca="1" si="37"/>
        <v>CLOSED</v>
      </c>
    </row>
    <row r="1232" spans="1:14" ht="30">
      <c r="A1232" s="64" t="s">
        <v>294</v>
      </c>
      <c r="B1232" s="98" t="e">
        <f>VLOOKUP([2]!Table27[[#This Row],[Location 
(drop-down)]],'[2]List source'!D$2:E$59,2,FALSE)</f>
        <v>#VALUE!</v>
      </c>
      <c r="C1232" s="179" t="s">
        <v>1240</v>
      </c>
      <c r="D1232" s="378" t="e">
        <f t="shared" si="38"/>
        <v>#VALUE!</v>
      </c>
      <c r="E1232" s="227" t="s">
        <v>3871</v>
      </c>
      <c r="F1232" s="165" t="e" cm="1">
        <f t="array" aca="1" ref="F1232" ca="1">MID(LEFT(#REF!, INDEX(_xlfn._xlws.FILTER(ROW(INDIRECT("1:" &amp; LEN(#REF!))), (48 &lt;= CODE(MID(#REF!, ROW(INDIRECT("1:" &amp; LEN(#REF!))), 1))) * (CODE(MID(#REF!, ROW(INDIRECT("1:" &amp; LEN(#REF!))), 1)) &lt;= 57)), 1) - 1), FIND(":",#REF!) + 2, LEN(#REF!))</f>
        <v>#REF!</v>
      </c>
      <c r="G1232" s="227" t="e">
        <f>MID(LEFT(#REF!, FIND(",",#REF!) - 1), FIND("{token}", SUBSTITUTE(#REF!, " ", "{token}", 2)) + 1, LEN(#REF!))</f>
        <v>#REF!</v>
      </c>
      <c r="H1232" s="165">
        <v>-2.12</v>
      </c>
      <c r="I1232" s="260">
        <v>45397</v>
      </c>
      <c r="J1232" s="230" t="s">
        <v>34</v>
      </c>
      <c r="K1232" s="226">
        <v>45759</v>
      </c>
      <c r="L1232" s="165" t="s">
        <v>3872</v>
      </c>
      <c r="M1232" s="222">
        <v>196</v>
      </c>
      <c r="N1232" s="2" t="str">
        <f t="shared" ca="1" si="37"/>
        <v>CLOSED</v>
      </c>
    </row>
    <row r="1233" spans="1:14" ht="18.75">
      <c r="A1233" s="64" t="s">
        <v>314</v>
      </c>
      <c r="B1233" s="98" t="e">
        <f>VLOOKUP([2]!Table27[[#This Row],[Location 
(drop-down)]],'[2]List source'!D$2:E$59,2,FALSE)</f>
        <v>#VALUE!</v>
      </c>
      <c r="C1233" s="179" t="s">
        <v>489</v>
      </c>
      <c r="D1233" s="378" t="e">
        <f t="shared" si="38"/>
        <v>#VALUE!</v>
      </c>
      <c r="E1233" s="227" t="s">
        <v>3873</v>
      </c>
      <c r="F1233" s="165" t="e" cm="1">
        <f t="array" aca="1" ref="F1233" ca="1">MID(LEFT(#REF!, INDEX(_xlfn._xlws.FILTER(ROW(INDIRECT("1:" &amp; LEN(#REF!))), (48 &lt;= CODE(MID(#REF!, ROW(INDIRECT("1:" &amp; LEN(#REF!))), 1))) * (CODE(MID(#REF!, ROW(INDIRECT("1:" &amp; LEN(#REF!))), 1)) &lt;= 57)), 1) - 1), FIND(":",#REF!) + 2, LEN(#REF!))</f>
        <v>#REF!</v>
      </c>
      <c r="G1233" s="227" t="e">
        <f>MID(LEFT(#REF!, FIND(",",#REF!) - 1), FIND("{token}", SUBSTITUTE(#REF!, " ", "{token}", 2)) + 1, LEN(#REF!))</f>
        <v>#REF!</v>
      </c>
      <c r="H1233" s="236" t="s">
        <v>3874</v>
      </c>
      <c r="I1233" s="230">
        <v>45306</v>
      </c>
      <c r="J1233" s="230" t="s">
        <v>327</v>
      </c>
      <c r="K1233" s="226">
        <v>45761</v>
      </c>
      <c r="L1233" s="165"/>
      <c r="M1233" s="222">
        <v>40</v>
      </c>
      <c r="N1233" s="2" t="str">
        <f t="shared" ca="1" si="37"/>
        <v>CLOSED</v>
      </c>
    </row>
    <row r="1234" spans="1:14" ht="30">
      <c r="A1234" s="64" t="s">
        <v>485</v>
      </c>
      <c r="B1234" s="98" t="e">
        <f>VLOOKUP([2]!Table27[[#This Row],[Location 
(drop-down)]],'[2]List source'!D$2:E$59,2,FALSE)</f>
        <v>#VALUE!</v>
      </c>
      <c r="C1234" s="179" t="s">
        <v>3875</v>
      </c>
      <c r="D1234" s="379" t="e">
        <f t="shared" si="38"/>
        <v>#VALUE!</v>
      </c>
      <c r="E1234" s="227" t="s">
        <v>3876</v>
      </c>
      <c r="F1234" s="165" t="e" cm="1">
        <f t="array" aca="1" ref="F1234" ca="1">MID(LEFT(#REF!, INDEX(_xlfn._xlws.FILTER(ROW(INDIRECT("1:" &amp; LEN(#REF!))), (48 &lt;= CODE(MID(#REF!, ROW(INDIRECT("1:" &amp; LEN(#REF!))), 1))) * (CODE(MID(#REF!, ROW(INDIRECT("1:" &amp; LEN(#REF!))), 1)) &lt;= 57)), 1) - 1), FIND(":",#REF!) + 2, LEN(#REF!))</f>
        <v>#REF!</v>
      </c>
      <c r="G1234" s="227" t="e">
        <f>MID(LEFT(#REF!, FIND(",",#REF!) - 1), FIND("{token}", SUBSTITUTE(#REF!, " ", "{token}", 2)) + 1, LEN(#REF!))</f>
        <v>#REF!</v>
      </c>
      <c r="H1234" s="236" t="s">
        <v>2119</v>
      </c>
      <c r="I1234" s="230">
        <v>45540</v>
      </c>
      <c r="J1234" s="230" t="s">
        <v>327</v>
      </c>
      <c r="K1234" s="226">
        <v>45761</v>
      </c>
      <c r="L1234" s="165"/>
      <c r="M1234" s="222">
        <v>916</v>
      </c>
      <c r="N1234" s="2" t="str">
        <f t="shared" ca="1" si="37"/>
        <v>CLOSED</v>
      </c>
    </row>
    <row r="1235" spans="1:14" ht="30">
      <c r="A1235" s="64" t="s">
        <v>294</v>
      </c>
      <c r="B1235" s="98" t="e">
        <f>VLOOKUP([2]!Table27[[#This Row],[Location 
(drop-down)]],'[2]List source'!D$2:E$59,2,FALSE)</f>
        <v>#VALUE!</v>
      </c>
      <c r="C1235" s="179" t="s">
        <v>3877</v>
      </c>
      <c r="D1235" s="2" t="e">
        <f t="shared" si="38"/>
        <v>#VALUE!</v>
      </c>
      <c r="E1235" s="227" t="s">
        <v>3878</v>
      </c>
      <c r="F1235" s="165" t="s">
        <v>1520</v>
      </c>
      <c r="G1235" s="227" t="e">
        <f>MID(LEFT(#REF!, FIND(",",#REF!) - 1), FIND("{token}", SUBSTITUTE(#REF!, " ", "{token}", 2)) + 1, LEN(#REF!))</f>
        <v>#REF!</v>
      </c>
      <c r="H1235" s="165">
        <v>2.4</v>
      </c>
      <c r="I1235" s="230">
        <v>45644</v>
      </c>
      <c r="J1235" s="230" t="s">
        <v>327</v>
      </c>
      <c r="K1235" s="226">
        <v>45761</v>
      </c>
      <c r="L1235" s="165"/>
      <c r="M1235" s="222">
        <v>1169</v>
      </c>
      <c r="N1235" s="2" t="str">
        <f t="shared" ca="1" si="37"/>
        <v>CLOSED</v>
      </c>
    </row>
    <row r="1236" spans="1:14" ht="30">
      <c r="A1236" s="90" t="s">
        <v>500</v>
      </c>
      <c r="B1236" s="98" t="e">
        <f>VLOOKUP([2]!Table27[[#This Row],[Location 
(drop-down)]],'[2]List source'!D$2:E$59,2,FALSE)</f>
        <v>#VALUE!</v>
      </c>
      <c r="C1236" s="182" t="s">
        <v>3879</v>
      </c>
      <c r="D1236" s="392" t="e">
        <f t="shared" si="38"/>
        <v>#VALUE!</v>
      </c>
      <c r="E1236" s="227" t="s">
        <v>3880</v>
      </c>
      <c r="F1236" s="165" t="e" cm="1">
        <f t="array" aca="1" ref="F1236" ca="1">MID(LEFT(#REF!, INDEX(_xlfn._xlws.FILTER(ROW(INDIRECT("1:" &amp; LEN(#REF!))), (48 &lt;= CODE(MID(#REF!, ROW(INDIRECT("1:" &amp; LEN(#REF!))), 1))) * (CODE(MID(#REF!, ROW(INDIRECT("1:" &amp; LEN(#REF!))), 1)) &lt;= 57)), 1) - 1), FIND(":",#REF!) + 2, LEN(#REF!))</f>
        <v>#REF!</v>
      </c>
      <c r="G1236" s="227" t="e">
        <f>MID(LEFT(#REF!, FIND(",",#REF!) - 1), FIND("{token}", SUBSTITUTE(#REF!, " ", "{token}", 2)) + 1, LEN(#REF!))</f>
        <v>#REF!</v>
      </c>
      <c r="H1236" s="165">
        <v>5.13</v>
      </c>
      <c r="I1236" s="230">
        <v>45645</v>
      </c>
      <c r="J1236" s="342" t="s">
        <v>310</v>
      </c>
      <c r="K1236" s="221">
        <v>45761</v>
      </c>
      <c r="L1236" s="275"/>
      <c r="M1236" s="222">
        <v>1181</v>
      </c>
      <c r="N1236" s="2" t="str">
        <f t="shared" ca="1" si="37"/>
        <v>CLOSED</v>
      </c>
    </row>
    <row r="1237" spans="1:14" ht="30">
      <c r="A1237" s="64" t="s">
        <v>73</v>
      </c>
      <c r="B1237" s="98" t="e">
        <f>VLOOKUP([2]!Table27[[#This Row],[Location 
(drop-down)]],'[2]List source'!D$2:E$59,2,FALSE)</f>
        <v>#VALUE!</v>
      </c>
      <c r="C1237" s="179" t="s">
        <v>3881</v>
      </c>
      <c r="D1237" s="2" t="e">
        <f t="shared" si="38"/>
        <v>#VALUE!</v>
      </c>
      <c r="E1237" s="227" t="s">
        <v>3882</v>
      </c>
      <c r="F1237" s="165" t="s">
        <v>1520</v>
      </c>
      <c r="G1237" s="227" t="e">
        <f>MID(LEFT(#REF!, FIND(",",#REF!) - 1), FIND("{token}", SUBSTITUTE(#REF!, " ", "{token}", 2)) + 1, LEN(#REF!))</f>
        <v>#REF!</v>
      </c>
      <c r="H1237" s="165">
        <v>3.01</v>
      </c>
      <c r="I1237" s="230">
        <v>45652</v>
      </c>
      <c r="J1237" s="230" t="s">
        <v>239</v>
      </c>
      <c r="K1237" s="226">
        <v>45761</v>
      </c>
      <c r="L1237" s="165"/>
      <c r="M1237" s="222">
        <v>1231</v>
      </c>
      <c r="N1237" s="2" t="str">
        <f t="shared" ca="1" si="37"/>
        <v>CLOSED</v>
      </c>
    </row>
    <row r="1238" spans="1:14" ht="18.75">
      <c r="A1238" s="90" t="s">
        <v>167</v>
      </c>
      <c r="B1238" s="98" t="e">
        <f>VLOOKUP([2]!Table27[[#This Row],[Location 
(drop-down)]],'[2]List source'!D$2:E$59,2,FALSE)</f>
        <v>#VALUE!</v>
      </c>
      <c r="C1238" s="182" t="s">
        <v>3883</v>
      </c>
      <c r="D1238" s="393" t="e">
        <f t="shared" si="38"/>
        <v>#VALUE!</v>
      </c>
      <c r="E1238" s="227" t="s">
        <v>3884</v>
      </c>
      <c r="F1238" s="165" t="e" cm="1">
        <f t="array" aca="1" ref="F1238" ca="1">MID(LEFT(#REF!, INDEX(_xlfn._xlws.FILTER(ROW(INDIRECT("1:" &amp; LEN(#REF!))), (48 &lt;= CODE(MID(#REF!, ROW(INDIRECT("1:" &amp; LEN(#REF!))), 1))) * (CODE(MID(#REF!, ROW(INDIRECT("1:" &amp; LEN(#REF!))), 1)) &lt;= 57)), 1) - 1), FIND(":",#REF!) + 2, LEN(#REF!))</f>
        <v>#REF!</v>
      </c>
      <c r="G1238" s="227" t="e">
        <f>MID(LEFT(#REF!, FIND(",",#REF!) - 1), FIND("{token}", SUBSTITUTE(#REF!, " ", "{token}", 2)) + 1, LEN(#REF!))</f>
        <v>#REF!</v>
      </c>
      <c r="H1238" s="236" t="s">
        <v>3885</v>
      </c>
      <c r="I1238" s="230">
        <v>45534</v>
      </c>
      <c r="J1238" s="342" t="s">
        <v>310</v>
      </c>
      <c r="K1238" s="221">
        <v>45762</v>
      </c>
      <c r="L1238" s="165"/>
      <c r="M1238" s="222">
        <v>873</v>
      </c>
      <c r="N1238" s="2" t="str">
        <f t="shared" ca="1" si="37"/>
        <v>CLOSED</v>
      </c>
    </row>
    <row r="1239" spans="1:14" ht="15">
      <c r="A1239" s="188" t="s">
        <v>500</v>
      </c>
      <c r="B1239" s="98" t="e">
        <f>VLOOKUP([2]!Table27[[#This Row],[Location 
(drop-down)]],'[2]List source'!D$2:E$59,2,FALSE)</f>
        <v>#VALUE!</v>
      </c>
      <c r="C1239" s="182" t="s">
        <v>3886</v>
      </c>
      <c r="D1239" s="392" t="e">
        <f t="shared" si="38"/>
        <v>#VALUE!</v>
      </c>
      <c r="E1239" s="227" t="s">
        <v>3887</v>
      </c>
      <c r="F1239" s="165" t="e" cm="1">
        <f t="array" aca="1" ref="F1239" ca="1">MID(LEFT(#REF!, INDEX(_xlfn._xlws.FILTER(ROW(INDIRECT("1:" &amp; LEN(#REF!))), (48 &lt;= CODE(MID(#REF!, ROW(INDIRECT("1:" &amp; LEN(#REF!))), 1))) * (CODE(MID(#REF!, ROW(INDIRECT("1:" &amp; LEN(#REF!))), 1)) &lt;= 57)), 1) - 1), FIND(":",#REF!) + 2, LEN(#REF!))</f>
        <v>#REF!</v>
      </c>
      <c r="G1239" s="227" t="e">
        <f>MID(LEFT(#REF!, FIND(",",#REF!) - 1), FIND("{token}", SUBSTITUTE(#REF!, " ", "{token}", 2)) + 1, LEN(#REF!))</f>
        <v>#REF!</v>
      </c>
      <c r="H1239" s="165">
        <v>2.15</v>
      </c>
      <c r="I1239" s="230">
        <v>45594</v>
      </c>
      <c r="J1239" s="342" t="s">
        <v>310</v>
      </c>
      <c r="K1239" s="221">
        <v>45762</v>
      </c>
      <c r="L1239" s="275"/>
      <c r="M1239" s="222">
        <v>1058</v>
      </c>
      <c r="N1239" s="2" t="str">
        <f t="shared" ca="1" si="37"/>
        <v>CLOSED</v>
      </c>
    </row>
    <row r="1240" spans="1:14" ht="30">
      <c r="A1240" s="90" t="s">
        <v>500</v>
      </c>
      <c r="B1240" s="98" t="e">
        <f>VLOOKUP([2]!Table27[[#This Row],[Location 
(drop-down)]],'[2]List source'!D$2:E$59,2,FALSE)</f>
        <v>#VALUE!</v>
      </c>
      <c r="C1240" s="182" t="s">
        <v>3888</v>
      </c>
      <c r="D1240" s="392" t="e">
        <f t="shared" si="38"/>
        <v>#VALUE!</v>
      </c>
      <c r="E1240" s="227" t="s">
        <v>3889</v>
      </c>
      <c r="F1240" s="165" t="e" cm="1">
        <f t="array" aca="1" ref="F1240" ca="1">MID(LEFT(#REF!, INDEX(_xlfn._xlws.FILTER(ROW(INDIRECT("1:" &amp; LEN(#REF!))), (48 &lt;= CODE(MID(#REF!, ROW(INDIRECT("1:" &amp; LEN(#REF!))), 1))) * (CODE(MID(#REF!, ROW(INDIRECT("1:" &amp; LEN(#REF!))), 1)) &lt;= 57)), 1) - 1), FIND(":",#REF!) + 2, LEN(#REF!))</f>
        <v>#REF!</v>
      </c>
      <c r="G1240" s="227" t="e">
        <f>MID(LEFT(#REF!, FIND(",",#REF!) - 1), FIND("{token}", SUBSTITUTE(#REF!, " ", "{token}", 2)) + 1, LEN(#REF!))</f>
        <v>#REF!</v>
      </c>
      <c r="H1240" s="165">
        <v>8.08</v>
      </c>
      <c r="I1240" s="230">
        <v>45653</v>
      </c>
      <c r="J1240" s="342" t="s">
        <v>310</v>
      </c>
      <c r="K1240" s="221">
        <v>45762</v>
      </c>
      <c r="L1240" s="165"/>
      <c r="M1240" s="222">
        <v>1255</v>
      </c>
      <c r="N1240" s="2" t="str">
        <f t="shared" ref="N1240:N1303" ca="1" si="39">IF(ISBLANK(K1240), TODAY()-(I1240), "CLOSED")</f>
        <v>CLOSED</v>
      </c>
    </row>
    <row r="1241" spans="1:14" ht="30">
      <c r="A1241" s="64" t="s">
        <v>125</v>
      </c>
      <c r="B1241" s="98" t="e">
        <f>VLOOKUP([2]!Table27[[#This Row],[Location 
(drop-down)]],'[2]List source'!D$2:E$59,2,FALSE)</f>
        <v>#VALUE!</v>
      </c>
      <c r="C1241" s="179" t="s">
        <v>3890</v>
      </c>
      <c r="D1241" s="2" t="e">
        <f t="shared" si="38"/>
        <v>#VALUE!</v>
      </c>
      <c r="E1241" s="227" t="s">
        <v>3891</v>
      </c>
      <c r="F1241" s="165" t="e" cm="1">
        <f t="array" aca="1" ref="F1241" ca="1">MID(LEFT(#REF!, INDEX(_xlfn._xlws.FILTER(ROW(INDIRECT("1:" &amp; LEN(#REF!))), (48 &lt;= CODE(MID(#REF!, ROW(INDIRECT("1:" &amp; LEN(#REF!))), 1))) * (CODE(MID(#REF!, ROW(INDIRECT("1:" &amp; LEN(#REF!))), 1)) &lt;= 57)), 1) - 1), FIND(":",#REF!) + 2, LEN(#REF!))</f>
        <v>#REF!</v>
      </c>
      <c r="G1241" s="227" t="e">
        <f>MID(LEFT(#REF!, FIND(",",#REF!) - 1), FIND("{token}", SUBSTITUTE(#REF!, " ", "{token}", 2)) + 1, LEN(#REF!))</f>
        <v>#REF!</v>
      </c>
      <c r="H1241" s="165">
        <v>7.06</v>
      </c>
      <c r="I1241" s="230">
        <v>45657</v>
      </c>
      <c r="J1241" s="230" t="s">
        <v>111</v>
      </c>
      <c r="K1241" s="226">
        <v>45763</v>
      </c>
      <c r="L1241" s="165"/>
      <c r="M1241" s="222">
        <v>1323</v>
      </c>
      <c r="N1241" s="2" t="str">
        <f t="shared" ca="1" si="39"/>
        <v>CLOSED</v>
      </c>
    </row>
    <row r="1242" spans="1:14" ht="30">
      <c r="A1242" s="64" t="s">
        <v>185</v>
      </c>
      <c r="B1242" s="98" t="e">
        <f>VLOOKUP([2]!Table27[[#This Row],[Location 
(drop-down)]],'[2]List source'!D$2:E$59,2,FALSE)</f>
        <v>#VALUE!</v>
      </c>
      <c r="C1242" s="179" t="s">
        <v>3892</v>
      </c>
      <c r="D1242" s="378" t="e">
        <f t="shared" si="38"/>
        <v>#VALUE!</v>
      </c>
      <c r="E1242" s="227" t="s">
        <v>3893</v>
      </c>
      <c r="F1242" s="165" t="e" cm="1">
        <f t="array" aca="1" ref="F1242" ca="1">MID(LEFT(#REF!, INDEX(_xlfn._xlws.FILTER(ROW(INDIRECT("1:" &amp; LEN(#REF!))), (48 &lt;= CODE(MID(#REF!, ROW(INDIRECT("1:" &amp; LEN(#REF!))), 1))) * (CODE(MID(#REF!, ROW(INDIRECT("1:" &amp; LEN(#REF!))), 1)) &lt;= 57)), 1) - 1), FIND(":",#REF!) + 2, LEN(#REF!))</f>
        <v>#REF!</v>
      </c>
      <c r="G1242" s="227" t="e">
        <f>MID(LEFT(#REF!, FIND(",",#REF!) - 1), FIND("{token}", SUBSTITUTE(#REF!, " ", "{token}", 2)) + 1, LEN(#REF!))</f>
        <v>#REF!</v>
      </c>
      <c r="H1242" s="165">
        <v>2.5099999999999998</v>
      </c>
      <c r="I1242" s="230">
        <v>45495</v>
      </c>
      <c r="J1242" s="230" t="s">
        <v>29</v>
      </c>
      <c r="K1242" s="226">
        <v>45764</v>
      </c>
      <c r="L1242" s="275"/>
      <c r="M1242" s="222">
        <v>680</v>
      </c>
      <c r="N1242" s="2" t="str">
        <f t="shared" ca="1" si="39"/>
        <v>CLOSED</v>
      </c>
    </row>
    <row r="1243" spans="1:14" ht="30">
      <c r="A1243" s="85" t="s">
        <v>125</v>
      </c>
      <c r="B1243" s="98" t="e">
        <f>VLOOKUP([2]!Table27[[#This Row],[Location 
(drop-down)]],'[2]List source'!D$2:E$59,2,FALSE)</f>
        <v>#VALUE!</v>
      </c>
      <c r="C1243" s="183" t="s">
        <v>3894</v>
      </c>
      <c r="D1243" s="390" t="e">
        <f t="shared" si="38"/>
        <v>#VALUE!</v>
      </c>
      <c r="E1243" s="227" t="s">
        <v>3895</v>
      </c>
      <c r="F1243" s="165" t="s">
        <v>1520</v>
      </c>
      <c r="G1243" s="227" t="e">
        <f>MID(LEFT(#REF!, FIND(",",#REF!) - 1), FIND("{token}", SUBSTITUTE(#REF!, " ", "{token}", 2)) + 1, LEN(#REF!))</f>
        <v>#REF!</v>
      </c>
      <c r="H1243" s="165">
        <v>11.51</v>
      </c>
      <c r="I1243" s="230">
        <v>45548</v>
      </c>
      <c r="J1243" s="337" t="s">
        <v>111</v>
      </c>
      <c r="K1243" s="338">
        <v>45764</v>
      </c>
      <c r="L1243" s="275"/>
      <c r="M1243" s="222">
        <v>998</v>
      </c>
      <c r="N1243" s="2" t="str">
        <f t="shared" ca="1" si="39"/>
        <v>CLOSED</v>
      </c>
    </row>
    <row r="1244" spans="1:14" ht="30">
      <c r="A1244" s="64" t="s">
        <v>30</v>
      </c>
      <c r="B1244" s="98" t="e">
        <f>VLOOKUP([2]!Table27[[#This Row],[Location 
(drop-down)]],'[2]List source'!D$2:E$59,2,FALSE)</f>
        <v>#VALUE!</v>
      </c>
      <c r="C1244" s="179" t="s">
        <v>186</v>
      </c>
      <c r="D1244" s="378" t="e">
        <f t="shared" si="38"/>
        <v>#VALUE!</v>
      </c>
      <c r="E1244" s="227" t="s">
        <v>3896</v>
      </c>
      <c r="F1244" s="165" t="e" cm="1">
        <f t="array" aca="1" ref="F1244" ca="1">MID(LEFT(#REF!, INDEX(_xlfn._xlws.FILTER(ROW(INDIRECT("1:" &amp; LEN(#REF!))), (48 &lt;= CODE(MID(#REF!, ROW(INDIRECT("1:" &amp; LEN(#REF!))), 1))) * (CODE(MID(#REF!, ROW(INDIRECT("1:" &amp; LEN(#REF!))), 1)) &lt;= 57)), 1) - 1), FIND(":",#REF!) + 2, LEN(#REF!))</f>
        <v>#REF!</v>
      </c>
      <c r="G1244" s="227" t="e">
        <f>MID(LEFT(#REF!, FIND(",",#REF!) - 1), FIND("{token}", SUBSTITUTE(#REF!, " ", "{token}", 2)) + 1, LEN(#REF!))</f>
        <v>#REF!</v>
      </c>
      <c r="H1244" s="165" t="s">
        <v>3897</v>
      </c>
      <c r="I1244" s="230">
        <v>45418</v>
      </c>
      <c r="J1244" s="230" t="s">
        <v>111</v>
      </c>
      <c r="K1244" s="226">
        <v>45767</v>
      </c>
      <c r="L1244" s="275"/>
      <c r="M1244" s="222">
        <v>363</v>
      </c>
      <c r="N1244" s="2" t="str">
        <f t="shared" ca="1" si="39"/>
        <v>CLOSED</v>
      </c>
    </row>
    <row r="1245" spans="1:14" ht="30">
      <c r="A1245" s="64" t="s">
        <v>30</v>
      </c>
      <c r="B1245" s="98" t="e">
        <f>VLOOKUP([2]!Table27[[#This Row],[Location 
(drop-down)]],'[2]List source'!D$2:E$59,2,FALSE)</f>
        <v>#VALUE!</v>
      </c>
      <c r="C1245" s="179" t="s">
        <v>3898</v>
      </c>
      <c r="D1245" s="379" t="e">
        <f t="shared" si="38"/>
        <v>#VALUE!</v>
      </c>
      <c r="E1245" s="227" t="s">
        <v>3899</v>
      </c>
      <c r="F1245" s="165" t="e" cm="1">
        <f t="array" aca="1" ref="F1245" ca="1">MID(LEFT(#REF!, INDEX(_xlfn._xlws.FILTER(ROW(INDIRECT("1:" &amp; LEN(#REF!))), (48 &lt;= CODE(MID(#REF!, ROW(INDIRECT("1:" &amp; LEN(#REF!))), 1))) * (CODE(MID(#REF!, ROW(INDIRECT("1:" &amp; LEN(#REF!))), 1)) &lt;= 57)), 1) - 1), FIND(":",#REF!) + 2, LEN(#REF!))</f>
        <v>#REF!</v>
      </c>
      <c r="G1245" s="227" t="e">
        <f>MID(LEFT(#REF!, FIND(",",#REF!) - 1), FIND("{token}", SUBSTITUTE(#REF!, " ", "{token}", 2)) + 1, LEN(#REF!))</f>
        <v>#REF!</v>
      </c>
      <c r="H1245" s="236" t="s">
        <v>3900</v>
      </c>
      <c r="I1245" s="230">
        <v>45546</v>
      </c>
      <c r="J1245" s="230" t="s">
        <v>111</v>
      </c>
      <c r="K1245" s="226">
        <v>45767</v>
      </c>
      <c r="L1245" s="275"/>
      <c r="M1245" s="222">
        <v>961</v>
      </c>
      <c r="N1245" s="2" t="str">
        <f t="shared" ca="1" si="39"/>
        <v>CLOSED</v>
      </c>
    </row>
    <row r="1246" spans="1:14" ht="30">
      <c r="A1246" s="86" t="s">
        <v>73</v>
      </c>
      <c r="B1246" s="98" t="e">
        <f>VLOOKUP([2]!Table27[[#This Row],[Location 
(drop-down)]],'[2]List source'!D$2:E$59,2,FALSE)</f>
        <v>#VALUE!</v>
      </c>
      <c r="C1246" s="180" t="s">
        <v>1338</v>
      </c>
      <c r="D1246" s="396" t="e">
        <f t="shared" si="38"/>
        <v>#VALUE!</v>
      </c>
      <c r="E1246" s="231" t="s">
        <v>3901</v>
      </c>
      <c r="F1246" s="232" t="s">
        <v>1520</v>
      </c>
      <c r="G1246" s="231" t="e">
        <f>MID(LEFT(#REF!, FIND(",",#REF!) - 1), FIND("{token}", SUBSTITUTE(#REF!, " ", "{token}", 2)) + 1, LEN(#REF!))</f>
        <v>#REF!</v>
      </c>
      <c r="H1246" s="233" t="s">
        <v>1962</v>
      </c>
      <c r="I1246" s="234">
        <v>45426</v>
      </c>
      <c r="J1246" s="234" t="s">
        <v>239</v>
      </c>
      <c r="K1246" s="372">
        <v>45768</v>
      </c>
      <c r="L1246" s="165"/>
      <c r="M1246" s="222">
        <v>460</v>
      </c>
      <c r="N1246" s="2" t="str">
        <f t="shared" ca="1" si="39"/>
        <v>CLOSED</v>
      </c>
    </row>
    <row r="1247" spans="1:14" ht="30">
      <c r="A1247" s="85" t="s">
        <v>73</v>
      </c>
      <c r="B1247" s="98" t="e">
        <f>VLOOKUP([2]!Table27[[#This Row],[Location 
(drop-down)]],'[2]List source'!D$2:E$59,2,FALSE)</f>
        <v>#VALUE!</v>
      </c>
      <c r="C1247" s="183" t="s">
        <v>3902</v>
      </c>
      <c r="D1247" s="390" t="e">
        <f t="shared" si="38"/>
        <v>#VALUE!</v>
      </c>
      <c r="E1247" s="334" t="s">
        <v>3903</v>
      </c>
      <c r="F1247" s="335" t="e" cm="1">
        <f t="array" aca="1" ref="F1247" ca="1">MID(LEFT(#REF!, INDEX(_xlfn._xlws.FILTER(ROW(INDIRECT("1:" &amp; LEN(#REF!))), (48 &lt;= CODE(MID(#REF!, ROW(INDIRECT("1:" &amp; LEN(#REF!))), 1))) * (CODE(MID(#REF!, ROW(INDIRECT("1:" &amp; LEN(#REF!))), 1)) &lt;= 57)), 1) - 1), FIND(":",#REF!) + 2, LEN(#REF!))</f>
        <v>#REF!</v>
      </c>
      <c r="G1247" s="334" t="e">
        <f>MID(LEFT(#REF!, FIND(",",#REF!) - 1), FIND("{token}", SUBSTITUTE(#REF!, " ", "{token}", 2)) + 1, LEN(#REF!))</f>
        <v>#REF!</v>
      </c>
      <c r="H1247" s="335">
        <v>4.2300000000000004</v>
      </c>
      <c r="I1247" s="337">
        <v>45534</v>
      </c>
      <c r="J1247" s="337" t="s">
        <v>239</v>
      </c>
      <c r="K1247" s="338">
        <v>45768</v>
      </c>
      <c r="L1247" s="165"/>
      <c r="M1247" s="222">
        <v>882</v>
      </c>
      <c r="N1247" s="2" t="str">
        <f t="shared" ca="1" si="39"/>
        <v>CLOSED</v>
      </c>
    </row>
    <row r="1248" spans="1:14" ht="30">
      <c r="A1248" s="64" t="s">
        <v>125</v>
      </c>
      <c r="B1248" s="98" t="e">
        <f>VLOOKUP([2]!Table27[[#This Row],[Location 
(drop-down)]],'[2]List source'!D$2:E$59,2,FALSE)</f>
        <v>#VALUE!</v>
      </c>
      <c r="C1248" s="179" t="s">
        <v>3904</v>
      </c>
      <c r="D1248" s="379" t="e">
        <f t="shared" si="38"/>
        <v>#VALUE!</v>
      </c>
      <c r="E1248" s="227" t="s">
        <v>3905</v>
      </c>
      <c r="F1248" s="165" t="s">
        <v>1520</v>
      </c>
      <c r="G1248" s="227" t="e">
        <f>MID(LEFT(#REF!, FIND(",",#REF!) - 1), FIND("{token}", SUBSTITUTE(#REF!, " ", "{token}", 2)) + 1, LEN(#REF!))</f>
        <v>#REF!</v>
      </c>
      <c r="H1248" s="165">
        <v>8.0500000000000007</v>
      </c>
      <c r="I1248" s="230">
        <v>45548</v>
      </c>
      <c r="J1248" s="230" t="s">
        <v>239</v>
      </c>
      <c r="K1248" s="226">
        <v>45768</v>
      </c>
      <c r="L1248" s="275"/>
      <c r="M1248" s="222">
        <v>999</v>
      </c>
      <c r="N1248" s="2" t="str">
        <f t="shared" ca="1" si="39"/>
        <v>CLOSED</v>
      </c>
    </row>
    <row r="1249" spans="1:14" ht="30">
      <c r="A1249" s="86" t="s">
        <v>73</v>
      </c>
      <c r="B1249" s="98" t="e">
        <f>VLOOKUP([2]!Table27[[#This Row],[Location 
(drop-down)]],'[2]List source'!D$2:E$59,2,FALSE)</f>
        <v>#VALUE!</v>
      </c>
      <c r="C1249" s="180" t="s">
        <v>3906</v>
      </c>
      <c r="D1249" s="391" t="e">
        <f t="shared" si="38"/>
        <v>#VALUE!</v>
      </c>
      <c r="E1249" s="231" t="s">
        <v>3907</v>
      </c>
      <c r="F1249" s="232" t="e" cm="1">
        <f t="array" aca="1" ref="F1249" ca="1">MID(LEFT(#REF!, INDEX(_xlfn._xlws.FILTER(ROW(INDIRECT("1:" &amp; LEN(#REF!))), (48 &lt;= CODE(MID(#REF!, ROW(INDIRECT("1:" &amp; LEN(#REF!))), 1))) * (CODE(MID(#REF!, ROW(INDIRECT("1:" &amp; LEN(#REF!))), 1)) &lt;= 57)), 1) - 1), FIND(":",#REF!) + 2, LEN(#REF!))</f>
        <v>#REF!</v>
      </c>
      <c r="G1249" s="231" t="e">
        <f>MID(LEFT(#REF!, FIND(",",#REF!) - 1), FIND("{token}", SUBSTITUTE(#REF!, " ", "{token}", 2)) + 1, LEN(#REF!))</f>
        <v>#REF!</v>
      </c>
      <c r="H1249" s="233" t="s">
        <v>3908</v>
      </c>
      <c r="I1249" s="234">
        <v>45642</v>
      </c>
      <c r="J1249" s="234" t="s">
        <v>239</v>
      </c>
      <c r="K1249" s="372">
        <v>45768</v>
      </c>
      <c r="L1249" s="165"/>
      <c r="M1249" s="222">
        <v>1108</v>
      </c>
      <c r="N1249" s="2" t="str">
        <f t="shared" ca="1" si="39"/>
        <v>CLOSED</v>
      </c>
    </row>
    <row r="1250" spans="1:14" ht="30">
      <c r="A1250" s="64" t="s">
        <v>135</v>
      </c>
      <c r="B1250" s="98" t="e">
        <f>VLOOKUP([2]!Table27[[#This Row],[Location 
(drop-down)]],'[2]List source'!D$2:E$59,2,FALSE)</f>
        <v>#VALUE!</v>
      </c>
      <c r="C1250" s="179" t="s">
        <v>3909</v>
      </c>
      <c r="D1250" s="2" t="e">
        <f t="shared" si="38"/>
        <v>#VALUE!</v>
      </c>
      <c r="E1250" s="227" t="s">
        <v>3910</v>
      </c>
      <c r="F1250" s="165" t="e" cm="1">
        <f t="array" aca="1" ref="F1250" ca="1">MID(LEFT(#REF!, INDEX(_xlfn._xlws.FILTER(ROW(INDIRECT("1:" &amp; LEN(#REF!))), (48 &lt;= CODE(MID(#REF!, ROW(INDIRECT("1:" &amp; LEN(#REF!))), 1))) * (CODE(MID(#REF!, ROW(INDIRECT("1:" &amp; LEN(#REF!))), 1)) &lt;= 57)), 1) - 1), FIND(":",#REF!) + 2, LEN(#REF!))</f>
        <v>#REF!</v>
      </c>
      <c r="G1250" s="227" t="e">
        <f>MID(LEFT(#REF!, FIND(",",#REF!) - 1), FIND("{token}", SUBSTITUTE(#REF!, " ", "{token}", 2)) + 1, LEN(#REF!))</f>
        <v>#REF!</v>
      </c>
      <c r="H1250" s="165">
        <v>4.25</v>
      </c>
      <c r="I1250" s="230">
        <v>45645</v>
      </c>
      <c r="J1250" s="230" t="s">
        <v>21</v>
      </c>
      <c r="K1250" s="226">
        <v>45768</v>
      </c>
      <c r="L1250" s="165"/>
      <c r="M1250" s="222">
        <v>1179</v>
      </c>
      <c r="N1250" s="2" t="str">
        <f t="shared" ca="1" si="39"/>
        <v>CLOSED</v>
      </c>
    </row>
    <row r="1251" spans="1:14" ht="30">
      <c r="A1251" s="85" t="s">
        <v>73</v>
      </c>
      <c r="B1251" s="98" t="e">
        <f>VLOOKUP([2]!Table27[[#This Row],[Location 
(drop-down)]],'[2]List source'!D$2:E$59,2,FALSE)</f>
        <v>#VALUE!</v>
      </c>
      <c r="C1251" s="183" t="s">
        <v>3911</v>
      </c>
      <c r="D1251" s="382" t="e">
        <f t="shared" si="38"/>
        <v>#VALUE!</v>
      </c>
      <c r="E1251" s="334" t="s">
        <v>3912</v>
      </c>
      <c r="F1251" s="335" t="e" cm="1">
        <f t="array" aca="1" ref="F1251" ca="1">MID(LEFT(#REF!, INDEX(_xlfn._xlws.FILTER(ROW(INDIRECT("1:" &amp; LEN(#REF!))), (48 &lt;= CODE(MID(#REF!, ROW(INDIRECT("1:" &amp; LEN(#REF!))), 1))) * (CODE(MID(#REF!, ROW(INDIRECT("1:" &amp; LEN(#REF!))), 1)) &lt;= 57)), 1) - 1), FIND(":",#REF!) + 2, LEN(#REF!))</f>
        <v>#REF!</v>
      </c>
      <c r="G1251" s="334" t="e">
        <f>MID(LEFT(#REF!, FIND(",",#REF!) - 1), FIND("{token}", SUBSTITUTE(#REF!, " ", "{token}", 2)) + 1, LEN(#REF!))</f>
        <v>#REF!</v>
      </c>
      <c r="H1251" s="335">
        <v>2.8</v>
      </c>
      <c r="I1251" s="337">
        <v>45657</v>
      </c>
      <c r="J1251" s="337" t="s">
        <v>239</v>
      </c>
      <c r="K1251" s="338">
        <v>45768</v>
      </c>
      <c r="L1251" s="165"/>
      <c r="M1251" s="222">
        <v>1312</v>
      </c>
      <c r="N1251" s="2" t="str">
        <f t="shared" ca="1" si="39"/>
        <v>CLOSED</v>
      </c>
    </row>
    <row r="1252" spans="1:14" ht="30">
      <c r="A1252" s="64" t="s">
        <v>125</v>
      </c>
      <c r="B1252" s="98" t="e">
        <f>VLOOKUP([2]!Table27[[#This Row],[Location 
(drop-down)]],'[2]List source'!D$2:E$59,2,FALSE)</f>
        <v>#VALUE!</v>
      </c>
      <c r="C1252" s="179" t="s">
        <v>3913</v>
      </c>
      <c r="D1252" s="378" t="e">
        <f t="shared" si="38"/>
        <v>#VALUE!</v>
      </c>
      <c r="E1252" s="227" t="s">
        <v>3914</v>
      </c>
      <c r="F1252" s="165" t="s">
        <v>2269</v>
      </c>
      <c r="G1252" s="227" t="e">
        <f>MID(LEFT(#REF!, FIND(",",#REF!) - 1), FIND("{token}", SUBSTITUTE(#REF!, " ", "{token}", 2)) + 1, LEN(#REF!))</f>
        <v>#REF!</v>
      </c>
      <c r="H1252" s="165">
        <v>12.09</v>
      </c>
      <c r="I1252" s="230">
        <v>45510</v>
      </c>
      <c r="J1252" s="230" t="s">
        <v>111</v>
      </c>
      <c r="K1252" s="226">
        <v>45769</v>
      </c>
      <c r="L1252" s="165"/>
      <c r="M1252" s="222">
        <v>733</v>
      </c>
      <c r="N1252" s="2" t="str">
        <f t="shared" ca="1" si="39"/>
        <v>CLOSED</v>
      </c>
    </row>
    <row r="1253" spans="1:14" ht="30">
      <c r="A1253" s="64" t="s">
        <v>30</v>
      </c>
      <c r="B1253" s="98" t="e">
        <f>VLOOKUP([2]!Table27[[#This Row],[Location 
(drop-down)]],'[2]List source'!D$2:E$59,2,FALSE)</f>
        <v>#VALUE!</v>
      </c>
      <c r="C1253" s="179" t="s">
        <v>3915</v>
      </c>
      <c r="D1253" s="212" t="e">
        <f t="shared" si="38"/>
        <v>#VALUE!</v>
      </c>
      <c r="E1253" s="227" t="s">
        <v>3916</v>
      </c>
      <c r="F1253" s="165" t="e" cm="1">
        <f t="array" aca="1" ref="F1253" ca="1">MID(LEFT(#REF!, INDEX(_xlfn._xlws.FILTER(ROW(INDIRECT("1:" &amp; LEN(#REF!))), (48 &lt;= CODE(MID(#REF!, ROW(INDIRECT("1:" &amp; LEN(#REF!))), 1))) * (CODE(MID(#REF!, ROW(INDIRECT("1:" &amp; LEN(#REF!))), 1)) &lt;= 57)), 1) - 1), FIND(":",#REF!) + 2, LEN(#REF!))</f>
        <v>#REF!</v>
      </c>
      <c r="G1253" s="227" t="s">
        <v>2113</v>
      </c>
      <c r="H1253" s="236" t="s">
        <v>1579</v>
      </c>
      <c r="I1253" s="230">
        <v>45642</v>
      </c>
      <c r="J1253" s="230" t="s">
        <v>111</v>
      </c>
      <c r="K1253" s="226">
        <v>45769</v>
      </c>
      <c r="L1253" s="165"/>
      <c r="M1253" s="222">
        <v>1099</v>
      </c>
      <c r="N1253" s="2" t="str">
        <f t="shared" ca="1" si="39"/>
        <v>CLOSED</v>
      </c>
    </row>
    <row r="1254" spans="1:14" ht="30">
      <c r="A1254" s="85" t="s">
        <v>30</v>
      </c>
      <c r="B1254" s="98" t="e">
        <f>VLOOKUP([2]!Table27[[#This Row],[Location 
(drop-down)]],'[2]List source'!D$2:E$59,2,FALSE)</f>
        <v>#VALUE!</v>
      </c>
      <c r="C1254" s="183" t="s">
        <v>1408</v>
      </c>
      <c r="D1254" s="386" t="e">
        <f t="shared" si="38"/>
        <v>#VALUE!</v>
      </c>
      <c r="E1254" s="227" t="s">
        <v>3917</v>
      </c>
      <c r="F1254" s="165" t="s">
        <v>1821</v>
      </c>
      <c r="G1254" s="227" t="e">
        <f>MID(LEFT(#REF!, FIND(",",#REF!) - 1), FIND("{token}", SUBSTITUTE(#REF!, " ", "{token}", 2)) + 1, LEN(#REF!))</f>
        <v>#REF!</v>
      </c>
      <c r="H1254" s="165">
        <v>-5.45</v>
      </c>
      <c r="I1254" s="230">
        <v>45413</v>
      </c>
      <c r="J1254" s="337" t="s">
        <v>111</v>
      </c>
      <c r="K1254" s="338">
        <v>45772</v>
      </c>
      <c r="L1254" s="165"/>
      <c r="M1254" s="222">
        <v>329</v>
      </c>
      <c r="N1254" s="2" t="str">
        <f t="shared" ca="1" si="39"/>
        <v>CLOSED</v>
      </c>
    </row>
    <row r="1255" spans="1:14" ht="30">
      <c r="A1255" s="90" t="s">
        <v>500</v>
      </c>
      <c r="B1255" s="98" t="e">
        <f>VLOOKUP([2]!Table27[[#This Row],[Location 
(drop-down)]],'[2]List source'!D$2:E$59,2,FALSE)</f>
        <v>#VALUE!</v>
      </c>
      <c r="C1255" s="182" t="s">
        <v>3918</v>
      </c>
      <c r="D1255" s="393" t="e">
        <f t="shared" si="38"/>
        <v>#VALUE!</v>
      </c>
      <c r="E1255" s="227" t="s">
        <v>3919</v>
      </c>
      <c r="F1255" s="165" t="e" cm="1">
        <f t="array" aca="1" ref="F1255" ca="1">MID(LEFT(#REF!, INDEX(_xlfn._xlws.FILTER(ROW(INDIRECT("1:" &amp; LEN(#REF!))), (48 &lt;= CODE(MID(#REF!, ROW(INDIRECT("1:" &amp; LEN(#REF!))), 1))) * (CODE(MID(#REF!, ROW(INDIRECT("1:" &amp; LEN(#REF!))), 1)) &lt;= 57)), 1) - 1), FIND(":",#REF!) + 2, LEN(#REF!))</f>
        <v>#REF!</v>
      </c>
      <c r="G1255" s="227" t="e">
        <f>MID(LEFT(#REF!, FIND(",",#REF!) - 1), FIND("{token}", SUBSTITUTE(#REF!, " ", "{token}", 2)) + 1, LEN(#REF!))</f>
        <v>#REF!</v>
      </c>
      <c r="H1255" s="236" t="s">
        <v>3920</v>
      </c>
      <c r="I1255" s="230">
        <v>45533</v>
      </c>
      <c r="J1255" s="342" t="s">
        <v>310</v>
      </c>
      <c r="K1255" s="221">
        <v>45772</v>
      </c>
      <c r="L1255" s="165"/>
      <c r="M1255" s="222">
        <v>839</v>
      </c>
      <c r="N1255" s="2" t="str">
        <f t="shared" ca="1" si="39"/>
        <v>CLOSED</v>
      </c>
    </row>
    <row r="1256" spans="1:14" ht="30">
      <c r="A1256" s="85" t="s">
        <v>73</v>
      </c>
      <c r="B1256" s="98" t="e">
        <f>VLOOKUP([2]!Table27[[#This Row],[Location 
(drop-down)]],'[2]List source'!D$2:E$59,2,FALSE)</f>
        <v>#VALUE!</v>
      </c>
      <c r="C1256" s="183" t="s">
        <v>3921</v>
      </c>
      <c r="D1256" s="382" t="e">
        <f t="shared" si="38"/>
        <v>#VALUE!</v>
      </c>
      <c r="E1256" s="334" t="s">
        <v>3922</v>
      </c>
      <c r="F1256" s="335" t="s">
        <v>1520</v>
      </c>
      <c r="G1256" s="334" t="e">
        <f>MID(LEFT(#REF!, FIND(",",#REF!) - 1), FIND("{token}", SUBSTITUTE(#REF!, " ", "{token}", 2)) + 1, LEN(#REF!))</f>
        <v>#REF!</v>
      </c>
      <c r="H1256" s="335">
        <v>3.19</v>
      </c>
      <c r="I1256" s="337">
        <v>45652</v>
      </c>
      <c r="J1256" s="337" t="s">
        <v>239</v>
      </c>
      <c r="K1256" s="338">
        <v>45772</v>
      </c>
      <c r="L1256" s="165"/>
      <c r="M1256" s="222">
        <v>1233</v>
      </c>
      <c r="N1256" s="2" t="str">
        <f t="shared" ca="1" si="39"/>
        <v>CLOSED</v>
      </c>
    </row>
    <row r="1257" spans="1:14" ht="30">
      <c r="A1257" s="64" t="s">
        <v>500</v>
      </c>
      <c r="B1257" s="98" t="e">
        <f>VLOOKUP([2]!Table27[[#This Row],[Location 
(drop-down)]],'[2]List source'!D$2:E$59,2,FALSE)</f>
        <v>#VALUE!</v>
      </c>
      <c r="C1257" s="179" t="s">
        <v>3923</v>
      </c>
      <c r="D1257" s="379" t="e">
        <f t="shared" si="38"/>
        <v>#VALUE!</v>
      </c>
      <c r="E1257" s="227" t="s">
        <v>3924</v>
      </c>
      <c r="F1257" s="165" t="e" cm="1">
        <f t="array" aca="1" ref="F1257" ca="1">MID(LEFT(#REF!, INDEX(_xlfn._xlws.FILTER(ROW(INDIRECT("1:" &amp; LEN(#REF!))), (48 &lt;= CODE(MID(#REF!, ROW(INDIRECT("1:" &amp; LEN(#REF!))), 1))) * (CODE(MID(#REF!, ROW(INDIRECT("1:" &amp; LEN(#REF!))), 1)) &lt;= 57)), 1) - 1), FIND(":",#REF!) + 2, LEN(#REF!))</f>
        <v>#REF!</v>
      </c>
      <c r="G1257" s="227" t="e">
        <f>MID(LEFT(#REF!, FIND(",",#REF!) - 1), FIND("{token}", SUBSTITUTE(#REF!, " ", "{token}", 2)) + 1, LEN(#REF!))</f>
        <v>#REF!</v>
      </c>
      <c r="H1257" s="165">
        <v>2.57</v>
      </c>
      <c r="I1257" s="230">
        <v>45533</v>
      </c>
      <c r="J1257" s="230" t="s">
        <v>34</v>
      </c>
      <c r="K1257" s="226">
        <v>45777</v>
      </c>
      <c r="L1257" s="165" t="s">
        <v>3925</v>
      </c>
      <c r="M1257" s="222">
        <v>833</v>
      </c>
      <c r="N1257" s="2" t="str">
        <f t="shared" ca="1" si="39"/>
        <v>CLOSED</v>
      </c>
    </row>
    <row r="1258" spans="1:14" ht="30">
      <c r="A1258" s="90" t="s">
        <v>500</v>
      </c>
      <c r="B1258" s="98" t="e">
        <f>VLOOKUP([2]!Table27[[#This Row],[Location 
(drop-down)]],'[2]List source'!D$2:E$59,2,FALSE)</f>
        <v>#VALUE!</v>
      </c>
      <c r="C1258" s="182" t="s">
        <v>3926</v>
      </c>
      <c r="D1258" s="393" t="e">
        <f t="shared" si="38"/>
        <v>#VALUE!</v>
      </c>
      <c r="E1258" s="227" t="s">
        <v>3927</v>
      </c>
      <c r="F1258" s="165" t="e" cm="1">
        <f t="array" aca="1" ref="F1258" ca="1">MID(LEFT(#REF!, INDEX(_xlfn._xlws.FILTER(ROW(INDIRECT("1:" &amp; LEN(#REF!))), (48 &lt;= CODE(MID(#REF!, ROW(INDIRECT("1:" &amp; LEN(#REF!))), 1))) * (CODE(MID(#REF!, ROW(INDIRECT("1:" &amp; LEN(#REF!))), 1)) &lt;= 57)), 1) - 1), FIND(":",#REF!) + 2, LEN(#REF!))</f>
        <v>#REF!</v>
      </c>
      <c r="G1258" s="227" t="e">
        <f>MID(LEFT(#REF!, FIND(",",#REF!) - 1), FIND("{token}", SUBSTITUTE(#REF!, " ", "{token}", 2)) + 1, LEN(#REF!))</f>
        <v>#REF!</v>
      </c>
      <c r="H1258" s="165">
        <v>2.44</v>
      </c>
      <c r="I1258" s="230">
        <v>45534</v>
      </c>
      <c r="J1258" s="342" t="s">
        <v>310</v>
      </c>
      <c r="K1258" s="221">
        <v>45777</v>
      </c>
      <c r="L1258" s="165"/>
      <c r="M1258" s="222">
        <v>884</v>
      </c>
      <c r="N1258" s="2" t="str">
        <f t="shared" ca="1" si="39"/>
        <v>CLOSED</v>
      </c>
    </row>
    <row r="1259" spans="1:14" ht="30">
      <c r="A1259" s="90" t="s">
        <v>500</v>
      </c>
      <c r="B1259" s="98" t="e">
        <f>VLOOKUP([2]!Table27[[#This Row],[Location 
(drop-down)]],'[2]List source'!D$2:E$59,2,FALSE)</f>
        <v>#VALUE!</v>
      </c>
      <c r="C1259" s="182" t="s">
        <v>3928</v>
      </c>
      <c r="D1259" s="393" t="e">
        <f t="shared" si="38"/>
        <v>#VALUE!</v>
      </c>
      <c r="E1259" s="227" t="s">
        <v>3929</v>
      </c>
      <c r="F1259" s="165" t="e" cm="1">
        <f t="array" aca="1" ref="F1259" ca="1">MID(LEFT(#REF!, INDEX(_xlfn._xlws.FILTER(ROW(INDIRECT("1:" &amp; LEN(#REF!))), (48 &lt;= CODE(MID(#REF!, ROW(INDIRECT("1:" &amp; LEN(#REF!))), 1))) * (CODE(MID(#REF!, ROW(INDIRECT("1:" &amp; LEN(#REF!))), 1)) &lt;= 57)), 1) - 1), FIND(":",#REF!) + 2, LEN(#REF!))</f>
        <v>#REF!</v>
      </c>
      <c r="G1259" s="227" t="e">
        <f>MID(LEFT(#REF!, FIND(",",#REF!) - 1), FIND("{token}", SUBSTITUTE(#REF!, " ", "{token}", 2)) + 1, LEN(#REF!))</f>
        <v>#REF!</v>
      </c>
      <c r="H1259" s="236" t="s">
        <v>3930</v>
      </c>
      <c r="I1259" s="230">
        <v>45534</v>
      </c>
      <c r="J1259" s="342" t="s">
        <v>310</v>
      </c>
      <c r="K1259" s="221">
        <v>45777</v>
      </c>
      <c r="L1259" s="165"/>
      <c r="M1259" s="222">
        <v>886</v>
      </c>
      <c r="N1259" s="2" t="str">
        <f t="shared" ca="1" si="39"/>
        <v>CLOSED</v>
      </c>
    </row>
    <row r="1260" spans="1:14" ht="30">
      <c r="A1260" s="64" t="s">
        <v>30</v>
      </c>
      <c r="B1260" s="98" t="e">
        <f>VLOOKUP([2]!Table27[[#This Row],[Location 
(drop-down)]],'[2]List source'!D$2:E$59,2,FALSE)</f>
        <v>#VALUE!</v>
      </c>
      <c r="C1260" s="179" t="s">
        <v>104</v>
      </c>
      <c r="D1260" s="378" t="e">
        <f t="shared" si="38"/>
        <v>#VALUE!</v>
      </c>
      <c r="E1260" s="227" t="s">
        <v>3931</v>
      </c>
      <c r="F1260" s="165" t="s">
        <v>1827</v>
      </c>
      <c r="G1260" s="227" t="e">
        <f>MID(LEFT(#REF!, FIND(",",#REF!) - 1), FIND("{token}", SUBSTITUTE(#REF!, " ", "{token}", 2)) + 1, LEN(#REF!))</f>
        <v>#REF!</v>
      </c>
      <c r="H1260" s="236" t="s">
        <v>2009</v>
      </c>
      <c r="I1260" s="230">
        <v>45417</v>
      </c>
      <c r="J1260" s="230" t="s">
        <v>111</v>
      </c>
      <c r="K1260" s="226">
        <v>45779</v>
      </c>
      <c r="L1260" s="165"/>
      <c r="M1260" s="222">
        <v>355</v>
      </c>
      <c r="N1260" s="2" t="str">
        <f t="shared" ca="1" si="39"/>
        <v>CLOSED</v>
      </c>
    </row>
    <row r="1261" spans="1:14" ht="30">
      <c r="A1261" s="64" t="s">
        <v>30</v>
      </c>
      <c r="B1261" s="98" t="e">
        <f>VLOOKUP([2]!Table27[[#This Row],[Location 
(drop-down)]],'[2]List source'!D$2:E$59,2,FALSE)</f>
        <v>#VALUE!</v>
      </c>
      <c r="C1261" s="179" t="s">
        <v>3932</v>
      </c>
      <c r="D1261" s="2" t="e">
        <f t="shared" si="38"/>
        <v>#VALUE!</v>
      </c>
      <c r="E1261" s="227" t="s">
        <v>3933</v>
      </c>
      <c r="F1261" s="165" t="e" cm="1">
        <f t="array" aca="1" ref="F1261" ca="1">MID(LEFT(#REF!, INDEX(_xlfn._xlws.FILTER(ROW(INDIRECT("1:" &amp; LEN(#REF!))), (48 &lt;= CODE(MID(#REF!, ROW(INDIRECT("1:" &amp; LEN(#REF!))), 1))) * (CODE(MID(#REF!, ROW(INDIRECT("1:" &amp; LEN(#REF!))), 1)) &lt;= 57)), 1) - 1), FIND(":",#REF!) + 2, LEN(#REF!))</f>
        <v>#REF!</v>
      </c>
      <c r="G1261" s="227" t="e">
        <f>MID(LEFT(#REF!, FIND(",",#REF!) - 1), FIND("{token}", SUBSTITUTE(#REF!, " ", "{token}", 2)) + 1, LEN(#REF!))</f>
        <v>#REF!</v>
      </c>
      <c r="H1261" s="236" t="s">
        <v>3164</v>
      </c>
      <c r="I1261" s="230">
        <v>45653</v>
      </c>
      <c r="J1261" s="230" t="s">
        <v>111</v>
      </c>
      <c r="K1261" s="226">
        <v>45782</v>
      </c>
      <c r="L1261" s="165"/>
      <c r="M1261" s="222">
        <v>1249</v>
      </c>
      <c r="N1261" s="2" t="str">
        <f t="shared" ca="1" si="39"/>
        <v>CLOSED</v>
      </c>
    </row>
    <row r="1262" spans="1:14" ht="30">
      <c r="A1262" s="64" t="s">
        <v>30</v>
      </c>
      <c r="B1262" s="98" t="e">
        <f>VLOOKUP([2]!Table27[[#This Row],[Location 
(drop-down)]],'[2]List source'!D$2:E$59,2,FALSE)</f>
        <v>#VALUE!</v>
      </c>
      <c r="C1262" s="179" t="s">
        <v>3934</v>
      </c>
      <c r="D1262" s="2" t="e">
        <f t="shared" si="38"/>
        <v>#VALUE!</v>
      </c>
      <c r="E1262" s="227" t="s">
        <v>3935</v>
      </c>
      <c r="F1262" s="165" t="s">
        <v>2274</v>
      </c>
      <c r="G1262" s="227" t="e">
        <f>MID(LEFT(#REF!, FIND(",",#REF!) - 1), FIND("{token}", SUBSTITUTE(#REF!, " ", "{token}", 2)) + 1, LEN(#REF!))</f>
        <v>#REF!</v>
      </c>
      <c r="H1262" s="165">
        <v>2.15</v>
      </c>
      <c r="I1262" s="230">
        <v>45582</v>
      </c>
      <c r="J1262" s="230" t="s">
        <v>111</v>
      </c>
      <c r="K1262" s="226">
        <v>45783</v>
      </c>
      <c r="L1262" s="165"/>
      <c r="M1262" s="222">
        <v>1032</v>
      </c>
      <c r="N1262" s="2" t="str">
        <f t="shared" ca="1" si="39"/>
        <v>CLOSED</v>
      </c>
    </row>
    <row r="1263" spans="1:14" ht="30">
      <c r="A1263" s="64" t="s">
        <v>30</v>
      </c>
      <c r="B1263" s="98" t="e">
        <f>VLOOKUP([2]!Table27[[#This Row],[Location 
(drop-down)]],'[2]List source'!D$2:E$59,2,FALSE)</f>
        <v>#VALUE!</v>
      </c>
      <c r="C1263" s="179" t="s">
        <v>3936</v>
      </c>
      <c r="D1263" s="2" t="e">
        <f t="shared" si="38"/>
        <v>#VALUE!</v>
      </c>
      <c r="E1263" s="227" t="s">
        <v>3937</v>
      </c>
      <c r="F1263" s="165" t="s">
        <v>1520</v>
      </c>
      <c r="G1263" s="227" t="e">
        <f>MID(LEFT(#REF!, FIND(",",#REF!) - 1), FIND("{token}", SUBSTITUTE(#REF!, " ", "{token}", 2)) + 1, LEN(#REF!))</f>
        <v>#REF!</v>
      </c>
      <c r="H1263" s="165">
        <v>4.25</v>
      </c>
      <c r="I1263" s="230">
        <v>45582</v>
      </c>
      <c r="J1263" s="230" t="s">
        <v>768</v>
      </c>
      <c r="K1263" s="226">
        <v>45784</v>
      </c>
      <c r="L1263" s="275"/>
      <c r="M1263" s="222">
        <v>1003</v>
      </c>
      <c r="N1263" s="2" t="str">
        <f t="shared" ca="1" si="39"/>
        <v>CLOSED</v>
      </c>
    </row>
    <row r="1264" spans="1:14" ht="30">
      <c r="A1264" s="64" t="s">
        <v>30</v>
      </c>
      <c r="B1264" s="98" t="e">
        <f>VLOOKUP([2]!Table27[[#This Row],[Location 
(drop-down)]],'[2]List source'!D$2:E$59,2,FALSE)</f>
        <v>#VALUE!</v>
      </c>
      <c r="C1264" s="179" t="s">
        <v>3938</v>
      </c>
      <c r="D1264" s="2" t="e">
        <f t="shared" si="38"/>
        <v>#VALUE!</v>
      </c>
      <c r="E1264" s="227" t="s">
        <v>3939</v>
      </c>
      <c r="F1264" s="165" t="e" cm="1">
        <f t="array" aca="1" ref="F1264" ca="1">MID(LEFT(#REF!, INDEX(_xlfn._xlws.FILTER(ROW(INDIRECT("1:" &amp; LEN(#REF!))), (48 &lt;= CODE(MID(#REF!, ROW(INDIRECT("1:" &amp; LEN(#REF!))), 1))) * (CODE(MID(#REF!, ROW(INDIRECT("1:" &amp; LEN(#REF!))), 1)) &lt;= 57)), 1) - 1), FIND(":",#REF!) + 2, LEN(#REF!))</f>
        <v>#REF!</v>
      </c>
      <c r="G1264" s="227" t="e">
        <f>MID(LEFT(#REF!, FIND(",",#REF!) - 1), FIND("{token}", SUBSTITUTE(#REF!, " ", "{token}", 2)) + 1, LEN(#REF!))</f>
        <v>#REF!</v>
      </c>
      <c r="H1264" s="165" t="s">
        <v>3940</v>
      </c>
      <c r="I1264" s="230">
        <v>45642</v>
      </c>
      <c r="J1264" s="230" t="s">
        <v>768</v>
      </c>
      <c r="K1264" s="226">
        <v>45784</v>
      </c>
      <c r="L1264" s="275"/>
      <c r="M1264" s="222">
        <v>1102</v>
      </c>
      <c r="N1264" s="2" t="str">
        <f t="shared" ca="1" si="39"/>
        <v>CLOSED</v>
      </c>
    </row>
    <row r="1265" spans="1:14" ht="15">
      <c r="A1265" s="64" t="s">
        <v>43</v>
      </c>
      <c r="B1265" s="98" t="e">
        <f>VLOOKUP([2]!Table27[[#This Row],[Location 
(drop-down)]],'[2]List source'!D$2:E$59,2,FALSE)</f>
        <v>#VALUE!</v>
      </c>
      <c r="C1265" s="179" t="s">
        <v>3941</v>
      </c>
      <c r="D1265" s="2" t="e">
        <f t="shared" si="38"/>
        <v>#VALUE!</v>
      </c>
      <c r="E1265" s="227" t="s">
        <v>3942</v>
      </c>
      <c r="F1265" s="165" t="e" cm="1">
        <f t="array" aca="1" ref="F1265" ca="1">MID(LEFT(#REF!, INDEX(_xlfn._xlws.FILTER(ROW(INDIRECT("1:" &amp; LEN(#REF!))), (48 &lt;= CODE(MID(#REF!, ROW(INDIRECT("1:" &amp; LEN(#REF!))), 1))) * (CODE(MID(#REF!, ROW(INDIRECT("1:" &amp; LEN(#REF!))), 1)) &lt;= 57)), 1) - 1), FIND(":",#REF!) + 2, LEN(#REF!))</f>
        <v>#REF!</v>
      </c>
      <c r="G1265" s="227" t="e">
        <f>MID(LEFT(#REF!, FIND(",",#REF!) - 1), FIND("{token}", SUBSTITUTE(#REF!, " ", "{token}", 2)) + 1, LEN(#REF!))</f>
        <v>#REF!</v>
      </c>
      <c r="H1265" s="165">
        <v>2477420.37</v>
      </c>
      <c r="I1265" s="230">
        <v>45643</v>
      </c>
      <c r="J1265" s="230" t="s">
        <v>108</v>
      </c>
      <c r="K1265" s="226">
        <v>45784</v>
      </c>
      <c r="L1265" s="165"/>
      <c r="M1265" s="222">
        <v>1161</v>
      </c>
      <c r="N1265" s="2" t="str">
        <f t="shared" ca="1" si="39"/>
        <v>CLOSED</v>
      </c>
    </row>
    <row r="1266" spans="1:14" ht="15">
      <c r="A1266" s="64" t="s">
        <v>43</v>
      </c>
      <c r="B1266" s="98" t="e">
        <f>VLOOKUP([2]!Table27[[#This Row],[Location 
(drop-down)]],'[2]List source'!D$2:E$59,2,FALSE)</f>
        <v>#VALUE!</v>
      </c>
      <c r="C1266" s="179" t="s">
        <v>3943</v>
      </c>
      <c r="D1266" s="2" t="e">
        <f t="shared" si="38"/>
        <v>#VALUE!</v>
      </c>
      <c r="E1266" s="176" t="s">
        <v>3944</v>
      </c>
      <c r="F1266" s="165" t="s">
        <v>1520</v>
      </c>
      <c r="G1266" s="227" t="e">
        <f>MID(LEFT(#REF!, FIND(",",#REF!) - 1), FIND("{token}", SUBSTITUTE(#REF!, " ", "{token}", 2)) + 1, LEN(#REF!))</f>
        <v>#REF!</v>
      </c>
      <c r="H1266" s="165">
        <v>3.28</v>
      </c>
      <c r="I1266" s="230">
        <v>45646</v>
      </c>
      <c r="J1266" s="230" t="s">
        <v>108</v>
      </c>
      <c r="K1266" s="226">
        <v>45784</v>
      </c>
      <c r="L1266" s="165"/>
      <c r="M1266" s="222">
        <v>1204</v>
      </c>
      <c r="N1266" s="2" t="str">
        <f t="shared" ca="1" si="39"/>
        <v>CLOSED</v>
      </c>
    </row>
    <row r="1267" spans="1:14" ht="15">
      <c r="A1267" s="64" t="s">
        <v>43</v>
      </c>
      <c r="B1267" s="98" t="e">
        <f>VLOOKUP([2]!Table27[[#This Row],[Location 
(drop-down)]],'[2]List source'!D$2:E$59,2,FALSE)</f>
        <v>#VALUE!</v>
      </c>
      <c r="C1267" s="179" t="s">
        <v>3945</v>
      </c>
      <c r="D1267" s="2" t="e">
        <f t="shared" si="38"/>
        <v>#VALUE!</v>
      </c>
      <c r="E1267" s="227" t="s">
        <v>3946</v>
      </c>
      <c r="F1267" s="165" t="e" cm="1">
        <f t="array" aca="1" ref="F1267" ca="1">MID(LEFT(#REF!, INDEX(_xlfn._xlws.FILTER(ROW(INDIRECT("1:" &amp; LEN(#REF!))), (48 &lt;= CODE(MID(#REF!, ROW(INDIRECT("1:" &amp; LEN(#REF!))), 1))) * (CODE(MID(#REF!, ROW(INDIRECT("1:" &amp; LEN(#REF!))), 1)) &lt;= 57)), 1) - 1), FIND(":",#REF!) + 2, LEN(#REF!))</f>
        <v>#REF!</v>
      </c>
      <c r="G1267" s="227" t="e">
        <f>MID(LEFT(#REF!, FIND(",",#REF!) - 1), FIND("{token}", SUBSTITUTE(#REF!, " ", "{token}", 2)) + 1, LEN(#REF!))</f>
        <v>#REF!</v>
      </c>
      <c r="H1267" s="165">
        <v>4.83</v>
      </c>
      <c r="I1267" s="230">
        <v>45657</v>
      </c>
      <c r="J1267" s="230" t="s">
        <v>108</v>
      </c>
      <c r="K1267" s="226">
        <v>45784</v>
      </c>
      <c r="L1267" s="165"/>
      <c r="M1267" s="222">
        <v>1407</v>
      </c>
      <c r="N1267" s="2" t="str">
        <f t="shared" ca="1" si="39"/>
        <v>CLOSED</v>
      </c>
    </row>
    <row r="1268" spans="1:14" ht="18.75">
      <c r="A1268" s="90" t="s">
        <v>1253</v>
      </c>
      <c r="B1268" s="98" t="e">
        <f>VLOOKUP([2]!Table27[[#This Row],[Location 
(drop-down)]],'[2]List source'!D$2:E$59,2,FALSE)</f>
        <v>#VALUE!</v>
      </c>
      <c r="C1268" s="182" t="s">
        <v>682</v>
      </c>
      <c r="D1268" s="377" t="e">
        <f t="shared" si="38"/>
        <v>#VALUE!</v>
      </c>
      <c r="E1268" s="227" t="s">
        <v>3947</v>
      </c>
      <c r="F1268" s="165" t="s">
        <v>1520</v>
      </c>
      <c r="G1268" s="227" t="e">
        <f>MID(LEFT(#REF!, FIND(",",#REF!) - 1), FIND("{token}", SUBSTITUTE(#REF!, " ", "{token}", 2)) + 1, LEN(#REF!))</f>
        <v>#REF!</v>
      </c>
      <c r="H1268" s="236" t="s">
        <v>3180</v>
      </c>
      <c r="I1268" s="230">
        <v>45426</v>
      </c>
      <c r="J1268" s="342" t="s">
        <v>310</v>
      </c>
      <c r="K1268" s="221">
        <v>45785</v>
      </c>
      <c r="L1268" s="165"/>
      <c r="M1268" s="222">
        <v>446</v>
      </c>
      <c r="N1268" s="2" t="str">
        <f t="shared" ca="1" si="39"/>
        <v>CLOSED</v>
      </c>
    </row>
    <row r="1269" spans="1:14" ht="15">
      <c r="A1269" s="64" t="s">
        <v>43</v>
      </c>
      <c r="B1269" s="98" t="e">
        <f>VLOOKUP([2]!Table27[[#This Row],[Location 
(drop-down)]],'[2]List source'!D$2:E$59,2,FALSE)</f>
        <v>#VALUE!</v>
      </c>
      <c r="C1269" s="179" t="s">
        <v>3948</v>
      </c>
      <c r="D1269" s="2" t="e">
        <f t="shared" si="38"/>
        <v>#VALUE!</v>
      </c>
      <c r="E1269" s="227" t="s">
        <v>3949</v>
      </c>
      <c r="F1269" s="165" t="e" cm="1">
        <f t="array" aca="1" ref="F1269" ca="1">MID(LEFT(#REF!, INDEX(_xlfn._xlws.FILTER(ROW(INDIRECT("1:" &amp; LEN(#REF!))), (48 &lt;= CODE(MID(#REF!, ROW(INDIRECT("1:" &amp; LEN(#REF!))), 1))) * (CODE(MID(#REF!, ROW(INDIRECT("1:" &amp; LEN(#REF!))), 1)) &lt;= 57)), 1) - 1), FIND(":",#REF!) + 2, LEN(#REF!))</f>
        <v>#REF!</v>
      </c>
      <c r="G1269" s="227" t="e">
        <f>MID(LEFT(#REF!, FIND(",",#REF!) - 1), FIND("{token}", SUBSTITUTE(#REF!, " ", "{token}", 2)) + 1, LEN(#REF!))</f>
        <v>#REF!</v>
      </c>
      <c r="H1269" s="236" t="s">
        <v>2857</v>
      </c>
      <c r="I1269" s="230">
        <v>45642</v>
      </c>
      <c r="J1269" s="230" t="s">
        <v>108</v>
      </c>
      <c r="K1269" s="226">
        <v>45785</v>
      </c>
      <c r="L1269" s="165"/>
      <c r="M1269" s="222">
        <v>1116</v>
      </c>
      <c r="N1269" s="2" t="str">
        <f t="shared" ca="1" si="39"/>
        <v>CLOSED</v>
      </c>
    </row>
    <row r="1270" spans="1:14" ht="15">
      <c r="A1270" s="64" t="s">
        <v>43</v>
      </c>
      <c r="B1270" s="98" t="e">
        <f>VLOOKUP([2]!Table27[[#This Row],[Location 
(drop-down)]],'[2]List source'!D$2:E$59,2,FALSE)</f>
        <v>#VALUE!</v>
      </c>
      <c r="C1270" s="179" t="s">
        <v>3950</v>
      </c>
      <c r="D1270" s="2" t="e">
        <f t="shared" si="38"/>
        <v>#VALUE!</v>
      </c>
      <c r="E1270" s="227" t="s">
        <v>3951</v>
      </c>
      <c r="F1270" s="165" t="e" cm="1">
        <f t="array" aca="1" ref="F1270" ca="1">MID(LEFT(#REF!, INDEX(_xlfn._xlws.FILTER(ROW(INDIRECT("1:" &amp; LEN(#REF!))), (48 &lt;= CODE(MID(#REF!, ROW(INDIRECT("1:" &amp; LEN(#REF!))), 1))) * (CODE(MID(#REF!, ROW(INDIRECT("1:" &amp; LEN(#REF!))), 1)) &lt;= 57)), 1) - 1), FIND(":",#REF!) + 2, LEN(#REF!))</f>
        <v>#REF!</v>
      </c>
      <c r="G1270" s="227" t="e">
        <f>MID(LEFT(#REF!, FIND(",",#REF!) - 1), FIND("{token}", SUBSTITUTE(#REF!, " ", "{token}", 2)) + 1, LEN(#REF!))</f>
        <v>#REF!</v>
      </c>
      <c r="H1270" s="236" t="s">
        <v>3952</v>
      </c>
      <c r="I1270" s="230">
        <v>45646</v>
      </c>
      <c r="J1270" s="230" t="s">
        <v>108</v>
      </c>
      <c r="K1270" s="226">
        <v>45785</v>
      </c>
      <c r="L1270" s="275"/>
      <c r="M1270" s="222">
        <v>1198</v>
      </c>
      <c r="N1270" s="2" t="str">
        <f t="shared" ca="1" si="39"/>
        <v>CLOSED</v>
      </c>
    </row>
    <row r="1271" spans="1:14" ht="30">
      <c r="A1271" s="90" t="s">
        <v>1334</v>
      </c>
      <c r="B1271" s="98" t="e">
        <f>VLOOKUP([2]!Table27[[#This Row],[Location 
(drop-down)]],'[2]List source'!D$2:E$59,2,FALSE)</f>
        <v>#VALUE!</v>
      </c>
      <c r="C1271" s="182" t="s">
        <v>3953</v>
      </c>
      <c r="D1271" s="392" t="e">
        <f t="shared" si="38"/>
        <v>#VALUE!</v>
      </c>
      <c r="E1271" s="227" t="s">
        <v>3954</v>
      </c>
      <c r="F1271" s="165" t="e" cm="1">
        <f t="array" aca="1" ref="F1271" ca="1">MID(LEFT(#REF!, INDEX(_xlfn._xlws.FILTER(ROW(INDIRECT("1:" &amp; LEN(#REF!))), (48 &lt;= CODE(MID(#REF!, ROW(INDIRECT("1:" &amp; LEN(#REF!))), 1))) * (CODE(MID(#REF!, ROW(INDIRECT("1:" &amp; LEN(#REF!))), 1)) &lt;= 57)), 1) - 1), FIND(":",#REF!) + 2, LEN(#REF!))</f>
        <v>#REF!</v>
      </c>
      <c r="G1271" s="227" t="e">
        <f>MID(LEFT(#REF!, FIND(",",#REF!) - 1), FIND("{token}", SUBSTITUTE(#REF!, " ", "{token}", 2)) + 1, LEN(#REF!))</f>
        <v>#REF!</v>
      </c>
      <c r="H1271" s="236" t="s">
        <v>3955</v>
      </c>
      <c r="I1271" s="230">
        <v>45656</v>
      </c>
      <c r="J1271" s="342" t="s">
        <v>310</v>
      </c>
      <c r="K1271" s="221">
        <v>45785</v>
      </c>
      <c r="L1271" s="165"/>
      <c r="M1271" s="222">
        <v>1260</v>
      </c>
      <c r="N1271" s="2" t="str">
        <f t="shared" ca="1" si="39"/>
        <v>CLOSED</v>
      </c>
    </row>
    <row r="1272" spans="1:14" ht="30">
      <c r="A1272" s="86" t="s">
        <v>73</v>
      </c>
      <c r="B1272" s="98" t="e">
        <f>VLOOKUP([2]!Table27[[#This Row],[Location 
(drop-down)]],'[2]List source'!D$2:E$59,2,FALSE)</f>
        <v>#VALUE!</v>
      </c>
      <c r="C1272" s="180" t="s">
        <v>751</v>
      </c>
      <c r="D1272" s="396" t="e">
        <f t="shared" si="38"/>
        <v>#VALUE!</v>
      </c>
      <c r="E1272" s="231" t="s">
        <v>3956</v>
      </c>
      <c r="F1272" s="232" t="e" cm="1">
        <f t="array" aca="1" ref="F1272" ca="1">MID(LEFT(#REF!, INDEX(_xlfn._xlws.FILTER(ROW(INDIRECT("1:" &amp; LEN(#REF!))), (48 &lt;= CODE(MID(#REF!, ROW(INDIRECT("1:" &amp; LEN(#REF!))), 1))) * (CODE(MID(#REF!, ROW(INDIRECT("1:" &amp; LEN(#REF!))), 1)) &lt;= 57)), 1) - 1), FIND(":",#REF!) + 2, LEN(#REF!))</f>
        <v>#REF!</v>
      </c>
      <c r="G1272" s="231" t="e">
        <f>MID(LEFT(#REF!, FIND(",",#REF!) - 1), FIND("{token}", SUBSTITUTE(#REF!, " ", "{token}", 2)) + 1, LEN(#REF!))</f>
        <v>#REF!</v>
      </c>
      <c r="H1272" s="233" t="s">
        <v>3957</v>
      </c>
      <c r="I1272" s="403">
        <v>45406</v>
      </c>
      <c r="J1272" s="234" t="s">
        <v>239</v>
      </c>
      <c r="K1272" s="372">
        <v>45791</v>
      </c>
      <c r="L1272" s="204"/>
      <c r="M1272" s="222">
        <v>226</v>
      </c>
      <c r="N1272" s="2" t="str">
        <f t="shared" ca="1" si="39"/>
        <v>CLOSED</v>
      </c>
    </row>
    <row r="1273" spans="1:14" ht="30">
      <c r="A1273" s="86" t="s">
        <v>485</v>
      </c>
      <c r="B1273" s="98" t="e">
        <f>VLOOKUP([2]!Table27[[#This Row],[Location 
(drop-down)]],'[2]List source'!D$2:E$59,2,FALSE)</f>
        <v>#VALUE!</v>
      </c>
      <c r="C1273" s="180" t="s">
        <v>3958</v>
      </c>
      <c r="D1273" s="397" t="e">
        <f t="shared" si="38"/>
        <v>#VALUE!</v>
      </c>
      <c r="E1273" s="231" t="s">
        <v>3959</v>
      </c>
      <c r="F1273" s="232" t="e" cm="1">
        <f t="array" aca="1" ref="F1273" ca="1">MID(LEFT(#REF!, INDEX(_xlfn._xlws.FILTER(ROW(INDIRECT("1:" &amp; LEN(#REF!))), (48 &lt;= CODE(MID(#REF!, ROW(INDIRECT("1:" &amp; LEN(#REF!))), 1))) * (CODE(MID(#REF!, ROW(INDIRECT("1:" &amp; LEN(#REF!))), 1)) &lt;= 57)), 1) - 1), FIND(":",#REF!) + 2, LEN(#REF!))</f>
        <v>#REF!</v>
      </c>
      <c r="G1273" s="231" t="e">
        <f>MID(LEFT(#REF!, FIND(",",#REF!) - 1), FIND("{token}", SUBSTITUTE(#REF!, " ", "{token}", 2)) + 1, LEN(#REF!))</f>
        <v>#REF!</v>
      </c>
      <c r="H1273" s="233" t="s">
        <v>3960</v>
      </c>
      <c r="I1273" s="234">
        <v>45540</v>
      </c>
      <c r="J1273" s="234" t="s">
        <v>239</v>
      </c>
      <c r="K1273" s="372">
        <v>45791</v>
      </c>
      <c r="L1273" s="165"/>
      <c r="M1273" s="222">
        <v>915</v>
      </c>
      <c r="N1273" s="2" t="str">
        <f t="shared" ca="1" si="39"/>
        <v>CLOSED</v>
      </c>
    </row>
    <row r="1274" spans="1:14" ht="30">
      <c r="A1274" s="86" t="s">
        <v>485</v>
      </c>
      <c r="B1274" s="98" t="e">
        <f>VLOOKUP([2]!Table27[[#This Row],[Location 
(drop-down)]],'[2]List source'!D$2:E$59,2,FALSE)</f>
        <v>#VALUE!</v>
      </c>
      <c r="C1274" s="180" t="s">
        <v>3961</v>
      </c>
      <c r="D1274" s="397" t="e">
        <f t="shared" si="38"/>
        <v>#VALUE!</v>
      </c>
      <c r="E1274" s="231" t="s">
        <v>3962</v>
      </c>
      <c r="F1274" s="232" t="e" cm="1">
        <f t="array" aca="1" ref="F1274" ca="1">MID(LEFT(#REF!, INDEX(_xlfn._xlws.FILTER(ROW(INDIRECT("1:" &amp; LEN(#REF!))), (48 &lt;= CODE(MID(#REF!, ROW(INDIRECT("1:" &amp; LEN(#REF!))), 1))) * (CODE(MID(#REF!, ROW(INDIRECT("1:" &amp; LEN(#REF!))), 1)) &lt;= 57)), 1) - 1), FIND(":",#REF!) + 2, LEN(#REF!))</f>
        <v>#REF!</v>
      </c>
      <c r="G1274" s="231" t="e">
        <f>MID(LEFT(#REF!, FIND(",",#REF!) - 1), FIND("{token}", SUBSTITUTE(#REF!, " ", "{token}", 2)) + 1, LEN(#REF!))</f>
        <v>#REF!</v>
      </c>
      <c r="H1274" s="232" t="s">
        <v>3963</v>
      </c>
      <c r="I1274" s="234">
        <v>45546</v>
      </c>
      <c r="J1274" s="234" t="s">
        <v>130</v>
      </c>
      <c r="K1274" s="372">
        <v>45791</v>
      </c>
      <c r="L1274" s="275"/>
      <c r="M1274" s="222">
        <v>978</v>
      </c>
      <c r="N1274" s="2" t="str">
        <f t="shared" ca="1" si="39"/>
        <v>CLOSED</v>
      </c>
    </row>
    <row r="1275" spans="1:14" ht="30">
      <c r="A1275" s="85" t="s">
        <v>485</v>
      </c>
      <c r="B1275" s="98" t="e">
        <f>VLOOKUP([2]!Table27[[#This Row],[Location 
(drop-down)]],'[2]List source'!D$2:E$59,2,FALSE)</f>
        <v>#VALUE!</v>
      </c>
      <c r="C1275" s="183" t="s">
        <v>3964</v>
      </c>
      <c r="D1275" s="382" t="e">
        <f t="shared" si="38"/>
        <v>#VALUE!</v>
      </c>
      <c r="E1275" s="334" t="s">
        <v>3965</v>
      </c>
      <c r="F1275" s="335" t="s">
        <v>1520</v>
      </c>
      <c r="G1275" s="334" t="e">
        <f>MID(LEFT(#REF!, FIND(",",#REF!) - 1), FIND("{token}", SUBSTITUTE(#REF!, " ", "{token}", 2)) + 1, LEN(#REF!))</f>
        <v>#REF!</v>
      </c>
      <c r="H1275" s="335">
        <v>-2.2000000000000002</v>
      </c>
      <c r="I1275" s="337">
        <v>45582</v>
      </c>
      <c r="J1275" s="337" t="s">
        <v>239</v>
      </c>
      <c r="K1275" s="338">
        <v>45791</v>
      </c>
      <c r="L1275" s="165"/>
      <c r="M1275" s="222">
        <v>1014</v>
      </c>
      <c r="N1275" s="2" t="str">
        <f t="shared" ca="1" si="39"/>
        <v>CLOSED</v>
      </c>
    </row>
    <row r="1276" spans="1:14" ht="30">
      <c r="A1276" s="85" t="s">
        <v>73</v>
      </c>
      <c r="B1276" s="98" t="e">
        <f>VLOOKUP([2]!Table27[[#This Row],[Location 
(drop-down)]],'[2]List source'!D$2:E$59,2,FALSE)</f>
        <v>#VALUE!</v>
      </c>
      <c r="C1276" s="183" t="s">
        <v>3966</v>
      </c>
      <c r="D1276" s="382" t="e">
        <f t="shared" si="38"/>
        <v>#VALUE!</v>
      </c>
      <c r="E1276" s="334" t="s">
        <v>3967</v>
      </c>
      <c r="F1276" s="335" t="e" cm="1">
        <f t="array" aca="1" ref="F1276" ca="1">MID(LEFT(#REF!, INDEX(_xlfn._xlws.FILTER(ROW(INDIRECT("1:" &amp; LEN(#REF!))), (48 &lt;= CODE(MID(#REF!, ROW(INDIRECT("1:" &amp; LEN(#REF!))), 1))) * (CODE(MID(#REF!, ROW(INDIRECT("1:" &amp; LEN(#REF!))), 1)) &lt;= 57)), 1) - 1), FIND(":",#REF!) + 2, LEN(#REF!))</f>
        <v>#REF!</v>
      </c>
      <c r="G1276" s="334" t="e">
        <f>MID(LEFT(#REF!, FIND(",",#REF!) - 1), FIND("{token}", SUBSTITUTE(#REF!, " ", "{token}", 2)) + 1, LEN(#REF!))</f>
        <v>#REF!</v>
      </c>
      <c r="H1276" s="335">
        <v>3.4</v>
      </c>
      <c r="I1276" s="337">
        <v>45600</v>
      </c>
      <c r="J1276" s="337" t="s">
        <v>239</v>
      </c>
      <c r="K1276" s="338">
        <v>45791</v>
      </c>
      <c r="L1276" s="275"/>
      <c r="M1276" s="222">
        <v>1068</v>
      </c>
      <c r="N1276" s="2" t="str">
        <f t="shared" ca="1" si="39"/>
        <v>CLOSED</v>
      </c>
    </row>
    <row r="1277" spans="1:14" ht="30">
      <c r="A1277" s="86" t="s">
        <v>73</v>
      </c>
      <c r="B1277" s="98" t="e">
        <f>VLOOKUP([2]!Table27[[#This Row],[Location 
(drop-down)]],'[2]List source'!D$2:E$59,2,FALSE)</f>
        <v>#VALUE!</v>
      </c>
      <c r="C1277" s="180" t="s">
        <v>3968</v>
      </c>
      <c r="D1277" s="391" t="e">
        <f t="shared" si="38"/>
        <v>#VALUE!</v>
      </c>
      <c r="E1277" s="231" t="s">
        <v>3969</v>
      </c>
      <c r="F1277" s="232" t="e" cm="1">
        <f t="array" aca="1" ref="F1277" ca="1">MID(LEFT(#REF!, INDEX(_xlfn._xlws.FILTER(ROW(INDIRECT("1:" &amp; LEN(#REF!))), (48 &lt;= CODE(MID(#REF!, ROW(INDIRECT("1:" &amp; LEN(#REF!))), 1))) * (CODE(MID(#REF!, ROW(INDIRECT("1:" &amp; LEN(#REF!))), 1)) &lt;= 57)), 1) - 1), FIND(":",#REF!) + 2, LEN(#REF!))</f>
        <v>#REF!</v>
      </c>
      <c r="G1277" s="231" t="e">
        <f>MID(LEFT(#REF!, FIND(",",#REF!) - 1), FIND("{token}", SUBSTITUTE(#REF!, " ", "{token}", 2)) + 1, LEN(#REF!))</f>
        <v>#REF!</v>
      </c>
      <c r="H1277" s="233" t="s">
        <v>3970</v>
      </c>
      <c r="I1277" s="234">
        <v>45657</v>
      </c>
      <c r="J1277" s="234" t="s">
        <v>239</v>
      </c>
      <c r="K1277" s="372">
        <v>45791</v>
      </c>
      <c r="L1277" s="165"/>
      <c r="M1277" s="222">
        <v>1311</v>
      </c>
      <c r="N1277" s="2" t="str">
        <f t="shared" ca="1" si="39"/>
        <v>CLOSED</v>
      </c>
    </row>
    <row r="1278" spans="1:14" ht="30">
      <c r="A1278" s="64" t="s">
        <v>119</v>
      </c>
      <c r="B1278" s="98" t="e">
        <f>VLOOKUP([2]!Table27[[#This Row],[Location 
(drop-down)]],'[2]List source'!D$2:E$59,2,FALSE)</f>
        <v>#VALUE!</v>
      </c>
      <c r="C1278" s="179" t="s">
        <v>3971</v>
      </c>
      <c r="D1278" s="2" t="e">
        <f t="shared" si="38"/>
        <v>#VALUE!</v>
      </c>
      <c r="E1278" s="227" t="s">
        <v>3972</v>
      </c>
      <c r="F1278" s="165" t="e" cm="1">
        <f t="array" aca="1" ref="F1278" ca="1">MID(LEFT(#REF!, INDEX(_xlfn._xlws.FILTER(ROW(INDIRECT("1:" &amp; LEN(#REF!))), (48 &lt;= CODE(MID(#REF!, ROW(INDIRECT("1:" &amp; LEN(#REF!))), 1))) * (CODE(MID(#REF!, ROW(INDIRECT("1:" &amp; LEN(#REF!))), 1)) &lt;= 57)), 1) - 1), FIND(":",#REF!) + 2, LEN(#REF!))</f>
        <v>#REF!</v>
      </c>
      <c r="G1278" s="227" t="e">
        <f>MID(LEFT(#REF!, FIND(",",#REF!) - 1), FIND("{token}", SUBSTITUTE(#REF!, " ", "{token}", 2)) + 1, LEN(#REF!))</f>
        <v>#REF!</v>
      </c>
      <c r="H1278" s="236" t="s">
        <v>2791</v>
      </c>
      <c r="I1278" s="230">
        <v>45653</v>
      </c>
      <c r="J1278" s="230" t="s">
        <v>111</v>
      </c>
      <c r="K1278" s="226">
        <v>45792</v>
      </c>
      <c r="L1278" s="165"/>
      <c r="M1278" s="222">
        <v>1248</v>
      </c>
      <c r="N1278" s="2" t="str">
        <f t="shared" ca="1" si="39"/>
        <v>CLOSED</v>
      </c>
    </row>
    <row r="1279" spans="1:14" ht="30">
      <c r="A1279" s="64" t="s">
        <v>119</v>
      </c>
      <c r="B1279" s="98" t="e">
        <f>VLOOKUP([2]!Table27[[#This Row],[Location 
(drop-down)]],'[2]List source'!D$2:E$59,2,FALSE)</f>
        <v>#VALUE!</v>
      </c>
      <c r="C1279" s="179" t="s">
        <v>3973</v>
      </c>
      <c r="D1279" s="2" t="e">
        <f t="shared" si="38"/>
        <v>#VALUE!</v>
      </c>
      <c r="E1279" s="227" t="s">
        <v>3974</v>
      </c>
      <c r="F1279" s="165" t="e" cm="1">
        <f t="array" aca="1" ref="F1279" ca="1">MID(LEFT(#REF!, INDEX(_xlfn._xlws.FILTER(ROW(INDIRECT("1:" &amp; LEN(#REF!))), (48 &lt;= CODE(MID(#REF!, ROW(INDIRECT("1:" &amp; LEN(#REF!))), 1))) * (CODE(MID(#REF!, ROW(INDIRECT("1:" &amp; LEN(#REF!))), 1)) &lt;= 57)), 1) - 1), FIND(":",#REF!) + 2, LEN(#REF!))</f>
        <v>#REF!</v>
      </c>
      <c r="G1279" s="227" t="e">
        <f>MID(LEFT(#REF!, FIND(",",#REF!) - 1), FIND("{token}", SUBSTITUTE(#REF!, " ", "{token}", 2)) + 1, LEN(#REF!))</f>
        <v>#REF!</v>
      </c>
      <c r="H1279" s="165">
        <v>4.5999999999999996</v>
      </c>
      <c r="I1279" s="230">
        <v>45653</v>
      </c>
      <c r="J1279" s="230" t="s">
        <v>111</v>
      </c>
      <c r="K1279" s="226">
        <v>45792</v>
      </c>
      <c r="L1279" s="165"/>
      <c r="M1279" s="222">
        <v>1258</v>
      </c>
      <c r="N1279" s="2" t="str">
        <f t="shared" ca="1" si="39"/>
        <v>CLOSED</v>
      </c>
    </row>
    <row r="1280" spans="1:14" ht="30">
      <c r="A1280" s="64" t="s">
        <v>119</v>
      </c>
      <c r="B1280" s="98" t="e">
        <f>VLOOKUP([2]!Table27[[#This Row],[Location 
(drop-down)]],'[2]List source'!D$2:E$59,2,FALSE)</f>
        <v>#VALUE!</v>
      </c>
      <c r="C1280" s="179" t="s">
        <v>3975</v>
      </c>
      <c r="D1280" s="2" t="e">
        <f t="shared" si="38"/>
        <v>#VALUE!</v>
      </c>
      <c r="E1280" s="227" t="s">
        <v>3976</v>
      </c>
      <c r="F1280" s="165" t="e" cm="1">
        <f t="array" aca="1" ref="F1280" ca="1">MID(LEFT(#REF!, INDEX(_xlfn._xlws.FILTER(ROW(INDIRECT("1:" &amp; LEN(#REF!))), (48 &lt;= CODE(MID(#REF!, ROW(INDIRECT("1:" &amp; LEN(#REF!))), 1))) * (CODE(MID(#REF!, ROW(INDIRECT("1:" &amp; LEN(#REF!))), 1)) &lt;= 57)), 1) - 1), FIND(":",#REF!) + 2, LEN(#REF!))</f>
        <v>#REF!</v>
      </c>
      <c r="G1280" s="227" t="e">
        <f>MID(LEFT(#REF!, FIND(",",#REF!) - 1), FIND("{token}", SUBSTITUTE(#REF!, " ", "{token}", 2)) + 1, LEN(#REF!))</f>
        <v>#REF!</v>
      </c>
      <c r="H1280" s="236" t="s">
        <v>3164</v>
      </c>
      <c r="I1280" s="230">
        <v>45653</v>
      </c>
      <c r="J1280" s="230" t="s">
        <v>111</v>
      </c>
      <c r="K1280" s="226">
        <v>45792</v>
      </c>
      <c r="L1280" s="165"/>
      <c r="M1280" s="222">
        <v>1259</v>
      </c>
      <c r="N1280" s="2" t="str">
        <f t="shared" ca="1" si="39"/>
        <v>CLOSED</v>
      </c>
    </row>
    <row r="1281" spans="1:14" ht="30">
      <c r="A1281" s="64" t="s">
        <v>30</v>
      </c>
      <c r="B1281" s="98" t="e">
        <f>VLOOKUP([2]!Table27[[#This Row],[Location 
(drop-down)]],'[2]List source'!D$2:E$59,2,FALSE)</f>
        <v>#VALUE!</v>
      </c>
      <c r="C1281" s="179" t="s">
        <v>760</v>
      </c>
      <c r="D1281" s="378" t="e">
        <f t="shared" si="38"/>
        <v>#VALUE!</v>
      </c>
      <c r="E1281" s="227" t="s">
        <v>3977</v>
      </c>
      <c r="F1281" s="165" t="s">
        <v>1566</v>
      </c>
      <c r="G1281" s="227" t="e">
        <f>MID(LEFT(#REF!, FIND(",",#REF!) - 1), FIND("{token}", SUBSTITUTE(#REF!, " ", "{token}", 2)) + 1, LEN(#REF!))</f>
        <v>#REF!</v>
      </c>
      <c r="H1281" s="236" t="s">
        <v>2704</v>
      </c>
      <c r="I1281" s="230">
        <v>45427</v>
      </c>
      <c r="J1281" s="230" t="s">
        <v>111</v>
      </c>
      <c r="K1281" s="226">
        <v>45793</v>
      </c>
      <c r="L1281" s="165"/>
      <c r="M1281" s="222">
        <v>499</v>
      </c>
      <c r="N1281" s="2" t="str">
        <f t="shared" ca="1" si="39"/>
        <v>CLOSED</v>
      </c>
    </row>
    <row r="1282" spans="1:14" ht="18.75">
      <c r="A1282" s="90" t="s">
        <v>103</v>
      </c>
      <c r="B1282" s="98" t="e">
        <f>VLOOKUP([2]!Table27[[#This Row],[Location 
(drop-down)]],'[2]List source'!D$2:E$59,2,FALSE)</f>
        <v>#VALUE!</v>
      </c>
      <c r="C1282" s="182" t="s">
        <v>3978</v>
      </c>
      <c r="D1282" s="393" t="e">
        <f t="shared" ref="D1282:D1345" si="40">"PTO" &amp; C1282 &amp; "-" &amp; B1282 &amp; "-" &amp; "23"</f>
        <v>#VALUE!</v>
      </c>
      <c r="E1282" s="227" t="s">
        <v>3979</v>
      </c>
      <c r="F1282" s="165" t="e" cm="1">
        <f t="array" aca="1" ref="F1282" ca="1">MID(LEFT(#REF!, INDEX(_xlfn._xlws.FILTER(ROW(INDIRECT("1:" &amp; LEN(#REF!))), (48 &lt;= CODE(MID(#REF!, ROW(INDIRECT("1:" &amp; LEN(#REF!))), 1))) * (CODE(MID(#REF!, ROW(INDIRECT("1:" &amp; LEN(#REF!))), 1)) &lt;= 57)), 1) - 1), FIND(":",#REF!) + 2, LEN(#REF!))</f>
        <v>#REF!</v>
      </c>
      <c r="G1282" s="227" t="e">
        <f>MID(LEFT(#REF!, FIND(",",#REF!) - 1), FIND("{token}", SUBSTITUTE(#REF!, " ", "{token}", 2)) + 1, LEN(#REF!))</f>
        <v>#REF!</v>
      </c>
      <c r="H1282" s="236" t="s">
        <v>3980</v>
      </c>
      <c r="I1282" s="230">
        <v>45540</v>
      </c>
      <c r="J1282" s="342" t="s">
        <v>310</v>
      </c>
      <c r="K1282" s="221">
        <v>45797</v>
      </c>
      <c r="L1282" s="165"/>
      <c r="M1282" s="222">
        <v>908</v>
      </c>
      <c r="N1282" s="2" t="str">
        <f t="shared" ca="1" si="39"/>
        <v>CLOSED</v>
      </c>
    </row>
    <row r="1283" spans="1:14" ht="15">
      <c r="A1283" s="90" t="s">
        <v>103</v>
      </c>
      <c r="B1283" s="98" t="e">
        <f>VLOOKUP([2]!Table27[[#This Row],[Location 
(drop-down)]],'[2]List source'!D$2:E$59,2,FALSE)</f>
        <v>#VALUE!</v>
      </c>
      <c r="C1283" s="182" t="s">
        <v>3981</v>
      </c>
      <c r="D1283" s="392" t="e">
        <f t="shared" si="40"/>
        <v>#VALUE!</v>
      </c>
      <c r="E1283" s="227" t="s">
        <v>3982</v>
      </c>
      <c r="F1283" s="165" t="s">
        <v>1520</v>
      </c>
      <c r="G1283" s="227" t="e">
        <f>MID(LEFT(#REF!, FIND(",",#REF!) - 1), FIND("{token}", SUBSTITUTE(#REF!, " ", "{token}", 2)) + 1, LEN(#REF!))</f>
        <v>#REF!</v>
      </c>
      <c r="H1283" s="236" t="s">
        <v>3983</v>
      </c>
      <c r="I1283" s="230">
        <v>45582</v>
      </c>
      <c r="J1283" s="342" t="s">
        <v>310</v>
      </c>
      <c r="K1283" s="221">
        <v>45797</v>
      </c>
      <c r="L1283" s="165"/>
      <c r="M1283" s="222">
        <v>1004</v>
      </c>
      <c r="N1283" s="2" t="str">
        <f t="shared" ca="1" si="39"/>
        <v>CLOSED</v>
      </c>
    </row>
    <row r="1284" spans="1:14" ht="15">
      <c r="A1284" s="90" t="s">
        <v>139</v>
      </c>
      <c r="B1284" s="98" t="e">
        <f>VLOOKUP([2]!Table27[[#This Row],[Location 
(drop-down)]],'[2]List source'!D$2:E$59,2,FALSE)</f>
        <v>#VALUE!</v>
      </c>
      <c r="C1284" s="182" t="s">
        <v>3984</v>
      </c>
      <c r="D1284" s="392" t="e">
        <f t="shared" si="40"/>
        <v>#VALUE!</v>
      </c>
      <c r="E1284" s="227" t="s">
        <v>3985</v>
      </c>
      <c r="F1284" s="165" t="e" cm="1">
        <f t="array" aca="1" ref="F1284" ca="1">MID(LEFT(#REF!, INDEX(_xlfn._xlws.FILTER(ROW(INDIRECT("1:" &amp; LEN(#REF!))), (48 &lt;= CODE(MID(#REF!, ROW(INDIRECT("1:" &amp; LEN(#REF!))), 1))) * (CODE(MID(#REF!, ROW(INDIRECT("1:" &amp; LEN(#REF!))), 1)) &lt;= 57)), 1) - 1), FIND(":",#REF!) + 2, LEN(#REF!))</f>
        <v>#REF!</v>
      </c>
      <c r="G1284" s="227" t="e">
        <f>MID(LEFT(#REF!, FIND(",",#REF!) - 1), FIND("{token}", SUBSTITUTE(#REF!, " ", "{token}", 2)) + 1, LEN(#REF!))</f>
        <v>#REF!</v>
      </c>
      <c r="H1284" s="236" t="s">
        <v>1802</v>
      </c>
      <c r="I1284" s="230">
        <v>45657</v>
      </c>
      <c r="J1284" s="342" t="s">
        <v>310</v>
      </c>
      <c r="K1284" s="221">
        <v>45800</v>
      </c>
      <c r="L1284" s="165"/>
      <c r="M1284" s="222">
        <v>1369</v>
      </c>
      <c r="N1284" s="2" t="str">
        <f t="shared" ca="1" si="39"/>
        <v>CLOSED</v>
      </c>
    </row>
    <row r="1285" spans="1:14" ht="15">
      <c r="A1285" s="90" t="s">
        <v>139</v>
      </c>
      <c r="B1285" s="98" t="e">
        <f>VLOOKUP([2]!Table27[[#This Row],[Location 
(drop-down)]],'[2]List source'!D$2:E$59,2,FALSE)</f>
        <v>#VALUE!</v>
      </c>
      <c r="C1285" s="182" t="s">
        <v>3986</v>
      </c>
      <c r="D1285" s="392" t="e">
        <f t="shared" si="40"/>
        <v>#VALUE!</v>
      </c>
      <c r="E1285" s="227" t="s">
        <v>3987</v>
      </c>
      <c r="F1285" s="165" t="e" cm="1">
        <f t="array" aca="1" ref="F1285" ca="1">MID(LEFT(#REF!, INDEX(_xlfn._xlws.FILTER(ROW(INDIRECT("1:" &amp; LEN(#REF!))), (48 &lt;= CODE(MID(#REF!, ROW(INDIRECT("1:" &amp; LEN(#REF!))), 1))) * (CODE(MID(#REF!, ROW(INDIRECT("1:" &amp; LEN(#REF!))), 1)) &lt;= 57)), 1) - 1), FIND(":",#REF!) + 2, LEN(#REF!))</f>
        <v>#REF!</v>
      </c>
      <c r="G1285" s="227" t="e">
        <f>MID(LEFT(#REF!, FIND(",",#REF!) - 1), FIND("{token}", SUBSTITUTE(#REF!, " ", "{token}", 2)) + 1, LEN(#REF!))</f>
        <v>#REF!</v>
      </c>
      <c r="H1285" s="165">
        <v>-2.31</v>
      </c>
      <c r="I1285" s="230">
        <v>45657</v>
      </c>
      <c r="J1285" s="342" t="s">
        <v>310</v>
      </c>
      <c r="K1285" s="221">
        <v>45800</v>
      </c>
      <c r="L1285" s="275"/>
      <c r="M1285" s="222">
        <v>1370</v>
      </c>
      <c r="N1285" s="2" t="str">
        <f t="shared" ca="1" si="39"/>
        <v>CLOSED</v>
      </c>
    </row>
    <row r="1286" spans="1:14" ht="30">
      <c r="A1286" s="86" t="s">
        <v>73</v>
      </c>
      <c r="B1286" s="98" t="e">
        <f>VLOOKUP([2]!Table27[[#This Row],[Location 
(drop-down)]],'[2]List source'!D$2:E$59,2,FALSE)</f>
        <v>#VALUE!</v>
      </c>
      <c r="C1286" s="180" t="s">
        <v>696</v>
      </c>
      <c r="D1286" s="396" t="e">
        <f t="shared" si="40"/>
        <v>#VALUE!</v>
      </c>
      <c r="E1286" s="231" t="s">
        <v>3988</v>
      </c>
      <c r="F1286" s="232" t="e" cm="1">
        <f t="array" aca="1" ref="F1286" ca="1">MID(LEFT(#REF!, INDEX(_xlfn._xlws.FILTER(ROW(INDIRECT("1:" &amp; LEN(#REF!))), (48 &lt;= CODE(MID(#REF!, ROW(INDIRECT("1:" &amp; LEN(#REF!))), 1))) * (CODE(MID(#REF!, ROW(INDIRECT("1:" &amp; LEN(#REF!))), 1)) &lt;= 57)), 1) - 1), FIND(":",#REF!) + 2, LEN(#REF!))</f>
        <v>#REF!</v>
      </c>
      <c r="G1286" s="231" t="e">
        <f>MID(LEFT(#REF!, FIND(",",#REF!) - 1), FIND("{token}", SUBSTITUTE(#REF!, " ", "{token}", 2)) + 1, LEN(#REF!))</f>
        <v>#REF!</v>
      </c>
      <c r="H1286" s="232">
        <v>21.39</v>
      </c>
      <c r="I1286" s="403">
        <v>45406</v>
      </c>
      <c r="J1286" s="234" t="s">
        <v>239</v>
      </c>
      <c r="K1286" s="372">
        <v>45806</v>
      </c>
      <c r="L1286" s="275"/>
      <c r="M1286" s="222">
        <v>227</v>
      </c>
      <c r="N1286" s="2" t="str">
        <f t="shared" ca="1" si="39"/>
        <v>CLOSED</v>
      </c>
    </row>
    <row r="1287" spans="1:14" ht="18.75">
      <c r="A1287" s="90" t="s">
        <v>167</v>
      </c>
      <c r="B1287" s="98" t="e">
        <f>VLOOKUP([2]!Table27[[#This Row],[Location 
(drop-down)]],'[2]List source'!D$2:E$59,2,FALSE)</f>
        <v>#VALUE!</v>
      </c>
      <c r="C1287" s="182" t="s">
        <v>3989</v>
      </c>
      <c r="D1287" s="377" t="e">
        <f t="shared" si="40"/>
        <v>#VALUE!</v>
      </c>
      <c r="E1287" s="227" t="s">
        <v>3990</v>
      </c>
      <c r="F1287" s="165" t="s">
        <v>1769</v>
      </c>
      <c r="G1287" s="227" t="e">
        <f>MID(LEFT(#REF!, FIND(",",#REF!) - 1), FIND("{token}", SUBSTITUTE(#REF!, " ", "{token}", 2)) + 1, LEN(#REF!))</f>
        <v>#REF!</v>
      </c>
      <c r="H1287" s="236" t="s">
        <v>1874</v>
      </c>
      <c r="I1287" s="230">
        <v>45510</v>
      </c>
      <c r="J1287" s="342" t="s">
        <v>310</v>
      </c>
      <c r="K1287" s="221">
        <v>45806</v>
      </c>
      <c r="L1287" s="275"/>
      <c r="M1287" s="222">
        <v>724</v>
      </c>
      <c r="N1287" s="2" t="str">
        <f t="shared" ca="1" si="39"/>
        <v>CLOSED</v>
      </c>
    </row>
    <row r="1288" spans="1:14" ht="18.75">
      <c r="A1288" s="90" t="s">
        <v>167</v>
      </c>
      <c r="B1288" s="98" t="e">
        <f>VLOOKUP([2]!Table27[[#This Row],[Location 
(drop-down)]],'[2]List source'!D$2:E$59,2,FALSE)</f>
        <v>#VALUE!</v>
      </c>
      <c r="C1288" s="182" t="s">
        <v>3991</v>
      </c>
      <c r="D1288" s="377" t="e">
        <f t="shared" si="40"/>
        <v>#VALUE!</v>
      </c>
      <c r="E1288" s="227" t="s">
        <v>3992</v>
      </c>
      <c r="F1288" s="165" t="s">
        <v>1769</v>
      </c>
      <c r="G1288" s="227" t="e">
        <f>MID(LEFT(#REF!, FIND(",",#REF!) - 1), FIND("{token}", SUBSTITUTE(#REF!, " ", "{token}", 2)) + 1, LEN(#REF!))</f>
        <v>#REF!</v>
      </c>
      <c r="H1288" s="236" t="s">
        <v>3993</v>
      </c>
      <c r="I1288" s="230">
        <v>45510</v>
      </c>
      <c r="J1288" s="342" t="s">
        <v>310</v>
      </c>
      <c r="K1288" s="221">
        <v>45806</v>
      </c>
      <c r="L1288" s="275"/>
      <c r="M1288" s="222">
        <v>732</v>
      </c>
      <c r="N1288" s="2" t="str">
        <f t="shared" ca="1" si="39"/>
        <v>CLOSED</v>
      </c>
    </row>
    <row r="1289" spans="1:14" ht="18.75">
      <c r="A1289" s="90" t="s">
        <v>167</v>
      </c>
      <c r="B1289" s="98" t="e">
        <f>VLOOKUP([2]!Table27[[#This Row],[Location 
(drop-down)]],'[2]List source'!D$2:E$59,2,FALSE)</f>
        <v>#VALUE!</v>
      </c>
      <c r="C1289" s="182" t="s">
        <v>3994</v>
      </c>
      <c r="D1289" s="393" t="e">
        <f t="shared" si="40"/>
        <v>#VALUE!</v>
      </c>
      <c r="E1289" s="227" t="s">
        <v>3995</v>
      </c>
      <c r="F1289" s="165" t="e" cm="1">
        <f t="array" aca="1" ref="F1289" ca="1">MID(LEFT(#REF!, INDEX(_xlfn._xlws.FILTER(ROW(INDIRECT("1:" &amp; LEN(#REF!))), (48 &lt;= CODE(MID(#REF!, ROW(INDIRECT("1:" &amp; LEN(#REF!))), 1))) * (CODE(MID(#REF!, ROW(INDIRECT("1:" &amp; LEN(#REF!))), 1)) &lt;= 57)), 1) - 1), FIND(":",#REF!) + 2, LEN(#REF!))</f>
        <v>#REF!</v>
      </c>
      <c r="G1289" s="227" t="e">
        <f>MID(LEFT(#REF!, FIND(",",#REF!) - 1), FIND("{token}", SUBSTITUTE(#REF!, " ", "{token}", 2)) + 1, LEN(#REF!))</f>
        <v>#REF!</v>
      </c>
      <c r="H1289" s="165">
        <v>2.08</v>
      </c>
      <c r="I1289" s="230">
        <v>45541</v>
      </c>
      <c r="J1289" s="342" t="s">
        <v>310</v>
      </c>
      <c r="K1289" s="221">
        <v>45806</v>
      </c>
      <c r="L1289" s="165"/>
      <c r="M1289" s="222">
        <v>944</v>
      </c>
      <c r="N1289" s="2" t="str">
        <f t="shared" ca="1" si="39"/>
        <v>CLOSED</v>
      </c>
    </row>
    <row r="1290" spans="1:14" ht="15">
      <c r="A1290" s="90" t="s">
        <v>167</v>
      </c>
      <c r="B1290" s="98" t="e">
        <f>VLOOKUP([2]!Table27[[#This Row],[Location 
(drop-down)]],'[2]List source'!D$2:E$59,2,FALSE)</f>
        <v>#VALUE!</v>
      </c>
      <c r="C1290" s="182" t="s">
        <v>3996</v>
      </c>
      <c r="D1290" s="392" t="e">
        <f t="shared" si="40"/>
        <v>#VALUE!</v>
      </c>
      <c r="E1290" s="227" t="s">
        <v>3997</v>
      </c>
      <c r="F1290" s="165" t="e" cm="1">
        <f t="array" aca="1" ref="F1290" ca="1">MID(LEFT(#REF!, INDEX(_xlfn._xlws.FILTER(ROW(INDIRECT("1:" &amp; LEN(#REF!))), (48 &lt;= CODE(MID(#REF!, ROW(INDIRECT("1:" &amp; LEN(#REF!))), 1))) * (CODE(MID(#REF!, ROW(INDIRECT("1:" &amp; LEN(#REF!))), 1)) &lt;= 57)), 1) - 1), FIND(":",#REF!) + 2, LEN(#REF!))</f>
        <v>#REF!</v>
      </c>
      <c r="G1290" s="227" t="e">
        <f>MID(LEFT(#REF!, FIND(",",#REF!) - 1), FIND("{token}", SUBSTITUTE(#REF!, " ", "{token}", 2)) + 1, LEN(#REF!))</f>
        <v>#REF!</v>
      </c>
      <c r="H1290" s="236" t="s">
        <v>3998</v>
      </c>
      <c r="I1290" s="230">
        <v>45594</v>
      </c>
      <c r="J1290" s="342" t="s">
        <v>310</v>
      </c>
      <c r="K1290" s="221">
        <v>45806</v>
      </c>
      <c r="L1290" s="275"/>
      <c r="M1290" s="222">
        <v>1056</v>
      </c>
      <c r="N1290" s="2" t="str">
        <f t="shared" ca="1" si="39"/>
        <v>CLOSED</v>
      </c>
    </row>
    <row r="1291" spans="1:14" ht="15">
      <c r="A1291" s="64" t="s">
        <v>167</v>
      </c>
      <c r="B1291" s="98" t="e">
        <f>VLOOKUP([2]!Table27[[#This Row],[Location 
(drop-down)]],'[2]List source'!D$2:E$59,2,FALSE)</f>
        <v>#VALUE!</v>
      </c>
      <c r="C1291" s="179" t="s">
        <v>3999</v>
      </c>
      <c r="D1291" s="2" t="e">
        <f t="shared" si="40"/>
        <v>#VALUE!</v>
      </c>
      <c r="E1291" s="227" t="s">
        <v>4000</v>
      </c>
      <c r="F1291" s="165" t="e" cm="1">
        <f t="array" aca="1" ref="F1291" ca="1">MID(LEFT(#REF!, INDEX(_xlfn._xlws.FILTER(ROW(INDIRECT("1:" &amp; LEN(#REF!))), (48 &lt;= CODE(MID(#REF!, ROW(INDIRECT("1:" &amp; LEN(#REF!))), 1))) * (CODE(MID(#REF!, ROW(INDIRECT("1:" &amp; LEN(#REF!))), 1)) &lt;= 57)), 1) - 1), FIND(":",#REF!) + 2, LEN(#REF!))</f>
        <v>#REF!</v>
      </c>
      <c r="G1291" s="227" t="e">
        <f>MID(LEFT(#REF!, FIND(",",#REF!) - 1), FIND("{token}", SUBSTITUTE(#REF!, " ", "{token}", 2)) + 1, LEN(#REF!))</f>
        <v>#REF!</v>
      </c>
      <c r="H1291" s="236" t="s">
        <v>4001</v>
      </c>
      <c r="I1291" s="230">
        <v>45642</v>
      </c>
      <c r="J1291" s="230" t="s">
        <v>310</v>
      </c>
      <c r="K1291" s="226">
        <v>45806</v>
      </c>
      <c r="L1291" s="165"/>
      <c r="M1291" s="222">
        <v>1104</v>
      </c>
      <c r="N1291" s="2" t="str">
        <f t="shared" ca="1" si="39"/>
        <v>CLOSED</v>
      </c>
    </row>
    <row r="1292" spans="1:14" ht="30">
      <c r="A1292" s="64" t="s">
        <v>30</v>
      </c>
      <c r="B1292" s="98" t="e">
        <f>VLOOKUP([2]!Table27[[#This Row],[Location 
(drop-down)]],'[2]List source'!D$2:E$59,2,FALSE)</f>
        <v>#VALUE!</v>
      </c>
      <c r="C1292" s="179" t="s">
        <v>4002</v>
      </c>
      <c r="D1292" s="2" t="e">
        <f t="shared" si="40"/>
        <v>#VALUE!</v>
      </c>
      <c r="E1292" s="227" t="s">
        <v>4003</v>
      </c>
      <c r="F1292" s="165" t="e" cm="1">
        <f t="array" aca="1" ref="F1292" ca="1">MID(LEFT(#REF!, INDEX(_xlfn._xlws.FILTER(ROW(INDIRECT("1:" &amp; LEN(#REF!))), (48 &lt;= CODE(MID(#REF!, ROW(INDIRECT("1:" &amp; LEN(#REF!))), 1))) * (CODE(MID(#REF!, ROW(INDIRECT("1:" &amp; LEN(#REF!))), 1)) &lt;= 57)), 1) - 1), FIND(":",#REF!) + 2, LEN(#REF!))</f>
        <v>#REF!</v>
      </c>
      <c r="G1292" s="227" t="e">
        <f>MID(LEFT(#REF!, FIND(",",#REF!) - 1), FIND("{token}", SUBSTITUTE(#REF!, " ", "{token}", 2)) + 1, LEN(#REF!))</f>
        <v>#REF!</v>
      </c>
      <c r="H1292" s="236" t="s">
        <v>4004</v>
      </c>
      <c r="I1292" s="230">
        <v>45656</v>
      </c>
      <c r="J1292" s="230" t="s">
        <v>34</v>
      </c>
      <c r="K1292" s="226">
        <v>45806</v>
      </c>
      <c r="L1292" s="275" t="s">
        <v>4005</v>
      </c>
      <c r="M1292" s="222">
        <v>1270</v>
      </c>
      <c r="N1292" s="2" t="str">
        <f t="shared" ca="1" si="39"/>
        <v>CLOSED</v>
      </c>
    </row>
    <row r="1293" spans="1:14" ht="30">
      <c r="A1293" s="64" t="s">
        <v>30</v>
      </c>
      <c r="B1293" s="98" t="e">
        <f>VLOOKUP([2]!Table27[[#This Row],[Location 
(drop-down)]],'[2]List source'!D$2:E$59,2,FALSE)</f>
        <v>#VALUE!</v>
      </c>
      <c r="C1293" s="179" t="s">
        <v>4006</v>
      </c>
      <c r="D1293" s="2" t="e">
        <f t="shared" si="40"/>
        <v>#VALUE!</v>
      </c>
      <c r="E1293" s="227" t="s">
        <v>4007</v>
      </c>
      <c r="F1293" s="165" t="e" cm="1">
        <f t="array" aca="1" ref="F1293" ca="1">MID(LEFT(#REF!, INDEX(_xlfn._xlws.FILTER(ROW(INDIRECT("1:" &amp; LEN(#REF!))), (48 &lt;= CODE(MID(#REF!, ROW(INDIRECT("1:" &amp; LEN(#REF!))), 1))) * (CODE(MID(#REF!, ROW(INDIRECT("1:" &amp; LEN(#REF!))), 1)) &lt;= 57)), 1) - 1), FIND(":",#REF!) + 2, LEN(#REF!))</f>
        <v>#REF!</v>
      </c>
      <c r="G1293" s="227" t="e">
        <f>MID(LEFT(#REF!, FIND(",",#REF!) - 1), FIND("{token}", SUBSTITUTE(#REF!, " ", "{token}", 2)) + 1, LEN(#REF!))</f>
        <v>#REF!</v>
      </c>
      <c r="H1293" s="236" t="s">
        <v>4008</v>
      </c>
      <c r="I1293" s="230">
        <v>45656</v>
      </c>
      <c r="J1293" s="230" t="s">
        <v>111</v>
      </c>
      <c r="K1293" s="226">
        <v>45806</v>
      </c>
      <c r="L1293" s="165"/>
      <c r="M1293" s="222">
        <v>1285</v>
      </c>
      <c r="N1293" s="2" t="str">
        <f t="shared" ca="1" si="39"/>
        <v>CLOSED</v>
      </c>
    </row>
    <row r="1294" spans="1:14" ht="30">
      <c r="A1294" s="64" t="s">
        <v>30</v>
      </c>
      <c r="B1294" s="98" t="e">
        <f>VLOOKUP([2]!Table27[[#This Row],[Location 
(drop-down)]],'[2]List source'!D$2:E$59,2,FALSE)</f>
        <v>#VALUE!</v>
      </c>
      <c r="C1294" s="179" t="s">
        <v>542</v>
      </c>
      <c r="D1294" s="378" t="e">
        <f t="shared" si="40"/>
        <v>#VALUE!</v>
      </c>
      <c r="E1294" s="227" t="s">
        <v>4009</v>
      </c>
      <c r="F1294" s="165" t="e" cm="1">
        <f t="array" aca="1" ref="F1294" ca="1">MID(LEFT(#REF!, INDEX(_xlfn._xlws.FILTER(ROW(INDIRECT("1:" &amp; LEN(#REF!))), (48 &lt;= CODE(MID(#REF!, ROW(INDIRECT("1:" &amp; LEN(#REF!))), 1))) * (CODE(MID(#REF!, ROW(INDIRECT("1:" &amp; LEN(#REF!))), 1)) &lt;= 57)), 1) - 1), FIND(":",#REF!) + 2, LEN(#REF!))</f>
        <v>#REF!</v>
      </c>
      <c r="G1294" s="227" t="e">
        <f>MID(LEFT(#REF!, FIND(",",#REF!) - 1), FIND("{token}", SUBSTITUTE(#REF!, " ", "{token}", 2)) + 1, LEN(#REF!))</f>
        <v>#REF!</v>
      </c>
      <c r="H1294" s="165">
        <v>4.51</v>
      </c>
      <c r="I1294" s="230">
        <v>45376</v>
      </c>
      <c r="J1294" s="230" t="s">
        <v>111</v>
      </c>
      <c r="K1294" s="226">
        <v>45807</v>
      </c>
      <c r="L1294" s="165"/>
      <c r="M1294" s="222">
        <v>122</v>
      </c>
      <c r="N1294" s="2" t="str">
        <f t="shared" ca="1" si="39"/>
        <v>CLOSED</v>
      </c>
    </row>
    <row r="1295" spans="1:14" ht="18.75">
      <c r="A1295" s="64" t="s">
        <v>462</v>
      </c>
      <c r="B1295" s="98" t="e">
        <f>VLOOKUP([2]!Table27[[#This Row],[Location 
(drop-down)]],'[2]List source'!D$2:E$59,2,FALSE)</f>
        <v>#VALUE!</v>
      </c>
      <c r="C1295" s="179" t="s">
        <v>4010</v>
      </c>
      <c r="D1295" s="378" t="e">
        <f t="shared" si="40"/>
        <v>#VALUE!</v>
      </c>
      <c r="E1295" s="227" t="s">
        <v>4011</v>
      </c>
      <c r="F1295" s="165" t="e" cm="1">
        <f t="array" aca="1" ref="F1295" ca="1">MID(LEFT(#REF!, INDEX(_xlfn._xlws.FILTER(ROW(INDIRECT("1:" &amp; LEN(#REF!))), (48 &lt;= CODE(MID(#REF!, ROW(INDIRECT("1:" &amp; LEN(#REF!))), 1))) * (CODE(MID(#REF!, ROW(INDIRECT("1:" &amp; LEN(#REF!))), 1)) &lt;= 57)), 1) - 1), FIND(":",#REF!) + 2, LEN(#REF!))</f>
        <v>#REF!</v>
      </c>
      <c r="G1295" s="227" t="e">
        <f>MID(LEFT(#REF!, FIND(",",#REF!) - 1), FIND("{token}", SUBSTITUTE(#REF!, " ", "{token}", 2)) + 1, LEN(#REF!))</f>
        <v>#REF!</v>
      </c>
      <c r="H1295" s="236" t="s">
        <v>4012</v>
      </c>
      <c r="I1295" s="230">
        <v>45435</v>
      </c>
      <c r="J1295" s="230" t="s">
        <v>29</v>
      </c>
      <c r="K1295" s="226">
        <v>45807</v>
      </c>
      <c r="L1295" s="165"/>
      <c r="M1295" s="222">
        <v>579</v>
      </c>
      <c r="N1295" s="2" t="str">
        <f t="shared" ca="1" si="39"/>
        <v>CLOSED</v>
      </c>
    </row>
    <row r="1296" spans="1:14" ht="18.75">
      <c r="A1296" s="64" t="s">
        <v>462</v>
      </c>
      <c r="B1296" s="98" t="e">
        <f>VLOOKUP([2]!Table27[[#This Row],[Location 
(drop-down)]],'[2]List source'!D$2:E$59,2,FALSE)</f>
        <v>#VALUE!</v>
      </c>
      <c r="C1296" s="179" t="s">
        <v>131</v>
      </c>
      <c r="D1296" s="378" t="e">
        <f t="shared" si="40"/>
        <v>#VALUE!</v>
      </c>
      <c r="E1296" s="227" t="s">
        <v>2965</v>
      </c>
      <c r="F1296" s="165" t="e" cm="1">
        <f t="array" aca="1" ref="F1296" ca="1">MID(LEFT(#REF!, INDEX(_xlfn._xlws.FILTER(ROW(INDIRECT("1:" &amp; LEN(#REF!))), (48 &lt;= CODE(MID(#REF!, ROW(INDIRECT("1:" &amp; LEN(#REF!))), 1))) * (CODE(MID(#REF!, ROW(INDIRECT("1:" &amp; LEN(#REF!))), 1)) &lt;= 57)), 1) - 1), FIND(":",#REF!) + 2, LEN(#REF!))</f>
        <v>#REF!</v>
      </c>
      <c r="G1296" s="227" t="e">
        <f>MID(LEFT(#REF!, FIND(",",#REF!) - 1), FIND("{token}", SUBSTITUTE(#REF!, " ", "{token}", 2)) + 1, LEN(#REF!))</f>
        <v>#REF!</v>
      </c>
      <c r="H1296" s="236" t="s">
        <v>1653</v>
      </c>
      <c r="I1296" s="230">
        <v>45435</v>
      </c>
      <c r="J1296" s="230" t="s">
        <v>29</v>
      </c>
      <c r="K1296" s="226">
        <v>45807</v>
      </c>
      <c r="L1296" s="165"/>
      <c r="M1296" s="222">
        <v>612</v>
      </c>
      <c r="N1296" s="2" t="str">
        <f t="shared" ca="1" si="39"/>
        <v>CLOSED</v>
      </c>
    </row>
    <row r="1297" spans="1:14" ht="18.75">
      <c r="A1297" s="64" t="s">
        <v>462</v>
      </c>
      <c r="B1297" s="98" t="e">
        <f>VLOOKUP([2]!Table27[[#This Row],[Location 
(drop-down)]],'[2]List source'!D$2:E$59,2,FALSE)</f>
        <v>#VALUE!</v>
      </c>
      <c r="C1297" s="179" t="s">
        <v>4013</v>
      </c>
      <c r="D1297" s="379" t="e">
        <f t="shared" si="40"/>
        <v>#VALUE!</v>
      </c>
      <c r="E1297" s="227" t="s">
        <v>4014</v>
      </c>
      <c r="F1297" s="165" t="e" cm="1">
        <f t="array" aca="1" ref="F1297" ca="1">MID(LEFT(#REF!, INDEX(_xlfn._xlws.FILTER(ROW(INDIRECT("1:" &amp; LEN(#REF!))), (48 &lt;= CODE(MID(#REF!, ROW(INDIRECT("1:" &amp; LEN(#REF!))), 1))) * (CODE(MID(#REF!, ROW(INDIRECT("1:" &amp; LEN(#REF!))), 1)) &lt;= 57)), 1) - 1), FIND(":",#REF!) + 2, LEN(#REF!))</f>
        <v>#REF!</v>
      </c>
      <c r="G1297" s="227" t="e">
        <f>MID(LEFT(#REF!, FIND(",",#REF!) - 1), FIND("{token}", SUBSTITUTE(#REF!, " ", "{token}", 2)) + 1, LEN(#REF!))</f>
        <v>#REF!</v>
      </c>
      <c r="H1297" s="236" t="s">
        <v>1653</v>
      </c>
      <c r="I1297" s="230">
        <v>45540</v>
      </c>
      <c r="J1297" s="230" t="s">
        <v>29</v>
      </c>
      <c r="K1297" s="226">
        <v>45807</v>
      </c>
      <c r="L1297" s="275"/>
      <c r="M1297" s="222">
        <v>902</v>
      </c>
      <c r="N1297" s="2" t="str">
        <f t="shared" ca="1" si="39"/>
        <v>CLOSED</v>
      </c>
    </row>
    <row r="1298" spans="1:14" ht="15">
      <c r="A1298" s="64" t="s">
        <v>462</v>
      </c>
      <c r="B1298" s="98" t="e">
        <f>VLOOKUP([2]!Table27[[#This Row],[Location 
(drop-down)]],'[2]List source'!D$2:E$59,2,FALSE)</f>
        <v>#VALUE!</v>
      </c>
      <c r="C1298" s="179" t="s">
        <v>4015</v>
      </c>
      <c r="D1298" s="2" t="e">
        <f t="shared" si="40"/>
        <v>#VALUE!</v>
      </c>
      <c r="E1298" s="227" t="s">
        <v>4016</v>
      </c>
      <c r="F1298" s="165" t="e" cm="1">
        <f t="array" aca="1" ref="F1298" ca="1">MID(LEFT(#REF!, INDEX(_xlfn._xlws.FILTER(ROW(INDIRECT("1:" &amp; LEN(#REF!))), (48 &lt;= CODE(MID(#REF!, ROW(INDIRECT("1:" &amp; LEN(#REF!))), 1))) * (CODE(MID(#REF!, ROW(INDIRECT("1:" &amp; LEN(#REF!))), 1)) &lt;= 57)), 1) - 1), FIND(":",#REF!) + 2, LEN(#REF!))</f>
        <v>#REF!</v>
      </c>
      <c r="G1298" s="227" t="e">
        <f>MID(LEFT(#REF!, FIND(",",#REF!) - 1), FIND("{token}", SUBSTITUTE(#REF!, " ", "{token}", 2)) + 1, LEN(#REF!))</f>
        <v>#REF!</v>
      </c>
      <c r="H1298" s="236" t="s">
        <v>4017</v>
      </c>
      <c r="I1298" s="230">
        <v>45642</v>
      </c>
      <c r="J1298" s="230" t="s">
        <v>29</v>
      </c>
      <c r="K1298" s="226">
        <v>45807</v>
      </c>
      <c r="L1298" s="275"/>
      <c r="M1298" s="222">
        <v>1096</v>
      </c>
      <c r="N1298" s="2" t="str">
        <f t="shared" ca="1" si="39"/>
        <v>CLOSED</v>
      </c>
    </row>
    <row r="1299" spans="1:14" ht="15">
      <c r="A1299" s="64" t="s">
        <v>462</v>
      </c>
      <c r="B1299" s="98" t="e">
        <f>VLOOKUP([2]!Table27[[#This Row],[Location 
(drop-down)]],'[2]List source'!D$2:E$59,2,FALSE)</f>
        <v>#VALUE!</v>
      </c>
      <c r="C1299" s="179" t="s">
        <v>4018</v>
      </c>
      <c r="D1299" s="2" t="e">
        <f t="shared" si="40"/>
        <v>#VALUE!</v>
      </c>
      <c r="E1299" s="227" t="s">
        <v>4019</v>
      </c>
      <c r="F1299" s="165" t="e" cm="1">
        <f t="array" aca="1" ref="F1299" ca="1">MID(LEFT(#REF!, INDEX(_xlfn._xlws.FILTER(ROW(INDIRECT("1:" &amp; LEN(#REF!))), (48 &lt;= CODE(MID(#REF!, ROW(INDIRECT("1:" &amp; LEN(#REF!))), 1))) * (CODE(MID(#REF!, ROW(INDIRECT("1:" &amp; LEN(#REF!))), 1)) &lt;= 57)), 1) - 1), FIND(":",#REF!) + 2, LEN(#REF!))</f>
        <v>#REF!</v>
      </c>
      <c r="G1299" s="227" t="e">
        <f>MID(LEFT(#REF!, FIND(",",#REF!) - 1), FIND("{token}", SUBSTITUTE(#REF!, " ", "{token}", 2)) + 1, LEN(#REF!))</f>
        <v>#REF!</v>
      </c>
      <c r="H1299" s="236" t="s">
        <v>1754</v>
      </c>
      <c r="I1299" s="230">
        <v>45656</v>
      </c>
      <c r="J1299" s="230" t="s">
        <v>29</v>
      </c>
      <c r="K1299" s="226">
        <v>45807</v>
      </c>
      <c r="L1299" s="275"/>
      <c r="M1299" s="222">
        <v>1266</v>
      </c>
      <c r="N1299" s="2" t="str">
        <f t="shared" ca="1" si="39"/>
        <v>CLOSED</v>
      </c>
    </row>
    <row r="1300" spans="1:14" ht="15">
      <c r="A1300" s="64" t="s">
        <v>462</v>
      </c>
      <c r="B1300" s="98" t="e">
        <f>VLOOKUP([2]!Table27[[#This Row],[Location 
(drop-down)]],'[2]List source'!D$2:E$59,2,FALSE)</f>
        <v>#VALUE!</v>
      </c>
      <c r="C1300" s="179" t="s">
        <v>4020</v>
      </c>
      <c r="D1300" s="2" t="e">
        <f t="shared" si="40"/>
        <v>#VALUE!</v>
      </c>
      <c r="E1300" s="227" t="s">
        <v>4021</v>
      </c>
      <c r="F1300" s="165" t="e" cm="1">
        <f t="array" aca="1" ref="F1300" ca="1">MID(LEFT(#REF!, INDEX(_xlfn._xlws.FILTER(ROW(INDIRECT("1:" &amp; LEN(#REF!))), (48 &lt;= CODE(MID(#REF!, ROW(INDIRECT("1:" &amp; LEN(#REF!))), 1))) * (CODE(MID(#REF!, ROW(INDIRECT("1:" &amp; LEN(#REF!))), 1)) &lt;= 57)), 1) - 1), FIND(":",#REF!) + 2, LEN(#REF!))</f>
        <v>#REF!</v>
      </c>
      <c r="G1300" s="227" t="e">
        <f>MID(LEFT(#REF!, FIND(",",#REF!) - 1), FIND("{token}", SUBSTITUTE(#REF!, " ", "{token}", 2)) + 1, LEN(#REF!))</f>
        <v>#REF!</v>
      </c>
      <c r="H1300" s="165">
        <v>3.11</v>
      </c>
      <c r="I1300" s="230">
        <v>45657</v>
      </c>
      <c r="J1300" s="230" t="s">
        <v>29</v>
      </c>
      <c r="K1300" s="226">
        <v>45810</v>
      </c>
      <c r="L1300" s="165"/>
      <c r="M1300" s="222">
        <v>1338</v>
      </c>
      <c r="N1300" s="2" t="str">
        <f t="shared" ca="1" si="39"/>
        <v>CLOSED</v>
      </c>
    </row>
    <row r="1301" spans="1:14" ht="18.75">
      <c r="A1301" s="64" t="s">
        <v>53</v>
      </c>
      <c r="B1301" s="98" t="e">
        <f>VLOOKUP([2]!Table27[[#This Row],[Location 
(drop-down)]],'[2]List source'!D$2:E$59,2,FALSE)</f>
        <v>#VALUE!</v>
      </c>
      <c r="C1301" s="179" t="s">
        <v>4022</v>
      </c>
      <c r="D1301" s="378" t="e">
        <f t="shared" si="40"/>
        <v>#VALUE!</v>
      </c>
      <c r="E1301" s="227" t="s">
        <v>4023</v>
      </c>
      <c r="F1301" s="165" t="s">
        <v>1524</v>
      </c>
      <c r="G1301" s="227" t="e">
        <f>MID(LEFT(#REF!, FIND(",",#REF!) - 1), FIND("{token}", SUBSTITUTE(#REF!, " ", "{token}", 2)) + 1, LEN(#REF!))</f>
        <v>#REF!</v>
      </c>
      <c r="H1301" s="165">
        <v>4.32</v>
      </c>
      <c r="I1301" s="230">
        <v>45428</v>
      </c>
      <c r="J1301" s="230" t="s">
        <v>239</v>
      </c>
      <c r="K1301" s="226">
        <v>45818</v>
      </c>
      <c r="L1301" s="165"/>
      <c r="M1301" s="222">
        <v>532</v>
      </c>
      <c r="N1301" s="2" t="str">
        <f t="shared" ca="1" si="39"/>
        <v>CLOSED</v>
      </c>
    </row>
    <row r="1302" spans="1:14" ht="18.75">
      <c r="A1302" s="64" t="s">
        <v>53</v>
      </c>
      <c r="B1302" s="98" t="e">
        <f>VLOOKUP([2]!Table27[[#This Row],[Location 
(drop-down)]],'[2]List source'!D$2:E$59,2,FALSE)</f>
        <v>#VALUE!</v>
      </c>
      <c r="C1302" s="179" t="s">
        <v>4024</v>
      </c>
      <c r="D1302" s="378" t="e">
        <f t="shared" si="40"/>
        <v>#VALUE!</v>
      </c>
      <c r="E1302" s="227" t="s">
        <v>4025</v>
      </c>
      <c r="F1302" s="165" t="s">
        <v>1524</v>
      </c>
      <c r="G1302" s="227" t="e">
        <f>MID(LEFT(#REF!, FIND(",",#REF!) - 1), FIND("{token}", SUBSTITUTE(#REF!, " ", "{token}", 2)) + 1, LEN(#REF!))</f>
        <v>#REF!</v>
      </c>
      <c r="H1302" s="236" t="s">
        <v>2308</v>
      </c>
      <c r="I1302" s="230">
        <v>45428</v>
      </c>
      <c r="J1302" s="230" t="s">
        <v>239</v>
      </c>
      <c r="K1302" s="226">
        <v>45818</v>
      </c>
      <c r="L1302" s="275"/>
      <c r="M1302" s="222">
        <v>534</v>
      </c>
      <c r="N1302" s="2" t="str">
        <f t="shared" ca="1" si="39"/>
        <v>CLOSED</v>
      </c>
    </row>
    <row r="1303" spans="1:14" ht="18.75">
      <c r="A1303" s="64" t="s">
        <v>53</v>
      </c>
      <c r="B1303" s="98" t="e">
        <f>VLOOKUP([2]!Table27[[#This Row],[Location 
(drop-down)]],'[2]List source'!D$2:E$59,2,FALSE)</f>
        <v>#VALUE!</v>
      </c>
      <c r="C1303" s="179" t="s">
        <v>4026</v>
      </c>
      <c r="D1303" s="378" t="e">
        <f t="shared" si="40"/>
        <v>#VALUE!</v>
      </c>
      <c r="E1303" s="227" t="s">
        <v>4027</v>
      </c>
      <c r="F1303" s="165" t="s">
        <v>1524</v>
      </c>
      <c r="G1303" s="227" t="e">
        <f>MID(LEFT(#REF!, FIND(",",#REF!) - 1), FIND("{token}", SUBSTITUTE(#REF!, " ", "{token}", 2)) + 1, LEN(#REF!))</f>
        <v>#REF!</v>
      </c>
      <c r="H1303" s="236">
        <v>3</v>
      </c>
      <c r="I1303" s="230">
        <v>45428</v>
      </c>
      <c r="J1303" s="230" t="s">
        <v>239</v>
      </c>
      <c r="K1303" s="226">
        <v>45818</v>
      </c>
      <c r="L1303" s="165"/>
      <c r="M1303" s="222">
        <v>535</v>
      </c>
      <c r="N1303" s="2" t="str">
        <f t="shared" ca="1" si="39"/>
        <v>CLOSED</v>
      </c>
    </row>
    <row r="1304" spans="1:14" ht="18.75">
      <c r="A1304" s="64" t="s">
        <v>53</v>
      </c>
      <c r="B1304" s="98" t="e">
        <f>VLOOKUP([2]!Table27[[#This Row],[Location 
(drop-down)]],'[2]List source'!D$2:E$59,2,FALSE)</f>
        <v>#VALUE!</v>
      </c>
      <c r="C1304" s="179" t="s">
        <v>4028</v>
      </c>
      <c r="D1304" s="378" t="e">
        <f t="shared" si="40"/>
        <v>#VALUE!</v>
      </c>
      <c r="E1304" s="227" t="s">
        <v>4029</v>
      </c>
      <c r="F1304" s="165" t="s">
        <v>1524</v>
      </c>
      <c r="G1304" s="227" t="e">
        <f>MID(LEFT(#REF!, FIND(",",#REF!) - 1), FIND("{token}", SUBSTITUTE(#REF!, " ", "{token}", 2)) + 1, LEN(#REF!))</f>
        <v>#REF!</v>
      </c>
      <c r="H1304" s="236" t="s">
        <v>3856</v>
      </c>
      <c r="I1304" s="230">
        <v>45582</v>
      </c>
      <c r="J1304" s="230" t="s">
        <v>239</v>
      </c>
      <c r="K1304" s="226">
        <v>45818</v>
      </c>
      <c r="L1304" s="275"/>
      <c r="M1304" s="222">
        <v>1033</v>
      </c>
      <c r="N1304" s="2" t="str">
        <f t="shared" ref="N1304:N1367" ca="1" si="41">IF(ISBLANK(K1304), TODAY()-(I1304), "CLOSED")</f>
        <v>CLOSED</v>
      </c>
    </row>
    <row r="1305" spans="1:14" ht="30">
      <c r="A1305" s="64" t="s">
        <v>30</v>
      </c>
      <c r="B1305" s="98" t="e">
        <f>VLOOKUP([2]!Table27[[#This Row],[Location 
(drop-down)]],'[2]List source'!D$2:E$59,2,FALSE)</f>
        <v>#VALUE!</v>
      </c>
      <c r="C1305" s="179" t="s">
        <v>4030</v>
      </c>
      <c r="D1305" s="2" t="e">
        <f t="shared" si="40"/>
        <v>#VALUE!</v>
      </c>
      <c r="E1305" s="227" t="s">
        <v>3310</v>
      </c>
      <c r="F1305" s="165" t="e" cm="1">
        <f t="array" aca="1" ref="F1305" ca="1">MID(LEFT(#REF!, INDEX(_xlfn._xlws.FILTER(ROW(INDIRECT("1:" &amp; LEN(#REF!))), (48 &lt;= CODE(MID(#REF!, ROW(INDIRECT("1:" &amp; LEN(#REF!))), 1))) * (CODE(MID(#REF!, ROW(INDIRECT("1:" &amp; LEN(#REF!))), 1)) &lt;= 57)), 1) - 1), FIND(":",#REF!) + 2, LEN(#REF!))</f>
        <v>#REF!</v>
      </c>
      <c r="G1305" s="227" t="e">
        <f>MID(LEFT(#REF!, FIND(",",#REF!) - 1), FIND("{token}", SUBSTITUTE(#REF!, " ", "{token}", 2)) + 1, LEN(#REF!))</f>
        <v>#REF!</v>
      </c>
      <c r="H1305" s="236" t="s">
        <v>4031</v>
      </c>
      <c r="I1305" s="230">
        <v>45656</v>
      </c>
      <c r="J1305" s="230" t="s">
        <v>34</v>
      </c>
      <c r="K1305" s="226">
        <v>45818</v>
      </c>
      <c r="L1305" s="165" t="s">
        <v>4032</v>
      </c>
      <c r="M1305" s="222">
        <v>1268</v>
      </c>
      <c r="N1305" s="2" t="str">
        <f t="shared" ca="1" si="41"/>
        <v>CLOSED</v>
      </c>
    </row>
    <row r="1306" spans="1:14" ht="30">
      <c r="A1306" s="64" t="s">
        <v>30</v>
      </c>
      <c r="B1306" s="98" t="e">
        <f>VLOOKUP([2]!Table27[[#This Row],[Location 
(drop-down)]],'[2]List source'!D$2:E$59,2,FALSE)</f>
        <v>#VALUE!</v>
      </c>
      <c r="C1306" s="179" t="s">
        <v>4033</v>
      </c>
      <c r="D1306" s="2" t="e">
        <f t="shared" si="40"/>
        <v>#VALUE!</v>
      </c>
      <c r="E1306" s="227" t="s">
        <v>4034</v>
      </c>
      <c r="F1306" s="165" t="e" cm="1">
        <f t="array" aca="1" ref="F1306" ca="1">MID(LEFT(#REF!, INDEX(_xlfn._xlws.FILTER(ROW(INDIRECT("1:" &amp; LEN(#REF!))), (48 &lt;= CODE(MID(#REF!, ROW(INDIRECT("1:" &amp; LEN(#REF!))), 1))) * (CODE(MID(#REF!, ROW(INDIRECT("1:" &amp; LEN(#REF!))), 1)) &lt;= 57)), 1) - 1), FIND(":",#REF!) + 2, LEN(#REF!))</f>
        <v>#REF!</v>
      </c>
      <c r="G1306" s="227" t="e">
        <f>MID(LEFT(#REF!, FIND(",",#REF!) - 1), FIND("{token}", SUBSTITUTE(#REF!, " ", "{token}", 2)) + 1, LEN(#REF!))</f>
        <v>#REF!</v>
      </c>
      <c r="H1306" s="236" t="s">
        <v>4035</v>
      </c>
      <c r="I1306" s="230">
        <v>45656</v>
      </c>
      <c r="J1306" s="230" t="s">
        <v>111</v>
      </c>
      <c r="K1306" s="226">
        <v>45818</v>
      </c>
      <c r="L1306" s="275"/>
      <c r="M1306" s="222">
        <v>1282</v>
      </c>
      <c r="N1306" s="2" t="str">
        <f t="shared" ca="1" si="41"/>
        <v>CLOSED</v>
      </c>
    </row>
    <row r="1307" spans="1:14" ht="30">
      <c r="A1307" s="64" t="s">
        <v>30</v>
      </c>
      <c r="B1307" s="98" t="e">
        <f>VLOOKUP([2]!Table27[[#This Row],[Location 
(drop-down)]],'[2]List source'!D$2:E$59,2,FALSE)</f>
        <v>#VALUE!</v>
      </c>
      <c r="C1307" s="179" t="s">
        <v>4036</v>
      </c>
      <c r="D1307" s="2" t="e">
        <f t="shared" si="40"/>
        <v>#VALUE!</v>
      </c>
      <c r="E1307" s="227" t="s">
        <v>4037</v>
      </c>
      <c r="F1307" s="165" t="e" cm="1">
        <f t="array" aca="1" ref="F1307" ca="1">MID(LEFT(#REF!, INDEX(_xlfn._xlws.FILTER(ROW(INDIRECT("1:" &amp; LEN(#REF!))), (48 &lt;= CODE(MID(#REF!, ROW(INDIRECT("1:" &amp; LEN(#REF!))), 1))) * (CODE(MID(#REF!, ROW(INDIRECT("1:" &amp; LEN(#REF!))), 1)) &lt;= 57)), 1) - 1), FIND(":",#REF!) + 2, LEN(#REF!))</f>
        <v>#REF!</v>
      </c>
      <c r="G1307" s="227" t="e">
        <f>MID(LEFT(#REF!, FIND(",",#REF!) - 1), FIND("{token}", SUBSTITUTE(#REF!, " ", "{token}", 2)) + 1, LEN(#REF!))</f>
        <v>#REF!</v>
      </c>
      <c r="H1307" s="165" t="s">
        <v>4038</v>
      </c>
      <c r="I1307" s="230">
        <v>45600</v>
      </c>
      <c r="J1307" s="230" t="s">
        <v>111</v>
      </c>
      <c r="K1307" s="226">
        <v>45821</v>
      </c>
      <c r="L1307" s="165"/>
      <c r="M1307" s="222">
        <v>1066</v>
      </c>
      <c r="N1307" s="2" t="str">
        <f t="shared" ca="1" si="41"/>
        <v>CLOSED</v>
      </c>
    </row>
    <row r="1308" spans="1:14" ht="30">
      <c r="A1308" s="64" t="s">
        <v>30</v>
      </c>
      <c r="B1308" s="98" t="e">
        <f>VLOOKUP([2]!Table27[[#This Row],[Location 
(drop-down)]],'[2]List source'!D$2:E$59,2,FALSE)</f>
        <v>#VALUE!</v>
      </c>
      <c r="C1308" s="179" t="s">
        <v>277</v>
      </c>
      <c r="D1308" s="378" t="e">
        <f t="shared" si="40"/>
        <v>#VALUE!</v>
      </c>
      <c r="E1308" s="242" t="s">
        <v>4039</v>
      </c>
      <c r="F1308" s="245" t="e" cm="1">
        <f t="array" aca="1" ref="F1308" ca="1">MID(LEFT(#REF!, INDEX(_xlfn._xlws.FILTER(ROW(INDIRECT("1:" &amp; LEN(#REF!))), (48 &lt;= CODE(MID(#REF!, ROW(INDIRECT("1:" &amp; LEN(#REF!))), 1))) * (CODE(MID(#REF!, ROW(INDIRECT("1:" &amp; LEN(#REF!))), 1)) &lt;= 57)), 1) - 1), FIND(":",#REF!) + 2, LEN(#REF!))</f>
        <v>#REF!</v>
      </c>
      <c r="G1308" s="242" t="e">
        <f>MID(LEFT(#REF!, FIND(",",#REF!) - 1), FIND("{token}", SUBSTITUTE(#REF!, " ", "{token}", 2)) + 1, LEN(#REF!))</f>
        <v>#REF!</v>
      </c>
      <c r="H1308" s="229">
        <v>3.67</v>
      </c>
      <c r="I1308" s="230">
        <v>45412</v>
      </c>
      <c r="J1308" s="230" t="s">
        <v>111</v>
      </c>
      <c r="K1308" s="226">
        <v>45824</v>
      </c>
      <c r="L1308" s="165"/>
      <c r="M1308" s="222">
        <v>274</v>
      </c>
      <c r="N1308" s="2" t="str">
        <f t="shared" ca="1" si="41"/>
        <v>CLOSED</v>
      </c>
    </row>
    <row r="1309" spans="1:14" ht="30">
      <c r="A1309" s="64" t="s">
        <v>485</v>
      </c>
      <c r="B1309" s="98" t="e">
        <f>VLOOKUP([2]!Table27[[#This Row],[Location 
(drop-down)]],'[2]List source'!D$2:E$59,2,FALSE)</f>
        <v>#VALUE!</v>
      </c>
      <c r="C1309" s="179" t="s">
        <v>4040</v>
      </c>
      <c r="D1309" s="2" t="e">
        <f t="shared" si="40"/>
        <v>#VALUE!</v>
      </c>
      <c r="E1309" s="227" t="s">
        <v>4041</v>
      </c>
      <c r="F1309" s="165" t="e" cm="1">
        <f t="array" aca="1" ref="F1309" ca="1">MID(LEFT(#REF!, INDEX(_xlfn._xlws.FILTER(ROW(INDIRECT("1:" &amp; LEN(#REF!))), (48 &lt;= CODE(MID(#REF!, ROW(INDIRECT("1:" &amp; LEN(#REF!))), 1))) * (CODE(MID(#REF!, ROW(INDIRECT("1:" &amp; LEN(#REF!))), 1)) &lt;= 57)), 1) - 1), FIND(":",#REF!) + 2, LEN(#REF!))</f>
        <v>#REF!</v>
      </c>
      <c r="G1309" s="227" t="e">
        <f>MID(LEFT(#REF!, FIND(",",#REF!) - 1), FIND("{token}", SUBSTITUTE(#REF!, " ", "{token}", 2)) + 1, LEN(#REF!))</f>
        <v>#REF!</v>
      </c>
      <c r="H1309" s="236" t="s">
        <v>3164</v>
      </c>
      <c r="I1309" s="230">
        <v>45643</v>
      </c>
      <c r="J1309" s="230" t="s">
        <v>239</v>
      </c>
      <c r="K1309" s="226">
        <v>45824</v>
      </c>
      <c r="L1309" s="165"/>
      <c r="M1309" s="222">
        <v>1153</v>
      </c>
      <c r="N1309" s="2" t="str">
        <f t="shared" ca="1" si="41"/>
        <v>CLOSED</v>
      </c>
    </row>
    <row r="1310" spans="1:14" ht="30">
      <c r="A1310" s="64" t="s">
        <v>485</v>
      </c>
      <c r="B1310" s="98" t="e">
        <f>VLOOKUP([2]!Table27[[#This Row],[Location 
(drop-down)]],'[2]List source'!D$2:E$59,2,FALSE)</f>
        <v>#VALUE!</v>
      </c>
      <c r="C1310" s="179" t="s">
        <v>4042</v>
      </c>
      <c r="D1310" s="2" t="e">
        <f t="shared" si="40"/>
        <v>#VALUE!</v>
      </c>
      <c r="E1310" s="227" t="s">
        <v>4043</v>
      </c>
      <c r="F1310" s="165" t="s">
        <v>1520</v>
      </c>
      <c r="G1310" s="227" t="e">
        <f>MID(LEFT(#REF!, FIND(",",#REF!) - 1), FIND("{token}", SUBSTITUTE(#REF!, " ", "{token}", 2)) + 1, LEN(#REF!))</f>
        <v>#REF!</v>
      </c>
      <c r="H1310" s="165">
        <v>3.29</v>
      </c>
      <c r="I1310" s="230">
        <v>45649</v>
      </c>
      <c r="J1310" s="230" t="s">
        <v>239</v>
      </c>
      <c r="K1310" s="226">
        <v>45824</v>
      </c>
      <c r="L1310" s="165"/>
      <c r="M1310" s="222">
        <v>1215</v>
      </c>
      <c r="N1310" s="2" t="str">
        <f t="shared" ca="1" si="41"/>
        <v>CLOSED</v>
      </c>
    </row>
    <row r="1311" spans="1:14" ht="30">
      <c r="A1311" s="64" t="s">
        <v>485</v>
      </c>
      <c r="B1311" s="98" t="e">
        <f>VLOOKUP([2]!Table27[[#This Row],[Location 
(drop-down)]],'[2]List source'!D$2:E$59,2,FALSE)</f>
        <v>#VALUE!</v>
      </c>
      <c r="C1311" s="179" t="s">
        <v>4044</v>
      </c>
      <c r="D1311" s="2" t="e">
        <f t="shared" si="40"/>
        <v>#VALUE!</v>
      </c>
      <c r="E1311" s="227" t="s">
        <v>4045</v>
      </c>
      <c r="F1311" s="165" t="s">
        <v>1520</v>
      </c>
      <c r="G1311" s="227" t="e">
        <f>MID(LEFT(#REF!, FIND(",",#REF!) - 1), FIND("{token}", SUBSTITUTE(#REF!, " ", "{token}", 2)) + 1, LEN(#REF!))</f>
        <v>#REF!</v>
      </c>
      <c r="H1311" s="165">
        <v>3.97</v>
      </c>
      <c r="I1311" s="230">
        <v>45649</v>
      </c>
      <c r="J1311" s="230" t="s">
        <v>239</v>
      </c>
      <c r="K1311" s="226">
        <v>45824</v>
      </c>
      <c r="L1311" s="165"/>
      <c r="M1311" s="222">
        <v>1218</v>
      </c>
      <c r="N1311" s="2" t="str">
        <f t="shared" ca="1" si="41"/>
        <v>CLOSED</v>
      </c>
    </row>
    <row r="1312" spans="1:14" ht="30">
      <c r="A1312" s="64" t="s">
        <v>30</v>
      </c>
      <c r="B1312" s="98" t="e">
        <f>VLOOKUP([2]!Table27[[#This Row],[Location 
(drop-down)]],'[2]List source'!D$2:E$59,2,FALSE)</f>
        <v>#VALUE!</v>
      </c>
      <c r="C1312" s="179" t="s">
        <v>4046</v>
      </c>
      <c r="D1312" s="2" t="e">
        <f t="shared" si="40"/>
        <v>#VALUE!</v>
      </c>
      <c r="E1312" s="227" t="s">
        <v>4047</v>
      </c>
      <c r="F1312" s="165" t="e" cm="1">
        <f t="array" aca="1" ref="F1312" ca="1">MID(LEFT(#REF!, INDEX(_xlfn._xlws.FILTER(ROW(INDIRECT("1:" &amp; LEN(#REF!))), (48 &lt;= CODE(MID(#REF!, ROW(INDIRECT("1:" &amp; LEN(#REF!))), 1))) * (CODE(MID(#REF!, ROW(INDIRECT("1:" &amp; LEN(#REF!))), 1)) &lt;= 57)), 1) - 1), FIND(":",#REF!) + 2, LEN(#REF!))</f>
        <v>#REF!</v>
      </c>
      <c r="G1312" s="227" t="e">
        <f>MID(LEFT(#REF!, FIND(",",#REF!) - 1), FIND("{token}", SUBSTITUTE(#REF!, " ", "{token}", 2)) + 1, LEN(#REF!))</f>
        <v>#REF!</v>
      </c>
      <c r="H1312" s="236" t="s">
        <v>4048</v>
      </c>
      <c r="I1312" s="230">
        <v>45657</v>
      </c>
      <c r="J1312" s="230" t="s">
        <v>111</v>
      </c>
      <c r="K1312" s="226">
        <v>45824</v>
      </c>
      <c r="L1312" s="165"/>
      <c r="M1312" s="222">
        <v>1344</v>
      </c>
      <c r="N1312" s="2" t="str">
        <f t="shared" ca="1" si="41"/>
        <v>CLOSED</v>
      </c>
    </row>
    <row r="1313" spans="1:14" ht="18.75">
      <c r="A1313" s="64" t="s">
        <v>53</v>
      </c>
      <c r="B1313" s="98" t="e">
        <f>VLOOKUP([2]!Table27[[#This Row],[Location 
(drop-down)]],'[2]List source'!D$2:E$59,2,FALSE)</f>
        <v>#VALUE!</v>
      </c>
      <c r="C1313" s="179" t="s">
        <v>48</v>
      </c>
      <c r="D1313" s="378" t="e">
        <f t="shared" si="40"/>
        <v>#VALUE!</v>
      </c>
      <c r="E1313" s="227" t="s">
        <v>2503</v>
      </c>
      <c r="F1313" s="165" t="s">
        <v>1566</v>
      </c>
      <c r="G1313" s="227" t="e">
        <f>MID(LEFT(#REF!, FIND(",",#REF!) - 1), FIND("{token}", SUBSTITUTE(#REF!, " ", "{token}", 2)) + 1, LEN(#REF!))</f>
        <v>#REF!</v>
      </c>
      <c r="H1313" s="236" t="s">
        <v>2504</v>
      </c>
      <c r="I1313" s="230">
        <v>45427</v>
      </c>
      <c r="J1313" s="230" t="s">
        <v>327</v>
      </c>
      <c r="K1313" s="226">
        <v>45831</v>
      </c>
      <c r="L1313" s="165"/>
      <c r="M1313" s="222">
        <v>510</v>
      </c>
      <c r="N1313" s="2" t="str">
        <f t="shared" ca="1" si="41"/>
        <v>CLOSED</v>
      </c>
    </row>
    <row r="1314" spans="1:14" ht="15">
      <c r="A1314" s="64" t="s">
        <v>314</v>
      </c>
      <c r="B1314" s="98" t="e">
        <f>VLOOKUP([2]!Table27[[#This Row],[Location 
(drop-down)]],'[2]List source'!D$2:E$59,2,FALSE)</f>
        <v>#VALUE!</v>
      </c>
      <c r="C1314" s="179" t="s">
        <v>4049</v>
      </c>
      <c r="D1314" s="2" t="e">
        <f t="shared" si="40"/>
        <v>#VALUE!</v>
      </c>
      <c r="E1314" s="227" t="s">
        <v>4050</v>
      </c>
      <c r="F1314" s="165" t="e" cm="1">
        <f t="array" aca="1" ref="F1314" ca="1">MID(LEFT(#REF!, INDEX(_xlfn._xlws.FILTER(ROW(INDIRECT("1:" &amp; LEN(#REF!))), (48 &lt;= CODE(MID(#REF!, ROW(INDIRECT("1:" &amp; LEN(#REF!))), 1))) * (CODE(MID(#REF!, ROW(INDIRECT("1:" &amp; LEN(#REF!))), 1)) &lt;= 57)), 1) - 1), FIND(":",#REF!) + 2, LEN(#REF!))</f>
        <v>#REF!</v>
      </c>
      <c r="G1314" s="227" t="e">
        <f>MID(LEFT(#REF!, FIND(",",#REF!) - 1), FIND("{token}", SUBSTITUTE(#REF!, " ", "{token}", 2)) + 1, LEN(#REF!))</f>
        <v>#REF!</v>
      </c>
      <c r="H1314" s="236" t="s">
        <v>1593</v>
      </c>
      <c r="I1314" s="230">
        <v>45657</v>
      </c>
      <c r="J1314" s="230" t="s">
        <v>327</v>
      </c>
      <c r="K1314" s="226">
        <v>45831</v>
      </c>
      <c r="L1314" s="165"/>
      <c r="M1314" s="222">
        <v>1304</v>
      </c>
      <c r="N1314" s="2" t="str">
        <f t="shared" ca="1" si="41"/>
        <v>CLOSED</v>
      </c>
    </row>
    <row r="1315" spans="1:14" ht="30">
      <c r="A1315" s="64" t="s">
        <v>294</v>
      </c>
      <c r="B1315" s="98" t="e">
        <f>VLOOKUP([2]!Table27[[#This Row],[Location 
(drop-down)]],'[2]List source'!D$2:E$59,2,FALSE)</f>
        <v>#VALUE!</v>
      </c>
      <c r="C1315" s="179" t="s">
        <v>4051</v>
      </c>
      <c r="D1315" s="2" t="e">
        <f t="shared" si="40"/>
        <v>#VALUE!</v>
      </c>
      <c r="E1315" s="227" t="s">
        <v>4052</v>
      </c>
      <c r="F1315" s="165" t="e" cm="1">
        <f t="array" aca="1" ref="F1315" ca="1">MID(LEFT(#REF!, INDEX(_xlfn._xlws.FILTER(ROW(INDIRECT("1:" &amp; LEN(#REF!))), (48 &lt;= CODE(MID(#REF!, ROW(INDIRECT("1:" &amp; LEN(#REF!))), 1))) * (CODE(MID(#REF!, ROW(INDIRECT("1:" &amp; LEN(#REF!))), 1)) &lt;= 57)), 1) - 1), FIND(":",#REF!) + 2, LEN(#REF!))</f>
        <v>#REF!</v>
      </c>
      <c r="G1315" s="227" t="e">
        <f>MID(LEFT(#REF!, FIND(",",#REF!) - 1), FIND("{token}", SUBSTITUTE(#REF!, " ", "{token}", 2)) + 1, LEN(#REF!))</f>
        <v>#REF!</v>
      </c>
      <c r="H1315" s="236" t="s">
        <v>4053</v>
      </c>
      <c r="I1315" s="230">
        <v>45657</v>
      </c>
      <c r="J1315" s="230" t="s">
        <v>327</v>
      </c>
      <c r="K1315" s="226">
        <v>45831</v>
      </c>
      <c r="L1315" s="275"/>
      <c r="M1315" s="222">
        <v>1360</v>
      </c>
      <c r="N1315" s="2" t="str">
        <f t="shared" ca="1" si="41"/>
        <v>CLOSED</v>
      </c>
    </row>
    <row r="1316" spans="1:14" ht="30">
      <c r="A1316" s="64" t="s">
        <v>485</v>
      </c>
      <c r="B1316" s="98" t="e">
        <f>VLOOKUP([2]!Table27[[#This Row],[Location 
(drop-down)]],'[2]List source'!D$2:E$59,2,FALSE)</f>
        <v>#VALUE!</v>
      </c>
      <c r="C1316" s="179" t="s">
        <v>4054</v>
      </c>
      <c r="D1316" s="2" t="e">
        <f t="shared" si="40"/>
        <v>#VALUE!</v>
      </c>
      <c r="E1316" s="227" t="s">
        <v>4055</v>
      </c>
      <c r="F1316" s="165" t="s">
        <v>1520</v>
      </c>
      <c r="G1316" s="227" t="e">
        <f>MID(LEFT(#REF!, FIND(",",#REF!) - 1), FIND("{token}", SUBSTITUTE(#REF!, " ", "{token}", 2)) + 1, LEN(#REF!))</f>
        <v>#REF!</v>
      </c>
      <c r="H1316" s="165">
        <v>3.27</v>
      </c>
      <c r="I1316" s="230">
        <v>45582</v>
      </c>
      <c r="J1316" s="230" t="s">
        <v>239</v>
      </c>
      <c r="K1316" s="226">
        <v>45835</v>
      </c>
      <c r="L1316" s="165"/>
      <c r="M1316" s="222">
        <v>1013</v>
      </c>
      <c r="N1316" s="2" t="str">
        <f t="shared" ca="1" si="41"/>
        <v>CLOSED</v>
      </c>
    </row>
    <row r="1317" spans="1:14" ht="30">
      <c r="A1317" s="64" t="s">
        <v>485</v>
      </c>
      <c r="B1317" s="98" t="e">
        <f>VLOOKUP([2]!Table27[[#This Row],[Location 
(drop-down)]],'[2]List source'!D$2:E$59,2,FALSE)</f>
        <v>#VALUE!</v>
      </c>
      <c r="C1317" s="179" t="s">
        <v>4056</v>
      </c>
      <c r="D1317" s="2" t="e">
        <f t="shared" si="40"/>
        <v>#VALUE!</v>
      </c>
      <c r="E1317" s="227" t="s">
        <v>4057</v>
      </c>
      <c r="F1317" s="165" t="s">
        <v>1520</v>
      </c>
      <c r="G1317" s="227" t="e">
        <f>MID(LEFT(#REF!, FIND(",",#REF!) - 1), FIND("{token}", SUBSTITUTE(#REF!, " ", "{token}", 2)) + 1, LEN(#REF!))</f>
        <v>#REF!</v>
      </c>
      <c r="H1317" s="165">
        <v>5.12</v>
      </c>
      <c r="I1317" s="230">
        <v>45649</v>
      </c>
      <c r="J1317" s="230" t="s">
        <v>239</v>
      </c>
      <c r="K1317" s="226">
        <v>45835</v>
      </c>
      <c r="L1317" s="165"/>
      <c r="M1317" s="222">
        <v>1214</v>
      </c>
      <c r="N1317" s="2" t="str">
        <f t="shared" ca="1" si="41"/>
        <v>CLOSED</v>
      </c>
    </row>
    <row r="1318" spans="1:14" ht="30">
      <c r="A1318" s="64" t="s">
        <v>485</v>
      </c>
      <c r="B1318" s="98" t="e">
        <f>VLOOKUP([2]!Table27[[#This Row],[Location 
(drop-down)]],'[2]List source'!D$2:E$59,2,FALSE)</f>
        <v>#VALUE!</v>
      </c>
      <c r="C1318" s="179" t="s">
        <v>4058</v>
      </c>
      <c r="D1318" s="2" t="e">
        <f t="shared" si="40"/>
        <v>#VALUE!</v>
      </c>
      <c r="E1318" s="227" t="s">
        <v>4059</v>
      </c>
      <c r="F1318" s="165" t="e" cm="1">
        <f t="array" aca="1" ref="F1318" ca="1">MID(LEFT(#REF!, INDEX(_xlfn._xlws.FILTER(ROW(INDIRECT("1:" &amp; LEN(#REF!))), (48 &lt;= CODE(MID(#REF!, ROW(INDIRECT("1:" &amp; LEN(#REF!))), 1))) * (CODE(MID(#REF!, ROW(INDIRECT("1:" &amp; LEN(#REF!))), 1)) &lt;= 57)), 1) - 1), FIND(":",#REF!) + 2, LEN(#REF!))</f>
        <v>#REF!</v>
      </c>
      <c r="G1318" s="227" t="e">
        <f>MID(LEFT(#REF!, FIND(",",#REF!) - 1), FIND("{token}", SUBSTITUTE(#REF!, " ", "{token}", 2)) + 1, LEN(#REF!))</f>
        <v>#REF!</v>
      </c>
      <c r="H1318" s="236" t="s">
        <v>1962</v>
      </c>
      <c r="I1318" s="230">
        <v>45657</v>
      </c>
      <c r="J1318" s="230" t="s">
        <v>239</v>
      </c>
      <c r="K1318" s="226">
        <v>45835</v>
      </c>
      <c r="L1318" s="275"/>
      <c r="M1318" s="222">
        <v>1364</v>
      </c>
      <c r="N1318" s="2" t="str">
        <f t="shared" ca="1" si="41"/>
        <v>CLOSED</v>
      </c>
    </row>
    <row r="1319" spans="1:14" ht="30">
      <c r="A1319" s="64" t="s">
        <v>432</v>
      </c>
      <c r="B1319" s="98" t="e">
        <f>VLOOKUP([2]!Table27[[#This Row],[Location 
(drop-down)]],'[2]List source'!D$2:E$59,2,FALSE)</f>
        <v>#VALUE!</v>
      </c>
      <c r="C1319" s="179" t="s">
        <v>367</v>
      </c>
      <c r="D1319" s="378" t="e">
        <f t="shared" si="40"/>
        <v>#VALUE!</v>
      </c>
      <c r="E1319" s="227" t="s">
        <v>4060</v>
      </c>
      <c r="F1319" s="165" t="e" cm="1">
        <f t="array" aca="1" ref="F1319" ca="1">MID(LEFT(#REF!, INDEX(_xlfn._xlws.FILTER(ROW(INDIRECT("1:" &amp; LEN(#REF!))), (48 &lt;= CODE(MID(#REF!, ROW(INDIRECT("1:" &amp; LEN(#REF!))), 1))) * (CODE(MID(#REF!, ROW(INDIRECT("1:" &amp; LEN(#REF!))), 1)) &lt;= 57)), 1) - 1), FIND(":",#REF!) + 2, LEN(#REF!))</f>
        <v>#REF!</v>
      </c>
      <c r="G1319" s="227" t="e">
        <f>MID(LEFT(#REF!, FIND(",",#REF!) - 1), FIND("{token}", SUBSTITUTE(#REF!, " ", "{token}", 2)) + 1, LEN(#REF!))</f>
        <v>#REF!</v>
      </c>
      <c r="H1319" s="165">
        <v>17.27</v>
      </c>
      <c r="I1319" s="230">
        <v>45376</v>
      </c>
      <c r="J1319" s="230" t="s">
        <v>108</v>
      </c>
      <c r="K1319" s="226">
        <v>45838</v>
      </c>
      <c r="L1319" s="165"/>
      <c r="M1319" s="222">
        <v>112</v>
      </c>
      <c r="N1319" s="2" t="str">
        <f t="shared" ca="1" si="41"/>
        <v>CLOSED</v>
      </c>
    </row>
    <row r="1320" spans="1:14" ht="30">
      <c r="A1320" s="64" t="s">
        <v>30</v>
      </c>
      <c r="B1320" s="98" t="e">
        <f>VLOOKUP([2]!Table27[[#This Row],[Location 
(drop-down)]],'[2]List source'!D$2:E$59,2,FALSE)</f>
        <v>#VALUE!</v>
      </c>
      <c r="C1320" s="179" t="s">
        <v>1411</v>
      </c>
      <c r="D1320" s="378" t="e">
        <f t="shared" si="40"/>
        <v>#VALUE!</v>
      </c>
      <c r="E1320" s="227" t="s">
        <v>4061</v>
      </c>
      <c r="F1320" s="165" t="s">
        <v>4062</v>
      </c>
      <c r="G1320" s="227" t="e">
        <f>MID(LEFT(#REF!, FIND(",",#REF!) - 1), FIND("{token}", SUBSTITUTE(#REF!, " ", "{token}", 2)) + 1, LEN(#REF!))</f>
        <v>#REF!</v>
      </c>
      <c r="H1320" s="236" t="s">
        <v>4063</v>
      </c>
      <c r="I1320" s="230">
        <v>45413</v>
      </c>
      <c r="J1320" s="230" t="s">
        <v>111</v>
      </c>
      <c r="K1320" s="226">
        <v>45838</v>
      </c>
      <c r="L1320" s="165"/>
      <c r="M1320" s="222">
        <v>342</v>
      </c>
      <c r="N1320" s="2" t="str">
        <f t="shared" ca="1" si="41"/>
        <v>CLOSED</v>
      </c>
    </row>
    <row r="1321" spans="1:14" ht="30">
      <c r="A1321" s="64" t="s">
        <v>432</v>
      </c>
      <c r="B1321" s="98" t="e">
        <f>VLOOKUP([2]!Table27[[#This Row],[Location 
(drop-down)]],'[2]List source'!D$2:E$59,2,FALSE)</f>
        <v>#VALUE!</v>
      </c>
      <c r="C1321" s="179" t="s">
        <v>149</v>
      </c>
      <c r="D1321" s="378" t="e">
        <f t="shared" si="40"/>
        <v>#VALUE!</v>
      </c>
      <c r="E1321" s="227" t="s">
        <v>4064</v>
      </c>
      <c r="F1321" s="165" t="s">
        <v>1566</v>
      </c>
      <c r="G1321" s="227" t="e">
        <f>MID(LEFT(#REF!, FIND(",",#REF!) - 1), FIND("{token}", SUBSTITUTE(#REF!, " ", "{token}", 2)) + 1, LEN(#REF!))</f>
        <v>#REF!</v>
      </c>
      <c r="H1321" s="236" t="s">
        <v>4065</v>
      </c>
      <c r="I1321" s="230">
        <v>45427</v>
      </c>
      <c r="J1321" s="230" t="s">
        <v>108</v>
      </c>
      <c r="K1321" s="226">
        <v>45838</v>
      </c>
      <c r="L1321" s="165"/>
      <c r="M1321" s="222">
        <v>493</v>
      </c>
      <c r="N1321" s="2" t="str">
        <f t="shared" ca="1" si="41"/>
        <v>CLOSED</v>
      </c>
    </row>
    <row r="1322" spans="1:14" ht="30">
      <c r="A1322" s="64" t="s">
        <v>30</v>
      </c>
      <c r="B1322" s="98" t="e">
        <f>VLOOKUP([2]!Table27[[#This Row],[Location 
(drop-down)]],'[2]List source'!D$2:E$59,2,FALSE)</f>
        <v>#VALUE!</v>
      </c>
      <c r="C1322" s="179" t="s">
        <v>4066</v>
      </c>
      <c r="D1322" s="378" t="e">
        <f t="shared" si="40"/>
        <v>#VALUE!</v>
      </c>
      <c r="E1322" s="227" t="s">
        <v>4067</v>
      </c>
      <c r="F1322" s="165" t="e" cm="1">
        <f t="array" aca="1" ref="F1322" ca="1">MID(LEFT(#REF!, INDEX(_xlfn._xlws.FILTER(ROW(INDIRECT("1:" &amp; LEN(#REF!))), (48 &lt;= CODE(MID(#REF!, ROW(INDIRECT("1:" &amp; LEN(#REF!))), 1))) * (CODE(MID(#REF!, ROW(INDIRECT("1:" &amp; LEN(#REF!))), 1)) &lt;= 57)), 1) - 1), FIND(":",#REF!) + 2, LEN(#REF!))</f>
        <v>#REF!</v>
      </c>
      <c r="G1322" s="227" t="e">
        <f>MID(LEFT(#REF!, FIND(",",#REF!) - 1), FIND("{token}", SUBSTITUTE(#REF!, " ", "{token}", 2)) + 1, LEN(#REF!))</f>
        <v>#REF!</v>
      </c>
      <c r="H1322" s="165">
        <v>9.6999999999999993</v>
      </c>
      <c r="I1322" s="230">
        <v>45533</v>
      </c>
      <c r="J1322" s="230" t="s">
        <v>111</v>
      </c>
      <c r="K1322" s="226">
        <v>45838</v>
      </c>
      <c r="L1322" s="275"/>
      <c r="M1322" s="222">
        <v>818</v>
      </c>
      <c r="N1322" s="2" t="str">
        <f t="shared" ca="1" si="41"/>
        <v>CLOSED</v>
      </c>
    </row>
    <row r="1323" spans="1:14" ht="18.75">
      <c r="A1323" s="193" t="s">
        <v>30</v>
      </c>
      <c r="B1323" s="98" t="e">
        <f>VLOOKUP([2]!Table27[[#This Row],[Location 
(drop-down)]],'[2]List source'!D$2:E$59,2,FALSE)</f>
        <v>#VALUE!</v>
      </c>
      <c r="C1323" s="179" t="s">
        <v>4068</v>
      </c>
      <c r="D1323" s="379" t="e">
        <f t="shared" si="40"/>
        <v>#VALUE!</v>
      </c>
      <c r="E1323" s="251" t="s">
        <v>4069</v>
      </c>
      <c r="F1323" s="274" t="e" cm="1">
        <f t="array" aca="1" ref="F1323" ca="1">MID(LEFT(#REF!, INDEX(_xlfn._xlws.FILTER(ROW(INDIRECT("1:" &amp; LEN(#REF!))), (48 &lt;= CODE(MID(#REF!, ROW(INDIRECT("1:" &amp; LEN(#REF!))), 1))) * (CODE(MID(#REF!, ROW(INDIRECT("1:" &amp; LEN(#REF!))), 1)) &lt;= 57)), 1) - 1), FIND(":",#REF!) + 2, LEN(#REF!))</f>
        <v>#REF!</v>
      </c>
      <c r="G1323" s="251" t="e">
        <f>MID(LEFT(#REF!, FIND(",",#REF!) - 1), FIND("{token}", SUBSTITUTE(#REF!, " ", "{token}", 2)) + 1, LEN(#REF!))</f>
        <v>#REF!</v>
      </c>
      <c r="H1323" s="274" t="s">
        <v>4070</v>
      </c>
      <c r="I1323" s="230">
        <v>45541</v>
      </c>
      <c r="J1323" s="230" t="s">
        <v>111</v>
      </c>
      <c r="K1323" s="226">
        <v>45838</v>
      </c>
      <c r="L1323" s="275"/>
      <c r="M1323" s="297">
        <v>937</v>
      </c>
      <c r="N1323" s="2" t="str">
        <f t="shared" ca="1" si="41"/>
        <v>CLOSED</v>
      </c>
    </row>
    <row r="1324" spans="1:14" ht="18.75">
      <c r="A1324" s="186" t="s">
        <v>30</v>
      </c>
      <c r="B1324" s="98" t="e">
        <f>VLOOKUP([2]!Table27[[#This Row],[Location 
(drop-down)]],'[2]List source'!D$2:E$59,2,FALSE)</f>
        <v>#VALUE!</v>
      </c>
      <c r="C1324" s="148" t="s">
        <v>4071</v>
      </c>
      <c r="D1324" s="379" t="e">
        <f t="shared" si="40"/>
        <v>#VALUE!</v>
      </c>
      <c r="E1324" s="227" t="s">
        <v>4072</v>
      </c>
      <c r="F1324" s="165" t="e" cm="1">
        <f t="array" aca="1" ref="F1324" ca="1">MID(LEFT(#REF!, INDEX(_xlfn._xlws.FILTER(ROW(INDIRECT("1:" &amp; LEN(#REF!))), (48 &lt;= CODE(MID(#REF!, ROW(INDIRECT("1:" &amp; LEN(#REF!))), 1))) * (CODE(MID(#REF!, ROW(INDIRECT("1:" &amp; LEN(#REF!))), 1)) &lt;= 57)), 1) - 1), FIND(":",#REF!) + 2, LEN(#REF!))</f>
        <v>#REF!</v>
      </c>
      <c r="G1324" s="227" t="e">
        <f>MID(LEFT(#REF!, FIND(",",#REF!) - 1), FIND("{token}", SUBSTITUTE(#REF!, " ", "{token}", 2)) + 1, LEN(#REF!))</f>
        <v>#REF!</v>
      </c>
      <c r="H1324" s="236" t="s">
        <v>2318</v>
      </c>
      <c r="I1324" s="230">
        <v>45541</v>
      </c>
      <c r="J1324" s="230" t="s">
        <v>111</v>
      </c>
      <c r="K1324" s="226">
        <v>45838</v>
      </c>
      <c r="L1324" s="275"/>
      <c r="M1324" s="222">
        <v>938</v>
      </c>
      <c r="N1324" s="2" t="str">
        <f t="shared" ca="1" si="41"/>
        <v>CLOSED</v>
      </c>
    </row>
    <row r="1325" spans="1:14" ht="30">
      <c r="A1325" s="64" t="s">
        <v>30</v>
      </c>
      <c r="B1325" s="98" t="e">
        <f>VLOOKUP([2]!Table27[[#This Row],[Location 
(drop-down)]],'[2]List source'!D$2:E$59,2,FALSE)</f>
        <v>#VALUE!</v>
      </c>
      <c r="C1325" s="148" t="s">
        <v>4073</v>
      </c>
      <c r="D1325" s="2" t="e">
        <f t="shared" si="40"/>
        <v>#VALUE!</v>
      </c>
      <c r="E1325" s="227" t="s">
        <v>4074</v>
      </c>
      <c r="F1325" s="165" t="e" cm="1">
        <f t="array" aca="1" ref="F1325" ca="1">MID(LEFT(#REF!, INDEX(_xlfn._xlws.FILTER(ROW(INDIRECT("1:" &amp; LEN(#REF!))), (48 &lt;= CODE(MID(#REF!, ROW(INDIRECT("1:" &amp; LEN(#REF!))), 1))) * (CODE(MID(#REF!, ROW(INDIRECT("1:" &amp; LEN(#REF!))), 1)) &lt;= 57)), 1) - 1), FIND(":",#REF!) + 2, LEN(#REF!))</f>
        <v>#REF!</v>
      </c>
      <c r="G1325" s="227" t="e">
        <f>MID(LEFT(#REF!, FIND(",",#REF!) - 1), FIND("{token}", SUBSTITUTE(#REF!, " ", "{token}", 2)) + 1, LEN(#REF!))</f>
        <v>#REF!</v>
      </c>
      <c r="H1325" s="165">
        <v>3.01</v>
      </c>
      <c r="I1325" s="230">
        <v>45642</v>
      </c>
      <c r="J1325" s="230" t="s">
        <v>111</v>
      </c>
      <c r="K1325" s="226">
        <v>45838</v>
      </c>
      <c r="L1325" s="165"/>
      <c r="M1325" s="222">
        <v>1101</v>
      </c>
      <c r="N1325" s="2" t="str">
        <f t="shared" ca="1" si="41"/>
        <v>CLOSED</v>
      </c>
    </row>
    <row r="1326" spans="1:14" ht="15">
      <c r="A1326" s="64" t="s">
        <v>43</v>
      </c>
      <c r="B1326" s="98" t="e">
        <f>VLOOKUP([2]!Table27[[#This Row],[Location 
(drop-down)]],'[2]List source'!D$2:E$59,2,FALSE)</f>
        <v>#VALUE!</v>
      </c>
      <c r="C1326" s="148" t="s">
        <v>4075</v>
      </c>
      <c r="D1326" s="2" t="e">
        <f t="shared" si="40"/>
        <v>#VALUE!</v>
      </c>
      <c r="E1326" s="227" t="s">
        <v>4076</v>
      </c>
      <c r="F1326" s="165" t="e" cm="1">
        <f t="array" aca="1" ref="F1326" ca="1">MID(LEFT(#REF!, INDEX(_xlfn._xlws.FILTER(ROW(INDIRECT("1:" &amp; LEN(#REF!))), (48 &lt;= CODE(MID(#REF!, ROW(INDIRECT("1:" &amp; LEN(#REF!))), 1))) * (CODE(MID(#REF!, ROW(INDIRECT("1:" &amp; LEN(#REF!))), 1)) &lt;= 57)), 1) - 1), FIND(":",#REF!) + 2, LEN(#REF!))</f>
        <v>#REF!</v>
      </c>
      <c r="G1326" s="227" t="e">
        <f>MID(LEFT(#REF!, FIND(",",#REF!) - 1), FIND("{token}", SUBSTITUTE(#REF!, " ", "{token}", 2)) + 1, LEN(#REF!))</f>
        <v>#REF!</v>
      </c>
      <c r="H1326" s="165">
        <v>144.63999999999999</v>
      </c>
      <c r="I1326" s="230">
        <v>45642</v>
      </c>
      <c r="J1326" s="230" t="s">
        <v>29</v>
      </c>
      <c r="K1326" s="226">
        <v>45838</v>
      </c>
      <c r="L1326" s="165"/>
      <c r="M1326" s="222">
        <v>1117</v>
      </c>
      <c r="N1326" s="2" t="str">
        <f t="shared" ca="1" si="41"/>
        <v>CLOSED</v>
      </c>
    </row>
    <row r="1327" spans="1:14" ht="15">
      <c r="A1327" s="64" t="s">
        <v>43</v>
      </c>
      <c r="B1327" s="98" t="e">
        <f>VLOOKUP([2]!Table27[[#This Row],[Location 
(drop-down)]],'[2]List source'!D$2:E$59,2,FALSE)</f>
        <v>#VALUE!</v>
      </c>
      <c r="C1327" s="148" t="s">
        <v>4077</v>
      </c>
      <c r="D1327" s="2" t="e">
        <f t="shared" si="40"/>
        <v>#VALUE!</v>
      </c>
      <c r="E1327" s="227" t="s">
        <v>4078</v>
      </c>
      <c r="F1327" s="165" t="e" cm="1">
        <f t="array" aca="1" ref="F1327" ca="1">MID(LEFT(#REF!, INDEX(_xlfn._xlws.FILTER(ROW(INDIRECT("1:" &amp; LEN(#REF!))), (48 &lt;= CODE(MID(#REF!, ROW(INDIRECT("1:" &amp; LEN(#REF!))), 1))) * (CODE(MID(#REF!, ROW(INDIRECT("1:" &amp; LEN(#REF!))), 1)) &lt;= 57)), 1) - 1), FIND(":",#REF!) + 2, LEN(#REF!))</f>
        <v>#REF!</v>
      </c>
      <c r="G1327" s="227" t="e">
        <f>MID(LEFT(#REF!, FIND(",",#REF!) - 1), FIND("{token}", SUBSTITUTE(#REF!, " ", "{token}", 2)) + 1, LEN(#REF!))</f>
        <v>#REF!</v>
      </c>
      <c r="H1327" s="165" t="s">
        <v>4079</v>
      </c>
      <c r="I1327" s="230">
        <v>45646</v>
      </c>
      <c r="J1327" s="230" t="s">
        <v>29</v>
      </c>
      <c r="K1327" s="226">
        <v>45838</v>
      </c>
      <c r="L1327" s="165"/>
      <c r="M1327" s="222">
        <v>1195</v>
      </c>
      <c r="N1327" s="2" t="str">
        <f t="shared" ca="1" si="41"/>
        <v>CLOSED</v>
      </c>
    </row>
    <row r="1328" spans="1:14" ht="15">
      <c r="A1328" s="64" t="s">
        <v>43</v>
      </c>
      <c r="B1328" s="98" t="e">
        <f>VLOOKUP([2]!Table27[[#This Row],[Location 
(drop-down)]],'[2]List source'!D$2:E$59,2,FALSE)</f>
        <v>#VALUE!</v>
      </c>
      <c r="C1328" s="148" t="s">
        <v>4080</v>
      </c>
      <c r="D1328" s="2" t="e">
        <f t="shared" si="40"/>
        <v>#VALUE!</v>
      </c>
      <c r="E1328" s="227" t="s">
        <v>4081</v>
      </c>
      <c r="F1328" s="165" t="e" cm="1">
        <f t="array" aca="1" ref="F1328" ca="1">MID(LEFT(#REF!, INDEX(_xlfn._xlws.FILTER(ROW(INDIRECT("1:" &amp; LEN(#REF!))), (48 &lt;= CODE(MID(#REF!, ROW(INDIRECT("1:" &amp; LEN(#REF!))), 1))) * (CODE(MID(#REF!, ROW(INDIRECT("1:" &amp; LEN(#REF!))), 1)) &lt;= 57)), 1) - 1), FIND(":",#REF!) + 2, LEN(#REF!))</f>
        <v>#REF!</v>
      </c>
      <c r="G1328" s="227" t="e">
        <f>MID(LEFT(#REF!, FIND(",",#REF!) - 1), FIND("{token}", SUBSTITUTE(#REF!, " ", "{token}", 2)) + 1, LEN(#REF!))</f>
        <v>#REF!</v>
      </c>
      <c r="H1328" s="236" t="s">
        <v>4082</v>
      </c>
      <c r="I1328" s="230">
        <v>45646</v>
      </c>
      <c r="J1328" s="230" t="s">
        <v>29</v>
      </c>
      <c r="K1328" s="226">
        <v>45838</v>
      </c>
      <c r="L1328" s="165"/>
      <c r="M1328" s="222">
        <v>1196</v>
      </c>
      <c r="N1328" s="2" t="str">
        <f t="shared" ca="1" si="41"/>
        <v>CLOSED</v>
      </c>
    </row>
    <row r="1329" spans="1:14" ht="30">
      <c r="A1329" s="64" t="s">
        <v>432</v>
      </c>
      <c r="B1329" s="98" t="e">
        <f>VLOOKUP([2]!Table27[[#This Row],[Location 
(drop-down)]],'[2]List source'!D$2:E$59,2,FALSE)</f>
        <v>#VALUE!</v>
      </c>
      <c r="C1329" s="148" t="s">
        <v>4083</v>
      </c>
      <c r="D1329" s="2" t="e">
        <f t="shared" si="40"/>
        <v>#VALUE!</v>
      </c>
      <c r="E1329" s="227" t="s">
        <v>4084</v>
      </c>
      <c r="F1329" s="165" t="s">
        <v>1520</v>
      </c>
      <c r="G1329" s="227" t="e">
        <f>MID(LEFT(#REF!, FIND(",",#REF!) - 1), FIND("{token}", SUBSTITUTE(#REF!, " ", "{token}", 2)) + 1, LEN(#REF!))</f>
        <v>#REF!</v>
      </c>
      <c r="H1329" s="236" t="s">
        <v>2936</v>
      </c>
      <c r="I1329" s="230">
        <v>45646</v>
      </c>
      <c r="J1329" s="230" t="s">
        <v>108</v>
      </c>
      <c r="K1329" s="226">
        <v>45838</v>
      </c>
      <c r="L1329" s="165"/>
      <c r="M1329" s="222">
        <v>1200</v>
      </c>
      <c r="N1329" s="2" t="str">
        <f t="shared" ca="1" si="41"/>
        <v>CLOSED</v>
      </c>
    </row>
    <row r="1330" spans="1:14" ht="30">
      <c r="A1330" s="64" t="s">
        <v>432</v>
      </c>
      <c r="B1330" s="98" t="e">
        <f>VLOOKUP([2]!Table27[[#This Row],[Location 
(drop-down)]],'[2]List source'!D$2:E$59,2,FALSE)</f>
        <v>#VALUE!</v>
      </c>
      <c r="C1330" s="148" t="s">
        <v>4085</v>
      </c>
      <c r="D1330" s="2" t="e">
        <f t="shared" si="40"/>
        <v>#VALUE!</v>
      </c>
      <c r="E1330" s="227" t="s">
        <v>4086</v>
      </c>
      <c r="F1330" s="165" t="s">
        <v>1520</v>
      </c>
      <c r="G1330" s="227" t="e">
        <f>MID(LEFT(#REF!, FIND(",",#REF!) - 1), FIND("{token}", SUBSTITUTE(#REF!, " ", "{token}", 2)) + 1, LEN(#REF!))</f>
        <v>#REF!</v>
      </c>
      <c r="H1330" s="236" t="s">
        <v>4087</v>
      </c>
      <c r="I1330" s="230">
        <v>45646</v>
      </c>
      <c r="J1330" s="230" t="s">
        <v>108</v>
      </c>
      <c r="K1330" s="226">
        <v>45838</v>
      </c>
      <c r="L1330" s="275"/>
      <c r="M1330" s="222">
        <v>1201</v>
      </c>
      <c r="N1330" s="2" t="str">
        <f t="shared" ca="1" si="41"/>
        <v>CLOSED</v>
      </c>
    </row>
    <row r="1331" spans="1:14" ht="30">
      <c r="A1331" s="64" t="s">
        <v>485</v>
      </c>
      <c r="B1331" s="98" t="e">
        <f>VLOOKUP([2]!Table27[[#This Row],[Location 
(drop-down)]],'[2]List source'!D$2:E$59,2,FALSE)</f>
        <v>#VALUE!</v>
      </c>
      <c r="C1331" s="148" t="s">
        <v>4088</v>
      </c>
      <c r="D1331" s="2" t="e">
        <f t="shared" si="40"/>
        <v>#VALUE!</v>
      </c>
      <c r="E1331" s="227" t="s">
        <v>4089</v>
      </c>
      <c r="F1331" s="165" t="s">
        <v>1520</v>
      </c>
      <c r="G1331" s="227" t="e">
        <f>MID(LEFT(#REF!, FIND(",",#REF!) - 1), FIND("{token}", SUBSTITUTE(#REF!, " ", "{token}", 2)) + 1, LEN(#REF!))</f>
        <v>#REF!</v>
      </c>
      <c r="H1331" s="236" t="s">
        <v>2975</v>
      </c>
      <c r="I1331" s="230">
        <v>45649</v>
      </c>
      <c r="J1331" s="230" t="s">
        <v>239</v>
      </c>
      <c r="K1331" s="226">
        <v>45838</v>
      </c>
      <c r="L1331" s="275"/>
      <c r="M1331" s="222">
        <v>1217</v>
      </c>
      <c r="N1331" s="2" t="str">
        <f t="shared" ca="1" si="41"/>
        <v>CLOSED</v>
      </c>
    </row>
    <row r="1332" spans="1:14" ht="30">
      <c r="A1332" s="64" t="s">
        <v>30</v>
      </c>
      <c r="B1332" s="98" t="e">
        <f>VLOOKUP([2]!Table27[[#This Row],[Location 
(drop-down)]],'[2]List source'!D$2:E$59,2,FALSE)</f>
        <v>#VALUE!</v>
      </c>
      <c r="C1332" s="148" t="s">
        <v>4090</v>
      </c>
      <c r="D1332" s="2" t="e">
        <f t="shared" si="40"/>
        <v>#VALUE!</v>
      </c>
      <c r="E1332" s="227" t="s">
        <v>4091</v>
      </c>
      <c r="F1332" s="165" t="e" cm="1">
        <f t="array" aca="1" ref="F1332" ca="1">MID(LEFT(#REF!, INDEX(_xlfn._xlws.FILTER(ROW(INDIRECT("1:" &amp; LEN(#REF!))), (48 &lt;= CODE(MID(#REF!, ROW(INDIRECT("1:" &amp; LEN(#REF!))), 1))) * (CODE(MID(#REF!, ROW(INDIRECT("1:" &amp; LEN(#REF!))), 1)) &lt;= 57)), 1) - 1), FIND(":",#REF!) + 2, LEN(#REF!))</f>
        <v>#REF!</v>
      </c>
      <c r="G1332" s="227" t="e">
        <f>MID(LEFT(#REF!, FIND(",",#REF!) - 1), FIND("{token}", SUBSTITUTE(#REF!, " ", "{token}", 2)) + 1, LEN(#REF!))</f>
        <v>#REF!</v>
      </c>
      <c r="H1332" s="165">
        <v>2.81</v>
      </c>
      <c r="I1332" s="230">
        <v>45656</v>
      </c>
      <c r="J1332" s="230" t="s">
        <v>34</v>
      </c>
      <c r="K1332" s="226">
        <v>45838</v>
      </c>
      <c r="L1332" s="165" t="s">
        <v>4092</v>
      </c>
      <c r="M1332" s="222">
        <v>1271</v>
      </c>
      <c r="N1332" s="2" t="str">
        <f t="shared" ca="1" si="41"/>
        <v>CLOSED</v>
      </c>
    </row>
    <row r="1333" spans="1:14" ht="30">
      <c r="A1333" s="64" t="s">
        <v>30</v>
      </c>
      <c r="B1333" s="98" t="e">
        <f>VLOOKUP([2]!Table27[[#This Row],[Location 
(drop-down)]],'[2]List source'!D$2:E$59,2,FALSE)</f>
        <v>#VALUE!</v>
      </c>
      <c r="C1333" s="148" t="s">
        <v>4093</v>
      </c>
      <c r="D1333" s="2" t="e">
        <f t="shared" si="40"/>
        <v>#VALUE!</v>
      </c>
      <c r="E1333" s="227" t="s">
        <v>4094</v>
      </c>
      <c r="F1333" s="165" t="e" cm="1">
        <f t="array" aca="1" ref="F1333" ca="1">MID(LEFT(#REF!, INDEX(_xlfn._xlws.FILTER(ROW(INDIRECT("1:" &amp; LEN(#REF!))), (48 &lt;= CODE(MID(#REF!, ROW(INDIRECT("1:" &amp; LEN(#REF!))), 1))) * (CODE(MID(#REF!, ROW(INDIRECT("1:" &amp; LEN(#REF!))), 1)) &lt;= 57)), 1) - 1), FIND(":",#REF!) + 2, LEN(#REF!))</f>
        <v>#REF!</v>
      </c>
      <c r="G1333" s="227" t="e">
        <f>MID(LEFT(#REF!, FIND(",",#REF!) - 1), FIND("{token}", SUBSTITUTE(#REF!, " ", "{token}", 2)) + 1, LEN(#REF!))</f>
        <v>#REF!</v>
      </c>
      <c r="H1333" s="165">
        <v>2.79</v>
      </c>
      <c r="I1333" s="230">
        <v>45656</v>
      </c>
      <c r="J1333" s="230" t="s">
        <v>111</v>
      </c>
      <c r="K1333" s="226">
        <v>45838</v>
      </c>
      <c r="L1333" s="275"/>
      <c r="M1333" s="222">
        <v>1286</v>
      </c>
      <c r="N1333" s="2" t="str">
        <f t="shared" ca="1" si="41"/>
        <v>CLOSED</v>
      </c>
    </row>
    <row r="1334" spans="1:14" ht="30">
      <c r="A1334" s="64" t="s">
        <v>432</v>
      </c>
      <c r="B1334" s="98" t="e">
        <f>VLOOKUP([2]!Table27[[#This Row],[Location 
(drop-down)]],'[2]List source'!D$2:E$59,2,FALSE)</f>
        <v>#VALUE!</v>
      </c>
      <c r="C1334" s="148" t="s">
        <v>4095</v>
      </c>
      <c r="D1334" s="2" t="e">
        <f t="shared" si="40"/>
        <v>#VALUE!</v>
      </c>
      <c r="E1334" s="227" t="s">
        <v>4096</v>
      </c>
      <c r="F1334" s="165" t="e" cm="1">
        <f t="array" aca="1" ref="F1334" ca="1">MID(LEFT(#REF!, INDEX(_xlfn._xlws.FILTER(ROW(INDIRECT("1:" &amp; LEN(#REF!))), (48 &lt;= CODE(MID(#REF!, ROW(INDIRECT("1:" &amp; LEN(#REF!))), 1))) * (CODE(MID(#REF!, ROW(INDIRECT("1:" &amp; LEN(#REF!))), 1)) &lt;= 57)), 1) - 1), FIND(":",#REF!) + 2, LEN(#REF!))</f>
        <v>#REF!</v>
      </c>
      <c r="G1334" s="227" t="e">
        <f>MID(LEFT(#REF!, FIND(",",#REF!) - 1), FIND("{token}", SUBSTITUTE(#REF!, " ", "{token}", 2)) + 1, LEN(#REF!))</f>
        <v>#REF!</v>
      </c>
      <c r="H1334" s="165">
        <v>2.88</v>
      </c>
      <c r="I1334" s="230">
        <v>45657</v>
      </c>
      <c r="J1334" s="230" t="s">
        <v>108</v>
      </c>
      <c r="K1334" s="226">
        <v>45838</v>
      </c>
      <c r="L1334" s="165"/>
      <c r="M1334" s="222">
        <v>1336</v>
      </c>
      <c r="N1334" s="2" t="str">
        <f t="shared" ca="1" si="41"/>
        <v>CLOSED</v>
      </c>
    </row>
    <row r="1335" spans="1:14" ht="30">
      <c r="A1335" s="64" t="s">
        <v>432</v>
      </c>
      <c r="B1335" s="98" t="e">
        <f>VLOOKUP([2]!Table27[[#This Row],[Location 
(drop-down)]],'[2]List source'!D$2:E$59,2,FALSE)</f>
        <v>#VALUE!</v>
      </c>
      <c r="C1335" s="148" t="s">
        <v>4097</v>
      </c>
      <c r="D1335" s="2" t="e">
        <f t="shared" si="40"/>
        <v>#VALUE!</v>
      </c>
      <c r="E1335" s="227" t="s">
        <v>4098</v>
      </c>
      <c r="F1335" s="165" t="e" cm="1">
        <f t="array" aca="1" ref="F1335" ca="1">MID(LEFT(#REF!, INDEX(_xlfn._xlws.FILTER(ROW(INDIRECT("1:" &amp; LEN(#REF!))), (48 &lt;= CODE(MID(#REF!, ROW(INDIRECT("1:" &amp; LEN(#REF!))), 1))) * (CODE(MID(#REF!, ROW(INDIRECT("1:" &amp; LEN(#REF!))), 1)) &lt;= 57)), 1) - 1), FIND(":",#REF!) + 2, LEN(#REF!))</f>
        <v>#REF!</v>
      </c>
      <c r="G1335" s="227" t="e">
        <f>MID(LEFT(#REF!, FIND(",",#REF!) - 1), FIND("{token}", SUBSTITUTE(#REF!, " ", "{token}", 2)) + 1, LEN(#REF!))</f>
        <v>#REF!</v>
      </c>
      <c r="H1335" s="165">
        <v>2.34</v>
      </c>
      <c r="I1335" s="230">
        <v>45657</v>
      </c>
      <c r="J1335" s="230" t="s">
        <v>108</v>
      </c>
      <c r="K1335" s="226">
        <v>45838</v>
      </c>
      <c r="L1335" s="165"/>
      <c r="M1335" s="222">
        <v>1337</v>
      </c>
      <c r="N1335" s="2" t="str">
        <f t="shared" ca="1" si="41"/>
        <v>CLOSED</v>
      </c>
    </row>
    <row r="1336" spans="1:14" ht="15">
      <c r="A1336" s="64" t="s">
        <v>43</v>
      </c>
      <c r="B1336" s="98" t="e">
        <f>VLOOKUP([2]!Table27[[#This Row],[Location 
(drop-down)]],'[2]List source'!D$2:E$59,2,FALSE)</f>
        <v>#VALUE!</v>
      </c>
      <c r="C1336" s="148" t="s">
        <v>4099</v>
      </c>
      <c r="D1336" s="2" t="e">
        <f t="shared" si="40"/>
        <v>#VALUE!</v>
      </c>
      <c r="E1336" s="227" t="s">
        <v>4100</v>
      </c>
      <c r="F1336" s="165" t="e" cm="1">
        <f t="array" aca="1" ref="F1336" ca="1">MID(LEFT(#REF!, INDEX(_xlfn._xlws.FILTER(ROW(INDIRECT("1:" &amp; LEN(#REF!))), (48 &lt;= CODE(MID(#REF!, ROW(INDIRECT("1:" &amp; LEN(#REF!))), 1))) * (CODE(MID(#REF!, ROW(INDIRECT("1:" &amp; LEN(#REF!))), 1)) &lt;= 57)), 1) - 1), FIND(":",#REF!) + 2, LEN(#REF!))</f>
        <v>#REF!</v>
      </c>
      <c r="G1336" s="227" t="e">
        <f>MID(LEFT(#REF!, FIND(",",#REF!) - 1), FIND("{token}", SUBSTITUTE(#REF!, " ", "{token}", 2)) + 1, LEN(#REF!))</f>
        <v>#REF!</v>
      </c>
      <c r="H1336" s="165" t="s">
        <v>4101</v>
      </c>
      <c r="I1336" s="230">
        <v>45657</v>
      </c>
      <c r="J1336" s="230" t="s">
        <v>29</v>
      </c>
      <c r="K1336" s="226">
        <v>45838</v>
      </c>
      <c r="L1336" s="275"/>
      <c r="M1336" s="222">
        <v>1405</v>
      </c>
      <c r="N1336" s="2" t="str">
        <f t="shared" ca="1" si="41"/>
        <v>CLOSED</v>
      </c>
    </row>
    <row r="1337" spans="1:14" ht="30">
      <c r="A1337" s="64" t="s">
        <v>202</v>
      </c>
      <c r="B1337" s="98" t="e">
        <f>VLOOKUP([2]!Table27[[#This Row],[Location 
(drop-down)]],'[2]List source'!D$2:E$59,2,FALSE)</f>
        <v>#VALUE!</v>
      </c>
      <c r="C1337" s="148" t="s">
        <v>4102</v>
      </c>
      <c r="D1337" s="379" t="e">
        <f t="shared" si="40"/>
        <v>#VALUE!</v>
      </c>
      <c r="E1337" s="227" t="s">
        <v>4103</v>
      </c>
      <c r="F1337" s="165" t="e" cm="1">
        <f t="array" aca="1" ref="F1337" ca="1">MID(LEFT(#REF!, INDEX(_xlfn._xlws.FILTER(ROW(INDIRECT("1:" &amp; LEN(#REF!))), (48 &lt;= CODE(MID(#REF!, ROW(INDIRECT("1:" &amp; LEN(#REF!))), 1))) * (CODE(MID(#REF!, ROW(INDIRECT("1:" &amp; LEN(#REF!))), 1)) &lt;= 57)), 1) - 1), FIND(":",#REF!) + 2, LEN(#REF!))</f>
        <v>#REF!</v>
      </c>
      <c r="G1337" s="227" t="e">
        <f>MID(LEFT(#REF!, FIND(",",#REF!) - 1), FIND("{token}", SUBSTITUTE(#REF!, " ", "{token}", 2)) + 1, LEN(#REF!))</f>
        <v>#REF!</v>
      </c>
      <c r="H1337" s="165">
        <v>65.19</v>
      </c>
      <c r="I1337" s="230">
        <v>45534</v>
      </c>
      <c r="J1337" s="230" t="s">
        <v>21</v>
      </c>
      <c r="K1337" s="226">
        <v>45839</v>
      </c>
      <c r="L1337" s="275"/>
      <c r="M1337" s="222">
        <v>889</v>
      </c>
      <c r="N1337" s="2" t="str">
        <f t="shared" ca="1" si="41"/>
        <v>CLOSED</v>
      </c>
    </row>
    <row r="1338" spans="1:14" ht="30">
      <c r="A1338" s="64" t="s">
        <v>432</v>
      </c>
      <c r="B1338" s="98" t="e">
        <f>VLOOKUP([2]!Table27[[#This Row],[Location 
(drop-down)]],'[2]List source'!D$2:E$59,2,FALSE)</f>
        <v>#VALUE!</v>
      </c>
      <c r="C1338" s="148" t="s">
        <v>4104</v>
      </c>
      <c r="D1338" s="2" t="e">
        <f t="shared" si="40"/>
        <v>#VALUE!</v>
      </c>
      <c r="E1338" s="227" t="s">
        <v>4105</v>
      </c>
      <c r="F1338" s="165" t="s">
        <v>1520</v>
      </c>
      <c r="G1338" s="227" t="e">
        <f>MID(LEFT(#REF!, FIND(",",#REF!) - 1), FIND("{token}", SUBSTITUTE(#REF!, " ", "{token}", 2)) + 1, LEN(#REF!))</f>
        <v>#REF!</v>
      </c>
      <c r="H1338" s="236" t="s">
        <v>1778</v>
      </c>
      <c r="I1338" s="230">
        <v>45646</v>
      </c>
      <c r="J1338" s="230" t="s">
        <v>108</v>
      </c>
      <c r="K1338" s="226">
        <v>45839</v>
      </c>
      <c r="L1338" s="275"/>
      <c r="M1338" s="222">
        <v>1202</v>
      </c>
      <c r="N1338" s="2" t="str">
        <f t="shared" ca="1" si="41"/>
        <v>CLOSED</v>
      </c>
    </row>
    <row r="1339" spans="1:14" ht="30">
      <c r="A1339" s="64" t="s">
        <v>485</v>
      </c>
      <c r="B1339" s="98" t="e">
        <f>VLOOKUP([2]!Table27[[#This Row],[Location 
(drop-down)]],'[2]List source'!D$2:E$59,2,FALSE)</f>
        <v>#VALUE!</v>
      </c>
      <c r="C1339" s="148" t="s">
        <v>4106</v>
      </c>
      <c r="D1339" s="2" t="e">
        <f t="shared" si="40"/>
        <v>#VALUE!</v>
      </c>
      <c r="E1339" s="227" t="s">
        <v>4107</v>
      </c>
      <c r="F1339" s="165" t="e" cm="1">
        <f t="array" aca="1" ref="F1339" ca="1">MID(LEFT(#REF!, INDEX(_xlfn._xlws.FILTER(ROW(INDIRECT("1:" &amp; LEN(#REF!))), (48 &lt;= CODE(MID(#REF!, ROW(INDIRECT("1:" &amp; LEN(#REF!))), 1))) * (CODE(MID(#REF!, ROW(INDIRECT("1:" &amp; LEN(#REF!))), 1)) &lt;= 57)), 1) - 1), FIND(":",#REF!) + 2, LEN(#REF!))</f>
        <v>#REF!</v>
      </c>
      <c r="G1339" s="227" t="e">
        <f>MID(LEFT(#REF!, FIND(",",#REF!) - 1), FIND("{token}", SUBSTITUTE(#REF!, " ", "{token}", 2)) + 1, LEN(#REF!))</f>
        <v>#REF!</v>
      </c>
      <c r="H1339" s="165">
        <v>10.16</v>
      </c>
      <c r="I1339" s="230">
        <v>45649</v>
      </c>
      <c r="J1339" s="230" t="s">
        <v>239</v>
      </c>
      <c r="K1339" s="226">
        <v>45839</v>
      </c>
      <c r="L1339" s="165"/>
      <c r="M1339" s="222">
        <v>1224</v>
      </c>
      <c r="N1339" s="2" t="str">
        <f t="shared" ca="1" si="41"/>
        <v>CLOSED</v>
      </c>
    </row>
    <row r="1340" spans="1:14" ht="30">
      <c r="A1340" s="64" t="s">
        <v>432</v>
      </c>
      <c r="B1340" s="98" t="e">
        <f>VLOOKUP([2]!Table27[[#This Row],[Location 
(drop-down)]],'[2]List source'!D$2:E$59,2,FALSE)</f>
        <v>#VALUE!</v>
      </c>
      <c r="C1340" s="148" t="s">
        <v>4108</v>
      </c>
      <c r="D1340" s="2" t="e">
        <f t="shared" si="40"/>
        <v>#VALUE!</v>
      </c>
      <c r="E1340" s="227" t="s">
        <v>4109</v>
      </c>
      <c r="F1340" s="165" t="e" cm="1">
        <f t="array" aca="1" ref="F1340" ca="1">MID(LEFT(#REF!, INDEX(_xlfn._xlws.FILTER(ROW(INDIRECT("1:" &amp; LEN(#REF!))), (48 &lt;= CODE(MID(#REF!, ROW(INDIRECT("1:" &amp; LEN(#REF!))), 1))) * (CODE(MID(#REF!, ROW(INDIRECT("1:" &amp; LEN(#REF!))), 1)) &lt;= 57)), 1) - 1), FIND(":",#REF!) + 2, LEN(#REF!))</f>
        <v>#REF!</v>
      </c>
      <c r="G1340" s="227" t="e">
        <f>MID(LEFT(#REF!, FIND(",",#REF!) - 1), FIND("{token}", SUBSTITUTE(#REF!, " ", "{token}", 2)) + 1, LEN(#REF!))</f>
        <v>#REF!</v>
      </c>
      <c r="H1340" s="165">
        <v>4.75</v>
      </c>
      <c r="I1340" s="230">
        <v>45657</v>
      </c>
      <c r="J1340" s="230" t="s">
        <v>108</v>
      </c>
      <c r="K1340" s="226">
        <v>45839</v>
      </c>
      <c r="L1340" s="165"/>
      <c r="M1340" s="222">
        <v>1319</v>
      </c>
      <c r="N1340" s="2" t="str">
        <f t="shared" ca="1" si="41"/>
        <v>CLOSED</v>
      </c>
    </row>
    <row r="1341" spans="1:14" ht="18.75">
      <c r="A1341" s="64" t="s">
        <v>462</v>
      </c>
      <c r="B1341" s="98" t="e">
        <f>VLOOKUP([2]!Table27[[#This Row],[Location 
(drop-down)]],'[2]List source'!D$2:E$59,2,FALSE)</f>
        <v>#VALUE!</v>
      </c>
      <c r="C1341" s="148" t="s">
        <v>567</v>
      </c>
      <c r="D1341" s="378" t="e">
        <f t="shared" si="40"/>
        <v>#VALUE!</v>
      </c>
      <c r="E1341" s="227" t="s">
        <v>4110</v>
      </c>
      <c r="F1341" s="165" t="e" cm="1">
        <f t="array" aca="1" ref="F1341" ca="1">MID(LEFT(#REF!, INDEX(_xlfn._xlws.FILTER(ROW(INDIRECT("1:" &amp; LEN(#REF!))), (48 &lt;= CODE(MID(#REF!, ROW(INDIRECT("1:" &amp; LEN(#REF!))), 1))) * (CODE(MID(#REF!, ROW(INDIRECT("1:" &amp; LEN(#REF!))), 1)) &lt;= 57)), 1) - 1), FIND(":",#REF!) + 2, LEN(#REF!))</f>
        <v>#REF!</v>
      </c>
      <c r="G1341" s="227" t="e">
        <f>MID(LEFT(#REF!, FIND(",",#REF!) - 1), FIND("{token}", SUBSTITUTE(#REF!, " ", "{token}", 2)) + 1, LEN(#REF!))</f>
        <v>#REF!</v>
      </c>
      <c r="H1341" s="165">
        <v>4.3899999999999997</v>
      </c>
      <c r="I1341" s="230">
        <v>45420</v>
      </c>
      <c r="J1341" s="230" t="s">
        <v>108</v>
      </c>
      <c r="K1341" s="226">
        <v>45840</v>
      </c>
      <c r="L1341" s="165"/>
      <c r="M1341" s="222">
        <v>422</v>
      </c>
      <c r="N1341" s="2" t="str">
        <f t="shared" ca="1" si="41"/>
        <v>CLOSED</v>
      </c>
    </row>
    <row r="1342" spans="1:14" ht="18.75">
      <c r="A1342" s="64" t="s">
        <v>462</v>
      </c>
      <c r="B1342" s="98" t="e">
        <f>VLOOKUP([2]!Table27[[#This Row],[Location 
(drop-down)]],'[2]List source'!D$2:E$59,2,FALSE)</f>
        <v>#VALUE!</v>
      </c>
      <c r="C1342" s="148" t="s">
        <v>4111</v>
      </c>
      <c r="D1342" s="378" t="e">
        <f t="shared" si="40"/>
        <v>#VALUE!</v>
      </c>
      <c r="E1342" s="227" t="s">
        <v>4112</v>
      </c>
      <c r="F1342" s="165" t="e" cm="1">
        <f t="array" aca="1" ref="F1342" ca="1">MID(LEFT(#REF!, INDEX(_xlfn._xlws.FILTER(ROW(INDIRECT("1:" &amp; LEN(#REF!))), (48 &lt;= CODE(MID(#REF!, ROW(INDIRECT("1:" &amp; LEN(#REF!))), 1))) * (CODE(MID(#REF!, ROW(INDIRECT("1:" &amp; LEN(#REF!))), 1)) &lt;= 57)), 1) - 1), FIND(":",#REF!) + 2, LEN(#REF!))</f>
        <v>#REF!</v>
      </c>
      <c r="G1342" s="227" t="e">
        <f>MID(LEFT(#REF!, FIND(",",#REF!) - 1), FIND("{token}", SUBSTITUTE(#REF!, " ", "{token}", 2)) + 1, LEN(#REF!))</f>
        <v>#REF!</v>
      </c>
      <c r="H1342" s="236" t="s">
        <v>4113</v>
      </c>
      <c r="I1342" s="230">
        <v>45435</v>
      </c>
      <c r="J1342" s="230" t="s">
        <v>29</v>
      </c>
      <c r="K1342" s="226">
        <v>45846</v>
      </c>
      <c r="L1342" s="165"/>
      <c r="M1342" s="222">
        <v>544</v>
      </c>
      <c r="N1342" s="2" t="str">
        <f t="shared" ca="1" si="41"/>
        <v>CLOSED</v>
      </c>
    </row>
    <row r="1343" spans="1:14" ht="15">
      <c r="A1343" s="64" t="s">
        <v>15</v>
      </c>
      <c r="B1343" s="98" t="e">
        <f>VLOOKUP([2]!Table27[[#This Row],[Location 
(drop-down)]],'[2]List source'!D$2:E$59,2,FALSE)</f>
        <v>#VALUE!</v>
      </c>
      <c r="C1343" s="148" t="s">
        <v>4114</v>
      </c>
      <c r="D1343" s="2" t="e">
        <f t="shared" si="40"/>
        <v>#VALUE!</v>
      </c>
      <c r="E1343" s="227" t="s">
        <v>4115</v>
      </c>
      <c r="F1343" s="165" t="e" cm="1">
        <f t="array" aca="1" ref="F1343" ca="1">MID(LEFT(#REF!, INDEX(_xlfn._xlws.FILTER(ROW(INDIRECT("1:" &amp; LEN(#REF!))), (48 &lt;= CODE(MID(#REF!, ROW(INDIRECT("1:" &amp; LEN(#REF!))), 1))) * (CODE(MID(#REF!, ROW(INDIRECT("1:" &amp; LEN(#REF!))), 1)) &lt;= 57)), 1) - 1), FIND(":",#REF!) + 2, LEN(#REF!))</f>
        <v>#REF!</v>
      </c>
      <c r="G1343" s="227" t="e">
        <f>MID(LEFT(#REF!, FIND(",",#REF!) - 1), FIND("{token}", SUBSTITUTE(#REF!, " ", "{token}", 2)) + 1, LEN(#REF!))</f>
        <v>#REF!</v>
      </c>
      <c r="H1343" s="165">
        <v>2.77</v>
      </c>
      <c r="I1343" s="230">
        <v>45657</v>
      </c>
      <c r="J1343" s="230" t="s">
        <v>69</v>
      </c>
      <c r="K1343" s="226">
        <v>45847</v>
      </c>
      <c r="L1343" s="165"/>
      <c r="M1343" s="222">
        <v>1372</v>
      </c>
      <c r="N1343" s="2" t="str">
        <f t="shared" ca="1" si="41"/>
        <v>CLOSED</v>
      </c>
    </row>
    <row r="1344" spans="1:14" ht="30">
      <c r="A1344" s="64" t="s">
        <v>30</v>
      </c>
      <c r="B1344" s="98" t="e">
        <f>VLOOKUP([2]!Table27[[#This Row],[Location 
(drop-down)]],'[2]List source'!D$2:E$59,2,FALSE)</f>
        <v>#VALUE!</v>
      </c>
      <c r="C1344" s="148" t="s">
        <v>4116</v>
      </c>
      <c r="D1344" s="378" t="e">
        <f t="shared" si="40"/>
        <v>#VALUE!</v>
      </c>
      <c r="E1344" s="227" t="s">
        <v>4117</v>
      </c>
      <c r="F1344" s="165" t="e" cm="1">
        <f t="array" aca="1" ref="F1344" ca="1">MID(LEFT(#REF!, INDEX(_xlfn._xlws.FILTER(ROW(INDIRECT("1:" &amp; LEN(#REF!))), (48 &lt;= CODE(MID(#REF!, ROW(INDIRECT("1:" &amp; LEN(#REF!))), 1))) * (CODE(MID(#REF!, ROW(INDIRECT("1:" &amp; LEN(#REF!))), 1)) &lt;= 57)), 1) - 1), FIND(":",#REF!) + 2, LEN(#REF!))</f>
        <v>#REF!</v>
      </c>
      <c r="G1344" s="227" t="e">
        <f>MID(LEFT(#REF!, FIND(",",#REF!) - 1), FIND("{token}", SUBSTITUTE(#REF!, " ", "{token}", 2)) + 1, LEN(#REF!))</f>
        <v>#REF!</v>
      </c>
      <c r="H1344" s="236" t="s">
        <v>4118</v>
      </c>
      <c r="I1344" s="230">
        <v>45513</v>
      </c>
      <c r="J1344" s="230" t="s">
        <v>111</v>
      </c>
      <c r="K1344" s="226">
        <v>45849</v>
      </c>
      <c r="L1344" s="165"/>
      <c r="M1344" s="222">
        <v>784</v>
      </c>
      <c r="N1344" s="2" t="str">
        <f t="shared" ca="1" si="41"/>
        <v>CLOSED</v>
      </c>
    </row>
    <row r="1345" spans="1:14" ht="30">
      <c r="A1345" s="64" t="s">
        <v>30</v>
      </c>
      <c r="B1345" s="98" t="e">
        <f>VLOOKUP([2]!Table27[[#This Row],[Location 
(drop-down)]],'[2]List source'!D$2:E$59,2,FALSE)</f>
        <v>#VALUE!</v>
      </c>
      <c r="C1345" s="148" t="s">
        <v>901</v>
      </c>
      <c r="D1345" s="378" t="e">
        <f t="shared" si="40"/>
        <v>#VALUE!</v>
      </c>
      <c r="E1345" s="227" t="s">
        <v>2175</v>
      </c>
      <c r="F1345" s="165" t="s">
        <v>1566</v>
      </c>
      <c r="G1345" s="227" t="e">
        <f>MID(LEFT(#REF!, FIND(",",#REF!) - 1), FIND("{token}", SUBSTITUTE(#REF!, " ", "{token}", 2)) + 1, LEN(#REF!))</f>
        <v>#REF!</v>
      </c>
      <c r="H1345" s="165">
        <v>-24.01</v>
      </c>
      <c r="I1345" s="230">
        <v>45418</v>
      </c>
      <c r="J1345" s="230" t="s">
        <v>111</v>
      </c>
      <c r="K1345" s="226">
        <v>45859</v>
      </c>
      <c r="L1345" s="275"/>
      <c r="M1345" s="222">
        <v>394</v>
      </c>
      <c r="N1345" s="2" t="str">
        <f t="shared" ca="1" si="41"/>
        <v>CLOSED</v>
      </c>
    </row>
    <row r="1346" spans="1:14" ht="30">
      <c r="A1346" s="90" t="s">
        <v>30</v>
      </c>
      <c r="B1346" s="98" t="e">
        <f>VLOOKUP([2]!Table27[[#This Row],[Location 
(drop-down)]],'[2]List source'!D$2:E$59,2,FALSE)</f>
        <v>#VALUE!</v>
      </c>
      <c r="C1346" s="148" t="s">
        <v>4119</v>
      </c>
      <c r="D1346" s="2" t="e">
        <f t="shared" ref="D1346:D1409" si="42">"PTO" &amp; C1346 &amp; "-" &amp; B1346 &amp; "-" &amp; "23"</f>
        <v>#VALUE!</v>
      </c>
      <c r="E1346" s="227" t="s">
        <v>4120</v>
      </c>
      <c r="F1346" s="165" t="e" cm="1">
        <f t="array" aca="1" ref="F1346" ca="1">MID(LEFT(#REF!, INDEX(_xlfn._xlws.FILTER(ROW(INDIRECT("1:" &amp; LEN(#REF!))), (48 &lt;= CODE(MID(#REF!, ROW(INDIRECT("1:" &amp; LEN(#REF!))), 1))) * (CODE(MID(#REF!, ROW(INDIRECT("1:" &amp; LEN(#REF!))), 1)) &lt;= 57)), 1) - 1), FIND(":",#REF!) + 2, LEN(#REF!))</f>
        <v>#REF!</v>
      </c>
      <c r="G1346" s="227" t="s">
        <v>1511</v>
      </c>
      <c r="H1346" s="165" t="s">
        <v>4121</v>
      </c>
      <c r="I1346" s="230">
        <v>45642</v>
      </c>
      <c r="J1346" s="230" t="s">
        <v>111</v>
      </c>
      <c r="K1346" s="226">
        <v>45863</v>
      </c>
      <c r="L1346" s="165"/>
      <c r="M1346" s="222">
        <v>1100</v>
      </c>
      <c r="N1346" s="2" t="str">
        <f t="shared" ca="1" si="41"/>
        <v>CLOSED</v>
      </c>
    </row>
    <row r="1347" spans="1:14" ht="15">
      <c r="A1347" s="64" t="s">
        <v>15</v>
      </c>
      <c r="B1347" s="98" t="e">
        <f>VLOOKUP([2]!Table27[[#This Row],[Location 
(drop-down)]],'[2]List source'!D$2:E$59,2,FALSE)</f>
        <v>#VALUE!</v>
      </c>
      <c r="C1347" s="148" t="s">
        <v>4122</v>
      </c>
      <c r="D1347" s="2" t="e">
        <f t="shared" si="42"/>
        <v>#VALUE!</v>
      </c>
      <c r="E1347" s="227" t="s">
        <v>4123</v>
      </c>
      <c r="F1347" s="165" t="s">
        <v>2160</v>
      </c>
      <c r="G1347" s="227" t="e">
        <f>MID(LEFT(#REF!, FIND(",",#REF!) - 1), FIND("{token}", SUBSTITUTE(#REF!, " ", "{token}", 2)) + 1, LEN(#REF!))</f>
        <v>#REF!</v>
      </c>
      <c r="H1347" s="236" t="s">
        <v>4124</v>
      </c>
      <c r="I1347" s="230">
        <v>45645</v>
      </c>
      <c r="J1347" s="230" t="s">
        <v>21</v>
      </c>
      <c r="K1347" s="226">
        <v>45866</v>
      </c>
      <c r="L1347" s="165"/>
      <c r="M1347" s="222">
        <v>1187</v>
      </c>
      <c r="N1347" s="2" t="str">
        <f t="shared" ca="1" si="41"/>
        <v>CLOSED</v>
      </c>
    </row>
    <row r="1348" spans="1:14" ht="30">
      <c r="A1348" s="64" t="s">
        <v>294</v>
      </c>
      <c r="B1348" s="98" t="e">
        <f>VLOOKUP([2]!Table27[[#This Row],[Location 
(drop-down)]],'[2]List source'!D$2:E$59,2,FALSE)</f>
        <v>#VALUE!</v>
      </c>
      <c r="C1348" s="148" t="s">
        <v>4125</v>
      </c>
      <c r="D1348" s="2" t="e">
        <f t="shared" si="42"/>
        <v>#VALUE!</v>
      </c>
      <c r="E1348" s="227" t="s">
        <v>4126</v>
      </c>
      <c r="F1348" s="165" t="e" cm="1">
        <f t="array" aca="1" ref="F1348" ca="1">MID(LEFT(#REF!, INDEX(_xlfn._xlws.FILTER(ROW(INDIRECT("1:" &amp; LEN(#REF!))), (48 &lt;= CODE(MID(#REF!, ROW(INDIRECT("1:" &amp; LEN(#REF!))), 1))) * (CODE(MID(#REF!, ROW(INDIRECT("1:" &amp; LEN(#REF!))), 1)) &lt;= 57)), 1) - 1), FIND(":",#REF!) + 2, LEN(#REF!))</f>
        <v>#REF!</v>
      </c>
      <c r="G1348" s="227" t="e">
        <f>MID(LEFT(#REF!, FIND(",",#REF!) - 1), FIND("{token}", SUBSTITUTE(#REF!, " ", "{token}", 2)) + 1, LEN(#REF!))</f>
        <v>#REF!</v>
      </c>
      <c r="H1348" s="236" t="s">
        <v>4127</v>
      </c>
      <c r="I1348" s="230">
        <v>45643</v>
      </c>
      <c r="J1348" s="230" t="s">
        <v>239</v>
      </c>
      <c r="K1348" s="226">
        <v>45869</v>
      </c>
      <c r="L1348" s="165"/>
      <c r="M1348" s="222">
        <v>1149</v>
      </c>
      <c r="N1348" s="2" t="str">
        <f t="shared" ca="1" si="41"/>
        <v>CLOSED</v>
      </c>
    </row>
    <row r="1349" spans="1:14" ht="30">
      <c r="A1349" s="64" t="s">
        <v>39</v>
      </c>
      <c r="B1349" s="98" t="e">
        <f>VLOOKUP([2]!Table27[[#This Row],[Location 
(drop-down)]],'[2]List source'!D$2:E$59,2,FALSE)</f>
        <v>#VALUE!</v>
      </c>
      <c r="C1349" s="148" t="s">
        <v>4128</v>
      </c>
      <c r="D1349" s="379" t="e">
        <f t="shared" si="42"/>
        <v>#VALUE!</v>
      </c>
      <c r="E1349" s="227" t="s">
        <v>4129</v>
      </c>
      <c r="F1349" s="165" t="e" cm="1">
        <f t="array" aca="1" ref="F1349" ca="1">MID(LEFT(#REF!, INDEX(_xlfn._xlws.FILTER(ROW(INDIRECT("1:" &amp; LEN(#REF!))), (48 &lt;= CODE(MID(#REF!, ROW(INDIRECT("1:" &amp; LEN(#REF!))), 1))) * (CODE(MID(#REF!, ROW(INDIRECT("1:" &amp; LEN(#REF!))), 1)) &lt;= 57)), 1) - 1), FIND(":",#REF!) + 2, LEN(#REF!))</f>
        <v>#REF!</v>
      </c>
      <c r="G1349" s="227" t="e">
        <f>MID(LEFT(#REF!, FIND(",",#REF!) - 1), FIND("{token}", SUBSTITUTE(#REF!, " ", "{token}", 2)) + 1, LEN(#REF!))</f>
        <v>#REF!</v>
      </c>
      <c r="H1349" s="165" t="s">
        <v>1579</v>
      </c>
      <c r="I1349" s="230">
        <v>45541</v>
      </c>
      <c r="J1349" s="230" t="s">
        <v>327</v>
      </c>
      <c r="K1349" s="226">
        <v>45871</v>
      </c>
      <c r="L1349" s="165"/>
      <c r="M1349" s="222">
        <v>927</v>
      </c>
      <c r="N1349" s="2" t="str">
        <f t="shared" ca="1" si="41"/>
        <v>CLOSED</v>
      </c>
    </row>
    <row r="1350" spans="1:14" ht="18.75">
      <c r="A1350" s="64" t="s">
        <v>53</v>
      </c>
      <c r="B1350" s="98" t="e">
        <f>VLOOKUP([2]!Table27[[#This Row],[Location 
(drop-down)]],'[2]List source'!D$2:E$59,2,FALSE)</f>
        <v>#VALUE!</v>
      </c>
      <c r="C1350" s="148" t="s">
        <v>4130</v>
      </c>
      <c r="D1350" s="378" t="e">
        <f t="shared" si="42"/>
        <v>#VALUE!</v>
      </c>
      <c r="E1350" s="227" t="s">
        <v>4131</v>
      </c>
      <c r="F1350" s="165" t="s">
        <v>1520</v>
      </c>
      <c r="G1350" s="227" t="e">
        <f>MID(LEFT(#REF!, FIND(",",#REF!) - 1), FIND("{token}", SUBSTITUTE(#REF!, " ", "{token}", 2)) + 1, LEN(#REF!))</f>
        <v>#REF!</v>
      </c>
      <c r="H1350" s="165">
        <v>3.56</v>
      </c>
      <c r="I1350" s="230">
        <v>45582</v>
      </c>
      <c r="J1350" s="230" t="s">
        <v>327</v>
      </c>
      <c r="K1350" s="226">
        <v>45871</v>
      </c>
      <c r="L1350" s="275"/>
      <c r="M1350" s="222">
        <v>1010</v>
      </c>
      <c r="N1350" s="2" t="str">
        <f t="shared" ca="1" si="41"/>
        <v>CLOSED</v>
      </c>
    </row>
    <row r="1351" spans="1:14" ht="18.75">
      <c r="A1351" s="64" t="s">
        <v>53</v>
      </c>
      <c r="B1351" s="98" t="e">
        <f>VLOOKUP([2]!Table27[[#This Row],[Location 
(drop-down)]],'[2]List source'!D$2:E$59,2,FALSE)</f>
        <v>#VALUE!</v>
      </c>
      <c r="C1351" s="148" t="s">
        <v>4132</v>
      </c>
      <c r="D1351" s="378" t="e">
        <f t="shared" si="42"/>
        <v>#VALUE!</v>
      </c>
      <c r="E1351" s="227" t="s">
        <v>4133</v>
      </c>
      <c r="F1351" s="165" t="s">
        <v>1520</v>
      </c>
      <c r="G1351" s="227" t="e">
        <f>MID(LEFT(#REF!, FIND(",",#REF!) - 1), FIND("{token}", SUBSTITUTE(#REF!, " ", "{token}", 2)) + 1, LEN(#REF!))</f>
        <v>#REF!</v>
      </c>
      <c r="H1351" s="165">
        <v>2.5299999999999998</v>
      </c>
      <c r="I1351" s="230">
        <v>45652</v>
      </c>
      <c r="J1351" s="230" t="s">
        <v>327</v>
      </c>
      <c r="K1351" s="226">
        <v>45871</v>
      </c>
      <c r="L1351" s="275"/>
      <c r="M1351" s="222">
        <v>1230</v>
      </c>
      <c r="N1351" s="2" t="str">
        <f t="shared" ca="1" si="41"/>
        <v>CLOSED</v>
      </c>
    </row>
    <row r="1352" spans="1:14" ht="15">
      <c r="A1352" s="64" t="s">
        <v>43</v>
      </c>
      <c r="B1352" s="98" t="e">
        <f>VLOOKUP([2]!Table27[[#This Row],[Location 
(drop-down)]],'[2]List source'!D$2:E$59,2,FALSE)</f>
        <v>#VALUE!</v>
      </c>
      <c r="C1352" s="148" t="s">
        <v>4134</v>
      </c>
      <c r="D1352" s="2" t="e">
        <f t="shared" si="42"/>
        <v>#VALUE!</v>
      </c>
      <c r="E1352" s="227" t="s">
        <v>4135</v>
      </c>
      <c r="F1352" s="165" t="e" cm="1">
        <f t="array" aca="1" ref="F1352" ca="1">MID(LEFT(#REF!, INDEX(_xlfn._xlws.FILTER(ROW(INDIRECT("1:" &amp; LEN(#REF!))), (48 &lt;= CODE(MID(#REF!, ROW(INDIRECT("1:" &amp; LEN(#REF!))), 1))) * (CODE(MID(#REF!, ROW(INDIRECT("1:" &amp; LEN(#REF!))), 1)) &lt;= 57)), 1) - 1), FIND(":",#REF!) + 2, LEN(#REF!))</f>
        <v>#REF!</v>
      </c>
      <c r="G1352" s="227" t="e">
        <f>MID(LEFT(#REF!, FIND(",",#REF!) - 1), FIND("{token}", SUBSTITUTE(#REF!, " ", "{token}", 2)) + 1, LEN(#REF!))</f>
        <v>#REF!</v>
      </c>
      <c r="H1352" s="165" t="s">
        <v>4136</v>
      </c>
      <c r="I1352" s="230">
        <v>45657</v>
      </c>
      <c r="J1352" s="230" t="s">
        <v>108</v>
      </c>
      <c r="K1352" s="226">
        <v>45872</v>
      </c>
      <c r="L1352" s="275"/>
      <c r="M1352" s="222">
        <v>1406</v>
      </c>
      <c r="N1352" s="2" t="str">
        <f t="shared" ca="1" si="41"/>
        <v>CLOSED</v>
      </c>
    </row>
    <row r="1353" spans="1:14" ht="18.75">
      <c r="A1353" s="64" t="s">
        <v>53</v>
      </c>
      <c r="B1353" s="98" t="e">
        <f>VLOOKUP([2]!Table27[[#This Row],[Location 
(drop-down)]],'[2]List source'!D$2:E$59,2,FALSE)</f>
        <v>#VALUE!</v>
      </c>
      <c r="C1353" s="148" t="s">
        <v>749</v>
      </c>
      <c r="D1353" s="378" t="e">
        <f t="shared" si="42"/>
        <v>#VALUE!</v>
      </c>
      <c r="E1353" s="227" t="s">
        <v>4137</v>
      </c>
      <c r="F1353" s="165" t="e" cm="1">
        <f t="array" aca="1" ref="F1353" ca="1">MID(LEFT(#REF!, INDEX(_xlfn._xlws.FILTER(ROW(INDIRECT("1:" &amp; LEN(#REF!))), (48 &lt;= CODE(MID(#REF!, ROW(INDIRECT("1:" &amp; LEN(#REF!))), 1))) * (CODE(MID(#REF!, ROW(INDIRECT("1:" &amp; LEN(#REF!))), 1)) &lt;= 57)), 1) - 1), FIND(":",#REF!) + 2, LEN(#REF!))</f>
        <v>#REF!</v>
      </c>
      <c r="G1353" s="227" t="e">
        <f>MID(LEFT(#REF!, FIND(",",#REF!) - 1), FIND("{token}", SUBSTITUTE(#REF!, " ", "{token}", 2)) + 1, LEN(#REF!))</f>
        <v>#REF!</v>
      </c>
      <c r="H1353" s="165" t="s">
        <v>4138</v>
      </c>
      <c r="I1353" s="260">
        <v>45406</v>
      </c>
      <c r="J1353" s="230" t="s">
        <v>327</v>
      </c>
      <c r="K1353" s="226">
        <v>45874</v>
      </c>
      <c r="L1353" s="275"/>
      <c r="M1353" s="222">
        <v>225</v>
      </c>
      <c r="N1353" s="2" t="str">
        <f t="shared" ca="1" si="41"/>
        <v>CLOSED</v>
      </c>
    </row>
    <row r="1354" spans="1:14" ht="15">
      <c r="A1354" s="124" t="s">
        <v>314</v>
      </c>
      <c r="B1354" s="98" t="e">
        <f>VLOOKUP([2]!Table27[[#This Row],[Location 
(drop-down)]],'[2]List source'!D$2:E$59,2,FALSE)</f>
        <v>#VALUE!</v>
      </c>
      <c r="C1354" s="179" t="s">
        <v>4139</v>
      </c>
      <c r="D1354" s="2" t="e">
        <f t="shared" si="42"/>
        <v>#VALUE!</v>
      </c>
      <c r="E1354" s="251" t="s">
        <v>4140</v>
      </c>
      <c r="F1354" s="274" t="e" cm="1">
        <f t="array" aca="1" ref="F1354" ca="1">MID(LEFT(#REF!, INDEX(_xlfn._xlws.FILTER(ROW(INDIRECT("1:" &amp; LEN(#REF!))), (48 &lt;= CODE(MID(#REF!, ROW(INDIRECT("1:" &amp; LEN(#REF!))), 1))) * (CODE(MID(#REF!, ROW(INDIRECT("1:" &amp; LEN(#REF!))), 1)) &lt;= 57)), 1) - 1), FIND(":",#REF!) + 2, LEN(#REF!))</f>
        <v>#REF!</v>
      </c>
      <c r="G1354" s="251" t="e">
        <f>MID(LEFT(#REF!, FIND(",",#REF!) - 1), FIND("{token}", SUBSTITUTE(#REF!, " ", "{token}", 2)) + 1, LEN(#REF!))</f>
        <v>#REF!</v>
      </c>
      <c r="H1354" s="274">
        <v>7.38</v>
      </c>
      <c r="I1354" s="304">
        <v>45657</v>
      </c>
      <c r="J1354" s="304" t="s">
        <v>327</v>
      </c>
      <c r="K1354" s="320">
        <v>45874</v>
      </c>
      <c r="L1354" s="274"/>
      <c r="M1354" s="297">
        <v>1303</v>
      </c>
      <c r="N1354" s="2" t="str">
        <f t="shared" ca="1" si="41"/>
        <v>CLOSED</v>
      </c>
    </row>
    <row r="1355" spans="1:14" ht="15">
      <c r="A1355" s="64" t="s">
        <v>43</v>
      </c>
      <c r="B1355" s="98" t="e">
        <f>VLOOKUP([2]!Table27[[#This Row],[Location 
(drop-down)]],'[2]List source'!D$2:E$59,2,FALSE)</f>
        <v>#VALUE!</v>
      </c>
      <c r="C1355" s="148" t="s">
        <v>4141</v>
      </c>
      <c r="D1355" s="2" t="e">
        <f t="shared" si="42"/>
        <v>#VALUE!</v>
      </c>
      <c r="E1355" s="176" t="s">
        <v>4142</v>
      </c>
      <c r="F1355" s="165" t="s">
        <v>1520</v>
      </c>
      <c r="G1355" s="227" t="e">
        <f>MID(LEFT(#REF!, FIND(",",#REF!) - 1), FIND("{token}", SUBSTITUTE(#REF!, " ", "{token}", 2)) + 1, LEN(#REF!))</f>
        <v>#REF!</v>
      </c>
      <c r="H1355" s="165">
        <v>3.29</v>
      </c>
      <c r="I1355" s="304">
        <v>45875</v>
      </c>
      <c r="J1355" s="230" t="s">
        <v>108</v>
      </c>
      <c r="K1355" s="226">
        <v>45875</v>
      </c>
      <c r="L1355" s="165"/>
      <c r="M1355" s="222">
        <v>1203</v>
      </c>
      <c r="N1355" s="2" t="str">
        <f t="shared" ca="1" si="41"/>
        <v>CLOSED</v>
      </c>
    </row>
    <row r="1356" spans="1:14" ht="15">
      <c r="A1356" s="64" t="s">
        <v>43</v>
      </c>
      <c r="B1356" s="98" t="e">
        <f>VLOOKUP([2]!Table27[[#This Row],[Location 
(drop-down)]],'[2]List source'!D$2:E$59,2,FALSE)</f>
        <v>#VALUE!</v>
      </c>
      <c r="C1356" s="148" t="s">
        <v>4143</v>
      </c>
      <c r="D1356" s="2" t="e">
        <f t="shared" si="42"/>
        <v>#VALUE!</v>
      </c>
      <c r="E1356" s="176" t="s">
        <v>4144</v>
      </c>
      <c r="F1356" s="165" t="s">
        <v>1520</v>
      </c>
      <c r="G1356" s="227" t="e">
        <f>MID(LEFT(#REF!, FIND(",",#REF!) - 1), FIND("{token}", SUBSTITUTE(#REF!, " ", "{token}", 2)) + 1, LEN(#REF!))</f>
        <v>#REF!</v>
      </c>
      <c r="H1356" s="165">
        <v>5.67</v>
      </c>
      <c r="I1356" s="304">
        <v>45646</v>
      </c>
      <c r="J1356" s="230" t="s">
        <v>108</v>
      </c>
      <c r="K1356" s="226">
        <v>45879</v>
      </c>
      <c r="L1356" s="165"/>
      <c r="M1356" s="222">
        <v>1205</v>
      </c>
      <c r="N1356" s="2" t="str">
        <f t="shared" ca="1" si="41"/>
        <v>CLOSED</v>
      </c>
    </row>
    <row r="1357" spans="1:14" ht="30">
      <c r="A1357" s="64" t="s">
        <v>39</v>
      </c>
      <c r="B1357" s="98" t="e">
        <f>VLOOKUP([2]!Table27[[#This Row],[Location 
(drop-down)]],'[2]List source'!D$2:E$59,2,FALSE)</f>
        <v>#VALUE!</v>
      </c>
      <c r="C1357" s="148" t="s">
        <v>4145</v>
      </c>
      <c r="D1357" s="378" t="e">
        <f t="shared" si="42"/>
        <v>#VALUE!</v>
      </c>
      <c r="E1357" s="227" t="s">
        <v>4146</v>
      </c>
      <c r="F1357" s="165" t="e" cm="1">
        <f t="array" aca="1" ref="F1357" ca="1">MID(LEFT(#REF!, INDEX(_xlfn._xlws.FILTER(ROW(INDIRECT("1:" &amp; LEN(#REF!))), (48 &lt;= CODE(MID(#REF!, ROW(INDIRECT("1:" &amp; LEN(#REF!))), 1))) * (CODE(MID(#REF!, ROW(INDIRECT("1:" &amp; LEN(#REF!))), 1)) &lt;= 57)), 1) - 1), FIND(":",#REF!) + 2, LEN(#REF!))</f>
        <v>#REF!</v>
      </c>
      <c r="G1357" s="227" t="e">
        <f>MID(LEFT(#REF!, FIND(",",#REF!) - 1), FIND("{token}", SUBSTITUTE(#REF!, " ", "{token}", 2)) + 1, LEN(#REF!))</f>
        <v>#REF!</v>
      </c>
      <c r="H1357" s="165">
        <v>6.69</v>
      </c>
      <c r="I1357" s="304">
        <v>45495</v>
      </c>
      <c r="J1357" s="230" t="s">
        <v>327</v>
      </c>
      <c r="K1357" s="226">
        <v>45880</v>
      </c>
      <c r="L1357" s="165"/>
      <c r="M1357" s="222">
        <v>675</v>
      </c>
      <c r="N1357" s="2" t="str">
        <f t="shared" ca="1" si="41"/>
        <v>CLOSED</v>
      </c>
    </row>
    <row r="1358" spans="1:14" ht="18.75">
      <c r="A1358" s="90" t="s">
        <v>311</v>
      </c>
      <c r="B1358" s="98" t="e">
        <f>VLOOKUP([2]!Table27[[#This Row],[Location 
(drop-down)]],'[2]List source'!D$2:E$59,2,FALSE)</f>
        <v>#VALUE!</v>
      </c>
      <c r="C1358" s="177" t="s">
        <v>4147</v>
      </c>
      <c r="D1358" s="377" t="e">
        <f t="shared" si="42"/>
        <v>#VALUE!</v>
      </c>
      <c r="E1358" s="227" t="s">
        <v>4148</v>
      </c>
      <c r="F1358" s="165" t="e" cm="1">
        <f t="array" aca="1" ref="F1358" ca="1">MID(LEFT(#REF!, INDEX(_xlfn._xlws.FILTER(ROW(INDIRECT("1:" &amp; LEN(#REF!))), (48 &lt;= CODE(MID(#REF!, ROW(INDIRECT("1:" &amp; LEN(#REF!))), 1))) * (CODE(MID(#REF!, ROW(INDIRECT("1:" &amp; LEN(#REF!))), 1)) &lt;= 57)), 1) - 1), FIND(":",#REF!) + 2, LEN(#REF!))</f>
        <v>#REF!</v>
      </c>
      <c r="G1358" s="227" t="e">
        <f>MID(LEFT(#REF!, FIND(",",#REF!) - 1), FIND("{token}", SUBSTITUTE(#REF!, " ", "{token}", 2)) + 1, LEN(#REF!))</f>
        <v>#REF!</v>
      </c>
      <c r="H1358" s="165">
        <v>5.19</v>
      </c>
      <c r="I1358" s="304">
        <v>45510</v>
      </c>
      <c r="J1358" s="342" t="s">
        <v>310</v>
      </c>
      <c r="K1358" s="221">
        <v>45880</v>
      </c>
      <c r="L1358" s="275"/>
      <c r="M1358" s="222">
        <v>718</v>
      </c>
      <c r="N1358" s="2" t="str">
        <f t="shared" ca="1" si="41"/>
        <v>CLOSED</v>
      </c>
    </row>
    <row r="1359" spans="1:14" ht="18.75">
      <c r="A1359" s="90" t="s">
        <v>311</v>
      </c>
      <c r="B1359" s="98" t="e">
        <f>VLOOKUP([2]!Table27[[#This Row],[Location 
(drop-down)]],'[2]List source'!D$2:E$59,2,FALSE)</f>
        <v>#VALUE!</v>
      </c>
      <c r="C1359" s="177" t="s">
        <v>4149</v>
      </c>
      <c r="D1359" s="393" t="e">
        <f t="shared" si="42"/>
        <v>#VALUE!</v>
      </c>
      <c r="E1359" s="227" t="s">
        <v>4150</v>
      </c>
      <c r="F1359" s="165" t="e" cm="1">
        <f t="array" aca="1" ref="F1359" ca="1">MID(LEFT(#REF!, INDEX(_xlfn._xlws.FILTER(ROW(INDIRECT("1:" &amp; LEN(#REF!))), (48 &lt;= CODE(MID(#REF!, ROW(INDIRECT("1:" &amp; LEN(#REF!))), 1))) * (CODE(MID(#REF!, ROW(INDIRECT("1:" &amp; LEN(#REF!))), 1)) &lt;= 57)), 1) - 1), FIND(":",#REF!) + 2, LEN(#REF!))</f>
        <v>#REF!</v>
      </c>
      <c r="G1359" s="227" t="e">
        <f>MID(LEFT(#REF!, FIND(",",#REF!) - 1), FIND("{token}", SUBSTITUTE(#REF!, " ", "{token}", 2)) + 1, LEN(#REF!))</f>
        <v>#REF!</v>
      </c>
      <c r="H1359" s="165">
        <v>4.9800000000000004</v>
      </c>
      <c r="I1359" s="304">
        <v>45534</v>
      </c>
      <c r="J1359" s="342" t="s">
        <v>310</v>
      </c>
      <c r="K1359" s="221">
        <v>45880</v>
      </c>
      <c r="L1359" s="165"/>
      <c r="M1359" s="222">
        <v>865</v>
      </c>
      <c r="N1359" s="2" t="str">
        <f t="shared" ca="1" si="41"/>
        <v>CLOSED</v>
      </c>
    </row>
    <row r="1360" spans="1:14" ht="15">
      <c r="A1360" s="64" t="s">
        <v>311</v>
      </c>
      <c r="B1360" s="98" t="e">
        <f>VLOOKUP([2]!Table27[[#This Row],[Location 
(drop-down)]],'[2]List source'!D$2:E$59,2,FALSE)</f>
        <v>#VALUE!</v>
      </c>
      <c r="C1360" s="148" t="s">
        <v>4151</v>
      </c>
      <c r="D1360" s="2" t="e">
        <f t="shared" si="42"/>
        <v>#VALUE!</v>
      </c>
      <c r="E1360" s="227" t="s">
        <v>4152</v>
      </c>
      <c r="F1360" s="165" t="e" cm="1">
        <f t="array" aca="1" ref="F1360" ca="1">MID(LEFT(#REF!, INDEX(_xlfn._xlws.FILTER(ROW(INDIRECT("1:" &amp; LEN(#REF!))), (48 &lt;= CODE(MID(#REF!, ROW(INDIRECT("1:" &amp; LEN(#REF!))), 1))) * (CODE(MID(#REF!, ROW(INDIRECT("1:" &amp; LEN(#REF!))), 1)) &lt;= 57)), 1) - 1), FIND(":",#REF!) + 2, LEN(#REF!))</f>
        <v>#REF!</v>
      </c>
      <c r="G1360" s="227" t="e">
        <f>MID(LEFT(#REF!, FIND(",",#REF!) - 1), FIND("{token}", SUBSTITUTE(#REF!, " ", "{token}", 2)) + 1, LEN(#REF!))</f>
        <v>#REF!</v>
      </c>
      <c r="H1360" s="236" t="s">
        <v>1971</v>
      </c>
      <c r="I1360" s="304">
        <v>45657</v>
      </c>
      <c r="J1360" s="230" t="s">
        <v>310</v>
      </c>
      <c r="K1360" s="226">
        <v>45880</v>
      </c>
      <c r="L1360" s="165"/>
      <c r="M1360" s="222">
        <v>1351</v>
      </c>
      <c r="N1360" s="2" t="str">
        <f t="shared" ca="1" si="41"/>
        <v>CLOSED</v>
      </c>
    </row>
    <row r="1361" spans="1:14" ht="18.75">
      <c r="A1361" s="90" t="s">
        <v>167</v>
      </c>
      <c r="B1361" s="98" t="e">
        <f>VLOOKUP([2]!Table27[[#This Row],[Location 
(drop-down)]],'[2]List source'!D$2:E$59,2,FALSE)</f>
        <v>#VALUE!</v>
      </c>
      <c r="C1361" s="177" t="s">
        <v>4153</v>
      </c>
      <c r="D1361" s="377" t="e">
        <f t="shared" si="42"/>
        <v>#VALUE!</v>
      </c>
      <c r="E1361" s="227" t="s">
        <v>4154</v>
      </c>
      <c r="F1361" s="165" t="e" cm="1">
        <f t="array" aca="1" ref="F1361" ca="1">MID(LEFT(#REF!, INDEX(_xlfn._xlws.FILTER(ROW(INDIRECT("1:" &amp; LEN(#REF!))), (48 &lt;= CODE(MID(#REF!, ROW(INDIRECT("1:" &amp; LEN(#REF!))), 1))) * (CODE(MID(#REF!, ROW(INDIRECT("1:" &amp; LEN(#REF!))), 1)) &lt;= 57)), 1) - 1), FIND(":",#REF!) + 2, LEN(#REF!))</f>
        <v>#REF!</v>
      </c>
      <c r="G1361" s="227" t="e">
        <f>MID(LEFT(#REF!, FIND(",",#REF!) - 1), FIND("{token}", SUBSTITUTE(#REF!, " ", "{token}", 2)) + 1, LEN(#REF!))</f>
        <v>#REF!</v>
      </c>
      <c r="H1361" s="165" t="s">
        <v>4155</v>
      </c>
      <c r="I1361" s="304">
        <v>45435</v>
      </c>
      <c r="J1361" s="342" t="s">
        <v>310</v>
      </c>
      <c r="K1361" s="221">
        <v>45882</v>
      </c>
      <c r="L1361" s="165"/>
      <c r="M1361" s="222">
        <v>626</v>
      </c>
      <c r="N1361" s="2" t="str">
        <f t="shared" ca="1" si="41"/>
        <v>CLOSED</v>
      </c>
    </row>
    <row r="1362" spans="1:14" ht="30">
      <c r="A1362" s="64" t="s">
        <v>294</v>
      </c>
      <c r="B1362" s="98" t="e">
        <f>VLOOKUP([2]!Table27[[#This Row],[Location 
(drop-down)]],'[2]List source'!D$2:E$59,2,FALSE)</f>
        <v>#VALUE!</v>
      </c>
      <c r="C1362" s="148" t="s">
        <v>4156</v>
      </c>
      <c r="D1362" s="378" t="e">
        <f t="shared" si="42"/>
        <v>#VALUE!</v>
      </c>
      <c r="E1362" s="227" t="s">
        <v>4157</v>
      </c>
      <c r="F1362" s="165" t="e" cm="1">
        <f t="array" aca="1" ref="F1362" ca="1">MID(LEFT(#REF!, INDEX(_xlfn._xlws.FILTER(ROW(INDIRECT("1:" &amp; LEN(#REF!))), (48 &lt;= CODE(MID(#REF!, ROW(INDIRECT("1:" &amp; LEN(#REF!))), 1))) * (CODE(MID(#REF!, ROW(INDIRECT("1:" &amp; LEN(#REF!))), 1)) &lt;= 57)), 1) - 1), FIND(":",#REF!) + 2, LEN(#REF!))</f>
        <v>#REF!</v>
      </c>
      <c r="G1362" s="227" t="e">
        <f>MID(LEFT(#REF!, FIND(",",#REF!) - 1), FIND("{token}", SUBSTITUTE(#REF!, " ", "{token}", 2)) + 1, LEN(#REF!))</f>
        <v>#REF!</v>
      </c>
      <c r="H1362" s="236" t="s">
        <v>1981</v>
      </c>
      <c r="I1362" s="230">
        <v>45511</v>
      </c>
      <c r="J1362" s="230" t="s">
        <v>239</v>
      </c>
      <c r="K1362" s="226">
        <v>45882</v>
      </c>
      <c r="L1362" s="275"/>
      <c r="M1362" s="222">
        <v>743</v>
      </c>
      <c r="N1362" s="2" t="str">
        <f t="shared" ca="1" si="41"/>
        <v>CLOSED</v>
      </c>
    </row>
    <row r="1363" spans="1:14" ht="18.75">
      <c r="A1363" s="90" t="s">
        <v>167</v>
      </c>
      <c r="B1363" s="98" t="e">
        <f>VLOOKUP([2]!Table27[[#This Row],[Location 
(drop-down)]],'[2]List source'!D$2:E$59,2,FALSE)</f>
        <v>#VALUE!</v>
      </c>
      <c r="C1363" s="177" t="s">
        <v>4158</v>
      </c>
      <c r="D1363" s="393" t="e">
        <f t="shared" si="42"/>
        <v>#VALUE!</v>
      </c>
      <c r="E1363" s="227" t="s">
        <v>4159</v>
      </c>
      <c r="F1363" s="165" t="e" cm="1">
        <f t="array" aca="1" ref="F1363" ca="1">MID(LEFT(#REF!, INDEX(_xlfn._xlws.FILTER(ROW(INDIRECT("1:" &amp; LEN(#REF!))), (48 &lt;= CODE(MID(#REF!, ROW(INDIRECT("1:" &amp; LEN(#REF!))), 1))) * (CODE(MID(#REF!, ROW(INDIRECT("1:" &amp; LEN(#REF!))), 1)) &lt;= 57)), 1) - 1), FIND(":",#REF!) + 2, LEN(#REF!))</f>
        <v>#REF!</v>
      </c>
      <c r="G1363" s="227" t="e">
        <f>MID(LEFT(#REF!, FIND(",",#REF!) - 1), FIND("{token}", SUBSTITUTE(#REF!, " ", "{token}", 2)) + 1, LEN(#REF!))</f>
        <v>#REF!</v>
      </c>
      <c r="H1363" s="236" t="s">
        <v>4160</v>
      </c>
      <c r="I1363" s="230">
        <v>45546</v>
      </c>
      <c r="J1363" s="342" t="s">
        <v>310</v>
      </c>
      <c r="K1363" s="221">
        <v>45882</v>
      </c>
      <c r="L1363" s="275"/>
      <c r="M1363" s="222">
        <v>971</v>
      </c>
      <c r="N1363" s="2" t="str">
        <f t="shared" ca="1" si="41"/>
        <v>CLOSED</v>
      </c>
    </row>
    <row r="1364" spans="1:14" ht="15">
      <c r="A1364" s="90" t="s">
        <v>167</v>
      </c>
      <c r="B1364" s="98" t="e">
        <f>VLOOKUP([2]!Table27[[#This Row],[Location 
(drop-down)]],'[2]List source'!D$2:E$59,2,FALSE)</f>
        <v>#VALUE!</v>
      </c>
      <c r="C1364" s="177" t="s">
        <v>4161</v>
      </c>
      <c r="D1364" s="392" t="e">
        <f t="shared" si="42"/>
        <v>#VALUE!</v>
      </c>
      <c r="E1364" s="227" t="s">
        <v>4162</v>
      </c>
      <c r="F1364" s="165" t="s">
        <v>1769</v>
      </c>
      <c r="G1364" s="227" t="e">
        <f>MID(LEFT(#REF!, FIND(",",#REF!) - 1), FIND("{token}", SUBSTITUTE(#REF!, " ", "{token}", 2)) + 1, LEN(#REF!))</f>
        <v>#REF!</v>
      </c>
      <c r="H1364" s="236" t="s">
        <v>4163</v>
      </c>
      <c r="I1364" s="230">
        <v>45642</v>
      </c>
      <c r="J1364" s="342" t="s">
        <v>310</v>
      </c>
      <c r="K1364" s="221">
        <v>45882</v>
      </c>
      <c r="L1364" s="165"/>
      <c r="M1364" s="222">
        <v>1130</v>
      </c>
      <c r="N1364" s="2" t="str">
        <f t="shared" ca="1" si="41"/>
        <v>CLOSED</v>
      </c>
    </row>
    <row r="1365" spans="1:14" ht="15">
      <c r="A1365" s="90" t="s">
        <v>167</v>
      </c>
      <c r="B1365" s="98" t="e">
        <f>VLOOKUP([2]!Table27[[#This Row],[Location 
(drop-down)]],'[2]List source'!D$2:E$59,2,FALSE)</f>
        <v>#VALUE!</v>
      </c>
      <c r="C1365" s="177" t="s">
        <v>4164</v>
      </c>
      <c r="D1365" s="392" t="e">
        <f t="shared" si="42"/>
        <v>#VALUE!</v>
      </c>
      <c r="E1365" s="227" t="s">
        <v>4165</v>
      </c>
      <c r="F1365" s="165" t="e" cm="1">
        <f t="array" aca="1" ref="F1365" ca="1">MID(LEFT(#REF!, INDEX(_xlfn._xlws.FILTER(ROW(INDIRECT("1:" &amp; LEN(#REF!))), (48 &lt;= CODE(MID(#REF!, ROW(INDIRECT("1:" &amp; LEN(#REF!))), 1))) * (CODE(MID(#REF!, ROW(INDIRECT("1:" &amp; LEN(#REF!))), 1)) &lt;= 57)), 1) - 1), FIND(":",#REF!) + 2, LEN(#REF!))</f>
        <v>#REF!</v>
      </c>
      <c r="G1365" s="227" t="e">
        <f>MID(LEFT(#REF!, FIND(",",#REF!) - 1), FIND("{token}", SUBSTITUTE(#REF!, " ", "{token}", 2)) + 1, LEN(#REF!))</f>
        <v>#REF!</v>
      </c>
      <c r="H1365" s="165" t="s">
        <v>4166</v>
      </c>
      <c r="I1365" s="230">
        <v>45643</v>
      </c>
      <c r="J1365" s="342" t="s">
        <v>310</v>
      </c>
      <c r="K1365" s="221">
        <v>45882</v>
      </c>
      <c r="L1365" s="275"/>
      <c r="M1365" s="222">
        <v>1147</v>
      </c>
      <c r="N1365" s="2" t="str">
        <f t="shared" ca="1" si="41"/>
        <v>CLOSED</v>
      </c>
    </row>
    <row r="1366" spans="1:14" ht="15">
      <c r="A1366" s="64" t="s">
        <v>167</v>
      </c>
      <c r="B1366" s="98" t="e">
        <f>VLOOKUP([2]!Table27[[#This Row],[Location 
(drop-down)]],'[2]List source'!D$2:E$59,2,FALSE)</f>
        <v>#VALUE!</v>
      </c>
      <c r="C1366" s="148" t="s">
        <v>4167</v>
      </c>
      <c r="D1366" s="2" t="e">
        <f t="shared" si="42"/>
        <v>#VALUE!</v>
      </c>
      <c r="E1366" s="227" t="s">
        <v>4168</v>
      </c>
      <c r="F1366" s="165" t="e" cm="1">
        <f t="array" aca="1" ref="F1366" ca="1">MID(LEFT(#REF!, INDEX(_xlfn._xlws.FILTER(ROW(INDIRECT("1:" &amp; LEN(#REF!))), (48 &lt;= CODE(MID(#REF!, ROW(INDIRECT("1:" &amp; LEN(#REF!))), 1))) * (CODE(MID(#REF!, ROW(INDIRECT("1:" &amp; LEN(#REF!))), 1)) &lt;= 57)), 1) - 1), FIND(":",#REF!) + 2, LEN(#REF!))</f>
        <v>#REF!</v>
      </c>
      <c r="G1366" s="227" t="e">
        <f>MID(LEFT(#REF!, FIND(",",#REF!) - 1), FIND("{token}", SUBSTITUTE(#REF!, " ", "{token}", 2)) + 1, LEN(#REF!))</f>
        <v>#REF!</v>
      </c>
      <c r="H1366" s="236" t="s">
        <v>4169</v>
      </c>
      <c r="I1366" s="230">
        <v>45657</v>
      </c>
      <c r="J1366" s="230" t="s">
        <v>310</v>
      </c>
      <c r="K1366" s="226">
        <v>45882</v>
      </c>
      <c r="L1366" s="165"/>
      <c r="M1366" s="222">
        <v>1355</v>
      </c>
      <c r="N1366" s="2" t="str">
        <f t="shared" ca="1" si="41"/>
        <v>CLOSED</v>
      </c>
    </row>
    <row r="1367" spans="1:14" ht="30">
      <c r="A1367" s="64" t="s">
        <v>30</v>
      </c>
      <c r="B1367" s="98" t="e">
        <f>VLOOKUP([2]!Table27[[#This Row],[Location 
(drop-down)]],'[2]List source'!D$2:E$59,2,FALSE)</f>
        <v>#VALUE!</v>
      </c>
      <c r="C1367" s="148" t="s">
        <v>533</v>
      </c>
      <c r="D1367" s="378" t="e">
        <f t="shared" si="42"/>
        <v>#VALUE!</v>
      </c>
      <c r="E1367" s="227" t="s">
        <v>4170</v>
      </c>
      <c r="F1367" s="165" t="e" cm="1">
        <f t="array" aca="1" ref="F1367" ca="1">MID(LEFT(#REF!, INDEX(_xlfn._xlws.FILTER(ROW(INDIRECT("1:" &amp; LEN(#REF!))), (48 &lt;= CODE(MID(#REF!, ROW(INDIRECT("1:" &amp; LEN(#REF!))), 1))) * (CODE(MID(#REF!, ROW(INDIRECT("1:" &amp; LEN(#REF!))), 1)) &lt;= 57)), 1) - 1), FIND(":",#REF!) + 2, LEN(#REF!))</f>
        <v>#REF!</v>
      </c>
      <c r="G1367" s="227" t="e">
        <f>MID(LEFT(#REF!, FIND(",",#REF!) - 1), FIND("{token}", SUBSTITUTE(#REF!, " ", "{token}", 2)) + 1, LEN(#REF!))</f>
        <v>#REF!</v>
      </c>
      <c r="H1367" s="236" t="s">
        <v>4171</v>
      </c>
      <c r="I1367" s="230">
        <v>45376</v>
      </c>
      <c r="J1367" s="230" t="s">
        <v>239</v>
      </c>
      <c r="K1367" s="226">
        <v>45883</v>
      </c>
      <c r="L1367" s="165"/>
      <c r="M1367" s="222">
        <v>125</v>
      </c>
      <c r="N1367" s="2" t="str">
        <f t="shared" ca="1" si="41"/>
        <v>CLOSED</v>
      </c>
    </row>
    <row r="1368" spans="1:14" ht="30">
      <c r="A1368" s="64" t="s">
        <v>30</v>
      </c>
      <c r="B1368" s="98" t="e">
        <f>VLOOKUP([2]!Table27[[#This Row],[Location 
(drop-down)]],'[2]List source'!D$2:E$59,2,FALSE)</f>
        <v>#VALUE!</v>
      </c>
      <c r="C1368" s="148" t="s">
        <v>4172</v>
      </c>
      <c r="D1368" s="2" t="e">
        <f t="shared" si="42"/>
        <v>#VALUE!</v>
      </c>
      <c r="E1368" s="227" t="s">
        <v>4173</v>
      </c>
      <c r="F1368" s="165" t="e" cm="1">
        <f t="array" aca="1" ref="F1368" ca="1">MID(LEFT(#REF!, INDEX(_xlfn._xlws.FILTER(ROW(INDIRECT("1:" &amp; LEN(#REF!))), (48 &lt;= CODE(MID(#REF!, ROW(INDIRECT("1:" &amp; LEN(#REF!))), 1))) * (CODE(MID(#REF!, ROW(INDIRECT("1:" &amp; LEN(#REF!))), 1)) &lt;= 57)), 1) - 1), FIND(":",#REF!) + 2, LEN(#REF!))</f>
        <v>#REF!</v>
      </c>
      <c r="G1368" s="227" t="e">
        <f>MID(LEFT(#REF!, FIND(",",#REF!) - 1), FIND("{token}", SUBSTITUTE(#REF!, " ", "{token}", 2)) + 1, LEN(#REF!))</f>
        <v>#REF!</v>
      </c>
      <c r="H1368" s="236" t="s">
        <v>4174</v>
      </c>
      <c r="I1368" s="230">
        <v>45656</v>
      </c>
      <c r="J1368" s="230" t="s">
        <v>21</v>
      </c>
      <c r="K1368" s="226">
        <v>45883</v>
      </c>
      <c r="L1368" s="165"/>
      <c r="M1368" s="222">
        <v>1288</v>
      </c>
      <c r="N1368" s="2" t="str">
        <f t="shared" ref="N1368:N1431" ca="1" si="43">IF(ISBLANK(K1368), TODAY()-(I1368), "CLOSED")</f>
        <v>CLOSED</v>
      </c>
    </row>
    <row r="1369" spans="1:14" ht="15">
      <c r="A1369" s="90" t="s">
        <v>139</v>
      </c>
      <c r="B1369" s="98" t="e">
        <f>VLOOKUP([2]!Table27[[#This Row],[Location 
(drop-down)]],'[2]List source'!D$2:E$59,2,FALSE)</f>
        <v>#VALUE!</v>
      </c>
      <c r="C1369" s="177" t="s">
        <v>4175</v>
      </c>
      <c r="D1369" s="392" t="e">
        <f t="shared" si="42"/>
        <v>#VALUE!</v>
      </c>
      <c r="E1369" s="227" t="s">
        <v>4176</v>
      </c>
      <c r="F1369" s="165" t="e" cm="1">
        <f t="array" aca="1" ref="F1369" ca="1">MID(LEFT(#REF!, INDEX(_xlfn._xlws.FILTER(ROW(INDIRECT("1:" &amp; LEN(#REF!))), (48 &lt;= CODE(MID(#REF!, ROW(INDIRECT("1:" &amp; LEN(#REF!))), 1))) * (CODE(MID(#REF!, ROW(INDIRECT("1:" &amp; LEN(#REF!))), 1)) &lt;= 57)), 1) - 1), FIND(":",#REF!) + 2, LEN(#REF!))</f>
        <v>#REF!</v>
      </c>
      <c r="G1369" s="227" t="e">
        <f>MID(LEFT(#REF!, FIND(",",#REF!) - 1), FIND("{token}", SUBSTITUTE(#REF!, " ", "{token}", 2)) + 1, LEN(#REF!))</f>
        <v>#REF!</v>
      </c>
      <c r="H1369" s="165">
        <v>4.63</v>
      </c>
      <c r="I1369" s="230">
        <v>45657</v>
      </c>
      <c r="J1369" s="342" t="s">
        <v>310</v>
      </c>
      <c r="K1369" s="221">
        <v>45888</v>
      </c>
      <c r="L1369" s="165"/>
      <c r="M1369" s="222">
        <v>1368</v>
      </c>
      <c r="N1369" s="2" t="str">
        <f t="shared" ca="1" si="43"/>
        <v>CLOSED</v>
      </c>
    </row>
    <row r="1370" spans="1:14" ht="15">
      <c r="A1370" s="64" t="s">
        <v>314</v>
      </c>
      <c r="B1370" s="98" t="e">
        <f>VLOOKUP([2]!Table27[[#This Row],[Location 
(drop-down)]],'[2]List source'!D$2:E$59,2,FALSE)</f>
        <v>#VALUE!</v>
      </c>
      <c r="C1370" s="148" t="s">
        <v>4177</v>
      </c>
      <c r="D1370" s="2" t="e">
        <f t="shared" si="42"/>
        <v>#VALUE!</v>
      </c>
      <c r="E1370" s="227" t="s">
        <v>4178</v>
      </c>
      <c r="F1370" s="165" t="e" cm="1">
        <f t="array" aca="1" ref="F1370" ca="1">MID(LEFT(#REF!, INDEX(_xlfn._xlws.FILTER(ROW(INDIRECT("1:" &amp; LEN(#REF!))), (48 &lt;= CODE(MID(#REF!, ROW(INDIRECT("1:" &amp; LEN(#REF!))), 1))) * (CODE(MID(#REF!, ROW(INDIRECT("1:" &amp; LEN(#REF!))), 1)) &lt;= 57)), 1) - 1), FIND(":",#REF!) + 2, LEN(#REF!))</f>
        <v>#REF!</v>
      </c>
      <c r="G1370" s="227" t="e">
        <f>MID(LEFT(#REF!, FIND(",",#REF!) - 1), FIND("{token}", SUBSTITUTE(#REF!, " ", "{token}", 2)) + 1, LEN(#REF!))</f>
        <v>#REF!</v>
      </c>
      <c r="H1370" s="236" t="s">
        <v>4179</v>
      </c>
      <c r="I1370" s="230">
        <v>45642</v>
      </c>
      <c r="J1370" s="230" t="s">
        <v>327</v>
      </c>
      <c r="K1370" s="226">
        <v>45889</v>
      </c>
      <c r="L1370" s="165"/>
      <c r="M1370" s="222">
        <v>1105</v>
      </c>
      <c r="N1370" s="2" t="str">
        <f t="shared" ca="1" si="43"/>
        <v>CLOSED</v>
      </c>
    </row>
    <row r="1371" spans="1:14" ht="15">
      <c r="A1371" s="64" t="s">
        <v>15</v>
      </c>
      <c r="B1371" s="98" t="e">
        <f>VLOOKUP([2]!Table27[[#This Row],[Location 
(drop-down)]],'[2]List source'!D$2:E$59,2,FALSE)</f>
        <v>#VALUE!</v>
      </c>
      <c r="C1371" s="148" t="s">
        <v>4180</v>
      </c>
      <c r="D1371" s="2" t="e">
        <f t="shared" si="42"/>
        <v>#VALUE!</v>
      </c>
      <c r="E1371" s="227" t="s">
        <v>4181</v>
      </c>
      <c r="F1371" s="165" t="e" cm="1">
        <f t="array" aca="1" ref="F1371" ca="1">MID(LEFT(#REF!, INDEX(_xlfn._xlws.FILTER(ROW(INDIRECT("1:" &amp; LEN(#REF!))), (48 &lt;= CODE(MID(#REF!, ROW(INDIRECT("1:" &amp; LEN(#REF!))), 1))) * (CODE(MID(#REF!, ROW(INDIRECT("1:" &amp; LEN(#REF!))), 1)) &lt;= 57)), 1) - 1), FIND(":",#REF!) + 2, LEN(#REF!))</f>
        <v>#REF!</v>
      </c>
      <c r="G1371" s="227" t="e">
        <f>MID(LEFT(#REF!, FIND(",",#REF!) - 1), FIND("{token}", SUBSTITUTE(#REF!, " ", "{token}", 2)) + 1, LEN(#REF!))</f>
        <v>#REF!</v>
      </c>
      <c r="H1371" s="165">
        <v>2.6</v>
      </c>
      <c r="I1371" s="230">
        <v>45657</v>
      </c>
      <c r="J1371" s="230" t="s">
        <v>69</v>
      </c>
      <c r="K1371" s="226">
        <v>45890</v>
      </c>
      <c r="L1371" s="165"/>
      <c r="M1371" s="222">
        <v>1331</v>
      </c>
      <c r="N1371" s="2" t="str">
        <f t="shared" ca="1" si="43"/>
        <v>CLOSED</v>
      </c>
    </row>
    <row r="1372" spans="1:14" ht="18.75">
      <c r="A1372" s="64" t="s">
        <v>314</v>
      </c>
      <c r="B1372" s="98" t="e">
        <f>VLOOKUP([2]!Table27[[#This Row],[Location 
(drop-down)]],'[2]List source'!D$2:E$59,2,FALSE)</f>
        <v>#VALUE!</v>
      </c>
      <c r="C1372" s="148" t="s">
        <v>4182</v>
      </c>
      <c r="D1372" s="378" t="e">
        <f t="shared" si="42"/>
        <v>#VALUE!</v>
      </c>
      <c r="E1372" s="227" t="s">
        <v>4183</v>
      </c>
      <c r="F1372" s="165" t="e" cm="1">
        <f t="array" aca="1" ref="F1372" ca="1">MID(LEFT(#REF!, INDEX(_xlfn._xlws.FILTER(ROW(INDIRECT("1:" &amp; LEN(#REF!))), (48 &lt;= CODE(MID(#REF!, ROW(INDIRECT("1:" &amp; LEN(#REF!))), 1))) * (CODE(MID(#REF!, ROW(INDIRECT("1:" &amp; LEN(#REF!))), 1)) &lt;= 57)), 1) - 1), FIND(":",#REF!) + 2, LEN(#REF!))</f>
        <v>#REF!</v>
      </c>
      <c r="G1372" s="227" t="e">
        <f>MID(LEFT(#REF!, FIND(",",#REF!) - 1), FIND("{token}", SUBSTITUTE(#REF!, " ", "{token}", 2)) + 1, LEN(#REF!))</f>
        <v>#REF!</v>
      </c>
      <c r="H1372" s="165" t="s">
        <v>4184</v>
      </c>
      <c r="I1372" s="230">
        <v>45435</v>
      </c>
      <c r="J1372" s="230" t="s">
        <v>327</v>
      </c>
      <c r="K1372" s="226">
        <v>45891</v>
      </c>
      <c r="L1372" s="275"/>
      <c r="M1372" s="222">
        <v>596</v>
      </c>
      <c r="N1372" s="2" t="str">
        <f t="shared" ca="1" si="43"/>
        <v>CLOSED</v>
      </c>
    </row>
    <row r="1373" spans="1:14" ht="30">
      <c r="A1373" s="64" t="s">
        <v>485</v>
      </c>
      <c r="B1373" s="98" t="e">
        <f>VLOOKUP([2]!Table27[[#This Row],[Location 
(drop-down)]],'[2]List source'!D$2:E$59,2,FALSE)</f>
        <v>#VALUE!</v>
      </c>
      <c r="C1373" s="148" t="s">
        <v>4185</v>
      </c>
      <c r="D1373" s="2" t="e">
        <f t="shared" si="42"/>
        <v>#VALUE!</v>
      </c>
      <c r="E1373" s="227" t="s">
        <v>4186</v>
      </c>
      <c r="F1373" s="165" t="e" cm="1">
        <f t="array" aca="1" ref="F1373" ca="1">MID(LEFT(#REF!, INDEX(_xlfn._xlws.FILTER(ROW(INDIRECT("1:" &amp; LEN(#REF!))), (48 &lt;= CODE(MID(#REF!, ROW(INDIRECT("1:" &amp; LEN(#REF!))), 1))) * (CODE(MID(#REF!, ROW(INDIRECT("1:" &amp; LEN(#REF!))), 1)) &lt;= 57)), 1) - 1), FIND(":",#REF!) + 2, LEN(#REF!))</f>
        <v>#REF!</v>
      </c>
      <c r="G1373" s="227" t="e">
        <f>MID(LEFT(#REF!, FIND(",",#REF!) - 1), FIND("{token}", SUBSTITUTE(#REF!, " ", "{token}", 2)) + 1, LEN(#REF!))</f>
        <v>#REF!</v>
      </c>
      <c r="H1373" s="236" t="s">
        <v>4187</v>
      </c>
      <c r="I1373" s="230">
        <v>45643</v>
      </c>
      <c r="J1373" s="230" t="s">
        <v>327</v>
      </c>
      <c r="K1373" s="226">
        <v>45895</v>
      </c>
      <c r="L1373" s="165"/>
      <c r="M1373" s="222">
        <v>1152</v>
      </c>
      <c r="N1373" s="2" t="str">
        <f t="shared" ca="1" si="43"/>
        <v>CLOSED</v>
      </c>
    </row>
    <row r="1374" spans="1:14" ht="30">
      <c r="A1374" s="64" t="s">
        <v>485</v>
      </c>
      <c r="B1374" s="98" t="e">
        <f>VLOOKUP([2]!Table27[[#This Row],[Location 
(drop-down)]],'[2]List source'!D$2:E$59,2,FALSE)</f>
        <v>#VALUE!</v>
      </c>
      <c r="C1374" s="148" t="s">
        <v>4188</v>
      </c>
      <c r="D1374" s="2" t="e">
        <f t="shared" si="42"/>
        <v>#VALUE!</v>
      </c>
      <c r="E1374" s="227" t="s">
        <v>4189</v>
      </c>
      <c r="F1374" s="165" t="e" cm="1">
        <f t="array" aca="1" ref="F1374" ca="1">MID(LEFT(#REF!, INDEX(_xlfn._xlws.FILTER(ROW(INDIRECT("1:" &amp; LEN(#REF!))), (48 &lt;= CODE(MID(#REF!, ROW(INDIRECT("1:" &amp; LEN(#REF!))), 1))) * (CODE(MID(#REF!, ROW(INDIRECT("1:" &amp; LEN(#REF!))), 1)) &lt;= 57)), 1) - 1), FIND(":",#REF!) + 2, LEN(#REF!))</f>
        <v>#REF!</v>
      </c>
      <c r="G1374" s="227" t="e">
        <f>MID(LEFT(#REF!, FIND(",",#REF!) - 1), FIND("{token}", SUBSTITUTE(#REF!, " ", "{token}", 2)) + 1, LEN(#REF!))</f>
        <v>#REF!</v>
      </c>
      <c r="H1374" s="236" t="s">
        <v>4190</v>
      </c>
      <c r="I1374" s="230">
        <v>45649</v>
      </c>
      <c r="J1374" s="230" t="s">
        <v>327</v>
      </c>
      <c r="K1374" s="226">
        <v>45895</v>
      </c>
      <c r="L1374" s="165"/>
      <c r="M1374" s="222">
        <v>1223</v>
      </c>
      <c r="N1374" s="2" t="str">
        <f t="shared" ca="1" si="43"/>
        <v>CLOSED</v>
      </c>
    </row>
    <row r="1375" spans="1:14" ht="30">
      <c r="A1375" s="64" t="s">
        <v>294</v>
      </c>
      <c r="B1375" s="98" t="e">
        <f>VLOOKUP([2]!Table27[[#This Row],[Location 
(drop-down)]],'[2]List source'!D$2:E$59,2,FALSE)</f>
        <v>#VALUE!</v>
      </c>
      <c r="C1375" s="148" t="s">
        <v>4191</v>
      </c>
      <c r="D1375" s="378" t="e">
        <f t="shared" si="42"/>
        <v>#VALUE!</v>
      </c>
      <c r="E1375" s="227" t="s">
        <v>4192</v>
      </c>
      <c r="F1375" s="165" t="s">
        <v>1811</v>
      </c>
      <c r="G1375" s="227" t="e">
        <f>MID(LEFT(#REF!, FIND(",",#REF!) - 1), FIND("{token}", SUBSTITUTE(#REF!, " ", "{token}", 2)) + 1, LEN(#REF!))</f>
        <v>#REF!</v>
      </c>
      <c r="H1375" s="236" t="s">
        <v>4193</v>
      </c>
      <c r="I1375" s="230">
        <v>45509</v>
      </c>
      <c r="J1375" s="230" t="s">
        <v>327</v>
      </c>
      <c r="K1375" s="226">
        <v>45896</v>
      </c>
      <c r="L1375" s="275"/>
      <c r="M1375" s="222">
        <v>709</v>
      </c>
      <c r="N1375" s="2" t="str">
        <f t="shared" ca="1" si="43"/>
        <v>CLOSED</v>
      </c>
    </row>
    <row r="1376" spans="1:14" ht="30">
      <c r="A1376" s="64" t="s">
        <v>294</v>
      </c>
      <c r="B1376" s="98" t="e">
        <f>VLOOKUP([2]!Table27[[#This Row],[Location 
(drop-down)]],'[2]List source'!D$2:E$59,2,FALSE)</f>
        <v>#VALUE!</v>
      </c>
      <c r="C1376" s="148" t="s">
        <v>4194</v>
      </c>
      <c r="D1376" s="378" t="e">
        <f t="shared" si="42"/>
        <v>#VALUE!</v>
      </c>
      <c r="E1376" s="227" t="s">
        <v>4195</v>
      </c>
      <c r="F1376" s="165" t="s">
        <v>1524</v>
      </c>
      <c r="G1376" s="227" t="e">
        <f>MID(LEFT(#REF!, FIND(",",#REF!) - 1), FIND("{token}", SUBSTITUTE(#REF!, " ", "{token}", 2)) + 1, LEN(#REF!))</f>
        <v>#REF!</v>
      </c>
      <c r="H1376" s="236" t="s">
        <v>4196</v>
      </c>
      <c r="I1376" s="230">
        <v>45428</v>
      </c>
      <c r="J1376" s="230" t="s">
        <v>239</v>
      </c>
      <c r="K1376" s="226">
        <v>45898</v>
      </c>
      <c r="L1376" s="165"/>
      <c r="M1376" s="222">
        <v>531</v>
      </c>
      <c r="N1376" s="2" t="str">
        <f t="shared" ca="1" si="43"/>
        <v>CLOSED</v>
      </c>
    </row>
    <row r="1377" spans="1:14" ht="30">
      <c r="A1377" s="64" t="s">
        <v>39</v>
      </c>
      <c r="B1377" s="98" t="e">
        <f>VLOOKUP([2]!Table27[[#This Row],[Location 
(drop-down)]],'[2]List source'!D$2:E$59,2,FALSE)</f>
        <v>#VALUE!</v>
      </c>
      <c r="C1377" s="148" t="s">
        <v>4197</v>
      </c>
      <c r="D1377" s="378" t="e">
        <f t="shared" si="42"/>
        <v>#VALUE!</v>
      </c>
      <c r="E1377" s="227" t="s">
        <v>4198</v>
      </c>
      <c r="F1377" s="165" t="e" cm="1">
        <f t="array" aca="1" ref="F1377" ca="1">MID(LEFT(#REF!, INDEX(_xlfn._xlws.FILTER(ROW(INDIRECT("1:" &amp; LEN(#REF!))), (48 &lt;= CODE(MID(#REF!, ROW(INDIRECT("1:" &amp; LEN(#REF!))), 1))) * (CODE(MID(#REF!, ROW(INDIRECT("1:" &amp; LEN(#REF!))), 1)) &lt;= 57)), 1) - 1), FIND(":",#REF!) + 2, LEN(#REF!))</f>
        <v>#REF!</v>
      </c>
      <c r="G1377" s="227" t="e">
        <f>MID(LEFT(#REF!, FIND(",",#REF!) - 1), FIND("{token}", SUBSTITUTE(#REF!, " ", "{token}", 2)) + 1, LEN(#REF!))</f>
        <v>#REF!</v>
      </c>
      <c r="H1377" s="165">
        <v>3.11</v>
      </c>
      <c r="I1377" s="230">
        <v>45495</v>
      </c>
      <c r="J1377" s="230" t="s">
        <v>239</v>
      </c>
      <c r="K1377" s="226">
        <v>45898</v>
      </c>
      <c r="L1377" s="165"/>
      <c r="M1377" s="222">
        <v>664</v>
      </c>
      <c r="N1377" s="2" t="str">
        <f t="shared" ca="1" si="43"/>
        <v>CLOSED</v>
      </c>
    </row>
    <row r="1378" spans="1:14" ht="30">
      <c r="A1378" s="64" t="s">
        <v>30</v>
      </c>
      <c r="B1378" s="98" t="e">
        <f>VLOOKUP([2]!Table27[[#This Row],[Location 
(drop-down)]],'[2]List source'!D$2:E$59,2,FALSE)</f>
        <v>#VALUE!</v>
      </c>
      <c r="C1378" s="148" t="s">
        <v>4199</v>
      </c>
      <c r="D1378" s="2" t="e">
        <f t="shared" si="42"/>
        <v>#VALUE!</v>
      </c>
      <c r="E1378" s="227" t="s">
        <v>4200</v>
      </c>
      <c r="F1378" s="165" t="s">
        <v>1520</v>
      </c>
      <c r="G1378" s="227" t="e">
        <f>MID(LEFT(#REF!, FIND(",",#REF!) - 1), FIND("{token}", SUBSTITUTE(#REF!, " ", "{token}", 2)) + 1, LEN(#REF!))</f>
        <v>#REF!</v>
      </c>
      <c r="H1378" s="236" t="s">
        <v>4201</v>
      </c>
      <c r="I1378" s="230">
        <v>45649</v>
      </c>
      <c r="J1378" s="230" t="s">
        <v>47</v>
      </c>
      <c r="K1378" s="226">
        <v>45898</v>
      </c>
      <c r="L1378" s="165"/>
      <c r="M1378" s="222">
        <v>1211</v>
      </c>
      <c r="N1378" s="2" t="str">
        <f t="shared" ca="1" si="43"/>
        <v>CLOSED</v>
      </c>
    </row>
    <row r="1379" spans="1:14" ht="18.75">
      <c r="A1379" s="64" t="s">
        <v>314</v>
      </c>
      <c r="B1379" s="98" t="e">
        <f>VLOOKUP([2]!Table27[[#This Row],[Location 
(drop-down)]],'[2]List source'!D$2:E$59,2,FALSE)</f>
        <v>#VALUE!</v>
      </c>
      <c r="C1379" s="148" t="s">
        <v>940</v>
      </c>
      <c r="D1379" s="378" t="e">
        <f t="shared" si="42"/>
        <v>#VALUE!</v>
      </c>
      <c r="E1379" s="227" t="s">
        <v>4202</v>
      </c>
      <c r="F1379" s="165" t="s">
        <v>1566</v>
      </c>
      <c r="G1379" s="227" t="e">
        <f>MID(LEFT(#REF!, FIND(",",#REF!) - 1), FIND("{token}", SUBSTITUTE(#REF!, " ", "{token}", 2)) + 1, LEN(#REF!))</f>
        <v>#REF!</v>
      </c>
      <c r="H1379" s="165" t="s">
        <v>4203</v>
      </c>
      <c r="I1379" s="230">
        <v>45418</v>
      </c>
      <c r="J1379" s="230" t="s">
        <v>239</v>
      </c>
      <c r="K1379" s="226">
        <v>45904</v>
      </c>
      <c r="L1379" s="165"/>
      <c r="M1379" s="222">
        <v>399</v>
      </c>
      <c r="N1379" s="2" t="str">
        <f t="shared" ca="1" si="43"/>
        <v>CLOSED</v>
      </c>
    </row>
    <row r="1380" spans="1:14" ht="18.75">
      <c r="A1380" s="90" t="s">
        <v>156</v>
      </c>
      <c r="B1380" s="98" t="e">
        <f>VLOOKUP([2]!Table27[[#This Row],[Location 
(drop-down)]],'[2]List source'!D$2:E$59,2,FALSE)</f>
        <v>#VALUE!</v>
      </c>
      <c r="C1380" s="177" t="s">
        <v>561</v>
      </c>
      <c r="D1380" s="378" t="e">
        <f t="shared" si="42"/>
        <v>#VALUE!</v>
      </c>
      <c r="E1380" s="240" t="s">
        <v>4204</v>
      </c>
      <c r="F1380" s="2" t="e" cm="1">
        <f t="array" aca="1" ref="F1380" ca="1">MID(LEFT(#REF!, INDEX(_xlfn._xlws.FILTER(ROW(INDIRECT("1:" &amp; LEN(#REF!))), (48 &lt;= CODE(MID(#REF!, ROW(INDIRECT("1:" &amp; LEN(#REF!))), 1))) * (CODE(MID(#REF!, ROW(INDIRECT("1:" &amp; LEN(#REF!))), 1)) &lt;= 57)), 1) - 1), FIND(":",#REF!) + 2, LEN(#REF!))</f>
        <v>#REF!</v>
      </c>
      <c r="G1380" s="240" t="e">
        <f>MID(LEFT(#REF!, FIND(",",#REF!) - 1), FIND("{token}", SUBSTITUTE(#REF!, " ", "{token}", 2)) + 1, LEN(#REF!))</f>
        <v>#REF!</v>
      </c>
      <c r="H1380" s="254" t="s">
        <v>4205</v>
      </c>
      <c r="I1380" s="260">
        <v>45387</v>
      </c>
      <c r="J1380" s="235" t="s">
        <v>29</v>
      </c>
      <c r="K1380" s="258">
        <v>45905</v>
      </c>
      <c r="L1380" s="123"/>
      <c r="M1380" s="222">
        <v>152</v>
      </c>
      <c r="N1380" s="2" t="str">
        <f t="shared" ca="1" si="43"/>
        <v>CLOSED</v>
      </c>
    </row>
    <row r="1381" spans="1:14" ht="18.75">
      <c r="A1381" s="64" t="s">
        <v>156</v>
      </c>
      <c r="B1381" s="98" t="e">
        <f>VLOOKUP([2]!Table27[[#This Row],[Location 
(drop-down)]],'[2]List source'!D$2:E$59,2,FALSE)</f>
        <v>#VALUE!</v>
      </c>
      <c r="C1381" s="148" t="s">
        <v>324</v>
      </c>
      <c r="D1381" s="378" t="e">
        <f t="shared" si="42"/>
        <v>#VALUE!</v>
      </c>
      <c r="E1381" s="404" t="s">
        <v>4206</v>
      </c>
      <c r="F1381" s="405" t="s">
        <v>1566</v>
      </c>
      <c r="G1381" s="404" t="e">
        <f>MID(LEFT(#REF!, FIND(",",#REF!) - 1), FIND("{token}", SUBSTITUTE(#REF!, " ", "{token}", 2)) + 1, LEN(#REF!))</f>
        <v>#REF!</v>
      </c>
      <c r="H1381" s="405">
        <v>14.13</v>
      </c>
      <c r="I1381" s="230">
        <v>45427</v>
      </c>
      <c r="J1381" s="230" t="s">
        <v>29</v>
      </c>
      <c r="K1381" s="226">
        <v>45905</v>
      </c>
      <c r="L1381" s="165"/>
      <c r="M1381" s="222">
        <v>491</v>
      </c>
      <c r="N1381" s="2" t="str">
        <f t="shared" ca="1" si="43"/>
        <v>CLOSED</v>
      </c>
    </row>
    <row r="1382" spans="1:14" ht="18.75">
      <c r="A1382" s="64" t="s">
        <v>314</v>
      </c>
      <c r="B1382" s="98" t="e">
        <f>VLOOKUP([2]!Table27[[#This Row],[Location 
(drop-down)]],'[2]List source'!D$2:E$59,2,FALSE)</f>
        <v>#VALUE!</v>
      </c>
      <c r="C1382" s="148" t="s">
        <v>4207</v>
      </c>
      <c r="D1382" s="378" t="e">
        <f t="shared" si="42"/>
        <v>#VALUE!</v>
      </c>
      <c r="E1382" s="227" t="s">
        <v>4208</v>
      </c>
      <c r="F1382" s="165" t="e" cm="1">
        <f t="array" aca="1" ref="F1382" ca="1">MID(LEFT(#REF!, INDEX(_xlfn._xlws.FILTER(ROW(INDIRECT("1:" &amp; LEN(#REF!))), (48 &lt;= CODE(MID(#REF!, ROW(INDIRECT("1:" &amp; LEN(#REF!))), 1))) * (CODE(MID(#REF!, ROW(INDIRECT("1:" &amp; LEN(#REF!))), 1)) &lt;= 57)), 1) - 1), FIND(":",#REF!) + 2, LEN(#REF!))</f>
        <v>#REF!</v>
      </c>
      <c r="G1382" s="227" t="e">
        <f>MID(LEFT(#REF!, FIND(",",#REF!) - 1), FIND("{token}", SUBSTITUTE(#REF!, " ", "{token}", 2)) + 1, LEN(#REF!))</f>
        <v>#REF!</v>
      </c>
      <c r="H1382" s="165">
        <v>-9.23</v>
      </c>
      <c r="I1382" s="230">
        <v>45513</v>
      </c>
      <c r="J1382" s="230" t="s">
        <v>239</v>
      </c>
      <c r="K1382" s="226">
        <v>45912</v>
      </c>
      <c r="L1382" s="165"/>
      <c r="M1382" s="222">
        <v>757</v>
      </c>
      <c r="N1382" s="2" t="str">
        <f t="shared" ca="1" si="43"/>
        <v>CLOSED</v>
      </c>
    </row>
    <row r="1383" spans="1:14" ht="30">
      <c r="A1383" s="64" t="s">
        <v>294</v>
      </c>
      <c r="B1383" s="98" t="e">
        <f>VLOOKUP([2]!Table27[[#This Row],[Location 
(drop-down)]],'[2]List source'!D$2:E$59,2,FALSE)</f>
        <v>#VALUE!</v>
      </c>
      <c r="C1383" s="148" t="s">
        <v>4209</v>
      </c>
      <c r="D1383" s="378" t="e">
        <f t="shared" si="42"/>
        <v>#VALUE!</v>
      </c>
      <c r="E1383" s="227" t="s">
        <v>4210</v>
      </c>
      <c r="F1383" s="165" t="e" cm="1">
        <f t="array" aca="1" ref="F1383" ca="1">MID(LEFT(#REF!, INDEX(_xlfn._xlws.FILTER(ROW(INDIRECT("1:" &amp; LEN(#REF!))), (48 &lt;= CODE(MID(#REF!, ROW(INDIRECT("1:" &amp; LEN(#REF!))), 1))) * (CODE(MID(#REF!, ROW(INDIRECT("1:" &amp; LEN(#REF!))), 1)) &lt;= 57)), 1) - 1), FIND(":",#REF!) + 2, LEN(#REF!))</f>
        <v>#REF!</v>
      </c>
      <c r="G1383" s="227" t="e">
        <f>MID(LEFT(#REF!, FIND(",",#REF!) - 1), FIND("{token}", SUBSTITUTE(#REF!, " ", "{token}", 2)) + 1, LEN(#REF!))</f>
        <v>#REF!</v>
      </c>
      <c r="H1383" s="165" t="s">
        <v>1579</v>
      </c>
      <c r="I1383" s="230">
        <v>45513</v>
      </c>
      <c r="J1383" s="230" t="s">
        <v>239</v>
      </c>
      <c r="K1383" s="226">
        <v>45912</v>
      </c>
      <c r="L1383" s="165"/>
      <c r="M1383" s="222">
        <v>758</v>
      </c>
      <c r="N1383" s="2" t="str">
        <f t="shared" ca="1" si="43"/>
        <v>CLOSED</v>
      </c>
    </row>
    <row r="1384" spans="1:14" ht="30">
      <c r="A1384" s="64" t="s">
        <v>202</v>
      </c>
      <c r="B1384" s="98" t="e">
        <f>VLOOKUP([2]!Table27[[#This Row],[Location 
(drop-down)]],'[2]List source'!D$2:E$59,2,FALSE)</f>
        <v>#VALUE!</v>
      </c>
      <c r="C1384" s="148" t="s">
        <v>4211</v>
      </c>
      <c r="D1384" s="2" t="e">
        <f t="shared" si="42"/>
        <v>#VALUE!</v>
      </c>
      <c r="E1384" s="227" t="s">
        <v>4212</v>
      </c>
      <c r="F1384" s="165" t="e" cm="1">
        <f t="array" aca="1" ref="F1384" ca="1">MID(LEFT(#REF!, INDEX(_xlfn._xlws.FILTER(ROW(INDIRECT("1:" &amp; LEN(#REF!))), (48 &lt;= CODE(MID(#REF!, ROW(INDIRECT("1:" &amp; LEN(#REF!))), 1))) * (CODE(MID(#REF!, ROW(INDIRECT("1:" &amp; LEN(#REF!))), 1)) &lt;= 57)), 1) - 1), FIND(":",#REF!) + 2, LEN(#REF!))</f>
        <v>#REF!</v>
      </c>
      <c r="G1384" s="227" t="e">
        <f>MID(LEFT(#REF!, FIND(",",#REF!) - 1), FIND("{token}", SUBSTITUTE(#REF!, " ", "{token}", 2)) + 1, LEN(#REF!))</f>
        <v>#REF!</v>
      </c>
      <c r="H1384" s="165">
        <v>2.2799999999999998</v>
      </c>
      <c r="I1384" s="230">
        <v>45657</v>
      </c>
      <c r="J1384" s="230" t="s">
        <v>69</v>
      </c>
      <c r="K1384" s="226">
        <v>45915</v>
      </c>
      <c r="L1384" s="165"/>
      <c r="M1384" s="222">
        <v>1367</v>
      </c>
      <c r="N1384" s="2" t="str">
        <f t="shared" ca="1" si="43"/>
        <v>CLOSED</v>
      </c>
    </row>
    <row r="1385" spans="1:14" ht="15">
      <c r="A1385" s="64" t="s">
        <v>314</v>
      </c>
      <c r="B1385" s="98" t="e">
        <f>VLOOKUP([2]!Table27[[#This Row],[Location 
(drop-down)]],'[2]List source'!D$2:E$59,2,FALSE)</f>
        <v>#VALUE!</v>
      </c>
      <c r="C1385" s="148" t="s">
        <v>4213</v>
      </c>
      <c r="D1385" s="2" t="e">
        <f t="shared" si="42"/>
        <v>#VALUE!</v>
      </c>
      <c r="E1385" s="227" t="s">
        <v>4214</v>
      </c>
      <c r="F1385" s="165" t="s">
        <v>1520</v>
      </c>
      <c r="G1385" s="227" t="e">
        <f>MID(LEFT(#REF!, FIND(",",#REF!) - 1), FIND("{token}", SUBSTITUTE(#REF!, " ", "{token}", 2)) + 1, LEN(#REF!))</f>
        <v>#REF!</v>
      </c>
      <c r="H1385" s="236" t="s">
        <v>4201</v>
      </c>
      <c r="I1385" s="230">
        <v>45644</v>
      </c>
      <c r="J1385" s="230" t="s">
        <v>327</v>
      </c>
      <c r="K1385" s="226">
        <v>45916</v>
      </c>
      <c r="L1385" s="165"/>
      <c r="M1385" s="222">
        <v>1168</v>
      </c>
      <c r="N1385" s="2" t="str">
        <f t="shared" ca="1" si="43"/>
        <v>CLOSED</v>
      </c>
    </row>
    <row r="1386" spans="1:14" ht="30">
      <c r="A1386" s="64" t="s">
        <v>30</v>
      </c>
      <c r="B1386" s="98" t="e">
        <f>VLOOKUP([2]!Table27[[#This Row],[Location 
(drop-down)]],'[2]List source'!D$2:E$59,2,FALSE)</f>
        <v>#VALUE!</v>
      </c>
      <c r="C1386" s="148" t="s">
        <v>4215</v>
      </c>
      <c r="D1386" s="2" t="e">
        <f t="shared" si="42"/>
        <v>#VALUE!</v>
      </c>
      <c r="E1386" s="227" t="s">
        <v>4216</v>
      </c>
      <c r="F1386" s="165" t="s">
        <v>1520</v>
      </c>
      <c r="G1386" s="227" t="e">
        <f>MID(LEFT(#REF!, FIND(",",#REF!) - 1), FIND("{token}", SUBSTITUTE(#REF!, " ", "{token}", 2)) + 1, LEN(#REF!))</f>
        <v>#REF!</v>
      </c>
      <c r="H1386" s="165">
        <v>3.6</v>
      </c>
      <c r="I1386" s="230">
        <v>45649</v>
      </c>
      <c r="J1386" s="230" t="s">
        <v>111</v>
      </c>
      <c r="K1386" s="226">
        <v>45919</v>
      </c>
      <c r="L1386" s="165"/>
      <c r="M1386" s="222">
        <v>1208</v>
      </c>
      <c r="N1386" s="2" t="str">
        <f t="shared" ca="1" si="43"/>
        <v>CLOSED</v>
      </c>
    </row>
    <row r="1387" spans="1:14" ht="30">
      <c r="A1387" s="64" t="s">
        <v>30</v>
      </c>
      <c r="B1387" s="98" t="e">
        <f>VLOOKUP([2]!Table27[[#This Row],[Location 
(drop-down)]],'[2]List source'!D$2:E$59,2,FALSE)</f>
        <v>#VALUE!</v>
      </c>
      <c r="C1387" s="148" t="s">
        <v>4217</v>
      </c>
      <c r="D1387" s="2" t="e">
        <f t="shared" si="42"/>
        <v>#VALUE!</v>
      </c>
      <c r="E1387" s="227" t="s">
        <v>4218</v>
      </c>
      <c r="F1387" s="165" t="e" cm="1">
        <f t="array" aca="1" ref="F1387" ca="1">MID(LEFT(#REF!, INDEX(_xlfn._xlws.FILTER(ROW(INDIRECT("1:" &amp; LEN(#REF!))), (48 &lt;= CODE(MID(#REF!, ROW(INDIRECT("1:" &amp; LEN(#REF!))), 1))) * (CODE(MID(#REF!, ROW(INDIRECT("1:" &amp; LEN(#REF!))), 1)) &lt;= 57)), 1) - 1), FIND(":",#REF!) + 2, LEN(#REF!))</f>
        <v>#REF!</v>
      </c>
      <c r="G1387" s="227" t="e">
        <f>MID(LEFT(#REF!, FIND(",",#REF!) - 1), FIND("{token}", SUBSTITUTE(#REF!, " ", "{token}", 2)) + 1, LEN(#REF!))</f>
        <v>#REF!</v>
      </c>
      <c r="H1387" s="236" t="s">
        <v>4219</v>
      </c>
      <c r="I1387" s="230">
        <v>45656</v>
      </c>
      <c r="J1387" s="230" t="s">
        <v>111</v>
      </c>
      <c r="K1387" s="226">
        <v>45924</v>
      </c>
      <c r="L1387" s="165"/>
      <c r="M1387" s="222">
        <v>1287</v>
      </c>
      <c r="N1387" s="2" t="str">
        <f t="shared" ca="1" si="43"/>
        <v>CLOSED</v>
      </c>
    </row>
    <row r="1388" spans="1:14" ht="15">
      <c r="A1388" s="64" t="s">
        <v>314</v>
      </c>
      <c r="B1388" s="98" t="e">
        <f>VLOOKUP([2]!Table27[[#This Row],[Location 
(drop-down)]],'[2]List source'!D$2:E$59,2,FALSE)</f>
        <v>#VALUE!</v>
      </c>
      <c r="C1388" s="148" t="s">
        <v>4220</v>
      </c>
      <c r="D1388" s="2" t="e">
        <f t="shared" si="42"/>
        <v>#VALUE!</v>
      </c>
      <c r="E1388" s="227" t="s">
        <v>4221</v>
      </c>
      <c r="F1388" s="165" t="e" cm="1">
        <f t="array" aca="1" ref="F1388" ca="1">MID(LEFT(#REF!, INDEX(_xlfn._xlws.FILTER(ROW(INDIRECT("1:" &amp; LEN(#REF!))), (48 &lt;= CODE(MID(#REF!, ROW(INDIRECT("1:" &amp; LEN(#REF!))), 1))) * (CODE(MID(#REF!, ROW(INDIRECT("1:" &amp; LEN(#REF!))), 1)) &lt;= 57)), 1) - 1), FIND(":",#REF!) + 2, LEN(#REF!))</f>
        <v>#REF!</v>
      </c>
      <c r="G1388" s="227" t="e">
        <f>MID(LEFT(#REF!, FIND(",",#REF!) - 1), FIND("{token}", SUBSTITUTE(#REF!, " ", "{token}", 2)) + 1, LEN(#REF!))</f>
        <v>#REF!</v>
      </c>
      <c r="H1388" s="165">
        <v>6.83</v>
      </c>
      <c r="I1388" s="230">
        <v>45657</v>
      </c>
      <c r="J1388" s="230" t="s">
        <v>327</v>
      </c>
      <c r="K1388" s="226">
        <v>45930</v>
      </c>
      <c r="L1388" s="275"/>
      <c r="M1388" s="222">
        <v>1358</v>
      </c>
      <c r="N1388" s="2" t="str">
        <f t="shared" ca="1" si="43"/>
        <v>CLOSED</v>
      </c>
    </row>
    <row r="1389" spans="1:14" ht="18.75">
      <c r="A1389" s="64" t="s">
        <v>462</v>
      </c>
      <c r="B1389" s="98" t="e">
        <f>VLOOKUP([2]!Table27[[#This Row],[Location 
(drop-down)]],'[2]List source'!D$2:E$59,2,FALSE)</f>
        <v>#VALUE!</v>
      </c>
      <c r="C1389" s="148" t="s">
        <v>4222</v>
      </c>
      <c r="D1389" s="378" t="e">
        <f t="shared" si="42"/>
        <v>#VALUE!</v>
      </c>
      <c r="E1389" s="227" t="s">
        <v>4223</v>
      </c>
      <c r="F1389" s="165" t="e" cm="1">
        <f t="array" aca="1" ref="F1389" ca="1">MID(LEFT(#REF!, INDEX(_xlfn._xlws.FILTER(ROW(INDIRECT("1:" &amp; LEN(#REF!))), (48 &lt;= CODE(MID(#REF!, ROW(INDIRECT("1:" &amp; LEN(#REF!))), 1))) * (CODE(MID(#REF!, ROW(INDIRECT("1:" &amp; LEN(#REF!))), 1)) &lt;= 57)), 1) - 1), FIND(":",#REF!) + 2, LEN(#REF!))</f>
        <v>#REF!</v>
      </c>
      <c r="G1389" s="227" t="e">
        <f>MID(LEFT(#REF!, FIND(",",#REF!) - 1), FIND("{token}", SUBSTITUTE(#REF!, " ", "{token}", 2)) + 1, LEN(#REF!))</f>
        <v>#REF!</v>
      </c>
      <c r="H1389" s="165" t="s">
        <v>4224</v>
      </c>
      <c r="I1389" s="230">
        <v>45435</v>
      </c>
      <c r="J1389" s="230" t="s">
        <v>108</v>
      </c>
      <c r="K1389" s="226">
        <v>45931</v>
      </c>
      <c r="L1389" s="165"/>
      <c r="M1389" s="222">
        <v>545</v>
      </c>
      <c r="N1389" s="2" t="str">
        <f t="shared" ca="1" si="43"/>
        <v>CLOSED</v>
      </c>
    </row>
    <row r="1390" spans="1:14" ht="18.75">
      <c r="A1390" s="64" t="s">
        <v>462</v>
      </c>
      <c r="B1390" s="98" t="e">
        <f>VLOOKUP([2]!Table27[[#This Row],[Location 
(drop-down)]],'[2]List source'!D$2:E$59,2,FALSE)</f>
        <v>#VALUE!</v>
      </c>
      <c r="C1390" s="148" t="s">
        <v>4225</v>
      </c>
      <c r="D1390" s="379" t="e">
        <f t="shared" si="42"/>
        <v>#VALUE!</v>
      </c>
      <c r="E1390" s="227" t="s">
        <v>4226</v>
      </c>
      <c r="F1390" s="165" t="e" cm="1">
        <f t="array" aca="1" ref="F1390" ca="1">MID(LEFT(#REF!, INDEX(_xlfn._xlws.FILTER(ROW(INDIRECT("1:" &amp; LEN(#REF!))), (48 &lt;= CODE(MID(#REF!, ROW(INDIRECT("1:" &amp; LEN(#REF!))), 1))) * (CODE(MID(#REF!, ROW(INDIRECT("1:" &amp; LEN(#REF!))), 1)) &lt;= 57)), 1) - 1), FIND(":",#REF!) + 2, LEN(#REF!))</f>
        <v>#REF!</v>
      </c>
      <c r="G1390" s="227" t="e">
        <f>MID(LEFT(#REF!, FIND(",",#REF!) - 1), FIND("{token}", SUBSTITUTE(#REF!, " ", "{token}", 2)) + 1, LEN(#REF!))</f>
        <v>#REF!</v>
      </c>
      <c r="H1390" s="236" t="s">
        <v>4227</v>
      </c>
      <c r="I1390" s="230">
        <v>45541</v>
      </c>
      <c r="J1390" s="230" t="s">
        <v>108</v>
      </c>
      <c r="K1390" s="226">
        <v>45931</v>
      </c>
      <c r="L1390" s="165"/>
      <c r="M1390" s="222">
        <v>929</v>
      </c>
      <c r="N1390" s="2" t="str">
        <f t="shared" ca="1" si="43"/>
        <v>CLOSED</v>
      </c>
    </row>
    <row r="1391" spans="1:14" ht="15">
      <c r="A1391" s="64" t="s">
        <v>462</v>
      </c>
      <c r="B1391" s="98" t="e">
        <f>VLOOKUP([2]!Table27[[#This Row],[Location 
(drop-down)]],'[2]List source'!D$2:E$59,2,FALSE)</f>
        <v>#VALUE!</v>
      </c>
      <c r="C1391" s="148" t="s">
        <v>4228</v>
      </c>
      <c r="D1391" s="2" t="e">
        <f t="shared" si="42"/>
        <v>#VALUE!</v>
      </c>
      <c r="E1391" s="227" t="s">
        <v>4229</v>
      </c>
      <c r="F1391" s="165" t="e" cm="1">
        <f t="array" aca="1" ref="F1391" ca="1">MID(LEFT(#REF!, INDEX(_xlfn._xlws.FILTER(ROW(INDIRECT("1:" &amp; LEN(#REF!))), (48 &lt;= CODE(MID(#REF!, ROW(INDIRECT("1:" &amp; LEN(#REF!))), 1))) * (CODE(MID(#REF!, ROW(INDIRECT("1:" &amp; LEN(#REF!))), 1)) &lt;= 57)), 1) - 1), FIND(":",#REF!) + 2, LEN(#REF!))</f>
        <v>#REF!</v>
      </c>
      <c r="G1391" s="227" t="e">
        <f>MID(LEFT(#REF!, FIND(",",#REF!) - 1), FIND("{token}", SUBSTITUTE(#REF!, " ", "{token}", 2)) + 1, LEN(#REF!))</f>
        <v>#REF!</v>
      </c>
      <c r="H1391" s="165">
        <v>2.99</v>
      </c>
      <c r="I1391" s="230">
        <v>45643</v>
      </c>
      <c r="J1391" s="230" t="s">
        <v>108</v>
      </c>
      <c r="K1391" s="226">
        <v>45931</v>
      </c>
      <c r="L1391" s="165"/>
      <c r="M1391" s="222">
        <v>1139</v>
      </c>
      <c r="N1391" s="2" t="str">
        <f t="shared" ca="1" si="43"/>
        <v>CLOSED</v>
      </c>
    </row>
    <row r="1392" spans="1:14" ht="30">
      <c r="A1392" s="64" t="s">
        <v>202</v>
      </c>
      <c r="B1392" s="98" t="e">
        <f>VLOOKUP([2]!Table27[[#This Row],[Location 
(drop-down)]],'[2]List source'!D$2:E$59,2,FALSE)</f>
        <v>#VALUE!</v>
      </c>
      <c r="C1392" s="148" t="s">
        <v>4230</v>
      </c>
      <c r="D1392" s="2" t="e">
        <f t="shared" si="42"/>
        <v>#VALUE!</v>
      </c>
      <c r="E1392" s="227" t="s">
        <v>4231</v>
      </c>
      <c r="F1392" s="165" t="s">
        <v>1520</v>
      </c>
      <c r="G1392" s="227" t="e">
        <f>MID(LEFT(#REF!, FIND(",",#REF!) - 1), FIND("{token}", SUBSTITUTE(#REF!, " ", "{token}", 2)) + 1, LEN(#REF!))</f>
        <v>#REF!</v>
      </c>
      <c r="H1392" s="236" t="s">
        <v>1778</v>
      </c>
      <c r="I1392" s="230">
        <v>45644</v>
      </c>
      <c r="J1392" s="230" t="s">
        <v>21</v>
      </c>
      <c r="K1392" s="226">
        <v>45931</v>
      </c>
      <c r="L1392" s="165"/>
      <c r="M1392" s="222">
        <v>1172</v>
      </c>
      <c r="N1392" s="2" t="str">
        <f t="shared" ca="1" si="43"/>
        <v>CLOSED</v>
      </c>
    </row>
    <row r="1393" spans="1:14" ht="30">
      <c r="A1393" s="64" t="s">
        <v>294</v>
      </c>
      <c r="B1393" s="98" t="e">
        <f>VLOOKUP([2]!Table27[[#This Row],[Location 
(drop-down)]],'[2]List source'!D$2:E$59,2,FALSE)</f>
        <v>#VALUE!</v>
      </c>
      <c r="C1393" s="148" t="s">
        <v>4232</v>
      </c>
      <c r="D1393" s="379" t="e">
        <f t="shared" si="42"/>
        <v>#VALUE!</v>
      </c>
      <c r="E1393" s="227" t="s">
        <v>4233</v>
      </c>
      <c r="F1393" s="165" t="e" cm="1">
        <f t="array" aca="1" ref="F1393" ca="1">MID(LEFT(#REF!, INDEX(_xlfn._xlws.FILTER(ROW(INDIRECT("1:" &amp; LEN(#REF!))), (48 &lt;= CODE(MID(#REF!, ROW(INDIRECT("1:" &amp; LEN(#REF!))), 1))) * (CODE(MID(#REF!, ROW(INDIRECT("1:" &amp; LEN(#REF!))), 1)) &lt;= 57)), 1) - 1), FIND(":",#REF!) + 2, LEN(#REF!))</f>
        <v>#REF!</v>
      </c>
      <c r="G1393" s="227" t="e">
        <f>MID(LEFT(#REF!, FIND(",",#REF!) - 1), FIND("{token}", SUBSTITUTE(#REF!, " ", "{token}", 2)) + 1, LEN(#REF!))</f>
        <v>#REF!</v>
      </c>
      <c r="H1393" s="236" t="s">
        <v>4234</v>
      </c>
      <c r="I1393" s="230">
        <v>45541</v>
      </c>
      <c r="J1393" s="230" t="s">
        <v>327</v>
      </c>
      <c r="K1393" s="226">
        <v>45940</v>
      </c>
      <c r="L1393" s="165"/>
      <c r="M1393" s="222">
        <v>946</v>
      </c>
      <c r="N1393" s="2" t="str">
        <f t="shared" ca="1" si="43"/>
        <v>CLOSED</v>
      </c>
    </row>
    <row r="1394" spans="1:14" ht="30">
      <c r="A1394" s="64" t="s">
        <v>294</v>
      </c>
      <c r="B1394" s="98" t="e">
        <f>VLOOKUP([2]!Table27[[#This Row],[Location 
(drop-down)]],'[2]List source'!D$2:E$59,2,FALSE)</f>
        <v>#VALUE!</v>
      </c>
      <c r="C1394" s="148" t="s">
        <v>4235</v>
      </c>
      <c r="D1394" s="2" t="e">
        <f t="shared" si="42"/>
        <v>#VALUE!</v>
      </c>
      <c r="E1394" s="227" t="s">
        <v>4236</v>
      </c>
      <c r="F1394" s="165" t="e" cm="1">
        <f t="array" aca="1" ref="F1394" ca="1">MID(LEFT(#REF!, INDEX(_xlfn._xlws.FILTER(ROW(INDIRECT("1:" &amp; LEN(#REF!))), (48 &lt;= CODE(MID(#REF!, ROW(INDIRECT("1:" &amp; LEN(#REF!))), 1))) * (CODE(MID(#REF!, ROW(INDIRECT("1:" &amp; LEN(#REF!))), 1)) &lt;= 57)), 1) - 1), FIND(":",#REF!) + 2, LEN(#REF!))</f>
        <v>#REF!</v>
      </c>
      <c r="G1394" s="227" t="e">
        <f>MID(LEFT(#REF!, FIND(",",#REF!) - 1), FIND("{token}", SUBSTITUTE(#REF!, " ", "{token}", 2)) + 1, LEN(#REF!))</f>
        <v>#REF!</v>
      </c>
      <c r="H1394" s="165" t="s">
        <v>4237</v>
      </c>
      <c r="I1394" s="230">
        <v>45657</v>
      </c>
      <c r="J1394" s="230" t="s">
        <v>327</v>
      </c>
      <c r="K1394" s="226">
        <v>45940</v>
      </c>
      <c r="L1394" s="275"/>
      <c r="M1394" s="222">
        <v>1361</v>
      </c>
      <c r="N1394" s="2" t="str">
        <f t="shared" ca="1" si="43"/>
        <v>CLOSED</v>
      </c>
    </row>
    <row r="1395" spans="1:14" ht="18.75">
      <c r="A1395" s="64" t="s">
        <v>156</v>
      </c>
      <c r="B1395" s="98" t="e">
        <f>VLOOKUP([2]!Table27[[#This Row],[Location 
(drop-down)]],'[2]List source'!D$2:E$59,2,FALSE)</f>
        <v>#VALUE!</v>
      </c>
      <c r="C1395" s="148" t="s">
        <v>1466</v>
      </c>
      <c r="D1395" s="378" t="e">
        <f t="shared" si="42"/>
        <v>#VALUE!</v>
      </c>
      <c r="E1395" s="227" t="s">
        <v>4238</v>
      </c>
      <c r="F1395" s="165" t="s">
        <v>1769</v>
      </c>
      <c r="G1395" s="227" t="e">
        <f>MID(LEFT(#REF!, FIND(",",#REF!) - 1), FIND("{token}", SUBSTITUTE(#REF!, " ", "{token}", 2)) + 1, LEN(#REF!))</f>
        <v>#REF!</v>
      </c>
      <c r="H1395" s="165" t="s">
        <v>1579</v>
      </c>
      <c r="I1395" s="230">
        <v>45411</v>
      </c>
      <c r="J1395" s="230" t="s">
        <v>29</v>
      </c>
      <c r="K1395" s="226">
        <v>45944</v>
      </c>
      <c r="L1395" s="204"/>
      <c r="M1395" s="222">
        <v>252</v>
      </c>
      <c r="N1395" s="2" t="str">
        <f t="shared" ca="1" si="43"/>
        <v>CLOSED</v>
      </c>
    </row>
    <row r="1396" spans="1:14" ht="18.75">
      <c r="A1396" s="64" t="s">
        <v>156</v>
      </c>
      <c r="B1396" s="98" t="e">
        <f>VLOOKUP([2]!Table27[[#This Row],[Location 
(drop-down)]],'[2]List source'!D$2:E$59,2,FALSE)</f>
        <v>#VALUE!</v>
      </c>
      <c r="C1396" s="148" t="s">
        <v>798</v>
      </c>
      <c r="D1396" s="378" t="e">
        <f t="shared" si="42"/>
        <v>#VALUE!</v>
      </c>
      <c r="E1396" s="284" t="s">
        <v>4239</v>
      </c>
      <c r="F1396" s="296" t="s">
        <v>1769</v>
      </c>
      <c r="G1396" s="284" t="e">
        <f>MID(LEFT(#REF!, FIND(",",#REF!) - 1), FIND("{token}", SUBSTITUTE(#REF!, " ", "{token}", 2)) + 1, LEN(#REF!))</f>
        <v>#REF!</v>
      </c>
      <c r="H1396" s="296">
        <v>2.0099999999999998</v>
      </c>
      <c r="I1396" s="230">
        <v>45411</v>
      </c>
      <c r="J1396" s="230" t="s">
        <v>29</v>
      </c>
      <c r="K1396" s="226">
        <v>45944</v>
      </c>
      <c r="L1396" s="165"/>
      <c r="M1396" s="222">
        <v>253</v>
      </c>
      <c r="N1396" s="2" t="str">
        <f t="shared" ca="1" si="43"/>
        <v>CLOSED</v>
      </c>
    </row>
    <row r="1397" spans="1:14" ht="18.75">
      <c r="A1397" s="64" t="s">
        <v>156</v>
      </c>
      <c r="B1397" s="98" t="e">
        <f>VLOOKUP([2]!Table27[[#This Row],[Location 
(drop-down)]],'[2]List source'!D$2:E$59,2,FALSE)</f>
        <v>#VALUE!</v>
      </c>
      <c r="C1397" s="148" t="s">
        <v>4240</v>
      </c>
      <c r="D1397" s="379" t="e">
        <f t="shared" si="42"/>
        <v>#VALUE!</v>
      </c>
      <c r="E1397" s="227" t="s">
        <v>3545</v>
      </c>
      <c r="F1397" s="165" t="s">
        <v>1520</v>
      </c>
      <c r="G1397" s="227" t="e">
        <f>MID(LEFT(#REF!, FIND(",",#REF!) - 1), FIND("{token}", SUBSTITUTE(#REF!, " ", "{token}", 2)) + 1, LEN(#REF!))</f>
        <v>#REF!</v>
      </c>
      <c r="H1397" s="165">
        <v>2.2599999999999998</v>
      </c>
      <c r="I1397" s="230">
        <v>45548</v>
      </c>
      <c r="J1397" s="230" t="s">
        <v>29</v>
      </c>
      <c r="K1397" s="226">
        <v>45945</v>
      </c>
      <c r="L1397" s="165"/>
      <c r="M1397" s="222">
        <v>989</v>
      </c>
      <c r="N1397" s="2" t="str">
        <f t="shared" ca="1" si="43"/>
        <v>CLOSED</v>
      </c>
    </row>
    <row r="1398" spans="1:14" ht="15">
      <c r="A1398" s="64" t="s">
        <v>156</v>
      </c>
      <c r="B1398" s="98" t="e">
        <f>VLOOKUP([2]!Table27[[#This Row],[Location 
(drop-down)]],'[2]List source'!D$2:E$59,2,FALSE)</f>
        <v>#VALUE!</v>
      </c>
      <c r="C1398" s="148" t="s">
        <v>4241</v>
      </c>
      <c r="D1398" s="2" t="e">
        <f t="shared" si="42"/>
        <v>#VALUE!</v>
      </c>
      <c r="E1398" s="227" t="s">
        <v>4242</v>
      </c>
      <c r="F1398" s="165" t="e" cm="1">
        <f t="array" aca="1" ref="F1398" ca="1">MID(LEFT(#REF!, INDEX(_xlfn._xlws.FILTER(ROW(INDIRECT("1:" &amp; LEN(#REF!))), (48 &lt;= CODE(MID(#REF!, ROW(INDIRECT("1:" &amp; LEN(#REF!))), 1))) * (CODE(MID(#REF!, ROW(INDIRECT("1:" &amp; LEN(#REF!))), 1)) &lt;= 57)), 1) - 1), FIND(":",#REF!) + 2, LEN(#REF!))</f>
        <v>#REF!</v>
      </c>
      <c r="G1398" s="227" t="e">
        <f>MID(LEFT(#REF!, FIND(",",#REF!) - 1), FIND("{token}", SUBSTITUTE(#REF!, " ", "{token}", 2)) + 1, LEN(#REF!))</f>
        <v>#REF!</v>
      </c>
      <c r="H1398" s="165">
        <v>295.64</v>
      </c>
      <c r="I1398" s="230">
        <v>45657</v>
      </c>
      <c r="J1398" s="230" t="s">
        <v>29</v>
      </c>
      <c r="K1398" s="226">
        <v>45950</v>
      </c>
      <c r="L1398" s="165"/>
      <c r="M1398" s="222">
        <v>1332</v>
      </c>
      <c r="N1398" s="2" t="str">
        <f t="shared" ca="1" si="43"/>
        <v>CLOSED</v>
      </c>
    </row>
    <row r="1399" spans="1:14" ht="15">
      <c r="A1399" s="64" t="s">
        <v>156</v>
      </c>
      <c r="B1399" s="98" t="e">
        <f>VLOOKUP([2]!Table27[[#This Row],[Location 
(drop-down)]],'[2]List source'!D$2:E$59,2,FALSE)</f>
        <v>#VALUE!</v>
      </c>
      <c r="C1399" s="148" t="s">
        <v>4243</v>
      </c>
      <c r="D1399" s="2" t="e">
        <f t="shared" si="42"/>
        <v>#VALUE!</v>
      </c>
      <c r="E1399" s="227" t="s">
        <v>4244</v>
      </c>
      <c r="F1399" s="165" t="e" cm="1">
        <f t="array" aca="1" ref="F1399" ca="1">MID(LEFT(#REF!, INDEX(_xlfn._xlws.FILTER(ROW(INDIRECT("1:" &amp; LEN(#REF!))), (48 &lt;= CODE(MID(#REF!, ROW(INDIRECT("1:" &amp; LEN(#REF!))), 1))) * (CODE(MID(#REF!, ROW(INDIRECT("1:" &amp; LEN(#REF!))), 1)) &lt;= 57)), 1) - 1), FIND(":",#REF!) + 2, LEN(#REF!))</f>
        <v>#REF!</v>
      </c>
      <c r="G1399" s="227" t="e">
        <f>MID(LEFT(#REF!, FIND(",",#REF!) - 1), FIND("{token}", SUBSTITUTE(#REF!, " ", "{token}", 2)) + 1, LEN(#REF!))</f>
        <v>#REF!</v>
      </c>
      <c r="H1399" s="165">
        <v>65.459999999999994</v>
      </c>
      <c r="I1399" s="230">
        <v>45635</v>
      </c>
      <c r="J1399" s="230" t="s">
        <v>29</v>
      </c>
      <c r="K1399" s="226">
        <v>45950</v>
      </c>
      <c r="L1399" s="275"/>
      <c r="M1399" s="222">
        <v>1087</v>
      </c>
      <c r="N1399" s="2" t="str">
        <f t="shared" ca="1" si="43"/>
        <v>CLOSED</v>
      </c>
    </row>
    <row r="1400" spans="1:14" ht="18.75">
      <c r="A1400" s="64" t="s">
        <v>156</v>
      </c>
      <c r="B1400" s="98" t="e">
        <f>VLOOKUP([2]!Table27[[#This Row],[Location 
(drop-down)]],'[2]List source'!D$2:E$59,2,FALSE)</f>
        <v>#VALUE!</v>
      </c>
      <c r="C1400" s="148" t="s">
        <v>4245</v>
      </c>
      <c r="D1400" s="378" t="e">
        <f t="shared" si="42"/>
        <v>#VALUE!</v>
      </c>
      <c r="E1400" s="227" t="s">
        <v>3924</v>
      </c>
      <c r="F1400" s="165" t="e" cm="1">
        <f t="array" aca="1" ref="F1400" ca="1">MID(LEFT(#REF!, INDEX(_xlfn._xlws.FILTER(ROW(INDIRECT("1:" &amp; LEN(#REF!))), (48 &lt;= CODE(MID(#REF!, ROW(INDIRECT("1:" &amp; LEN(#REF!))), 1))) * (CODE(MID(#REF!, ROW(INDIRECT("1:" &amp; LEN(#REF!))), 1)) &lt;= 57)), 1) - 1), FIND(":",#REF!) + 2, LEN(#REF!))</f>
        <v>#REF!</v>
      </c>
      <c r="G1400" s="227" t="e">
        <f>MID(LEFT(#REF!, FIND(",",#REF!) - 1), FIND("{token}", SUBSTITUTE(#REF!, " ", "{token}", 2)) + 1, LEN(#REF!))</f>
        <v>#REF!</v>
      </c>
      <c r="H1400" s="165">
        <v>2.57</v>
      </c>
      <c r="I1400" s="230">
        <v>45533</v>
      </c>
      <c r="J1400" s="230" t="s">
        <v>29</v>
      </c>
      <c r="K1400" s="226">
        <v>45953</v>
      </c>
      <c r="L1400" s="165"/>
      <c r="M1400" s="222">
        <v>802</v>
      </c>
      <c r="N1400" s="2" t="str">
        <f t="shared" ca="1" si="43"/>
        <v>CLOSED</v>
      </c>
    </row>
    <row r="1401" spans="1:14" ht="18.75">
      <c r="A1401" s="64" t="s">
        <v>156</v>
      </c>
      <c r="B1401" s="98" t="e">
        <f>VLOOKUP([2]!Table27[[#This Row],[Location 
(drop-down)]],'[2]List source'!D$2:E$59,2,FALSE)</f>
        <v>#VALUE!</v>
      </c>
      <c r="C1401" s="148" t="s">
        <v>4246</v>
      </c>
      <c r="D1401" s="379" t="e">
        <f t="shared" si="42"/>
        <v>#VALUE!</v>
      </c>
      <c r="E1401" s="227" t="s">
        <v>4247</v>
      </c>
      <c r="F1401" s="165" t="e" cm="1">
        <f t="array" aca="1" ref="F1401" ca="1">MID(LEFT(#REF!, INDEX(_xlfn._xlws.FILTER(ROW(INDIRECT("1:" &amp; LEN(#REF!))), (48 &lt;= CODE(MID(#REF!, ROW(INDIRECT("1:" &amp; LEN(#REF!))), 1))) * (CODE(MID(#REF!, ROW(INDIRECT("1:" &amp; LEN(#REF!))), 1)) &lt;= 57)), 1) - 1), FIND(":",#REF!) + 2, LEN(#REF!))</f>
        <v>#REF!</v>
      </c>
      <c r="G1401" s="227" t="e">
        <f>MID(LEFT(#REF!, FIND(",",#REF!) - 1), FIND("{token}", SUBSTITUTE(#REF!, " ", "{token}", 2)) + 1, LEN(#REF!))</f>
        <v>#REF!</v>
      </c>
      <c r="H1401" s="165">
        <v>2.99</v>
      </c>
      <c r="I1401" s="230">
        <v>45534</v>
      </c>
      <c r="J1401" s="230" t="s">
        <v>29</v>
      </c>
      <c r="K1401" s="226">
        <v>45954</v>
      </c>
      <c r="L1401" s="275"/>
      <c r="M1401" s="222">
        <v>849</v>
      </c>
      <c r="N1401" s="2" t="str">
        <f t="shared" ca="1" si="43"/>
        <v>CLOSED</v>
      </c>
    </row>
    <row r="1402" spans="1:14" ht="15">
      <c r="A1402" s="64" t="s">
        <v>43</v>
      </c>
      <c r="B1402" s="98" t="e">
        <f>VLOOKUP([2]!Table27[[#This Row],[Location 
(drop-down)]],'[2]List source'!D$2:E$59,2,FALSE)</f>
        <v>#VALUE!</v>
      </c>
      <c r="C1402" s="148" t="s">
        <v>4248</v>
      </c>
      <c r="D1402" s="2" t="e">
        <f t="shared" si="42"/>
        <v>#VALUE!</v>
      </c>
      <c r="E1402" s="227" t="s">
        <v>4249</v>
      </c>
      <c r="F1402" s="165" t="e" cm="1">
        <f t="array" aca="1" ref="F1402" ca="1">MID(LEFT(#REF!, INDEX(_xlfn._xlws.FILTER(ROW(INDIRECT("1:" &amp; LEN(#REF!))), (48 &lt;= CODE(MID(#REF!, ROW(INDIRECT("1:" &amp; LEN(#REF!))), 1))) * (CODE(MID(#REF!, ROW(INDIRECT("1:" &amp; LEN(#REF!))), 1)) &lt;= 57)), 1) - 1), FIND(":",#REF!) + 2, LEN(#REF!))</f>
        <v>#REF!</v>
      </c>
      <c r="G1402" s="227" t="e">
        <f>MID(LEFT(#REF!, FIND(",",#REF!) - 1), FIND("{token}", SUBSTITUTE(#REF!, " ", "{token}", 2)) + 1, LEN(#REF!))</f>
        <v>#REF!</v>
      </c>
      <c r="H1402" s="165">
        <v>7.16</v>
      </c>
      <c r="I1402" s="230">
        <v>45657</v>
      </c>
      <c r="J1402" s="230" t="s">
        <v>29</v>
      </c>
      <c r="K1402" s="226">
        <v>45959</v>
      </c>
      <c r="L1402" s="275"/>
      <c r="M1402" s="222">
        <v>1377</v>
      </c>
      <c r="N1402" s="2" t="str">
        <f t="shared" ca="1" si="43"/>
        <v>CLOSED</v>
      </c>
    </row>
    <row r="1403" spans="1:14" ht="15">
      <c r="A1403" s="64" t="s">
        <v>156</v>
      </c>
      <c r="B1403" s="98" t="e">
        <f>VLOOKUP([2]!Table27[[#This Row],[Location 
(drop-down)]],'[2]List source'!D$2:E$59,2,FALSE)</f>
        <v>#VALUE!</v>
      </c>
      <c r="C1403" s="148" t="s">
        <v>4250</v>
      </c>
      <c r="D1403" s="2" t="e">
        <f t="shared" si="42"/>
        <v>#VALUE!</v>
      </c>
      <c r="E1403" s="189" t="s">
        <v>4251</v>
      </c>
      <c r="F1403" s="165" t="s">
        <v>1769</v>
      </c>
      <c r="G1403" s="227" t="e">
        <f>MID(LEFT(#REF!, FIND(",",#REF!) - 1), FIND("{token}", SUBSTITUTE(#REF!, " ", "{token}", 2)) + 1, LEN(#REF!))</f>
        <v>#REF!</v>
      </c>
      <c r="H1403" s="236" t="s">
        <v>4252</v>
      </c>
      <c r="I1403" s="230">
        <v>45657</v>
      </c>
      <c r="J1403" s="230" t="s">
        <v>29</v>
      </c>
      <c r="K1403" s="226">
        <v>45960</v>
      </c>
      <c r="L1403" s="165"/>
      <c r="M1403" s="222">
        <v>1388</v>
      </c>
      <c r="N1403" s="2" t="str">
        <f t="shared" ca="1" si="43"/>
        <v>CLOSED</v>
      </c>
    </row>
    <row r="1404" spans="1:14" ht="30">
      <c r="A1404" s="90" t="s">
        <v>500</v>
      </c>
      <c r="B1404" s="98" t="e">
        <f>VLOOKUP([2]!Table27[[#This Row],[Location 
(drop-down)]],'[2]List source'!D$2:E$59,2,FALSE)</f>
        <v>#VALUE!</v>
      </c>
      <c r="C1404" s="177" t="s">
        <v>4253</v>
      </c>
      <c r="D1404" s="393" t="e">
        <f t="shared" si="42"/>
        <v>#VALUE!</v>
      </c>
      <c r="E1404" s="227" t="s">
        <v>4254</v>
      </c>
      <c r="F1404" s="165" t="e" cm="1">
        <f t="array" aca="1" ref="F1404" ca="1">MID(LEFT(#REF!, INDEX(_xlfn._xlws.FILTER(ROW(INDIRECT("1:" &amp; LEN(#REF!))), (48 &lt;= CODE(MID(#REF!, ROW(INDIRECT("1:" &amp; LEN(#REF!))), 1))) * (CODE(MID(#REF!, ROW(INDIRECT("1:" &amp; LEN(#REF!))), 1)) &lt;= 57)), 1) - 1), FIND(":",#REF!) + 2, LEN(#REF!))</f>
        <v>#REF!</v>
      </c>
      <c r="G1404" s="227" t="e">
        <f>MID(LEFT(#REF!, FIND(",",#REF!) - 1), FIND("{token}", SUBSTITUTE(#REF!, " ", "{token}", 2)) + 1, LEN(#REF!))</f>
        <v>#REF!</v>
      </c>
      <c r="H1404" s="236" t="s">
        <v>4255</v>
      </c>
      <c r="I1404" s="230">
        <v>45533</v>
      </c>
      <c r="J1404" s="342" t="s">
        <v>34</v>
      </c>
      <c r="K1404" s="221">
        <v>45961</v>
      </c>
      <c r="L1404" s="165" t="s">
        <v>4256</v>
      </c>
      <c r="M1404" s="222">
        <v>838</v>
      </c>
      <c r="N1404" s="2" t="str">
        <f t="shared" ca="1" si="43"/>
        <v>CLOSED</v>
      </c>
    </row>
    <row r="1405" spans="1:14" ht="15">
      <c r="A1405" s="64" t="s">
        <v>15</v>
      </c>
      <c r="B1405" s="98" t="e">
        <f>VLOOKUP([2]!Table27[[#This Row],[Location 
(drop-down)]],'[2]List source'!D$2:E$59,2,FALSE)</f>
        <v>#VALUE!</v>
      </c>
      <c r="C1405" s="148" t="s">
        <v>4257</v>
      </c>
      <c r="D1405" s="2" t="e">
        <f t="shared" si="42"/>
        <v>#VALUE!</v>
      </c>
      <c r="E1405" s="227" t="s">
        <v>4258</v>
      </c>
      <c r="F1405" s="165" t="s">
        <v>2279</v>
      </c>
      <c r="G1405" s="227" t="e">
        <f>MID(LEFT(#REF!, FIND(",",#REF!) - 1), FIND("{token}", SUBSTITUTE(#REF!, " ", "{token}", 2)) + 1, LEN(#REF!))</f>
        <v>#REF!</v>
      </c>
      <c r="H1405" s="165">
        <v>110.13</v>
      </c>
      <c r="I1405" s="230">
        <v>45635</v>
      </c>
      <c r="J1405" s="230" t="s">
        <v>69</v>
      </c>
      <c r="K1405" s="226">
        <v>45964</v>
      </c>
      <c r="L1405" s="275"/>
      <c r="M1405" s="222">
        <v>1085</v>
      </c>
      <c r="N1405" s="2" t="str">
        <f t="shared" ca="1" si="43"/>
        <v>CLOSED</v>
      </c>
    </row>
    <row r="1406" spans="1:14" ht="30">
      <c r="A1406" s="64" t="s">
        <v>294</v>
      </c>
      <c r="B1406" s="98" t="e">
        <f>VLOOKUP([2]!Table27[[#This Row],[Location 
(drop-down)]],'[2]List source'!D$2:E$59,2,FALSE)</f>
        <v>#VALUE!</v>
      </c>
      <c r="C1406" s="148" t="s">
        <v>4259</v>
      </c>
      <c r="D1406" s="2" t="e">
        <f t="shared" si="42"/>
        <v>#VALUE!</v>
      </c>
      <c r="E1406" s="227" t="s">
        <v>4260</v>
      </c>
      <c r="F1406" s="165" t="e" cm="1">
        <f t="array" aca="1" ref="F1406" ca="1">MID(LEFT(#REF!, INDEX(_xlfn._xlws.FILTER(ROW(INDIRECT("1:" &amp; LEN(#REF!))), (48 &lt;= CODE(MID(#REF!, ROW(INDIRECT("1:" &amp; LEN(#REF!))), 1))) * (CODE(MID(#REF!, ROW(INDIRECT("1:" &amp; LEN(#REF!))), 1)) &lt;= 57)), 1) - 1), FIND(":",#REF!) + 2, LEN(#REF!))</f>
        <v>#REF!</v>
      </c>
      <c r="G1406" s="227" t="e">
        <f>MID(LEFT(#REF!, FIND(",",#REF!) - 1), FIND("{token}", SUBSTITUTE(#REF!, " ", "{token}", 2)) + 1, LEN(#REF!))</f>
        <v>#REF!</v>
      </c>
      <c r="H1406" s="165" t="s">
        <v>4261</v>
      </c>
      <c r="I1406" s="230">
        <v>45657</v>
      </c>
      <c r="J1406" s="230" t="s">
        <v>239</v>
      </c>
      <c r="K1406" s="226">
        <v>45964</v>
      </c>
      <c r="L1406" s="275"/>
      <c r="M1406" s="222">
        <v>1305</v>
      </c>
      <c r="N1406" s="2" t="str">
        <f t="shared" ca="1" si="43"/>
        <v>CLOSED</v>
      </c>
    </row>
    <row r="1407" spans="1:14" ht="15">
      <c r="A1407" s="64" t="s">
        <v>15</v>
      </c>
      <c r="B1407" s="98" t="e">
        <f>VLOOKUP([2]!Table27[[#This Row],[Location 
(drop-down)]],'[2]List source'!D$2:E$59,2,FALSE)</f>
        <v>#VALUE!</v>
      </c>
      <c r="C1407" s="148" t="s">
        <v>4262</v>
      </c>
      <c r="D1407" s="2" t="e">
        <f t="shared" si="42"/>
        <v>#VALUE!</v>
      </c>
      <c r="E1407" s="227" t="s">
        <v>4263</v>
      </c>
      <c r="F1407" s="165" t="e" cm="1">
        <f t="array" aca="1" ref="F1407" ca="1">MID(LEFT(#REF!, INDEX(_xlfn._xlws.FILTER(ROW(INDIRECT("1:" &amp; LEN(#REF!))), (48 &lt;= CODE(MID(#REF!, ROW(INDIRECT("1:" &amp; LEN(#REF!))), 1))) * (CODE(MID(#REF!, ROW(INDIRECT("1:" &amp; LEN(#REF!))), 1)) &lt;= 57)), 1) - 1), FIND(":",#REF!) + 2, LEN(#REF!))</f>
        <v>#REF!</v>
      </c>
      <c r="G1407" s="227" t="e">
        <f>MID(LEFT(#REF!, FIND(",",#REF!) - 1), FIND("{token}", SUBSTITUTE(#REF!, " ", "{token}", 2)) + 1, LEN(#REF!))</f>
        <v>#REF!</v>
      </c>
      <c r="H1407" s="236" t="s">
        <v>4264</v>
      </c>
      <c r="I1407" s="230">
        <v>45657</v>
      </c>
      <c r="J1407" s="230" t="s">
        <v>69</v>
      </c>
      <c r="K1407" s="226">
        <v>45964</v>
      </c>
      <c r="L1407" s="165"/>
      <c r="M1407" s="222">
        <v>1374</v>
      </c>
      <c r="N1407" s="2" t="str">
        <f t="shared" ca="1" si="43"/>
        <v>CLOSED</v>
      </c>
    </row>
    <row r="1408" spans="1:14" ht="30">
      <c r="A1408" s="64" t="s">
        <v>294</v>
      </c>
      <c r="B1408" s="98" t="e">
        <f>VLOOKUP([2]!Table27[[#This Row],[Location 
(drop-down)]],'[2]List source'!D$2:E$59,2,FALSE)</f>
        <v>#VALUE!</v>
      </c>
      <c r="C1408" s="148" t="s">
        <v>222</v>
      </c>
      <c r="D1408" s="378" t="e">
        <f t="shared" si="42"/>
        <v>#VALUE!</v>
      </c>
      <c r="E1408" s="115" t="s">
        <v>4265</v>
      </c>
      <c r="F1408" s="18" t="s">
        <v>1811</v>
      </c>
      <c r="G1408" s="115" t="e">
        <f>MID(LEFT(#REF!, FIND(",",#REF!) - 1), FIND("{token}", SUBSTITUTE(#REF!, " ", "{token}", 2)) + 1, LEN(#REF!))</f>
        <v>#REF!</v>
      </c>
      <c r="H1408" s="18">
        <v>6.01</v>
      </c>
      <c r="I1408" s="230">
        <v>45412</v>
      </c>
      <c r="J1408" s="230" t="s">
        <v>327</v>
      </c>
      <c r="K1408" s="226">
        <v>45979</v>
      </c>
      <c r="L1408" s="165"/>
      <c r="M1408" s="222">
        <v>320</v>
      </c>
      <c r="N1408" s="2" t="str">
        <f t="shared" ca="1" si="43"/>
        <v>CLOSED</v>
      </c>
    </row>
    <row r="1409" spans="1:14" ht="30">
      <c r="A1409" s="90" t="s">
        <v>1334</v>
      </c>
      <c r="B1409" s="98" t="e">
        <f>VLOOKUP([2]!Table27[[#This Row],[Location 
(drop-down)]],'[2]List source'!D$2:E$59,2,FALSE)</f>
        <v>#VALUE!</v>
      </c>
      <c r="C1409" s="177" t="s">
        <v>4266</v>
      </c>
      <c r="D1409" s="392" t="e">
        <f t="shared" si="42"/>
        <v>#VALUE!</v>
      </c>
      <c r="E1409" s="227" t="s">
        <v>4267</v>
      </c>
      <c r="F1409" s="165" t="e" cm="1">
        <f t="array" aca="1" ref="F1409" ca="1">MID(LEFT(#REF!, INDEX(_xlfn._xlws.FILTER(ROW(INDIRECT("1:" &amp; LEN(#REF!))), (48 &lt;= CODE(MID(#REF!, ROW(INDIRECT("1:" &amp; LEN(#REF!))), 1))) * (CODE(MID(#REF!, ROW(INDIRECT("1:" &amp; LEN(#REF!))), 1)) &lt;= 57)), 1) - 1), FIND(":",#REF!) + 2, LEN(#REF!))</f>
        <v>#REF!</v>
      </c>
      <c r="G1409" s="227" t="e">
        <f>MID(LEFT(#REF!, FIND(",",#REF!) - 1), FIND("{token}", SUBSTITUTE(#REF!, " ", "{token}", 2)) + 1, LEN(#REF!))</f>
        <v>#REF!</v>
      </c>
      <c r="H1409" s="236" t="s">
        <v>4268</v>
      </c>
      <c r="I1409" s="230">
        <v>45657</v>
      </c>
      <c r="J1409" s="342" t="s">
        <v>310</v>
      </c>
      <c r="K1409" s="221">
        <v>45995</v>
      </c>
      <c r="L1409" s="275"/>
      <c r="M1409" s="222">
        <v>1334</v>
      </c>
      <c r="N1409" s="2" t="str">
        <f t="shared" ca="1" si="43"/>
        <v>CLOSED</v>
      </c>
    </row>
    <row r="1410" spans="1:14" ht="15">
      <c r="A1410" s="64" t="s">
        <v>15</v>
      </c>
      <c r="B1410" s="98" t="e">
        <f>VLOOKUP([2]!Table27[[#This Row],[Location 
(drop-down)]],'[2]List source'!D$2:E$59,2,FALSE)</f>
        <v>#VALUE!</v>
      </c>
      <c r="C1410" s="148" t="s">
        <v>4269</v>
      </c>
      <c r="D1410" s="2" t="e">
        <f t="shared" ref="D1410:D1473" si="44">"PTO" &amp; C1410 &amp; "-" &amp; B1410 &amp; "-" &amp; "23"</f>
        <v>#VALUE!</v>
      </c>
      <c r="E1410" s="227" t="s">
        <v>4270</v>
      </c>
      <c r="F1410" s="165" t="e" cm="1">
        <f t="array" aca="1" ref="F1410" ca="1">MID(LEFT(#REF!, INDEX(_xlfn._xlws.FILTER(ROW(INDIRECT("1:" &amp; LEN(#REF!))), (48 &lt;= CODE(MID(#REF!, ROW(INDIRECT("1:" &amp; LEN(#REF!))), 1))) * (CODE(MID(#REF!, ROW(INDIRECT("1:" &amp; LEN(#REF!))), 1)) &lt;= 57)), 1) - 1), FIND(":",#REF!) + 2, LEN(#REF!))</f>
        <v>#REF!</v>
      </c>
      <c r="G1410" s="227" t="e">
        <f>MID(LEFT(#REF!, FIND(",",#REF!) - 1), FIND("{token}", SUBSTITUTE(#REF!, " ", "{token}", 2)) + 1, LEN(#REF!))</f>
        <v>#REF!</v>
      </c>
      <c r="H1410" s="165">
        <v>2.99</v>
      </c>
      <c r="I1410" s="230">
        <v>45657</v>
      </c>
      <c r="J1410" s="230" t="s">
        <v>69</v>
      </c>
      <c r="K1410" s="226">
        <v>45996</v>
      </c>
      <c r="L1410" s="165"/>
      <c r="M1410" s="222">
        <v>1373</v>
      </c>
      <c r="N1410" s="2" t="str">
        <f t="shared" ca="1" si="43"/>
        <v>CLOSED</v>
      </c>
    </row>
    <row r="1411" spans="1:14" ht="18.75">
      <c r="A1411" s="64" t="s">
        <v>15</v>
      </c>
      <c r="B1411" s="98" t="e">
        <f>VLOOKUP([2]!Table27[[#This Row],[Location 
(drop-down)]],'[2]List source'!D$2:E$59,2,FALSE)</f>
        <v>#VALUE!</v>
      </c>
      <c r="C1411" s="148" t="s">
        <v>1325</v>
      </c>
      <c r="D1411" s="378" t="e">
        <f t="shared" si="44"/>
        <v>#VALUE!</v>
      </c>
      <c r="E1411" s="213" t="s">
        <v>4271</v>
      </c>
      <c r="F1411" s="165" t="s">
        <v>1566</v>
      </c>
      <c r="G1411" s="227" t="e">
        <f>MID(LEFT(#REF!, FIND(",",#REF!) - 1), FIND("{token}", SUBSTITUTE(#REF!, " ", "{token}", 2)) + 1, LEN(#REF!))</f>
        <v>#REF!</v>
      </c>
      <c r="H1411" s="236" t="s">
        <v>2975</v>
      </c>
      <c r="I1411" s="230">
        <v>45427</v>
      </c>
      <c r="J1411" s="230" t="s">
        <v>69</v>
      </c>
      <c r="K1411" s="226">
        <v>46003</v>
      </c>
      <c r="L1411" s="165"/>
      <c r="M1411" s="222">
        <v>523</v>
      </c>
      <c r="N1411" s="2" t="str">
        <f t="shared" ca="1" si="43"/>
        <v>CLOSED</v>
      </c>
    </row>
    <row r="1412" spans="1:14" ht="30">
      <c r="A1412" s="64" t="s">
        <v>294</v>
      </c>
      <c r="B1412" s="98" t="e">
        <f>VLOOKUP([2]!Table27[[#This Row],[Location 
(drop-down)]],'[2]List source'!D$2:E$59,2,FALSE)</f>
        <v>#VALUE!</v>
      </c>
      <c r="C1412" s="148" t="s">
        <v>4272</v>
      </c>
      <c r="D1412" s="2" t="e">
        <f t="shared" si="44"/>
        <v>#VALUE!</v>
      </c>
      <c r="E1412" s="227" t="s">
        <v>4273</v>
      </c>
      <c r="F1412" s="165" t="e" cm="1">
        <f t="array" aca="1" ref="F1412" ca="1">MID(LEFT(#REF!, INDEX(_xlfn._xlws.FILTER(ROW(INDIRECT("1:" &amp; LEN(#REF!))), (48 &lt;= CODE(MID(#REF!, ROW(INDIRECT("1:" &amp; LEN(#REF!))), 1))) * (CODE(MID(#REF!, ROW(INDIRECT("1:" &amp; LEN(#REF!))), 1)) &lt;= 57)), 1) - 1), FIND(":",#REF!) + 2, LEN(#REF!))</f>
        <v>#REF!</v>
      </c>
      <c r="G1412" s="227" t="e">
        <f>MID(LEFT(#REF!, FIND(",",#REF!) - 1), FIND("{token}", SUBSTITUTE(#REF!, " ", "{token}", 2)) + 1, LEN(#REF!))</f>
        <v>#REF!</v>
      </c>
      <c r="H1412" s="236" t="s">
        <v>1886</v>
      </c>
      <c r="I1412" s="230">
        <v>45657</v>
      </c>
      <c r="J1412" s="230" t="s">
        <v>239</v>
      </c>
      <c r="K1412" s="226">
        <v>46007</v>
      </c>
      <c r="L1412" s="165"/>
      <c r="M1412" s="222">
        <v>1306</v>
      </c>
      <c r="N1412" s="2" t="str">
        <f t="shared" ca="1" si="43"/>
        <v>CLOSED</v>
      </c>
    </row>
    <row r="1413" spans="1:14" ht="15">
      <c r="A1413" s="64" t="s">
        <v>15</v>
      </c>
      <c r="B1413" s="98" t="e">
        <f>VLOOKUP([2]!Table27[[#This Row],[Location 
(drop-down)]],'[2]List source'!D$2:E$59,2,FALSE)</f>
        <v>#VALUE!</v>
      </c>
      <c r="C1413" s="148" t="s">
        <v>4274</v>
      </c>
      <c r="D1413" s="2" t="e">
        <f t="shared" si="44"/>
        <v>#VALUE!</v>
      </c>
      <c r="E1413" s="196" t="s">
        <v>4275</v>
      </c>
      <c r="F1413" s="165" t="s">
        <v>3068</v>
      </c>
      <c r="G1413" s="227" t="e">
        <f>MID(LEFT(#REF!, FIND(",",#REF!) - 1), FIND("{token}", SUBSTITUTE(#REF!, " ", "{token}", 2)) + 1, LEN(#REF!))</f>
        <v>#REF!</v>
      </c>
      <c r="H1413" s="236">
        <v>-5.41</v>
      </c>
      <c r="I1413" s="230">
        <v>45657</v>
      </c>
      <c r="J1413" s="230" t="s">
        <v>69</v>
      </c>
      <c r="K1413" s="226">
        <v>46027</v>
      </c>
      <c r="L1413" s="165"/>
      <c r="M1413" s="222">
        <v>1380</v>
      </c>
      <c r="N1413" s="2" t="str">
        <f t="shared" ca="1" si="43"/>
        <v>CLOSED</v>
      </c>
    </row>
    <row r="1414" spans="1:14" ht="30">
      <c r="A1414" s="64" t="s">
        <v>294</v>
      </c>
      <c r="B1414" s="98" t="e">
        <f>VLOOKUP([2]!Table27[[#This Row],[Location 
(drop-down)]],'[2]List source'!D$2:E$59,2,FALSE)</f>
        <v>#VALUE!</v>
      </c>
      <c r="C1414" s="148" t="s">
        <v>4276</v>
      </c>
      <c r="D1414" s="254" t="e">
        <f t="shared" si="44"/>
        <v>#VALUE!</v>
      </c>
      <c r="E1414" s="227" t="s">
        <v>4277</v>
      </c>
      <c r="F1414" s="165" t="e" cm="1">
        <f t="array" aca="1" ref="F1414" ca="1">MID(LEFT(#REF!, INDEX(_xlfn._xlws.FILTER(ROW(INDIRECT("1:" &amp; LEN(#REF!))), (48 &lt;= CODE(MID(#REF!, ROW(INDIRECT("1:" &amp; LEN(#REF!))), 1))) * (CODE(MID(#REF!, ROW(INDIRECT("1:" &amp; LEN(#REF!))), 1)) &lt;= 57)), 1) - 1), FIND(":",#REF!) + 2, LEN(#REF!))</f>
        <v>#REF!</v>
      </c>
      <c r="G1414" s="227" t="e">
        <f>MID(LEFT(#REF!, FIND(",",#REF!) - 1), FIND("{token}", SUBSTITUTE(#REF!, " ", "{token}", 2)) + 1, LEN(#REF!))</f>
        <v>#REF!</v>
      </c>
      <c r="H1414" s="165">
        <v>2.74</v>
      </c>
      <c r="I1414" s="230">
        <v>45435</v>
      </c>
      <c r="J1414" s="230" t="s">
        <v>239</v>
      </c>
      <c r="K1414" s="226">
        <v>46030</v>
      </c>
      <c r="L1414" s="165"/>
      <c r="M1414" s="222">
        <v>563</v>
      </c>
      <c r="N1414" s="2" t="str">
        <f t="shared" ca="1" si="43"/>
        <v>CLOSED</v>
      </c>
    </row>
    <row r="1415" spans="1:14" ht="15">
      <c r="A1415" s="64" t="s">
        <v>156</v>
      </c>
      <c r="B1415" s="98" t="e">
        <f>VLOOKUP([2]!Table27[[#This Row],[Location 
(drop-down)]],'[2]List source'!D$2:E$59,2,FALSE)</f>
        <v>#VALUE!</v>
      </c>
      <c r="C1415" s="148" t="s">
        <v>4278</v>
      </c>
      <c r="D1415" s="2" t="e">
        <f t="shared" si="44"/>
        <v>#VALUE!</v>
      </c>
      <c r="E1415" s="227" t="s">
        <v>4279</v>
      </c>
      <c r="F1415" s="165" t="e" cm="1">
        <f t="array" aca="1" ref="F1415" ca="1">MID(LEFT(#REF!, INDEX(_xlfn._xlws.FILTER(ROW(INDIRECT("1:" &amp; LEN(#REF!))), (48 &lt;= CODE(MID(#REF!, ROW(INDIRECT("1:" &amp; LEN(#REF!))), 1))) * (CODE(MID(#REF!, ROW(INDIRECT("1:" &amp; LEN(#REF!))), 1)) &lt;= 57)), 1) - 1), FIND(":",#REF!) + 2, LEN(#REF!))</f>
        <v>#REF!</v>
      </c>
      <c r="G1415" s="227" t="e">
        <f>MID(LEFT(#REF!, FIND(",",#REF!) - 1), FIND("{token}", SUBSTITUTE(#REF!, " ", "{token}", 2)) + 1, LEN(#REF!))</f>
        <v>#REF!</v>
      </c>
      <c r="H1415" s="236" t="s">
        <v>1653</v>
      </c>
      <c r="I1415" s="230">
        <v>45593</v>
      </c>
      <c r="J1415" s="230" t="s">
        <v>29</v>
      </c>
      <c r="K1415" s="226">
        <v>46031</v>
      </c>
      <c r="L1415" s="275"/>
      <c r="M1415" s="222">
        <v>1041</v>
      </c>
      <c r="N1415" s="2" t="str">
        <f t="shared" ca="1" si="43"/>
        <v>CLOSED</v>
      </c>
    </row>
    <row r="1416" spans="1:14" ht="15">
      <c r="A1416" s="64" t="s">
        <v>156</v>
      </c>
      <c r="B1416" s="98" t="e">
        <f>VLOOKUP([2]!Table27[[#This Row],[Location 
(drop-down)]],'[2]List source'!D$2:E$59,2,FALSE)</f>
        <v>#VALUE!</v>
      </c>
      <c r="C1416" s="148" t="s">
        <v>4280</v>
      </c>
      <c r="D1416" s="2" t="e">
        <f t="shared" si="44"/>
        <v>#VALUE!</v>
      </c>
      <c r="E1416" s="227" t="s">
        <v>4281</v>
      </c>
      <c r="F1416" s="165" t="e" cm="1">
        <f t="array" aca="1" ref="F1416" ca="1">MID(LEFT(#REF!, INDEX(_xlfn._xlws.FILTER(ROW(INDIRECT("1:" &amp; LEN(#REF!))), (48 &lt;= CODE(MID(#REF!, ROW(INDIRECT("1:" &amp; LEN(#REF!))), 1))) * (CODE(MID(#REF!, ROW(INDIRECT("1:" &amp; LEN(#REF!))), 1)) &lt;= 57)), 1) - 1), FIND(":",#REF!) + 2, LEN(#REF!))</f>
        <v>#REF!</v>
      </c>
      <c r="G1416" s="227" t="e">
        <f>MID(LEFT(#REF!, FIND(",",#REF!) - 1), FIND("{token}", SUBSTITUTE(#REF!, " ", "{token}", 2)) + 1, LEN(#REF!))</f>
        <v>#REF!</v>
      </c>
      <c r="H1416" s="236" t="s">
        <v>4282</v>
      </c>
      <c r="I1416" s="230">
        <v>45593</v>
      </c>
      <c r="J1416" s="230" t="s">
        <v>29</v>
      </c>
      <c r="K1416" s="226">
        <v>46035</v>
      </c>
      <c r="L1416" s="165"/>
      <c r="M1416" s="222">
        <v>1042</v>
      </c>
      <c r="N1416" s="2" t="str">
        <f t="shared" ca="1" si="43"/>
        <v>CLOSED</v>
      </c>
    </row>
    <row r="1417" spans="1:14" ht="30">
      <c r="A1417" s="90" t="s">
        <v>432</v>
      </c>
      <c r="B1417" s="98" t="e">
        <f>VLOOKUP([2]!Table27[[#This Row],[Location 
(drop-down)]],'[2]List source'!D$2:E$59,2,FALSE)</f>
        <v>#VALUE!</v>
      </c>
      <c r="C1417" s="177" t="s">
        <v>4283</v>
      </c>
      <c r="D1417" s="392" t="e">
        <f t="shared" si="44"/>
        <v>#VALUE!</v>
      </c>
      <c r="E1417" s="227" t="s">
        <v>4284</v>
      </c>
      <c r="F1417" s="165" t="e" cm="1">
        <f t="array" aca="1" ref="F1417" ca="1">MID(LEFT(#REF!, INDEX(_xlfn._xlws.FILTER(ROW(INDIRECT("1:" &amp; LEN(#REF!))), (48 &lt;= CODE(MID(#REF!, ROW(INDIRECT("1:" &amp; LEN(#REF!))), 1))) * (CODE(MID(#REF!, ROW(INDIRECT("1:" &amp; LEN(#REF!))), 1)) &lt;= 57)), 1) - 1), FIND(":",#REF!) + 2, LEN(#REF!))</f>
        <v>#REF!</v>
      </c>
      <c r="G1417" s="227" t="e">
        <f>MID(LEFT(#REF!, FIND(",",#REF!) - 1), FIND("{token}", SUBSTITUTE(#REF!, " ", "{token}", 2)) + 1, LEN(#REF!))</f>
        <v>#REF!</v>
      </c>
      <c r="H1417" s="165">
        <v>3.16</v>
      </c>
      <c r="I1417" s="230">
        <v>45646</v>
      </c>
      <c r="J1417" s="342" t="s">
        <v>108</v>
      </c>
      <c r="K1417" s="221">
        <v>46036</v>
      </c>
      <c r="L1417" s="165"/>
      <c r="M1417" s="222">
        <v>1189</v>
      </c>
      <c r="N1417" s="2" t="str">
        <f t="shared" ca="1" si="43"/>
        <v>CLOSED</v>
      </c>
    </row>
    <row r="1418" spans="1:14" ht="15">
      <c r="A1418" s="64" t="s">
        <v>15</v>
      </c>
      <c r="B1418" s="98" t="e">
        <f>VLOOKUP([2]!Table27[[#This Row],[Location 
(drop-down)]],'[2]List source'!D$2:E$59,2,FALSE)</f>
        <v>#VALUE!</v>
      </c>
      <c r="C1418" s="148" t="s">
        <v>4285</v>
      </c>
      <c r="D1418" s="2" t="e">
        <f t="shared" si="44"/>
        <v>#VALUE!</v>
      </c>
      <c r="E1418" s="227" t="s">
        <v>4286</v>
      </c>
      <c r="F1418" s="165" t="e" cm="1">
        <f t="array" aca="1" ref="F1418" ca="1">MID(LEFT(#REF!, INDEX(_xlfn._xlws.FILTER(ROW(INDIRECT("1:" &amp; LEN(#REF!))), (48 &lt;= CODE(MID(#REF!, ROW(INDIRECT("1:" &amp; LEN(#REF!))), 1))) * (CODE(MID(#REF!, ROW(INDIRECT("1:" &amp; LEN(#REF!))), 1)) &lt;= 57)), 1) - 1), FIND(":",#REF!) + 2, LEN(#REF!))</f>
        <v>#REF!</v>
      </c>
      <c r="G1418" s="227" t="e">
        <f>MID(LEFT(#REF!, FIND(",",#REF!) - 1), FIND("{token}", SUBSTITUTE(#REF!, " ", "{token}", 2)) + 1, LEN(#REF!))</f>
        <v>#REF!</v>
      </c>
      <c r="H1418" s="236" t="s">
        <v>4287</v>
      </c>
      <c r="I1418" s="230">
        <v>45657</v>
      </c>
      <c r="J1418" s="230" t="s">
        <v>69</v>
      </c>
      <c r="K1418" s="226">
        <v>46036</v>
      </c>
      <c r="L1418" s="165"/>
      <c r="M1418" s="222">
        <v>1316</v>
      </c>
      <c r="N1418" s="2" t="str">
        <f t="shared" ca="1" si="43"/>
        <v>CLOSED</v>
      </c>
    </row>
    <row r="1419" spans="1:14" ht="30">
      <c r="A1419" s="64" t="s">
        <v>185</v>
      </c>
      <c r="B1419" s="98" t="e">
        <f>VLOOKUP([2]!Table27[[#This Row],[Location 
(drop-down)]],'[2]List source'!D$2:E$59,2,FALSE)</f>
        <v>#VALUE!</v>
      </c>
      <c r="C1419" s="148" t="s">
        <v>4288</v>
      </c>
      <c r="D1419" s="254" t="e">
        <f t="shared" si="44"/>
        <v>#VALUE!</v>
      </c>
      <c r="E1419" s="227" t="s">
        <v>2688</v>
      </c>
      <c r="F1419" s="165" t="e" cm="1">
        <f t="array" aca="1" ref="F1419" ca="1">MID(LEFT(#REF!, INDEX(_xlfn._xlws.FILTER(ROW(INDIRECT("1:" &amp; LEN(#REF!))), (48 &lt;= CODE(MID(#REF!, ROW(INDIRECT("1:" &amp; LEN(#REF!))), 1))) * (CODE(MID(#REF!, ROW(INDIRECT("1:" &amp; LEN(#REF!))), 1)) &lt;= 57)), 1) - 1), FIND(":",#REF!) + 2, LEN(#REF!))</f>
        <v>#REF!</v>
      </c>
      <c r="G1419" s="227" t="e">
        <f>MID(LEFT(#REF!, FIND(",",#REF!) - 1), FIND("{token}", SUBSTITUTE(#REF!, " ", "{token}", 2)) + 1, LEN(#REF!))</f>
        <v>#REF!</v>
      </c>
      <c r="H1419" s="165">
        <v>4.2300000000000004</v>
      </c>
      <c r="I1419" s="230">
        <v>45495</v>
      </c>
      <c r="J1419" s="230" t="s">
        <v>29</v>
      </c>
      <c r="K1419" s="226">
        <v>46038</v>
      </c>
      <c r="L1419" s="165"/>
      <c r="M1419" s="222">
        <v>681</v>
      </c>
      <c r="N1419" s="2" t="str">
        <f t="shared" ca="1" si="43"/>
        <v>CLOSED</v>
      </c>
    </row>
    <row r="1420" spans="1:14" ht="30">
      <c r="A1420" s="64" t="s">
        <v>185</v>
      </c>
      <c r="B1420" s="98" t="e">
        <f>VLOOKUP([2]!Table27[[#This Row],[Location 
(drop-down)]],'[2]List source'!D$2:E$59,2,FALSE)</f>
        <v>#VALUE!</v>
      </c>
      <c r="C1420" s="148" t="s">
        <v>4289</v>
      </c>
      <c r="D1420" s="2" t="e">
        <f t="shared" si="44"/>
        <v>#VALUE!</v>
      </c>
      <c r="E1420" s="227" t="s">
        <v>4290</v>
      </c>
      <c r="F1420" s="165" t="e" cm="1">
        <f t="array" aca="1" ref="F1420" ca="1">MID(LEFT(#REF!, INDEX(_xlfn._xlws.FILTER(ROW(INDIRECT("1:" &amp; LEN(#REF!))), (48 &lt;= CODE(MID(#REF!, ROW(INDIRECT("1:" &amp; LEN(#REF!))), 1))) * (CODE(MID(#REF!, ROW(INDIRECT("1:" &amp; LEN(#REF!))), 1)) &lt;= 57)), 1) - 1), FIND(":",#REF!) + 2, LEN(#REF!))</f>
        <v>#REF!</v>
      </c>
      <c r="G1420" s="227" t="e">
        <f>MID(LEFT(#REF!, FIND(",",#REF!) - 1), FIND("{token}", SUBSTITUTE(#REF!, " ", "{token}", 2)) + 1, LEN(#REF!))</f>
        <v>#REF!</v>
      </c>
      <c r="H1420" s="165">
        <v>4.54</v>
      </c>
      <c r="I1420" s="230">
        <v>45600</v>
      </c>
      <c r="J1420" s="230" t="s">
        <v>29</v>
      </c>
      <c r="K1420" s="226">
        <v>46038</v>
      </c>
      <c r="L1420" s="275"/>
      <c r="M1420" s="222">
        <v>1067</v>
      </c>
      <c r="N1420" s="2" t="str">
        <f t="shared" ca="1" si="43"/>
        <v>CLOSED</v>
      </c>
    </row>
    <row r="1421" spans="1:14" ht="30">
      <c r="A1421" s="64" t="s">
        <v>185</v>
      </c>
      <c r="B1421" s="98" t="e">
        <f>VLOOKUP([2]!Table27[[#This Row],[Location 
(drop-down)]],'[2]List source'!D$2:E$59,2,FALSE)</f>
        <v>#VALUE!</v>
      </c>
      <c r="C1421" s="148" t="s">
        <v>4291</v>
      </c>
      <c r="D1421" s="2" t="e">
        <f t="shared" si="44"/>
        <v>#VALUE!</v>
      </c>
      <c r="E1421" s="227" t="s">
        <v>4292</v>
      </c>
      <c r="F1421" s="165" t="e" cm="1">
        <f t="array" aca="1" ref="F1421" ca="1">MID(LEFT(#REF!, INDEX(_xlfn._xlws.FILTER(ROW(INDIRECT("1:" &amp; LEN(#REF!))), (48 &lt;= CODE(MID(#REF!, ROW(INDIRECT("1:" &amp; LEN(#REF!))), 1))) * (CODE(MID(#REF!, ROW(INDIRECT("1:" &amp; LEN(#REF!))), 1)) &lt;= 57)), 1) - 1), FIND(":",#REF!) + 2, LEN(#REF!))</f>
        <v>#REF!</v>
      </c>
      <c r="G1421" s="227" t="e">
        <f>MID(LEFT(#REF!, FIND(",",#REF!) - 1), FIND("{token}", SUBSTITUTE(#REF!, " ", "{token}", 2)) + 1, LEN(#REF!))</f>
        <v>#REF!</v>
      </c>
      <c r="H1421" s="236" t="s">
        <v>4293</v>
      </c>
      <c r="I1421" s="230">
        <v>45646</v>
      </c>
      <c r="J1421" s="230" t="s">
        <v>29</v>
      </c>
      <c r="K1421" s="226">
        <v>46038</v>
      </c>
      <c r="L1421" s="275"/>
      <c r="M1421" s="222">
        <v>1188</v>
      </c>
      <c r="N1421" s="2" t="str">
        <f t="shared" ca="1" si="43"/>
        <v>CLOSED</v>
      </c>
    </row>
    <row r="1422" spans="1:14" ht="30">
      <c r="A1422" s="64" t="s">
        <v>485</v>
      </c>
      <c r="B1422" s="98" t="e">
        <f>VLOOKUP([2]!Table27[[#This Row],[Location 
(drop-down)]],'[2]List source'!D$2:E$59,2,FALSE)</f>
        <v>#VALUE!</v>
      </c>
      <c r="C1422" s="148" t="s">
        <v>4294</v>
      </c>
      <c r="D1422" s="2" t="e">
        <f t="shared" si="44"/>
        <v>#VALUE!</v>
      </c>
      <c r="E1422" s="227" t="s">
        <v>4295</v>
      </c>
      <c r="F1422" s="165" t="e" cm="1">
        <f t="array" aca="1" ref="F1422" ca="1">MID(LEFT(#REF!, INDEX(_xlfn._xlws.FILTER(ROW(INDIRECT("1:" &amp; LEN(#REF!))), (48 &lt;= CODE(MID(#REF!, ROW(INDIRECT("1:" &amp; LEN(#REF!))), 1))) * (CODE(MID(#REF!, ROW(INDIRECT("1:" &amp; LEN(#REF!))), 1)) &lt;= 57)), 1) - 1), FIND(":",#REF!) + 2, LEN(#REF!))</f>
        <v>#REF!</v>
      </c>
      <c r="G1422" s="227" t="e">
        <f>MID(LEFT(#REF!, FIND(",",#REF!) - 1), FIND("{token}", SUBSTITUTE(#REF!, " ", "{token}", 2)) + 1, LEN(#REF!))</f>
        <v>#REF!</v>
      </c>
      <c r="H1422" s="165">
        <v>4.16</v>
      </c>
      <c r="I1422" s="230">
        <v>45540</v>
      </c>
      <c r="J1422" s="230" t="s">
        <v>239</v>
      </c>
      <c r="K1422" s="226">
        <v>46043</v>
      </c>
      <c r="L1422" s="275"/>
      <c r="M1422" s="222">
        <v>913</v>
      </c>
      <c r="N1422" s="2" t="str">
        <f t="shared" ca="1" si="43"/>
        <v>CLOSED</v>
      </c>
    </row>
    <row r="1423" spans="1:14" ht="30">
      <c r="A1423" s="90" t="s">
        <v>500</v>
      </c>
      <c r="B1423" s="98" t="e">
        <f>VLOOKUP([2]!Table27[[#This Row],[Location 
(drop-down)]],'[2]List source'!D$2:E$59,2,FALSE)</f>
        <v>#VALUE!</v>
      </c>
      <c r="C1423" s="177" t="s">
        <v>4296</v>
      </c>
      <c r="D1423" s="392" t="e">
        <f t="shared" si="44"/>
        <v>#VALUE!</v>
      </c>
      <c r="E1423" s="227" t="s">
        <v>4297</v>
      </c>
      <c r="F1423" s="165" t="s">
        <v>1520</v>
      </c>
      <c r="G1423" s="227" t="e">
        <f>MID(LEFT(#REF!, FIND(",",#REF!) - 1), FIND("{token}", SUBSTITUTE(#REF!, " ", "{token}", 2)) + 1, LEN(#REF!))</f>
        <v>#REF!</v>
      </c>
      <c r="H1423" s="165" t="s">
        <v>4298</v>
      </c>
      <c r="I1423" s="230">
        <v>45652</v>
      </c>
      <c r="J1423" s="342" t="s">
        <v>310</v>
      </c>
      <c r="K1423" s="221">
        <v>46052</v>
      </c>
      <c r="L1423" s="275"/>
      <c r="M1423" s="222">
        <v>1236</v>
      </c>
      <c r="N1423" s="2" t="str">
        <f t="shared" ca="1" si="43"/>
        <v>CLOSED</v>
      </c>
    </row>
    <row r="1424" spans="1:14" ht="30">
      <c r="A1424" s="64" t="s">
        <v>714</v>
      </c>
      <c r="B1424" s="98" t="e">
        <f>VLOOKUP([2]!Table27[[#This Row],[Location 
(drop-down)]],'[2]List source'!D$2:E$59,2,FALSE)</f>
        <v>#VALUE!</v>
      </c>
      <c r="C1424" s="148" t="s">
        <v>392</v>
      </c>
      <c r="D1424" s="378" t="e">
        <f t="shared" si="44"/>
        <v>#VALUE!</v>
      </c>
      <c r="E1424" s="227" t="s">
        <v>4299</v>
      </c>
      <c r="F1424" s="165" t="e" cm="1">
        <f t="array" aca="1" ref="F1424" ca="1">MID(LEFT(#REF!, INDEX(_xlfn._xlws.FILTER(ROW(INDIRECT("1:" &amp; LEN(#REF!))), (48 &lt;= CODE(MID(#REF!, ROW(INDIRECT("1:" &amp; LEN(#REF!))), 1))) * (CODE(MID(#REF!, ROW(INDIRECT("1:" &amp; LEN(#REF!))), 1)) &lt;= 57)), 1) - 1), FIND(":",#REF!) + 2, LEN(#REF!))</f>
        <v>#REF!</v>
      </c>
      <c r="G1424" s="227" t="e">
        <f>MID(LEFT(#REF!, FIND(",",#REF!) - 1), FIND("{token}", SUBSTITUTE(#REF!, " ", "{token}", 2)) + 1, LEN(#REF!))</f>
        <v>#REF!</v>
      </c>
      <c r="H1424" s="165" t="s">
        <v>4300</v>
      </c>
      <c r="I1424" s="230">
        <v>45306</v>
      </c>
      <c r="J1424" s="230" t="s">
        <v>108</v>
      </c>
      <c r="K1424" s="226" t="s">
        <v>4301</v>
      </c>
      <c r="L1424" s="406" t="s">
        <v>4302</v>
      </c>
      <c r="M1424" s="222">
        <v>53</v>
      </c>
      <c r="N1424" s="2" t="str">
        <f t="shared" ca="1" si="43"/>
        <v>CLOSED</v>
      </c>
    </row>
    <row r="1425" spans="1:14" ht="30">
      <c r="A1425" s="64" t="s">
        <v>714</v>
      </c>
      <c r="B1425" s="98" t="e">
        <f>VLOOKUP([2]!Table27[[#This Row],[Location 
(drop-down)]],'[2]List source'!D$2:E$59,2,FALSE)</f>
        <v>#VALUE!</v>
      </c>
      <c r="C1425" s="148" t="s">
        <v>288</v>
      </c>
      <c r="D1425" s="378" t="e">
        <f t="shared" si="44"/>
        <v>#VALUE!</v>
      </c>
      <c r="E1425" s="227" t="s">
        <v>1615</v>
      </c>
      <c r="F1425" s="165" t="e" cm="1">
        <f t="array" aca="1" ref="F1425" ca="1">MID(LEFT(#REF!, INDEX(_xlfn._xlws.FILTER(ROW(INDIRECT("1:" &amp; LEN(#REF!))), (48 &lt;= CODE(MID(#REF!, ROW(INDIRECT("1:" &amp; LEN(#REF!))), 1))) * (CODE(MID(#REF!, ROW(INDIRECT("1:" &amp; LEN(#REF!))), 1)) &lt;= 57)), 1) - 1), FIND(":",#REF!) + 2, LEN(#REF!))</f>
        <v>#REF!</v>
      </c>
      <c r="G1425" s="227" t="e">
        <f>MID(LEFT(#REF!, FIND(",",#REF!) - 1), FIND("{token}", SUBSTITUTE(#REF!, " ", "{token}", 2)) + 1, LEN(#REF!))</f>
        <v>#REF!</v>
      </c>
      <c r="H1425" s="246" t="s">
        <v>1979</v>
      </c>
      <c r="I1425" s="230">
        <v>45306</v>
      </c>
      <c r="J1425" s="230" t="s">
        <v>108</v>
      </c>
      <c r="K1425" s="226" t="s">
        <v>4301</v>
      </c>
      <c r="L1425" s="407" t="s">
        <v>4302</v>
      </c>
      <c r="M1425" s="222">
        <v>54</v>
      </c>
      <c r="N1425" s="2" t="str">
        <f t="shared" ca="1" si="43"/>
        <v>CLOSED</v>
      </c>
    </row>
    <row r="1426" spans="1:14" ht="30">
      <c r="A1426" s="64" t="s">
        <v>714</v>
      </c>
      <c r="B1426" s="98" t="e">
        <f>VLOOKUP([2]!Table27[[#This Row],[Location 
(drop-down)]],'[2]List source'!D$2:E$59,2,FALSE)</f>
        <v>#VALUE!</v>
      </c>
      <c r="C1426" s="148" t="s">
        <v>882</v>
      </c>
      <c r="D1426" s="378" t="e">
        <f t="shared" si="44"/>
        <v>#VALUE!</v>
      </c>
      <c r="E1426" s="240" t="s">
        <v>4303</v>
      </c>
      <c r="F1426" s="2" t="e" cm="1">
        <f t="array" aca="1" ref="F1426" ca="1">MID(LEFT(#REF!, INDEX(_xlfn._xlws.FILTER(ROW(INDIRECT("1:" &amp; LEN(#REF!))), (48 &lt;= CODE(MID(#REF!, ROW(INDIRECT("1:" &amp; LEN(#REF!))), 1))) * (CODE(MID(#REF!, ROW(INDIRECT("1:" &amp; LEN(#REF!))), 1)) &lt;= 57)), 1) - 1), FIND(":",#REF!) + 2, LEN(#REF!))</f>
        <v>#REF!</v>
      </c>
      <c r="G1426" s="240" t="e">
        <f>MID(LEFT(#REF!, FIND(",",#REF!) - 1), FIND("{token}", SUBSTITUTE(#REF!, " ", "{token}", 2)) + 1, LEN(#REF!))</f>
        <v>#REF!</v>
      </c>
      <c r="H1426" s="2">
        <v>7.3</v>
      </c>
      <c r="I1426" s="260">
        <v>45376</v>
      </c>
      <c r="J1426" s="235" t="s">
        <v>108</v>
      </c>
      <c r="K1426" s="258" t="s">
        <v>4301</v>
      </c>
      <c r="L1426" s="406" t="s">
        <v>4302</v>
      </c>
      <c r="M1426" s="222">
        <v>151</v>
      </c>
      <c r="N1426" s="2" t="str">
        <f t="shared" ca="1" si="43"/>
        <v>CLOSED</v>
      </c>
    </row>
    <row r="1427" spans="1:14" ht="30">
      <c r="A1427" s="64" t="s">
        <v>714</v>
      </c>
      <c r="B1427" s="98" t="e">
        <f>VLOOKUP([2]!Table27[[#This Row],[Location 
(drop-down)]],'[2]List source'!D$2:E$59,2,FALSE)</f>
        <v>#VALUE!</v>
      </c>
      <c r="C1427" s="148" t="s">
        <v>4304</v>
      </c>
      <c r="D1427" s="379" t="e">
        <f t="shared" si="44"/>
        <v>#VALUE!</v>
      </c>
      <c r="E1427" s="227" t="s">
        <v>2490</v>
      </c>
      <c r="F1427" s="165" t="e" cm="1">
        <f t="array" aca="1" ref="F1427" ca="1">MID(LEFT(#REF!, INDEX(_xlfn._xlws.FILTER(ROW(INDIRECT("1:" &amp; LEN(#REF!))), (48 &lt;= CODE(MID(#REF!, ROW(INDIRECT("1:" &amp; LEN(#REF!))), 1))) * (CODE(MID(#REF!, ROW(INDIRECT("1:" &amp; LEN(#REF!))), 1)) &lt;= 57)), 1) - 1), FIND(":",#REF!) + 2, LEN(#REF!))</f>
        <v>#REF!</v>
      </c>
      <c r="G1427" s="227" t="e">
        <f>MID(LEFT(#REF!, FIND(",",#REF!) - 1), FIND("{token}", SUBSTITUTE(#REF!, " ", "{token}", 2)) + 1, LEN(#REF!))</f>
        <v>#REF!</v>
      </c>
      <c r="H1427" s="165">
        <v>3.7</v>
      </c>
      <c r="I1427" s="230">
        <v>45534</v>
      </c>
      <c r="J1427" s="230" t="s">
        <v>108</v>
      </c>
      <c r="K1427" s="226" t="s">
        <v>4301</v>
      </c>
      <c r="L1427" s="407" t="s">
        <v>4302</v>
      </c>
      <c r="M1427" s="222">
        <v>899</v>
      </c>
      <c r="N1427" s="2" t="str">
        <f t="shared" ca="1" si="43"/>
        <v>CLOSED</v>
      </c>
    </row>
    <row r="1428" spans="1:14" ht="30">
      <c r="A1428" s="64" t="s">
        <v>714</v>
      </c>
      <c r="B1428" s="98" t="e">
        <f>VLOOKUP([2]!Table27[[#This Row],[Location 
(drop-down)]],'[2]List source'!D$2:E$59,2,FALSE)</f>
        <v>#VALUE!</v>
      </c>
      <c r="C1428" s="148" t="s">
        <v>4305</v>
      </c>
      <c r="D1428" s="379" t="e">
        <f t="shared" si="44"/>
        <v>#VALUE!</v>
      </c>
      <c r="E1428" s="227" t="s">
        <v>4247</v>
      </c>
      <c r="F1428" s="165" t="e" cm="1">
        <f t="array" aca="1" ref="F1428" ca="1">MID(LEFT(#REF!, INDEX(_xlfn._xlws.FILTER(ROW(INDIRECT("1:" &amp; LEN(#REF!))), (48 &lt;= CODE(MID(#REF!, ROW(INDIRECT("1:" &amp; LEN(#REF!))), 1))) * (CODE(MID(#REF!, ROW(INDIRECT("1:" &amp; LEN(#REF!))), 1)) &lt;= 57)), 1) - 1), FIND(":",#REF!) + 2, LEN(#REF!))</f>
        <v>#REF!</v>
      </c>
      <c r="G1428" s="227" t="e">
        <f>MID(LEFT(#REF!, FIND(",",#REF!) - 1), FIND("{token}", SUBSTITUTE(#REF!, " ", "{token}", 2)) + 1, LEN(#REF!))</f>
        <v>#REF!</v>
      </c>
      <c r="H1428" s="165">
        <v>2.99</v>
      </c>
      <c r="I1428" s="230">
        <v>45534</v>
      </c>
      <c r="J1428" s="230" t="s">
        <v>108</v>
      </c>
      <c r="K1428" s="226" t="s">
        <v>4301</v>
      </c>
      <c r="L1428" s="406" t="s">
        <v>4302</v>
      </c>
      <c r="M1428" s="222">
        <v>901</v>
      </c>
      <c r="N1428" s="2" t="str">
        <f t="shared" ca="1" si="43"/>
        <v>CLOSED</v>
      </c>
    </row>
    <row r="1429" spans="1:14" ht="30">
      <c r="A1429" s="64" t="s">
        <v>714</v>
      </c>
      <c r="B1429" s="98" t="e">
        <f>VLOOKUP([2]!Table27[[#This Row],[Location 
(drop-down)]],'[2]List source'!D$2:E$59,2,FALSE)</f>
        <v>#VALUE!</v>
      </c>
      <c r="C1429" s="148" t="s">
        <v>4306</v>
      </c>
      <c r="D1429" s="379" t="e">
        <f t="shared" si="44"/>
        <v>#VALUE!</v>
      </c>
      <c r="E1429" s="227" t="s">
        <v>4307</v>
      </c>
      <c r="F1429" s="165" t="e" cm="1">
        <f t="array" aca="1" ref="F1429" ca="1">MID(LEFT(#REF!, INDEX(_xlfn._xlws.FILTER(ROW(INDIRECT("1:" &amp; LEN(#REF!))), (48 &lt;= CODE(MID(#REF!, ROW(INDIRECT("1:" &amp; LEN(#REF!))), 1))) * (CODE(MID(#REF!, ROW(INDIRECT("1:" &amp; LEN(#REF!))), 1)) &lt;= 57)), 1) - 1), FIND(":",#REF!) + 2, LEN(#REF!))</f>
        <v>#REF!</v>
      </c>
      <c r="G1429" s="227" t="e">
        <f>MID(LEFT(#REF!, FIND(",",#REF!) - 1), FIND("{token}", SUBSTITUTE(#REF!, " ", "{token}", 2)) + 1, LEN(#REF!))</f>
        <v>#REF!</v>
      </c>
      <c r="H1429" s="165">
        <v>-3.08</v>
      </c>
      <c r="I1429" s="230">
        <v>45541</v>
      </c>
      <c r="J1429" s="230" t="s">
        <v>108</v>
      </c>
      <c r="K1429" s="226" t="s">
        <v>4301</v>
      </c>
      <c r="L1429" s="406" t="s">
        <v>4302</v>
      </c>
      <c r="M1429" s="222">
        <v>957</v>
      </c>
      <c r="N1429" s="2" t="str">
        <f t="shared" ca="1" si="43"/>
        <v>CLOSED</v>
      </c>
    </row>
    <row r="1430" spans="1:14" ht="30">
      <c r="A1430" s="64" t="s">
        <v>714</v>
      </c>
      <c r="B1430" s="98" t="e">
        <f>VLOOKUP([2]!Table27[[#This Row],[Location 
(drop-down)]],'[2]List source'!D$2:E$59,2,FALSE)</f>
        <v>#VALUE!</v>
      </c>
      <c r="C1430" s="148" t="s">
        <v>4308</v>
      </c>
      <c r="D1430" s="2" t="e">
        <f t="shared" si="44"/>
        <v>#VALUE!</v>
      </c>
      <c r="E1430" s="227" t="s">
        <v>4309</v>
      </c>
      <c r="F1430" s="165" t="s">
        <v>1520</v>
      </c>
      <c r="G1430" s="227" t="e">
        <f>MID(LEFT(#REF!, FIND(",",#REF!) - 1), FIND("{token}", SUBSTITUTE(#REF!, " ", "{token}", 2)) + 1, LEN(#REF!))</f>
        <v>#REF!</v>
      </c>
      <c r="H1430" s="165">
        <v>3.07</v>
      </c>
      <c r="I1430" s="230">
        <v>45582</v>
      </c>
      <c r="J1430" s="230" t="s">
        <v>108</v>
      </c>
      <c r="K1430" s="226" t="s">
        <v>4301</v>
      </c>
      <c r="L1430" s="406" t="s">
        <v>4302</v>
      </c>
      <c r="M1430" s="222">
        <v>1027</v>
      </c>
      <c r="N1430" s="2" t="str">
        <f t="shared" ca="1" si="43"/>
        <v>CLOSED</v>
      </c>
    </row>
    <row r="1431" spans="1:14" ht="30">
      <c r="A1431" s="64" t="s">
        <v>714</v>
      </c>
      <c r="B1431" s="98" t="e">
        <f>VLOOKUP([2]!Table27[[#This Row],[Location 
(drop-down)]],'[2]List source'!D$2:E$59,2,FALSE)</f>
        <v>#VALUE!</v>
      </c>
      <c r="C1431" s="148" t="s">
        <v>4310</v>
      </c>
      <c r="D1431" s="2" t="e">
        <f t="shared" si="44"/>
        <v>#VALUE!</v>
      </c>
      <c r="E1431" s="227" t="s">
        <v>4311</v>
      </c>
      <c r="F1431" s="165" t="s">
        <v>1520</v>
      </c>
      <c r="G1431" s="227" t="e">
        <f>MID(LEFT(#REF!, FIND(",",#REF!) - 1), FIND("{token}", SUBSTITUTE(#REF!, " ", "{token}", 2)) + 1, LEN(#REF!))</f>
        <v>#REF!</v>
      </c>
      <c r="H1431" s="236" t="s">
        <v>4312</v>
      </c>
      <c r="I1431" s="230">
        <v>45582</v>
      </c>
      <c r="J1431" s="230" t="s">
        <v>108</v>
      </c>
      <c r="K1431" s="226" t="s">
        <v>4301</v>
      </c>
      <c r="L1431" s="406" t="s">
        <v>4302</v>
      </c>
      <c r="M1431" s="222">
        <v>1028</v>
      </c>
      <c r="N1431" s="2" t="str">
        <f t="shared" ca="1" si="43"/>
        <v>CLOSED</v>
      </c>
    </row>
    <row r="1432" spans="1:14" ht="30">
      <c r="A1432" s="64" t="s">
        <v>714</v>
      </c>
      <c r="B1432" s="98" t="e">
        <f>VLOOKUP([2]!Table27[[#This Row],[Location 
(drop-down)]],'[2]List source'!D$2:E$59,2,FALSE)</f>
        <v>#VALUE!</v>
      </c>
      <c r="C1432" s="148" t="s">
        <v>4313</v>
      </c>
      <c r="D1432" s="2" t="e">
        <f t="shared" si="44"/>
        <v>#VALUE!</v>
      </c>
      <c r="E1432" s="227" t="s">
        <v>4314</v>
      </c>
      <c r="F1432" s="165" t="s">
        <v>1520</v>
      </c>
      <c r="G1432" s="227" t="e">
        <f>MID(LEFT(#REF!, FIND(",",#REF!) - 1), FIND("{token}", SUBSTITUTE(#REF!, " ", "{token}", 2)) + 1, LEN(#REF!))</f>
        <v>#REF!</v>
      </c>
      <c r="H1432" s="165">
        <v>2.2999999999999998</v>
      </c>
      <c r="I1432" s="230">
        <v>45582</v>
      </c>
      <c r="J1432" s="230" t="s">
        <v>108</v>
      </c>
      <c r="K1432" s="226" t="s">
        <v>4301</v>
      </c>
      <c r="L1432" s="407" t="s">
        <v>4302</v>
      </c>
      <c r="M1432" s="222">
        <v>1029</v>
      </c>
      <c r="N1432" s="2" t="str">
        <f t="shared" ref="N1432:N1438" ca="1" si="45">IF(ISBLANK(K1432), TODAY()-(I1432), "CLOSED")</f>
        <v>CLOSED</v>
      </c>
    </row>
    <row r="1433" spans="1:14" ht="30">
      <c r="A1433" s="64" t="s">
        <v>714</v>
      </c>
      <c r="B1433" s="98" t="e">
        <f>VLOOKUP([2]!Table27[[#This Row],[Location 
(drop-down)]],'[2]List source'!D$2:E$59,2,FALSE)</f>
        <v>#VALUE!</v>
      </c>
      <c r="C1433" s="148" t="s">
        <v>4315</v>
      </c>
      <c r="D1433" s="2" t="e">
        <f t="shared" si="44"/>
        <v>#VALUE!</v>
      </c>
      <c r="E1433" s="227" t="s">
        <v>4316</v>
      </c>
      <c r="F1433" s="165" t="e" cm="1">
        <f t="array" aca="1" ref="F1433" ca="1">MID(LEFT(#REF!, INDEX(_xlfn._xlws.FILTER(ROW(INDIRECT("1:" &amp; LEN(#REF!))), (48 &lt;= CODE(MID(#REF!, ROW(INDIRECT("1:" &amp; LEN(#REF!))), 1))) * (CODE(MID(#REF!, ROW(INDIRECT("1:" &amp; LEN(#REF!))), 1)) &lt;= 57)), 1) - 1), FIND(":",#REF!) + 2, LEN(#REF!))</f>
        <v>#REF!</v>
      </c>
      <c r="G1433" s="227" t="e">
        <f>MID(LEFT(#REF!, FIND(",",#REF!) - 1), FIND("{token}", SUBSTITUTE(#REF!, " ", "{token}", 2)) + 1, LEN(#REF!))</f>
        <v>#REF!</v>
      </c>
      <c r="H1433" s="165" t="s">
        <v>4317</v>
      </c>
      <c r="I1433" s="230">
        <v>45642</v>
      </c>
      <c r="J1433" s="230" t="s">
        <v>108</v>
      </c>
      <c r="K1433" s="226" t="s">
        <v>4301</v>
      </c>
      <c r="L1433" s="406" t="s">
        <v>4302</v>
      </c>
      <c r="M1433" s="222">
        <v>1118</v>
      </c>
      <c r="N1433" s="2" t="str">
        <f t="shared" ca="1" si="45"/>
        <v>CLOSED</v>
      </c>
    </row>
    <row r="1434" spans="1:14" ht="30">
      <c r="A1434" s="64" t="s">
        <v>714</v>
      </c>
      <c r="B1434" s="98" t="e">
        <f>VLOOKUP([2]!Table27[[#This Row],[Location 
(drop-down)]],'[2]List source'!D$2:E$59,2,FALSE)</f>
        <v>#VALUE!</v>
      </c>
      <c r="C1434" s="148" t="s">
        <v>4318</v>
      </c>
      <c r="D1434" s="2" t="e">
        <f t="shared" si="44"/>
        <v>#VALUE!</v>
      </c>
      <c r="E1434" s="227" t="s">
        <v>4319</v>
      </c>
      <c r="F1434" s="165" t="e" cm="1">
        <f t="array" aca="1" ref="F1434" ca="1">MID(LEFT(#REF!, INDEX(_xlfn._xlws.FILTER(ROW(INDIRECT("1:" &amp; LEN(#REF!))), (48 &lt;= CODE(MID(#REF!, ROW(INDIRECT("1:" &amp; LEN(#REF!))), 1))) * (CODE(MID(#REF!, ROW(INDIRECT("1:" &amp; LEN(#REF!))), 1)) &lt;= 57)), 1) - 1), FIND(":",#REF!) + 2, LEN(#REF!))</f>
        <v>#REF!</v>
      </c>
      <c r="G1434" s="227" t="e">
        <f>MID(LEFT(#REF!, FIND(",",#REF!) - 1), FIND("{token}", SUBSTITUTE(#REF!, " ", "{token}", 2)) + 1, LEN(#REF!))</f>
        <v>#REF!</v>
      </c>
      <c r="H1434" s="165" t="s">
        <v>4320</v>
      </c>
      <c r="I1434" s="230">
        <v>45642</v>
      </c>
      <c r="J1434" s="230" t="s">
        <v>108</v>
      </c>
      <c r="K1434" s="226" t="s">
        <v>4301</v>
      </c>
      <c r="L1434" s="406" t="s">
        <v>4302</v>
      </c>
      <c r="M1434" s="222">
        <v>1119</v>
      </c>
      <c r="N1434" s="2" t="str">
        <f t="shared" ca="1" si="45"/>
        <v>CLOSED</v>
      </c>
    </row>
    <row r="1435" spans="1:14" ht="30">
      <c r="A1435" s="64" t="s">
        <v>714</v>
      </c>
      <c r="B1435" s="98" t="e">
        <f>VLOOKUP([2]!Table27[[#This Row],[Location 
(drop-down)]],'[2]List source'!D$2:E$59,2,FALSE)</f>
        <v>#VALUE!</v>
      </c>
      <c r="C1435" s="148" t="s">
        <v>4321</v>
      </c>
      <c r="D1435" s="2" t="e">
        <f t="shared" si="44"/>
        <v>#VALUE!</v>
      </c>
      <c r="E1435" s="227" t="s">
        <v>4322</v>
      </c>
      <c r="F1435" s="165" t="e" cm="1">
        <f t="array" aca="1" ref="F1435" ca="1">MID(LEFT(#REF!, INDEX(_xlfn._xlws.FILTER(ROW(INDIRECT("1:" &amp; LEN(#REF!))), (48 &lt;= CODE(MID(#REF!, ROW(INDIRECT("1:" &amp; LEN(#REF!))), 1))) * (CODE(MID(#REF!, ROW(INDIRECT("1:" &amp; LEN(#REF!))), 1)) &lt;= 57)), 1) - 1), FIND(":",#REF!) + 2, LEN(#REF!))</f>
        <v>#REF!</v>
      </c>
      <c r="G1435" s="227" t="e">
        <f>MID(LEFT(#REF!, FIND(",",#REF!) - 1), FIND("{token}", SUBSTITUTE(#REF!, " ", "{token}", 2)) + 1, LEN(#REF!))</f>
        <v>#REF!</v>
      </c>
      <c r="H1435" s="165">
        <v>2.21</v>
      </c>
      <c r="I1435" s="230">
        <v>45642</v>
      </c>
      <c r="J1435" s="230" t="s">
        <v>108</v>
      </c>
      <c r="K1435" s="226" t="s">
        <v>4301</v>
      </c>
      <c r="L1435" s="406" t="s">
        <v>4302</v>
      </c>
      <c r="M1435" s="222">
        <v>1120</v>
      </c>
      <c r="N1435" s="2" t="str">
        <f t="shared" ca="1" si="45"/>
        <v>CLOSED</v>
      </c>
    </row>
    <row r="1436" spans="1:14" ht="30">
      <c r="A1436" s="90" t="s">
        <v>202</v>
      </c>
      <c r="B1436" s="98" t="e">
        <f>VLOOKUP([2]!Table27[[#This Row],[Location 
(drop-down)]],'[2]List source'!D$2:E$59,2,FALSE)</f>
        <v>#VALUE!</v>
      </c>
      <c r="C1436" s="177" t="s">
        <v>4323</v>
      </c>
      <c r="D1436" s="392" t="e">
        <f t="shared" si="44"/>
        <v>#VALUE!</v>
      </c>
      <c r="E1436" s="227" t="s">
        <v>4324</v>
      </c>
      <c r="F1436" s="165" t="s">
        <v>1520</v>
      </c>
      <c r="G1436" s="227" t="e">
        <f>MID(LEFT(#REF!, FIND(",",#REF!) - 1), FIND("{token}", SUBSTITUTE(#REF!, " ", "{token}", 2)) + 1, LEN(#REF!))</f>
        <v>#REF!</v>
      </c>
      <c r="H1436" s="165">
        <v>2.1800000000000002</v>
      </c>
      <c r="I1436" s="230">
        <v>45644</v>
      </c>
      <c r="J1436" s="342"/>
      <c r="K1436" s="221"/>
      <c r="L1436" s="165"/>
      <c r="M1436" s="222">
        <v>1171</v>
      </c>
      <c r="N1436" s="2">
        <f t="shared" ca="1" si="45"/>
        <v>434</v>
      </c>
    </row>
    <row r="1437" spans="1:14" ht="30">
      <c r="A1437" s="90" t="s">
        <v>202</v>
      </c>
      <c r="B1437" s="98" t="e">
        <f>VLOOKUP([2]!Table27[[#This Row],[Location 
(drop-down)]],'[2]List source'!D$2:E$59,2,FALSE)</f>
        <v>#VALUE!</v>
      </c>
      <c r="C1437" s="177" t="s">
        <v>4325</v>
      </c>
      <c r="D1437" s="392" t="e">
        <f t="shared" si="44"/>
        <v>#VALUE!</v>
      </c>
      <c r="E1437" s="227" t="s">
        <v>4326</v>
      </c>
      <c r="F1437" s="165" t="e" cm="1">
        <f t="array" aca="1" ref="F1437" ca="1">MID(LEFT(#REF!, INDEX(_xlfn._xlws.FILTER(ROW(INDIRECT("1:" &amp; LEN(#REF!))), (48 &lt;= CODE(MID(#REF!, ROW(INDIRECT("1:" &amp; LEN(#REF!))), 1))) * (CODE(MID(#REF!, ROW(INDIRECT("1:" &amp; LEN(#REF!))), 1)) &lt;= 57)), 1) - 1), FIND(":",#REF!) + 2, LEN(#REF!))</f>
        <v>#REF!</v>
      </c>
      <c r="G1437" s="227" t="e">
        <f>MID(LEFT(#REF!, FIND(",",#REF!) - 1), FIND("{token}", SUBSTITUTE(#REF!, " ", "{token}", 2)) + 1, LEN(#REF!))</f>
        <v>#REF!</v>
      </c>
      <c r="H1437" s="165" t="s">
        <v>4327</v>
      </c>
      <c r="I1437" s="230">
        <v>45645</v>
      </c>
      <c r="J1437" s="342"/>
      <c r="K1437" s="221"/>
      <c r="L1437" s="165"/>
      <c r="M1437" s="222">
        <v>1183</v>
      </c>
      <c r="N1437" s="2">
        <f t="shared" ca="1" si="45"/>
        <v>433</v>
      </c>
    </row>
    <row r="1438" spans="1:14" ht="30">
      <c r="A1438" s="90" t="s">
        <v>202</v>
      </c>
      <c r="B1438" s="98" t="e">
        <f>VLOOKUP([2]!Table27[[#This Row],[Location 
(drop-down)]],'[2]List source'!D$2:E$59,2,FALSE)</f>
        <v>#VALUE!</v>
      </c>
      <c r="C1438" s="177" t="s">
        <v>4328</v>
      </c>
      <c r="D1438" s="392" t="e">
        <f t="shared" si="44"/>
        <v>#VALUE!</v>
      </c>
      <c r="E1438" s="227" t="s">
        <v>4329</v>
      </c>
      <c r="F1438" s="165" t="e" cm="1">
        <f t="array" aca="1" ref="F1438" ca="1">MID(LEFT(#REF!, INDEX(_xlfn._xlws.FILTER(ROW(INDIRECT("1:" &amp; LEN(#REF!))), (48 &lt;= CODE(MID(#REF!, ROW(INDIRECT("1:" &amp; LEN(#REF!))), 1))) * (CODE(MID(#REF!, ROW(INDIRECT("1:" &amp; LEN(#REF!))), 1)) &lt;= 57)), 1) - 1), FIND(":",#REF!) + 2, LEN(#REF!))</f>
        <v>#REF!</v>
      </c>
      <c r="G1438" s="227" t="e">
        <f>MID(LEFT(#REF!, FIND(",",#REF!) - 1), FIND("{token}", SUBSTITUTE(#REF!, " ", "{token}", 2)) + 1, LEN(#REF!))</f>
        <v>#REF!</v>
      </c>
      <c r="H1438" s="236" t="s">
        <v>2880</v>
      </c>
      <c r="I1438" s="230">
        <v>45645</v>
      </c>
      <c r="J1438" s="342"/>
      <c r="K1438" s="221"/>
      <c r="L1438" s="165"/>
      <c r="M1438" s="222">
        <v>1185</v>
      </c>
      <c r="N1438" s="2">
        <f t="shared" ca="1" si="45"/>
        <v>433</v>
      </c>
    </row>
    <row r="1439" spans="1:14" ht="30">
      <c r="A1439" s="97" t="s">
        <v>156</v>
      </c>
      <c r="B1439" s="98" t="e">
        <f>VLOOKUP([2]!Table27[[#This Row],[Location 
(drop-down)]],'[2]List source'!D$2:E$59,2,FALSE)</f>
        <v>#VALUE!</v>
      </c>
      <c r="C1439" s="99" t="s">
        <v>4330</v>
      </c>
      <c r="D1439" s="100" t="e">
        <f t="shared" si="44"/>
        <v>#VALUE!</v>
      </c>
      <c r="E1439" s="101" t="s">
        <v>4331</v>
      </c>
      <c r="F1439" s="102" t="s">
        <v>4332</v>
      </c>
      <c r="G1439" s="10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39" s="106">
        <v>3.09</v>
      </c>
      <c r="I1439" s="104">
        <v>45679</v>
      </c>
      <c r="J1439" s="104" t="s">
        <v>47</v>
      </c>
      <c r="K1439" s="105">
        <v>45680</v>
      </c>
      <c r="L1439" s="69"/>
      <c r="M1439" s="66" t="str">
        <f t="shared" ref="M1439:M1502" ca="1" si="46">IF(ISBLANK(K1439), TODAY()-(I1439), "CLOSED")</f>
        <v>CLOSED</v>
      </c>
      <c r="N1439" s="2"/>
    </row>
    <row r="1440" spans="1:14" ht="30">
      <c r="A1440" s="64" t="s">
        <v>156</v>
      </c>
      <c r="B1440" s="98" t="e">
        <f>VLOOKUP([2]!Table27[[#This Row],[Location 
(drop-down)]],'[2]List source'!D$2:E$59,2,FALSE)</f>
        <v>#VALUE!</v>
      </c>
      <c r="C1440" s="99" t="s">
        <v>4333</v>
      </c>
      <c r="D1440" s="100" t="e">
        <f t="shared" si="44"/>
        <v>#VALUE!</v>
      </c>
      <c r="E1440" s="101" t="s">
        <v>4334</v>
      </c>
      <c r="F1440" s="102" t="s">
        <v>4332</v>
      </c>
      <c r="G1440" s="10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0" s="106">
        <v>-3.53</v>
      </c>
      <c r="I1440" s="104">
        <v>45679</v>
      </c>
      <c r="J1440" s="104" t="s">
        <v>47</v>
      </c>
      <c r="K1440" s="68">
        <v>45680</v>
      </c>
      <c r="L1440" s="69"/>
      <c r="M1440" s="66" t="str">
        <f t="shared" ca="1" si="46"/>
        <v>CLOSED</v>
      </c>
      <c r="N1440" s="2"/>
    </row>
    <row r="1441" spans="1:13" ht="30">
      <c r="A1441" s="64" t="s">
        <v>358</v>
      </c>
      <c r="B1441" s="98" t="e">
        <f>VLOOKUP([2]!Table27[[#This Row],[Location 
(drop-down)]],'[2]List source'!D$2:E$59,2,FALSE)</f>
        <v>#VALUE!</v>
      </c>
      <c r="C1441" s="99" t="s">
        <v>4335</v>
      </c>
      <c r="D1441" s="100" t="e">
        <f t="shared" si="44"/>
        <v>#VALUE!</v>
      </c>
      <c r="E1441" s="64" t="s">
        <v>4336</v>
      </c>
      <c r="F1441" s="102" t="s">
        <v>4332</v>
      </c>
      <c r="G1441" s="97"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1" s="106">
        <v>4.75</v>
      </c>
      <c r="I1441" s="104">
        <v>45680</v>
      </c>
      <c r="J1441" s="104" t="s">
        <v>310</v>
      </c>
      <c r="K1441" s="68">
        <v>45846</v>
      </c>
      <c r="L1441" s="71"/>
      <c r="M1441" s="66" t="str">
        <f t="shared" ca="1" si="46"/>
        <v>CLOSED</v>
      </c>
    </row>
    <row r="1442" spans="1:13" ht="30">
      <c r="A1442" s="64" t="s">
        <v>167</v>
      </c>
      <c r="B1442" s="98" t="e">
        <f>VLOOKUP([2]!Table27[[#This Row],[Location 
(drop-down)]],'[2]List source'!D$2:E$59,2,FALSE)</f>
        <v>#VALUE!</v>
      </c>
      <c r="C1442" s="99" t="s">
        <v>4337</v>
      </c>
      <c r="D1442" s="100" t="e">
        <f t="shared" si="44"/>
        <v>#VALUE!</v>
      </c>
      <c r="E1442" s="64" t="s">
        <v>4338</v>
      </c>
      <c r="F1442" s="106" t="s">
        <v>1520</v>
      </c>
      <c r="G1442" s="97"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2" s="102">
        <v>2.73</v>
      </c>
      <c r="I1442" s="104">
        <v>45688</v>
      </c>
      <c r="J1442" s="104" t="s">
        <v>310</v>
      </c>
      <c r="K1442" s="68">
        <v>45852</v>
      </c>
      <c r="L1442" s="69"/>
      <c r="M1442" s="66" t="str">
        <f t="shared" ca="1" si="46"/>
        <v>CLOSED</v>
      </c>
    </row>
    <row r="1443" spans="1:13" ht="30">
      <c r="A1443" s="64" t="s">
        <v>167</v>
      </c>
      <c r="B1443" s="98" t="e">
        <f>VLOOKUP([2]!Table27[[#This Row],[Location 
(drop-down)]],'[2]List source'!D$2:E$59,2,FALSE)</f>
        <v>#VALUE!</v>
      </c>
      <c r="C1443" s="99" t="s">
        <v>4339</v>
      </c>
      <c r="D1443" s="100" t="e">
        <f t="shared" si="44"/>
        <v>#VALUE!</v>
      </c>
      <c r="E1443" s="23" t="s">
        <v>4340</v>
      </c>
      <c r="F1443" s="107" t="s">
        <v>1520</v>
      </c>
      <c r="G1443"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3" s="108">
        <v>-2.1</v>
      </c>
      <c r="I1443" s="67">
        <v>45688</v>
      </c>
      <c r="J1443" s="67" t="s">
        <v>310</v>
      </c>
      <c r="K1443" s="68">
        <v>45761</v>
      </c>
      <c r="L1443" s="69"/>
      <c r="M1443" s="66" t="str">
        <f t="shared" ca="1" si="46"/>
        <v>CLOSED</v>
      </c>
    </row>
    <row r="1444" spans="1:13" ht="30">
      <c r="A1444" s="64" t="s">
        <v>1334</v>
      </c>
      <c r="B1444" s="98" t="e">
        <f>VLOOKUP([2]!Table27[[#This Row],[Location 
(drop-down)]],'[2]List source'!D$2:E$59,2,FALSE)</f>
        <v>#VALUE!</v>
      </c>
      <c r="C1444" s="99" t="s">
        <v>4341</v>
      </c>
      <c r="D1444" s="100" t="e">
        <f t="shared" si="44"/>
        <v>#VALUE!</v>
      </c>
      <c r="E1444" s="23" t="s">
        <v>4342</v>
      </c>
      <c r="F1444" s="107" t="s">
        <v>1769</v>
      </c>
      <c r="G1444"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4" s="108" t="s">
        <v>2342</v>
      </c>
      <c r="I1444" s="67">
        <v>45688</v>
      </c>
      <c r="J1444" s="67" t="s">
        <v>310</v>
      </c>
      <c r="K1444" s="68">
        <v>45807</v>
      </c>
      <c r="L1444" s="69"/>
      <c r="M1444" s="66" t="str">
        <f t="shared" ca="1" si="46"/>
        <v>CLOSED</v>
      </c>
    </row>
    <row r="1445" spans="1:13" ht="90">
      <c r="A1445" s="64" t="s">
        <v>1334</v>
      </c>
      <c r="B1445" s="98" t="e">
        <f>VLOOKUP([2]!Table27[[#This Row],[Location 
(drop-down)]],'[2]List source'!D$2:E$59,2,FALSE)</f>
        <v>#VALUE!</v>
      </c>
      <c r="C1445" s="99" t="s">
        <v>4343</v>
      </c>
      <c r="D1445" s="100" t="e">
        <f t="shared" si="44"/>
        <v>#VALUE!</v>
      </c>
      <c r="E1445" s="23" t="s">
        <v>4344</v>
      </c>
      <c r="F1445" s="107" t="s">
        <v>1769</v>
      </c>
      <c r="G1445"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5" s="107">
        <v>2.06</v>
      </c>
      <c r="I1445" s="67">
        <v>45688</v>
      </c>
      <c r="J1445" s="67" t="s">
        <v>34</v>
      </c>
      <c r="K1445" s="68">
        <v>45688</v>
      </c>
      <c r="L1445" s="69" t="s">
        <v>1562</v>
      </c>
      <c r="M1445" s="66" t="str">
        <f t="shared" ca="1" si="46"/>
        <v>CLOSED</v>
      </c>
    </row>
    <row r="1446" spans="1:13" ht="45">
      <c r="A1446" s="64" t="s">
        <v>311</v>
      </c>
      <c r="B1446" s="98" t="e">
        <f>VLOOKUP([2]!Table27[[#This Row],[Location 
(drop-down)]],'[2]List source'!D$2:E$59,2,FALSE)</f>
        <v>#VALUE!</v>
      </c>
      <c r="C1446" s="99" t="s">
        <v>4345</v>
      </c>
      <c r="D1446" s="100" t="e">
        <f t="shared" si="44"/>
        <v>#VALUE!</v>
      </c>
      <c r="E1446" s="23" t="s">
        <v>4346</v>
      </c>
      <c r="F1446" s="107" t="s">
        <v>1769</v>
      </c>
      <c r="G1446"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6" s="108" t="s">
        <v>1806</v>
      </c>
      <c r="I1446" s="67">
        <v>45688</v>
      </c>
      <c r="J1446" s="67" t="s">
        <v>34</v>
      </c>
      <c r="K1446" s="68">
        <v>45714</v>
      </c>
      <c r="L1446" s="69" t="s">
        <v>1505</v>
      </c>
      <c r="M1446" s="66" t="str">
        <f t="shared" ca="1" si="46"/>
        <v>CLOSED</v>
      </c>
    </row>
    <row r="1447" spans="1:13" ht="90">
      <c r="A1447" s="64" t="s">
        <v>167</v>
      </c>
      <c r="B1447" s="98" t="e">
        <f>VLOOKUP([2]!Table27[[#This Row],[Location 
(drop-down)]],'[2]List source'!D$2:E$59,2,FALSE)</f>
        <v>#VALUE!</v>
      </c>
      <c r="C1447" s="99" t="s">
        <v>4347</v>
      </c>
      <c r="D1447" s="100" t="e">
        <f t="shared" si="44"/>
        <v>#VALUE!</v>
      </c>
      <c r="E1447" s="23" t="s">
        <v>4348</v>
      </c>
      <c r="F1447" s="107" t="s">
        <v>1769</v>
      </c>
      <c r="G1447"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7" s="108" t="s">
        <v>1679</v>
      </c>
      <c r="I1447" s="67">
        <v>45688</v>
      </c>
      <c r="J1447" s="67" t="s">
        <v>34</v>
      </c>
      <c r="K1447" s="68">
        <v>45688</v>
      </c>
      <c r="L1447" s="69" t="s">
        <v>1562</v>
      </c>
      <c r="M1447" s="66" t="str">
        <f t="shared" ca="1" si="46"/>
        <v>CLOSED</v>
      </c>
    </row>
    <row r="1448" spans="1:13" ht="90">
      <c r="A1448" s="64" t="s">
        <v>500</v>
      </c>
      <c r="B1448" s="98" t="e">
        <f>VLOOKUP([2]!Table27[[#This Row],[Location 
(drop-down)]],'[2]List source'!D$2:E$59,2,FALSE)</f>
        <v>#VALUE!</v>
      </c>
      <c r="C1448" s="99" t="s">
        <v>4349</v>
      </c>
      <c r="D1448" s="100" t="e">
        <f t="shared" si="44"/>
        <v>#VALUE!</v>
      </c>
      <c r="E1448" s="23" t="s">
        <v>4350</v>
      </c>
      <c r="F1448" s="107" t="s">
        <v>1769</v>
      </c>
      <c r="G1448"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8" s="108" t="s">
        <v>3374</v>
      </c>
      <c r="I1448" s="67">
        <v>45688</v>
      </c>
      <c r="J1448" s="67" t="s">
        <v>34</v>
      </c>
      <c r="K1448" s="68">
        <v>45688</v>
      </c>
      <c r="L1448" s="69" t="s">
        <v>1562</v>
      </c>
      <c r="M1448" s="66" t="str">
        <f t="shared" ca="1" si="46"/>
        <v>CLOSED</v>
      </c>
    </row>
    <row r="1449" spans="1:13" ht="45">
      <c r="A1449" s="64" t="s">
        <v>500</v>
      </c>
      <c r="B1449" s="98" t="e">
        <f>VLOOKUP([2]!Table27[[#This Row],[Location 
(drop-down)]],'[2]List source'!D$2:E$59,2,FALSE)</f>
        <v>#VALUE!</v>
      </c>
      <c r="C1449" s="99" t="s">
        <v>4351</v>
      </c>
      <c r="D1449" s="100" t="e">
        <f t="shared" si="44"/>
        <v>#VALUE!</v>
      </c>
      <c r="E1449" s="23" t="s">
        <v>4352</v>
      </c>
      <c r="F1449" s="107" t="s">
        <v>1769</v>
      </c>
      <c r="G1449"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49" s="108" t="s">
        <v>4353</v>
      </c>
      <c r="I1449" s="67">
        <v>45688</v>
      </c>
      <c r="J1449" s="67" t="s">
        <v>34</v>
      </c>
      <c r="K1449" s="68">
        <v>45691</v>
      </c>
      <c r="L1449" s="69" t="s">
        <v>1505</v>
      </c>
      <c r="M1449" s="66" t="str">
        <f t="shared" ca="1" si="46"/>
        <v>CLOSED</v>
      </c>
    </row>
    <row r="1450" spans="1:13" ht="90">
      <c r="A1450" s="64" t="s">
        <v>156</v>
      </c>
      <c r="B1450" s="98" t="e">
        <f>VLOOKUP([2]!Table27[[#This Row],[Location 
(drop-down)]],'[2]List source'!D$2:E$59,2,FALSE)</f>
        <v>#VALUE!</v>
      </c>
      <c r="C1450" s="99" t="s">
        <v>4354</v>
      </c>
      <c r="D1450" s="100" t="e">
        <f t="shared" si="44"/>
        <v>#VALUE!</v>
      </c>
      <c r="E1450" s="81" t="s">
        <v>4355</v>
      </c>
      <c r="F1450" s="109" t="e" cm="1" vm="1">
        <f t="array" aca="1" ref="F145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0" s="81"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0" s="430" t="s">
        <v>2004</v>
      </c>
      <c r="I1450" s="67">
        <v>45688</v>
      </c>
      <c r="J1450" s="67" t="s">
        <v>34</v>
      </c>
      <c r="K1450" s="68">
        <v>45688</v>
      </c>
      <c r="L1450" s="69" t="s">
        <v>1562</v>
      </c>
      <c r="M1450" s="66" t="str">
        <f t="shared" ca="1" si="46"/>
        <v>CLOSED</v>
      </c>
    </row>
    <row r="1451" spans="1:13" ht="30">
      <c r="A1451" s="64" t="s">
        <v>39</v>
      </c>
      <c r="B1451" s="98" t="e">
        <f>VLOOKUP([2]!Table27[[#This Row],[Location 
(drop-down)]],'[2]List source'!D$2:E$59,2,FALSE)</f>
        <v>#VALUE!</v>
      </c>
      <c r="C1451" s="99" t="s">
        <v>4356</v>
      </c>
      <c r="D1451" s="100" t="e">
        <f t="shared" si="44"/>
        <v>#VALUE!</v>
      </c>
      <c r="E1451" s="81" t="s">
        <v>4357</v>
      </c>
      <c r="F1451" s="109" t="e" cm="1" vm="1">
        <f t="array" aca="1" ref="F145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1" s="81"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1" s="430" t="s">
        <v>3402</v>
      </c>
      <c r="I1451" s="67">
        <v>45688</v>
      </c>
      <c r="J1451" s="67" t="s">
        <v>130</v>
      </c>
      <c r="K1451" s="68">
        <v>45772</v>
      </c>
      <c r="L1451" s="69"/>
      <c r="M1451" s="66" t="str">
        <f t="shared" ca="1" si="46"/>
        <v>CLOSED</v>
      </c>
    </row>
    <row r="1452" spans="1:13" ht="30">
      <c r="A1452" s="64" t="s">
        <v>39</v>
      </c>
      <c r="B1452" s="98" t="e">
        <f>VLOOKUP([2]!Table27[[#This Row],[Location 
(drop-down)]],'[2]List source'!D$2:E$59,2,FALSE)</f>
        <v>#VALUE!</v>
      </c>
      <c r="C1452" s="99" t="s">
        <v>4358</v>
      </c>
      <c r="D1452" s="100" t="e">
        <f t="shared" si="44"/>
        <v>#VALUE!</v>
      </c>
      <c r="E1452" s="64" t="s">
        <v>4359</v>
      </c>
      <c r="F1452" s="66" t="e" cm="1" vm="1">
        <f t="array" aca="1" ref="F145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2" s="66">
        <v>5.53</v>
      </c>
      <c r="I1452" s="67">
        <v>45688</v>
      </c>
      <c r="J1452" s="67" t="s">
        <v>239</v>
      </c>
      <c r="K1452" s="68">
        <v>45898</v>
      </c>
      <c r="L1452" s="69"/>
      <c r="M1452" s="66" t="str">
        <f t="shared" ca="1" si="46"/>
        <v>CLOSED</v>
      </c>
    </row>
    <row r="1453" spans="1:13" ht="45">
      <c r="A1453" s="64" t="s">
        <v>125</v>
      </c>
      <c r="B1453" s="98" t="e">
        <f>VLOOKUP([2]!Table27[[#This Row],[Location 
(drop-down)]],'[2]List source'!D$2:E$59,2,FALSE)</f>
        <v>#VALUE!</v>
      </c>
      <c r="C1453" s="99" t="s">
        <v>4360</v>
      </c>
      <c r="D1453" s="100" t="e">
        <f t="shared" si="44"/>
        <v>#VALUE!</v>
      </c>
      <c r="E1453" s="64" t="s">
        <v>4361</v>
      </c>
      <c r="F1453" s="66" t="e" cm="1" vm="1">
        <f t="array" aca="1" ref="F145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3" s="66">
        <v>2.58</v>
      </c>
      <c r="I1453" s="67">
        <v>45688</v>
      </c>
      <c r="J1453" s="67" t="s">
        <v>34</v>
      </c>
      <c r="K1453" s="68">
        <v>45698</v>
      </c>
      <c r="L1453" s="69" t="s">
        <v>1505</v>
      </c>
      <c r="M1453" s="66" t="str">
        <f t="shared" ca="1" si="46"/>
        <v>CLOSED</v>
      </c>
    </row>
    <row r="1454" spans="1:13" ht="30">
      <c r="A1454" s="64" t="s">
        <v>185</v>
      </c>
      <c r="B1454" s="98" t="e">
        <f>VLOOKUP([2]!Table27[[#This Row],[Location 
(drop-down)]],'[2]List source'!D$2:E$59,2,FALSE)</f>
        <v>#VALUE!</v>
      </c>
      <c r="C1454" s="99" t="s">
        <v>4362</v>
      </c>
      <c r="D1454" s="100" t="e">
        <f t="shared" si="44"/>
        <v>#VALUE!</v>
      </c>
      <c r="E1454" s="64" t="s">
        <v>4363</v>
      </c>
      <c r="F1454" s="66" t="e" cm="1" vm="1">
        <f t="array" aca="1" ref="F145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4" s="66">
        <v>2.1</v>
      </c>
      <c r="I1454" s="67">
        <v>45688</v>
      </c>
      <c r="J1454" s="67"/>
      <c r="K1454" s="68"/>
      <c r="L1454" s="69"/>
      <c r="M1454" s="66">
        <f t="shared" ca="1" si="46"/>
        <v>390</v>
      </c>
    </row>
    <row r="1455" spans="1:13" ht="90">
      <c r="A1455" s="64" t="s">
        <v>185</v>
      </c>
      <c r="B1455" s="98" t="e">
        <f>VLOOKUP([2]!Table27[[#This Row],[Location 
(drop-down)]],'[2]List source'!D$2:E$59,2,FALSE)</f>
        <v>#VALUE!</v>
      </c>
      <c r="C1455" s="99" t="s">
        <v>4364</v>
      </c>
      <c r="D1455" s="100" t="e">
        <f t="shared" si="44"/>
        <v>#VALUE!</v>
      </c>
      <c r="E1455" s="64" t="s">
        <v>4365</v>
      </c>
      <c r="F1455" s="66" t="e" cm="1" vm="1">
        <f t="array" aca="1" ref="F145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5" s="66">
        <v>2.67</v>
      </c>
      <c r="I1455" s="67">
        <v>45688</v>
      </c>
      <c r="J1455" s="67" t="s">
        <v>34</v>
      </c>
      <c r="K1455" s="68">
        <v>45688</v>
      </c>
      <c r="L1455" s="69" t="s">
        <v>1562</v>
      </c>
      <c r="M1455" s="66" t="str">
        <f t="shared" ca="1" si="46"/>
        <v>CLOSED</v>
      </c>
    </row>
    <row r="1456" spans="1:13" ht="90">
      <c r="A1456" s="64" t="s">
        <v>64</v>
      </c>
      <c r="B1456" s="98" t="e">
        <f>VLOOKUP([2]!Table27[[#This Row],[Location 
(drop-down)]],'[2]List source'!D$2:E$59,2,FALSE)</f>
        <v>#VALUE!</v>
      </c>
      <c r="C1456" s="99" t="s">
        <v>4366</v>
      </c>
      <c r="D1456" s="100" t="e">
        <f t="shared" si="44"/>
        <v>#VALUE!</v>
      </c>
      <c r="E1456" s="64" t="s">
        <v>4367</v>
      </c>
      <c r="F1456" s="66" t="e" cm="1" vm="1">
        <f t="array" aca="1" ref="F145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6" s="66">
        <v>2.2999999999999998</v>
      </c>
      <c r="I1456" s="67">
        <v>45688</v>
      </c>
      <c r="J1456" s="67" t="s">
        <v>34</v>
      </c>
      <c r="K1456" s="68">
        <v>45688</v>
      </c>
      <c r="L1456" s="69" t="s">
        <v>1562</v>
      </c>
      <c r="M1456" s="66" t="str">
        <f t="shared" ca="1" si="46"/>
        <v>CLOSED</v>
      </c>
    </row>
    <row r="1457" spans="1:13" ht="30">
      <c r="A1457" s="64" t="s">
        <v>500</v>
      </c>
      <c r="B1457" s="98" t="e">
        <f>VLOOKUP([2]!Table27[[#This Row],[Location 
(drop-down)]],'[2]List source'!D$2:E$59,2,FALSE)</f>
        <v>#VALUE!</v>
      </c>
      <c r="C1457" s="99" t="s">
        <v>4368</v>
      </c>
      <c r="D1457" s="100" t="e">
        <f t="shared" si="44"/>
        <v>#VALUE!</v>
      </c>
      <c r="E1457" s="64" t="s">
        <v>4369</v>
      </c>
      <c r="F1457" s="66" t="e" cm="1" vm="1">
        <f t="array" aca="1" ref="F145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7" s="110" t="s">
        <v>1778</v>
      </c>
      <c r="I1457" s="67">
        <v>45688</v>
      </c>
      <c r="J1457" s="67" t="s">
        <v>310</v>
      </c>
      <c r="K1457" s="68">
        <v>45807</v>
      </c>
      <c r="L1457" s="69"/>
      <c r="M1457" s="66" t="str">
        <f t="shared" ca="1" si="46"/>
        <v>CLOSED</v>
      </c>
    </row>
    <row r="1458" spans="1:13" ht="30">
      <c r="A1458" s="64" t="s">
        <v>500</v>
      </c>
      <c r="B1458" s="98" t="e">
        <f>VLOOKUP([2]!Table27[[#This Row],[Location 
(drop-down)]],'[2]List source'!D$2:E$59,2,FALSE)</f>
        <v>#VALUE!</v>
      </c>
      <c r="C1458" s="99" t="s">
        <v>4370</v>
      </c>
      <c r="D1458" s="163" t="e">
        <f t="shared" si="44"/>
        <v>#VALUE!</v>
      </c>
      <c r="E1458" s="64" t="s">
        <v>4371</v>
      </c>
      <c r="F1458" s="66" t="e" cm="1" vm="1">
        <f t="array" aca="1" ref="F145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8" s="110" t="s">
        <v>2012</v>
      </c>
      <c r="I1458" s="67">
        <v>45688</v>
      </c>
      <c r="J1458" s="67" t="s">
        <v>310</v>
      </c>
      <c r="K1458" s="68">
        <v>45807</v>
      </c>
      <c r="L1458" s="69"/>
      <c r="M1458" s="66" t="str">
        <f t="shared" ca="1" si="46"/>
        <v>CLOSED</v>
      </c>
    </row>
    <row r="1459" spans="1:13" ht="90">
      <c r="A1459" s="64" t="s">
        <v>114</v>
      </c>
      <c r="B1459" s="98" t="e">
        <f>VLOOKUP([2]!Table27[[#This Row],[Location 
(drop-down)]],'[2]List source'!D$2:E$59,2,FALSE)</f>
        <v>#VALUE!</v>
      </c>
      <c r="C1459" s="99" t="s">
        <v>4372</v>
      </c>
      <c r="D1459" s="100" t="e">
        <f t="shared" si="44"/>
        <v>#VALUE!</v>
      </c>
      <c r="E1459" s="64" t="s">
        <v>4373</v>
      </c>
      <c r="F1459" s="66" t="e" cm="1" vm="1">
        <f t="array" aca="1" ref="F145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59" s="66">
        <v>2.06</v>
      </c>
      <c r="I1459" s="67">
        <v>45688</v>
      </c>
      <c r="J1459" s="67" t="s">
        <v>34</v>
      </c>
      <c r="K1459" s="68">
        <v>45688</v>
      </c>
      <c r="L1459" s="69" t="s">
        <v>1562</v>
      </c>
      <c r="M1459" s="66" t="str">
        <f t="shared" ca="1" si="46"/>
        <v>CLOSED</v>
      </c>
    </row>
    <row r="1460" spans="1:13" ht="30">
      <c r="A1460" s="64" t="s">
        <v>167</v>
      </c>
      <c r="B1460" s="98" t="e">
        <f>VLOOKUP([2]!Table27[[#This Row],[Location 
(drop-down)]],'[2]List source'!D$2:E$59,2,FALSE)</f>
        <v>#VALUE!</v>
      </c>
      <c r="C1460" s="99" t="s">
        <v>4374</v>
      </c>
      <c r="D1460" s="100" t="e">
        <f t="shared" si="44"/>
        <v>#VALUE!</v>
      </c>
      <c r="E1460" s="64" t="s">
        <v>4375</v>
      </c>
      <c r="F1460" s="66" t="e" cm="1" vm="1">
        <f t="array" aca="1" ref="F14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0" s="110" t="s">
        <v>1816</v>
      </c>
      <c r="I1460" s="67">
        <v>45688</v>
      </c>
      <c r="J1460" s="67" t="s">
        <v>310</v>
      </c>
      <c r="K1460" s="68">
        <v>45882</v>
      </c>
      <c r="L1460" s="69"/>
      <c r="M1460" s="66" t="str">
        <f t="shared" ca="1" si="46"/>
        <v>CLOSED</v>
      </c>
    </row>
    <row r="1461" spans="1:13" ht="90">
      <c r="A1461" s="64" t="s">
        <v>591</v>
      </c>
      <c r="B1461" s="98" t="e">
        <f>VLOOKUP([2]!Table27[[#This Row],[Location 
(drop-down)]],'[2]List source'!D$2:E$59,2,FALSE)</f>
        <v>#VALUE!</v>
      </c>
      <c r="C1461" s="99" t="s">
        <v>4376</v>
      </c>
      <c r="D1461" s="100" t="e">
        <f t="shared" si="44"/>
        <v>#VALUE!</v>
      </c>
      <c r="E1461" s="64" t="s">
        <v>4377</v>
      </c>
      <c r="F1461" s="66" t="s">
        <v>1520</v>
      </c>
      <c r="G14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1" s="110" t="s">
        <v>3415</v>
      </c>
      <c r="I1461" s="67">
        <v>45693</v>
      </c>
      <c r="J1461" s="67" t="s">
        <v>34</v>
      </c>
      <c r="K1461" s="68">
        <v>45693</v>
      </c>
      <c r="L1461" s="69" t="s">
        <v>1562</v>
      </c>
      <c r="M1461" s="66" t="str">
        <f t="shared" ca="1" si="46"/>
        <v>CLOSED</v>
      </c>
    </row>
    <row r="1462" spans="1:13" ht="90">
      <c r="A1462" s="64" t="s">
        <v>432</v>
      </c>
      <c r="B1462" s="98" t="e">
        <f>VLOOKUP([2]!Table27[[#This Row],[Location 
(drop-down)]],'[2]List source'!D$2:E$59,2,FALSE)</f>
        <v>#VALUE!</v>
      </c>
      <c r="C1462" s="99" t="s">
        <v>4378</v>
      </c>
      <c r="D1462" s="100" t="e">
        <f t="shared" si="44"/>
        <v>#VALUE!</v>
      </c>
      <c r="E1462" s="64" t="s">
        <v>4379</v>
      </c>
      <c r="F1462" s="66" t="e" cm="1" vm="1">
        <f t="array" aca="1" ref="F14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2" s="66">
        <v>2.67</v>
      </c>
      <c r="I1462" s="73">
        <v>45698</v>
      </c>
      <c r="J1462" s="67" t="s">
        <v>34</v>
      </c>
      <c r="K1462" s="68">
        <v>45698</v>
      </c>
      <c r="L1462" s="69" t="s">
        <v>1562</v>
      </c>
      <c r="M1462" s="66" t="str">
        <f t="shared" ca="1" si="46"/>
        <v>CLOSED</v>
      </c>
    </row>
    <row r="1463" spans="1:13" ht="90">
      <c r="A1463" s="64" t="s">
        <v>432</v>
      </c>
      <c r="B1463" s="98" t="e">
        <f>VLOOKUP([2]!Table27[[#This Row],[Location 
(drop-down)]],'[2]List source'!D$2:E$59,2,FALSE)</f>
        <v>#VALUE!</v>
      </c>
      <c r="C1463" s="99" t="s">
        <v>4380</v>
      </c>
      <c r="D1463" s="100" t="e">
        <f t="shared" si="44"/>
        <v>#VALUE!</v>
      </c>
      <c r="E1463" s="10" t="s">
        <v>4381</v>
      </c>
      <c r="F1463" s="11" t="e" cm="1" vm="1">
        <f t="array" aca="1" ref="F146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3" s="11">
        <v>2.12</v>
      </c>
      <c r="I1463" s="67">
        <v>45698</v>
      </c>
      <c r="J1463" s="67" t="s">
        <v>34</v>
      </c>
      <c r="K1463" s="68">
        <v>45698</v>
      </c>
      <c r="L1463" s="69" t="s">
        <v>1562</v>
      </c>
      <c r="M1463" s="66" t="str">
        <f t="shared" ca="1" si="46"/>
        <v>CLOSED</v>
      </c>
    </row>
    <row r="1464" spans="1:13" ht="90">
      <c r="A1464" s="64" t="s">
        <v>125</v>
      </c>
      <c r="B1464" s="98" t="e">
        <f>VLOOKUP([2]!Table27[[#This Row],[Location 
(drop-down)]],'[2]List source'!D$2:E$59,2,FALSE)</f>
        <v>#VALUE!</v>
      </c>
      <c r="C1464" s="99" t="s">
        <v>4382</v>
      </c>
      <c r="D1464" s="100" t="e">
        <f t="shared" si="44"/>
        <v>#VALUE!</v>
      </c>
      <c r="E1464" s="64" t="s">
        <v>4383</v>
      </c>
      <c r="F1464" s="66" t="e" cm="1" vm="1">
        <f t="array" aca="1" ref="F14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4" s="66" t="s">
        <v>4384</v>
      </c>
      <c r="I1464" s="67">
        <v>45698</v>
      </c>
      <c r="J1464" s="67" t="s">
        <v>34</v>
      </c>
      <c r="K1464" s="68">
        <v>45698</v>
      </c>
      <c r="L1464" s="69" t="s">
        <v>1562</v>
      </c>
      <c r="M1464" s="66" t="str">
        <f t="shared" ca="1" si="46"/>
        <v>CLOSED</v>
      </c>
    </row>
    <row r="1465" spans="1:13" ht="90">
      <c r="A1465" s="64" t="s">
        <v>30</v>
      </c>
      <c r="B1465" s="98" t="e">
        <f>VLOOKUP([2]!Table27[[#This Row],[Location 
(drop-down)]],'[2]List source'!D$2:E$59,2,FALSE)</f>
        <v>#VALUE!</v>
      </c>
      <c r="C1465" s="99" t="s">
        <v>4385</v>
      </c>
      <c r="D1465" s="100" t="e">
        <f t="shared" si="44"/>
        <v>#VALUE!</v>
      </c>
      <c r="E1465" s="111" t="s">
        <v>4386</v>
      </c>
      <c r="F1465" s="66" t="e" cm="1" vm="1">
        <f t="array" aca="1" ref="F146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5" s="66">
        <v>2.59</v>
      </c>
      <c r="I1465" s="67">
        <v>45698</v>
      </c>
      <c r="J1465" s="67" t="s">
        <v>34</v>
      </c>
      <c r="K1465" s="68">
        <v>45698</v>
      </c>
      <c r="L1465" s="69" t="s">
        <v>1562</v>
      </c>
      <c r="M1465" s="66" t="str">
        <f t="shared" ca="1" si="46"/>
        <v>CLOSED</v>
      </c>
    </row>
    <row r="1466" spans="1:13" ht="90">
      <c r="A1466" s="64" t="s">
        <v>30</v>
      </c>
      <c r="B1466" s="98" t="e">
        <f>VLOOKUP([2]!Table27[[#This Row],[Location 
(drop-down)]],'[2]List source'!D$2:E$59,2,FALSE)</f>
        <v>#VALUE!</v>
      </c>
      <c r="C1466" s="99" t="s">
        <v>4387</v>
      </c>
      <c r="D1466" s="100" t="e">
        <f t="shared" si="44"/>
        <v>#VALUE!</v>
      </c>
      <c r="E1466" s="64" t="s">
        <v>4388</v>
      </c>
      <c r="F1466" s="66" t="e" cm="1" vm="1">
        <f t="array" aca="1" ref="F14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6" s="66">
        <v>-2.4500000000000002</v>
      </c>
      <c r="I1466" s="67">
        <v>45698</v>
      </c>
      <c r="J1466" s="67" t="s">
        <v>34</v>
      </c>
      <c r="K1466" s="68">
        <v>45698</v>
      </c>
      <c r="L1466" s="69" t="s">
        <v>1562</v>
      </c>
      <c r="M1466" s="66" t="str">
        <f t="shared" ca="1" si="46"/>
        <v>CLOSED</v>
      </c>
    </row>
    <row r="1467" spans="1:13" ht="90">
      <c r="A1467" s="64" t="s">
        <v>53</v>
      </c>
      <c r="B1467" s="98" t="e">
        <f>VLOOKUP([2]!Table27[[#This Row],[Location 
(drop-down)]],'[2]List source'!D$2:E$59,2,FALSE)</f>
        <v>#VALUE!</v>
      </c>
      <c r="C1467" s="99" t="s">
        <v>4389</v>
      </c>
      <c r="D1467" s="100" t="e">
        <f t="shared" si="44"/>
        <v>#VALUE!</v>
      </c>
      <c r="E1467" s="64" t="s">
        <v>4390</v>
      </c>
      <c r="F1467" s="66" t="e" cm="1" vm="1">
        <f t="array" aca="1" ref="F14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7" s="66">
        <v>-2.0699999999999998</v>
      </c>
      <c r="I1467" s="67">
        <v>45698</v>
      </c>
      <c r="J1467" s="67" t="s">
        <v>34</v>
      </c>
      <c r="K1467" s="68">
        <v>45698</v>
      </c>
      <c r="L1467" s="69" t="s">
        <v>1562</v>
      </c>
      <c r="M1467" s="66" t="str">
        <f t="shared" ca="1" si="46"/>
        <v>CLOSED</v>
      </c>
    </row>
    <row r="1468" spans="1:13" ht="90">
      <c r="A1468" s="64" t="s">
        <v>500</v>
      </c>
      <c r="B1468" s="98" t="e">
        <f>VLOOKUP([2]!Table27[[#This Row],[Location 
(drop-down)]],'[2]List source'!D$2:E$59,2,FALSE)</f>
        <v>#VALUE!</v>
      </c>
      <c r="C1468" s="99" t="s">
        <v>4391</v>
      </c>
      <c r="D1468" s="100" t="e">
        <f t="shared" si="44"/>
        <v>#VALUE!</v>
      </c>
      <c r="E1468" s="64" t="s">
        <v>4392</v>
      </c>
      <c r="F1468" s="66" t="e" cm="1" vm="1">
        <f t="array" aca="1" ref="F14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8" s="66">
        <v>2.37</v>
      </c>
      <c r="I1468" s="67">
        <v>45698</v>
      </c>
      <c r="J1468" s="67" t="s">
        <v>34</v>
      </c>
      <c r="K1468" s="68">
        <v>45698</v>
      </c>
      <c r="L1468" s="69" t="s">
        <v>1562</v>
      </c>
      <c r="M1468" s="66" t="str">
        <f t="shared" ca="1" si="46"/>
        <v>CLOSED</v>
      </c>
    </row>
    <row r="1469" spans="1:13" ht="90">
      <c r="A1469" s="64" t="s">
        <v>500</v>
      </c>
      <c r="B1469" s="98" t="e">
        <f>VLOOKUP([2]!Table27[[#This Row],[Location 
(drop-down)]],'[2]List source'!D$2:E$59,2,FALSE)</f>
        <v>#VALUE!</v>
      </c>
      <c r="C1469" s="99" t="s">
        <v>4393</v>
      </c>
      <c r="D1469" s="100" t="e">
        <f t="shared" si="44"/>
        <v>#VALUE!</v>
      </c>
      <c r="E1469" s="112" t="s">
        <v>4394</v>
      </c>
      <c r="F1469" s="113" t="e" cm="1" vm="1">
        <f t="array" aca="1" ref="F146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69" s="112"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69" s="431" t="s">
        <v>4395</v>
      </c>
      <c r="I1469" s="67">
        <v>45698</v>
      </c>
      <c r="J1469" s="67" t="s">
        <v>34</v>
      </c>
      <c r="K1469" s="68">
        <v>45698</v>
      </c>
      <c r="L1469" s="69" t="s">
        <v>1562</v>
      </c>
      <c r="M1469" s="66" t="str">
        <f t="shared" ca="1" si="46"/>
        <v>CLOSED</v>
      </c>
    </row>
    <row r="1470" spans="1:13" ht="90">
      <c r="A1470" s="64" t="s">
        <v>314</v>
      </c>
      <c r="B1470" s="98" t="e">
        <f>VLOOKUP([2]!Table27[[#This Row],[Location 
(drop-down)]],'[2]List source'!D$2:E$59,2,FALSE)</f>
        <v>#VALUE!</v>
      </c>
      <c r="C1470" s="99" t="s">
        <v>4396</v>
      </c>
      <c r="D1470" s="100" t="e">
        <f t="shared" si="44"/>
        <v>#VALUE!</v>
      </c>
      <c r="E1470" s="64" t="s">
        <v>4397</v>
      </c>
      <c r="F1470" s="66" t="e" cm="1" vm="1">
        <f t="array" aca="1" ref="F147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0" s="66">
        <v>2.8</v>
      </c>
      <c r="I1470" s="67">
        <v>45700</v>
      </c>
      <c r="J1470" s="67" t="s">
        <v>34</v>
      </c>
      <c r="K1470" s="68">
        <v>45700</v>
      </c>
      <c r="L1470" s="69" t="s">
        <v>1562</v>
      </c>
      <c r="M1470" s="66" t="str">
        <f t="shared" ca="1" si="46"/>
        <v>CLOSED</v>
      </c>
    </row>
    <row r="1471" spans="1:13" ht="90">
      <c r="A1471" s="64" t="s">
        <v>53</v>
      </c>
      <c r="B1471" s="98" t="e">
        <f>VLOOKUP([2]!Table27[[#This Row],[Location 
(drop-down)]],'[2]List source'!D$2:E$59,2,FALSE)</f>
        <v>#VALUE!</v>
      </c>
      <c r="C1471" s="99" t="s">
        <v>4398</v>
      </c>
      <c r="D1471" s="100" t="e">
        <f t="shared" si="44"/>
        <v>#VALUE!</v>
      </c>
      <c r="E1471" s="64" t="s">
        <v>4399</v>
      </c>
      <c r="F1471" s="66" t="e" cm="1" vm="1">
        <f t="array" aca="1" ref="F147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1" s="110" t="s">
        <v>3418</v>
      </c>
      <c r="I1471" s="67">
        <v>45700</v>
      </c>
      <c r="J1471" s="67" t="s">
        <v>34</v>
      </c>
      <c r="K1471" s="68">
        <v>45700</v>
      </c>
      <c r="L1471" s="69" t="s">
        <v>1562</v>
      </c>
      <c r="M1471" s="66" t="str">
        <f t="shared" ca="1" si="46"/>
        <v>CLOSED</v>
      </c>
    </row>
    <row r="1472" spans="1:13" ht="90">
      <c r="A1472" s="64" t="s">
        <v>1334</v>
      </c>
      <c r="B1472" s="98" t="e">
        <f>VLOOKUP([2]!Table27[[#This Row],[Location 
(drop-down)]],'[2]List source'!D$2:E$59,2,FALSE)</f>
        <v>#VALUE!</v>
      </c>
      <c r="C1472" s="99" t="s">
        <v>4400</v>
      </c>
      <c r="D1472" s="100" t="e">
        <f t="shared" si="44"/>
        <v>#VALUE!</v>
      </c>
      <c r="E1472" s="176" t="s">
        <v>4401</v>
      </c>
      <c r="F1472" s="66" t="e" cm="1" vm="1">
        <f t="array" aca="1" ref="F147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2" s="110" t="s">
        <v>1679</v>
      </c>
      <c r="I1472" s="67">
        <v>45705</v>
      </c>
      <c r="J1472" s="67" t="s">
        <v>34</v>
      </c>
      <c r="K1472" s="68">
        <v>45705</v>
      </c>
      <c r="L1472" s="69" t="s">
        <v>1562</v>
      </c>
      <c r="M1472" s="66" t="str">
        <f t="shared" ca="1" si="46"/>
        <v>CLOSED</v>
      </c>
    </row>
    <row r="1473" spans="1:13" ht="90">
      <c r="A1473" s="64" t="s">
        <v>119</v>
      </c>
      <c r="B1473" s="98" t="e">
        <f>VLOOKUP([2]!Table27[[#This Row],[Location 
(drop-down)]],'[2]List source'!D$2:E$59,2,FALSE)</f>
        <v>#VALUE!</v>
      </c>
      <c r="C1473" s="99" t="s">
        <v>4402</v>
      </c>
      <c r="D1473" s="100" t="e">
        <f t="shared" si="44"/>
        <v>#VALUE!</v>
      </c>
      <c r="E1473" s="64" t="s">
        <v>4403</v>
      </c>
      <c r="F1473" s="66" t="e" cm="1" vm="1">
        <f t="array" aca="1" ref="F147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3" s="66" t="s">
        <v>4404</v>
      </c>
      <c r="I1473" s="67">
        <v>45705</v>
      </c>
      <c r="J1473" s="67" t="s">
        <v>34</v>
      </c>
      <c r="K1473" s="68">
        <v>45705</v>
      </c>
      <c r="L1473" s="69" t="s">
        <v>1562</v>
      </c>
      <c r="M1473" s="66" t="str">
        <f t="shared" ca="1" si="46"/>
        <v>CLOSED</v>
      </c>
    </row>
    <row r="1474" spans="1:13" ht="90">
      <c r="A1474" s="64" t="s">
        <v>64</v>
      </c>
      <c r="B1474" s="98" t="e">
        <f>VLOOKUP([2]!Table27[[#This Row],[Location 
(drop-down)]],'[2]List source'!D$2:E$59,2,FALSE)</f>
        <v>#VALUE!</v>
      </c>
      <c r="C1474" s="99" t="s">
        <v>4405</v>
      </c>
      <c r="D1474" s="100" t="e">
        <f t="shared" ref="D1474:D1537" si="47">"PTO" &amp; C1474 &amp; "-" &amp; B1474 &amp; "-" &amp; "23"</f>
        <v>#VALUE!</v>
      </c>
      <c r="E1474" s="64" t="s">
        <v>4406</v>
      </c>
      <c r="F1474" s="66" t="e" cm="1" vm="1">
        <f t="array" aca="1" ref="F147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4" s="66">
        <v>2.0099999999999998</v>
      </c>
      <c r="I1474" s="67">
        <v>45705</v>
      </c>
      <c r="J1474" s="67" t="s">
        <v>34</v>
      </c>
      <c r="K1474" s="68">
        <v>45705</v>
      </c>
      <c r="L1474" s="69" t="s">
        <v>1562</v>
      </c>
      <c r="M1474" s="66" t="str">
        <f t="shared" ca="1" si="46"/>
        <v>CLOSED</v>
      </c>
    </row>
    <row r="1475" spans="1:13" ht="90">
      <c r="A1475" s="64" t="s">
        <v>314</v>
      </c>
      <c r="B1475" s="98" t="e">
        <f>VLOOKUP([2]!Table27[[#This Row],[Location 
(drop-down)]],'[2]List source'!D$2:E$59,2,FALSE)</f>
        <v>#VALUE!</v>
      </c>
      <c r="C1475" s="99" t="s">
        <v>4407</v>
      </c>
      <c r="D1475" s="100" t="e">
        <f t="shared" si="47"/>
        <v>#VALUE!</v>
      </c>
      <c r="E1475" s="64" t="s">
        <v>4408</v>
      </c>
      <c r="F1475" s="66" t="e" cm="1" vm="1">
        <f t="array" aca="1" ref="F147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5" s="66">
        <v>2.36</v>
      </c>
      <c r="I1475" s="67">
        <v>45705</v>
      </c>
      <c r="J1475" s="67" t="s">
        <v>34</v>
      </c>
      <c r="K1475" s="68">
        <v>45705</v>
      </c>
      <c r="L1475" s="69" t="s">
        <v>1562</v>
      </c>
      <c r="M1475" s="66" t="str">
        <f t="shared" ca="1" si="46"/>
        <v>CLOSED</v>
      </c>
    </row>
    <row r="1476" spans="1:13" ht="90">
      <c r="A1476" s="64" t="s">
        <v>485</v>
      </c>
      <c r="B1476" s="98" t="e">
        <f>VLOOKUP([2]!Table27[[#This Row],[Location 
(drop-down)]],'[2]List source'!D$2:E$59,2,FALSE)</f>
        <v>#VALUE!</v>
      </c>
      <c r="C1476" s="99" t="s">
        <v>4409</v>
      </c>
      <c r="D1476" s="100" t="e">
        <f t="shared" si="47"/>
        <v>#VALUE!</v>
      </c>
      <c r="E1476" s="64" t="s">
        <v>4410</v>
      </c>
      <c r="F1476" s="66" t="e" cm="1" vm="1">
        <f t="array" aca="1" ref="F147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6" s="66">
        <v>2.23</v>
      </c>
      <c r="I1476" s="67">
        <v>45705</v>
      </c>
      <c r="J1476" s="67" t="s">
        <v>34</v>
      </c>
      <c r="K1476" s="68">
        <v>45705</v>
      </c>
      <c r="L1476" s="69" t="s">
        <v>1562</v>
      </c>
      <c r="M1476" s="66" t="str">
        <f t="shared" ca="1" si="46"/>
        <v>CLOSED</v>
      </c>
    </row>
    <row r="1477" spans="1:13" ht="45">
      <c r="A1477" s="64" t="s">
        <v>495</v>
      </c>
      <c r="B1477" s="98" t="e">
        <f>VLOOKUP([2]!Table27[[#This Row],[Location 
(drop-down)]],'[2]List source'!D$2:E$59,2,FALSE)</f>
        <v>#VALUE!</v>
      </c>
      <c r="C1477" s="99" t="s">
        <v>4411</v>
      </c>
      <c r="D1477" s="100" t="e">
        <f t="shared" si="47"/>
        <v>#VALUE!</v>
      </c>
      <c r="E1477" s="64" t="s">
        <v>4412</v>
      </c>
      <c r="F1477" s="66" t="e" cm="1" vm="1">
        <f t="array" aca="1" ref="F147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7" s="66">
        <v>2.31</v>
      </c>
      <c r="I1477" s="67">
        <v>45719</v>
      </c>
      <c r="J1477" s="67" t="s">
        <v>34</v>
      </c>
      <c r="K1477" s="68">
        <v>45719</v>
      </c>
      <c r="L1477" s="69" t="s">
        <v>1505</v>
      </c>
      <c r="M1477" s="66" t="str">
        <f t="shared" ca="1" si="46"/>
        <v>CLOSED</v>
      </c>
    </row>
    <row r="1478" spans="1:13" ht="45">
      <c r="A1478" s="64" t="s">
        <v>591</v>
      </c>
      <c r="B1478" s="98" t="e">
        <f>VLOOKUP([2]!Table27[[#This Row],[Location 
(drop-down)]],'[2]List source'!D$2:E$59,2,FALSE)</f>
        <v>#VALUE!</v>
      </c>
      <c r="C1478" s="99" t="s">
        <v>4413</v>
      </c>
      <c r="D1478" s="100" t="e">
        <f t="shared" si="47"/>
        <v>#VALUE!</v>
      </c>
      <c r="E1478" s="64" t="s">
        <v>4414</v>
      </c>
      <c r="F1478" s="66" t="e" cm="1" vm="1">
        <f t="array" aca="1" ref="F147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8" s="110" t="s">
        <v>4415</v>
      </c>
      <c r="I1478" s="67">
        <v>45719</v>
      </c>
      <c r="J1478" s="67" t="s">
        <v>34</v>
      </c>
      <c r="K1478" s="68">
        <v>45719</v>
      </c>
      <c r="L1478" s="69" t="s">
        <v>1505</v>
      </c>
      <c r="M1478" s="66" t="str">
        <f t="shared" ca="1" si="46"/>
        <v>CLOSED</v>
      </c>
    </row>
    <row r="1479" spans="1:13" ht="45">
      <c r="A1479" s="64" t="s">
        <v>399</v>
      </c>
      <c r="B1479" s="98" t="e">
        <f>VLOOKUP([2]!Table27[[#This Row],[Location 
(drop-down)]],'[2]List source'!D$2:E$59,2,FALSE)</f>
        <v>#VALUE!</v>
      </c>
      <c r="C1479" s="99" t="s">
        <v>4416</v>
      </c>
      <c r="D1479" s="100" t="e">
        <f t="shared" si="47"/>
        <v>#VALUE!</v>
      </c>
      <c r="E1479" s="70" t="s">
        <v>4417</v>
      </c>
      <c r="F1479" s="114" t="e" cm="1" vm="1">
        <f t="array" aca="1" ref="F147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79" s="7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79" s="114" t="s">
        <v>4418</v>
      </c>
      <c r="I1479" s="67">
        <v>45720</v>
      </c>
      <c r="J1479" s="67" t="s">
        <v>34</v>
      </c>
      <c r="K1479" s="68">
        <v>45720</v>
      </c>
      <c r="L1479" s="69" t="s">
        <v>1505</v>
      </c>
      <c r="M1479" s="66" t="str">
        <f t="shared" ca="1" si="46"/>
        <v>CLOSED</v>
      </c>
    </row>
    <row r="1480" spans="1:13" ht="45">
      <c r="A1480" s="64" t="s">
        <v>399</v>
      </c>
      <c r="B1480" s="98" t="e">
        <f>VLOOKUP([2]!Table27[[#This Row],[Location 
(drop-down)]],'[2]List source'!D$2:E$59,2,FALSE)</f>
        <v>#VALUE!</v>
      </c>
      <c r="C1480" s="99" t="s">
        <v>4419</v>
      </c>
      <c r="D1480" s="100" t="e">
        <f t="shared" si="47"/>
        <v>#VALUE!</v>
      </c>
      <c r="E1480" s="64" t="s">
        <v>4420</v>
      </c>
      <c r="F1480" s="66" t="e" cm="1" vm="1">
        <f t="array" aca="1" ref="F148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0" s="66">
        <v>2.52</v>
      </c>
      <c r="I1480" s="67">
        <v>45720</v>
      </c>
      <c r="J1480" s="67" t="s">
        <v>34</v>
      </c>
      <c r="K1480" s="68">
        <v>45720</v>
      </c>
      <c r="L1480" s="69" t="s">
        <v>1505</v>
      </c>
      <c r="M1480" s="66" t="str">
        <f t="shared" ca="1" si="46"/>
        <v>CLOSED</v>
      </c>
    </row>
    <row r="1481" spans="1:13" ht="60">
      <c r="A1481" s="64" t="s">
        <v>185</v>
      </c>
      <c r="B1481" s="98" t="e">
        <f>VLOOKUP([2]!Table27[[#This Row],[Location 
(drop-down)]],'[2]List source'!D$2:E$59,2,FALSE)</f>
        <v>#VALUE!</v>
      </c>
      <c r="C1481" s="99" t="s">
        <v>4421</v>
      </c>
      <c r="D1481" s="100" t="e">
        <f t="shared" si="47"/>
        <v>#VALUE!</v>
      </c>
      <c r="E1481" s="64" t="s">
        <v>4422</v>
      </c>
      <c r="F1481" s="66" t="e" cm="1" vm="1">
        <f t="array" aca="1" ref="F148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1" s="66">
        <v>3.76</v>
      </c>
      <c r="I1481" s="67">
        <v>45720</v>
      </c>
      <c r="J1481" s="67" t="s">
        <v>34</v>
      </c>
      <c r="K1481" s="68">
        <v>45720</v>
      </c>
      <c r="L1481" s="69" t="s">
        <v>1505</v>
      </c>
      <c r="M1481" s="66" t="str">
        <f t="shared" ca="1" si="46"/>
        <v>CLOSED</v>
      </c>
    </row>
    <row r="1482" spans="1:13" ht="45">
      <c r="A1482" s="64" t="s">
        <v>125</v>
      </c>
      <c r="B1482" s="98" t="e">
        <f>VLOOKUP([2]!Table27[[#This Row],[Location 
(drop-down)]],'[2]List source'!D$2:E$59,2,FALSE)</f>
        <v>#VALUE!</v>
      </c>
      <c r="C1482" s="99" t="s">
        <v>4423</v>
      </c>
      <c r="D1482" s="100" t="e">
        <f t="shared" si="47"/>
        <v>#VALUE!</v>
      </c>
      <c r="E1482" s="64" t="s">
        <v>4424</v>
      </c>
      <c r="F1482" s="66" t="e" cm="1" vm="1">
        <f t="array" aca="1" ref="F148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2" s="66">
        <v>22665.07</v>
      </c>
      <c r="I1482" s="67">
        <v>45721</v>
      </c>
      <c r="J1482" s="67" t="s">
        <v>34</v>
      </c>
      <c r="K1482" s="68">
        <v>45721</v>
      </c>
      <c r="L1482" s="69" t="s">
        <v>1505</v>
      </c>
      <c r="M1482" s="66" t="str">
        <f t="shared" ca="1" si="46"/>
        <v>CLOSED</v>
      </c>
    </row>
    <row r="1483" spans="1:13" ht="90">
      <c r="A1483" s="64" t="s">
        <v>156</v>
      </c>
      <c r="B1483" s="98" t="e">
        <f>VLOOKUP([2]!Table27[[#This Row],[Location 
(drop-down)]],'[2]List source'!D$2:E$59,2,FALSE)</f>
        <v>#VALUE!</v>
      </c>
      <c r="C1483" s="99" t="s">
        <v>4425</v>
      </c>
      <c r="D1483" s="100" t="e">
        <f t="shared" si="47"/>
        <v>#VALUE!</v>
      </c>
      <c r="E1483" s="64" t="s">
        <v>4426</v>
      </c>
      <c r="F1483" s="66" t="e" cm="1" vm="1">
        <f t="array" aca="1" ref="F148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3" s="110">
        <v>2.02</v>
      </c>
      <c r="I1483" s="67">
        <v>45733</v>
      </c>
      <c r="J1483" s="67" t="s">
        <v>34</v>
      </c>
      <c r="K1483" s="68">
        <v>45733</v>
      </c>
      <c r="L1483" s="69" t="s">
        <v>1562</v>
      </c>
      <c r="M1483" s="66" t="str">
        <f t="shared" ca="1" si="46"/>
        <v>CLOSED</v>
      </c>
    </row>
    <row r="1484" spans="1:13" ht="90">
      <c r="A1484" s="64" t="s">
        <v>314</v>
      </c>
      <c r="B1484" s="98" t="e">
        <f>VLOOKUP([2]!Table27[[#This Row],[Location 
(drop-down)]],'[2]List source'!D$2:E$59,2,FALSE)</f>
        <v>#VALUE!</v>
      </c>
      <c r="C1484" s="99" t="s">
        <v>4427</v>
      </c>
      <c r="D1484" s="100" t="e">
        <f t="shared" si="47"/>
        <v>#VALUE!</v>
      </c>
      <c r="E1484" s="64" t="s">
        <v>4428</v>
      </c>
      <c r="F1484" s="66" t="e" cm="1" vm="1">
        <f t="array" aca="1" ref="F148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4" s="66" t="s">
        <v>4429</v>
      </c>
      <c r="I1484" s="67">
        <v>45733</v>
      </c>
      <c r="J1484" s="67" t="s">
        <v>34</v>
      </c>
      <c r="K1484" s="68">
        <v>45733</v>
      </c>
      <c r="L1484" s="69" t="s">
        <v>1562</v>
      </c>
      <c r="M1484" s="66" t="str">
        <f t="shared" ca="1" si="46"/>
        <v>CLOSED</v>
      </c>
    </row>
    <row r="1485" spans="1:13" ht="90">
      <c r="A1485" s="64" t="s">
        <v>500</v>
      </c>
      <c r="B1485" s="98" t="e">
        <f>VLOOKUP([2]!Table27[[#This Row],[Location 
(drop-down)]],'[2]List source'!D$2:E$59,2,FALSE)</f>
        <v>#VALUE!</v>
      </c>
      <c r="C1485" s="99" t="s">
        <v>4430</v>
      </c>
      <c r="D1485" s="100" t="e">
        <f t="shared" si="47"/>
        <v>#VALUE!</v>
      </c>
      <c r="E1485" s="115" t="s">
        <v>4431</v>
      </c>
      <c r="F1485" s="18" t="e" cm="1" vm="1">
        <f t="array" aca="1" ref="F148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5" s="115"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5" s="293" t="s">
        <v>2012</v>
      </c>
      <c r="I1485" s="67">
        <v>45733</v>
      </c>
      <c r="J1485" s="67" t="s">
        <v>34</v>
      </c>
      <c r="K1485" s="68">
        <v>45733</v>
      </c>
      <c r="L1485" s="69" t="s">
        <v>1562</v>
      </c>
      <c r="M1485" s="66" t="str">
        <f t="shared" ca="1" si="46"/>
        <v>CLOSED</v>
      </c>
    </row>
    <row r="1486" spans="1:13" ht="90">
      <c r="A1486" s="64" t="s">
        <v>43</v>
      </c>
      <c r="B1486" s="98" t="e">
        <f>VLOOKUP([2]!Table27[[#This Row],[Location 
(drop-down)]],'[2]List source'!D$2:E$59,2,FALSE)</f>
        <v>#VALUE!</v>
      </c>
      <c r="C1486" s="99" t="s">
        <v>4432</v>
      </c>
      <c r="D1486" s="100" t="e">
        <f t="shared" si="47"/>
        <v>#VALUE!</v>
      </c>
      <c r="E1486" s="97" t="s">
        <v>4433</v>
      </c>
      <c r="F1486" s="106" t="e" cm="1" vm="1">
        <f t="array" aca="1" ref="F148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6" s="97"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6" s="102" t="s">
        <v>4434</v>
      </c>
      <c r="I1486" s="67">
        <v>45733</v>
      </c>
      <c r="J1486" s="67" t="s">
        <v>34</v>
      </c>
      <c r="K1486" s="68">
        <v>45733</v>
      </c>
      <c r="L1486" s="69" t="s">
        <v>1562</v>
      </c>
      <c r="M1486" s="66" t="str">
        <f t="shared" ca="1" si="46"/>
        <v>CLOSED</v>
      </c>
    </row>
    <row r="1487" spans="1:13" ht="45">
      <c r="A1487" s="64" t="s">
        <v>23</v>
      </c>
      <c r="B1487" s="98" t="e">
        <f>VLOOKUP([2]!Table27[[#This Row],[Location 
(drop-down)]],'[2]List source'!D$2:E$59,2,FALSE)</f>
        <v>#VALUE!</v>
      </c>
      <c r="C1487" s="99" t="s">
        <v>4435</v>
      </c>
      <c r="D1487" s="100" t="e">
        <f t="shared" si="47"/>
        <v>#VALUE!</v>
      </c>
      <c r="E1487" s="64" t="s">
        <v>4436</v>
      </c>
      <c r="F1487" s="66" t="e" cm="1" vm="1">
        <f t="array" aca="1" ref="F148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7" s="66">
        <v>3.05</v>
      </c>
      <c r="I1487" s="67">
        <v>45749</v>
      </c>
      <c r="J1487" s="67" t="s">
        <v>34</v>
      </c>
      <c r="K1487" s="68">
        <v>45749</v>
      </c>
      <c r="L1487" s="69" t="s">
        <v>1505</v>
      </c>
      <c r="M1487" s="66" t="str">
        <f t="shared" ca="1" si="46"/>
        <v>CLOSED</v>
      </c>
    </row>
    <row r="1488" spans="1:13" ht="90">
      <c r="A1488" s="64" t="s">
        <v>156</v>
      </c>
      <c r="B1488" s="98" t="e">
        <f>VLOOKUP([2]!Table27[[#This Row],[Location 
(drop-down)]],'[2]List source'!D$2:E$59,2,FALSE)</f>
        <v>#VALUE!</v>
      </c>
      <c r="C1488" s="99" t="s">
        <v>4437</v>
      </c>
      <c r="D1488" s="100" t="e">
        <f t="shared" si="47"/>
        <v>#VALUE!</v>
      </c>
      <c r="E1488" s="64" t="s">
        <v>4438</v>
      </c>
      <c r="F1488" s="66" t="e" cm="1" vm="1">
        <f t="array" aca="1" ref="F148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8" s="110" t="s">
        <v>2042</v>
      </c>
      <c r="I1488" s="67">
        <v>45755</v>
      </c>
      <c r="J1488" s="67" t="s">
        <v>34</v>
      </c>
      <c r="K1488" s="68">
        <v>45755</v>
      </c>
      <c r="L1488" s="69" t="s">
        <v>1562</v>
      </c>
      <c r="M1488" s="66" t="str">
        <f t="shared" ca="1" si="46"/>
        <v>CLOSED</v>
      </c>
    </row>
    <row r="1489" spans="1:13" ht="90">
      <c r="A1489" s="64" t="s">
        <v>103</v>
      </c>
      <c r="B1489" s="98" t="e">
        <f>VLOOKUP([2]!Table27[[#This Row],[Location 
(drop-down)]],'[2]List source'!D$2:E$59,2,FALSE)</f>
        <v>#VALUE!</v>
      </c>
      <c r="C1489" s="99" t="s">
        <v>4439</v>
      </c>
      <c r="D1489" s="100" t="e">
        <f t="shared" si="47"/>
        <v>#VALUE!</v>
      </c>
      <c r="E1489" s="26" t="s">
        <v>4440</v>
      </c>
      <c r="F1489" s="66" t="e" cm="1" vm="1">
        <f t="array" aca="1" ref="F148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89" s="432" t="s">
        <v>3374</v>
      </c>
      <c r="I1489" s="67">
        <v>45755</v>
      </c>
      <c r="J1489" s="67" t="s">
        <v>34</v>
      </c>
      <c r="K1489" s="68">
        <v>45755</v>
      </c>
      <c r="L1489" s="69" t="s">
        <v>1562</v>
      </c>
      <c r="M1489" s="66" t="str">
        <f t="shared" ca="1" si="46"/>
        <v>CLOSED</v>
      </c>
    </row>
    <row r="1490" spans="1:13" ht="90">
      <c r="A1490" s="64" t="s">
        <v>139</v>
      </c>
      <c r="B1490" s="98" t="e">
        <f>VLOOKUP([2]!Table27[[#This Row],[Location 
(drop-down)]],'[2]List source'!D$2:E$59,2,FALSE)</f>
        <v>#VALUE!</v>
      </c>
      <c r="C1490" s="99" t="s">
        <v>4441</v>
      </c>
      <c r="D1490" s="100" t="e">
        <f t="shared" si="47"/>
        <v>#VALUE!</v>
      </c>
      <c r="E1490" s="64" t="s">
        <v>4442</v>
      </c>
      <c r="F1490" s="66" t="e" cm="1" vm="1">
        <f t="array" aca="1" ref="F149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0" s="110" t="s">
        <v>2004</v>
      </c>
      <c r="I1490" s="67">
        <v>45755</v>
      </c>
      <c r="J1490" s="67" t="s">
        <v>34</v>
      </c>
      <c r="K1490" s="68">
        <v>45755</v>
      </c>
      <c r="L1490" s="69" t="s">
        <v>1562</v>
      </c>
      <c r="M1490" s="66" t="str">
        <f t="shared" ca="1" si="46"/>
        <v>CLOSED</v>
      </c>
    </row>
    <row r="1491" spans="1:13" ht="90">
      <c r="A1491" s="64" t="s">
        <v>344</v>
      </c>
      <c r="B1491" s="98" t="e">
        <f>VLOOKUP([2]!Table27[[#This Row],[Location 
(drop-down)]],'[2]List source'!D$2:E$59,2,FALSE)</f>
        <v>#VALUE!</v>
      </c>
      <c r="C1491" s="99" t="s">
        <v>4443</v>
      </c>
      <c r="D1491" s="100" t="e">
        <f t="shared" si="47"/>
        <v>#VALUE!</v>
      </c>
      <c r="E1491" s="64" t="s">
        <v>4444</v>
      </c>
      <c r="F1491" s="66" t="e" cm="1" vm="1">
        <f t="array" aca="1" ref="F149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1" s="110" t="s">
        <v>1778</v>
      </c>
      <c r="I1491" s="67">
        <v>45777</v>
      </c>
      <c r="J1491" s="67" t="s">
        <v>34</v>
      </c>
      <c r="K1491" s="67">
        <v>45777</v>
      </c>
      <c r="L1491" s="69" t="s">
        <v>1562</v>
      </c>
      <c r="M1491" s="66" t="str">
        <f t="shared" ca="1" si="46"/>
        <v>CLOSED</v>
      </c>
    </row>
    <row r="1492" spans="1:13" ht="90">
      <c r="A1492" s="64" t="s">
        <v>344</v>
      </c>
      <c r="B1492" s="98" t="e">
        <f>VLOOKUP([2]!Table27[[#This Row],[Location 
(drop-down)]],'[2]List source'!D$2:E$59,2,FALSE)</f>
        <v>#VALUE!</v>
      </c>
      <c r="C1492" s="99" t="s">
        <v>4445</v>
      </c>
      <c r="D1492" s="100" t="e">
        <f t="shared" si="47"/>
        <v>#VALUE!</v>
      </c>
      <c r="E1492" s="64" t="s">
        <v>4446</v>
      </c>
      <c r="F1492" s="66" t="e" cm="1" vm="1">
        <f t="array" aca="1" ref="F149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2" s="116" t="s">
        <v>2315</v>
      </c>
      <c r="I1492" s="67">
        <v>45777</v>
      </c>
      <c r="J1492" s="67" t="s">
        <v>34</v>
      </c>
      <c r="K1492" s="67">
        <v>45777</v>
      </c>
      <c r="L1492" s="69" t="s">
        <v>1562</v>
      </c>
      <c r="M1492" s="66" t="str">
        <f t="shared" ca="1" si="46"/>
        <v>CLOSED</v>
      </c>
    </row>
    <row r="1493" spans="1:13" ht="90">
      <c r="A1493" s="64" t="s">
        <v>202</v>
      </c>
      <c r="B1493" s="98" t="e">
        <f>VLOOKUP([2]!Table27[[#This Row],[Location 
(drop-down)]],'[2]List source'!D$2:E$59,2,FALSE)</f>
        <v>#VALUE!</v>
      </c>
      <c r="C1493" s="99" t="s">
        <v>4447</v>
      </c>
      <c r="D1493" s="100" t="e">
        <f t="shared" si="47"/>
        <v>#VALUE!</v>
      </c>
      <c r="E1493" s="64" t="s">
        <v>4448</v>
      </c>
      <c r="F1493" s="66" t="e" cm="1" vm="1">
        <f t="array" aca="1" ref="F149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3" s="110" t="s">
        <v>4449</v>
      </c>
      <c r="I1493" s="67">
        <v>45777</v>
      </c>
      <c r="J1493" s="67" t="s">
        <v>34</v>
      </c>
      <c r="K1493" s="67">
        <v>45777</v>
      </c>
      <c r="L1493" s="69" t="s">
        <v>1562</v>
      </c>
      <c r="M1493" s="66" t="str">
        <f t="shared" ca="1" si="46"/>
        <v>CLOSED</v>
      </c>
    </row>
    <row r="1494" spans="1:13" ht="30">
      <c r="A1494" s="64" t="s">
        <v>73</v>
      </c>
      <c r="B1494" s="98" t="e">
        <f>VLOOKUP([2]!Table27[[#This Row],[Location 
(drop-down)]],'[2]List source'!D$2:E$59,2,FALSE)</f>
        <v>#VALUE!</v>
      </c>
      <c r="C1494" s="99" t="s">
        <v>4450</v>
      </c>
      <c r="D1494" s="100" t="e">
        <f t="shared" si="47"/>
        <v>#VALUE!</v>
      </c>
      <c r="E1494" s="64" t="s">
        <v>4451</v>
      </c>
      <c r="F1494" s="66" t="e" cm="1" vm="1">
        <f t="array" aca="1" ref="F149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4" s="110" t="s">
        <v>4452</v>
      </c>
      <c r="I1494" s="67">
        <v>45786</v>
      </c>
      <c r="J1494" s="67" t="s">
        <v>327</v>
      </c>
      <c r="K1494" s="68">
        <v>45806</v>
      </c>
      <c r="L1494" s="69"/>
      <c r="M1494" s="66" t="str">
        <f t="shared" ca="1" si="46"/>
        <v>CLOSED</v>
      </c>
    </row>
    <row r="1495" spans="1:13" ht="30">
      <c r="A1495" s="64" t="s">
        <v>139</v>
      </c>
      <c r="B1495" s="98" t="e">
        <f>VLOOKUP([2]!Table27[[#This Row],[Location 
(drop-down)]],'[2]List source'!D$2:E$59,2,FALSE)</f>
        <v>#VALUE!</v>
      </c>
      <c r="C1495" s="99" t="s">
        <v>4453</v>
      </c>
      <c r="D1495" s="100" t="e">
        <f t="shared" si="47"/>
        <v>#VALUE!</v>
      </c>
      <c r="E1495" s="64" t="s">
        <v>4454</v>
      </c>
      <c r="F1495" s="66" t="e" cm="1" vm="1">
        <f t="array" aca="1" ref="F149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5" s="110" t="s">
        <v>2134</v>
      </c>
      <c r="I1495" s="67">
        <v>45786</v>
      </c>
      <c r="J1495" s="67" t="s">
        <v>310</v>
      </c>
      <c r="K1495" s="68">
        <v>45818</v>
      </c>
      <c r="L1495" s="69"/>
      <c r="M1495" s="66" t="str">
        <f t="shared" ca="1" si="46"/>
        <v>CLOSED</v>
      </c>
    </row>
    <row r="1496" spans="1:13" ht="30">
      <c r="A1496" s="64" t="s">
        <v>139</v>
      </c>
      <c r="B1496" s="98" t="e">
        <f>VLOOKUP([2]!Table27[[#This Row],[Location 
(drop-down)]],'[2]List source'!D$2:E$59,2,FALSE)</f>
        <v>#VALUE!</v>
      </c>
      <c r="C1496" s="99" t="s">
        <v>4455</v>
      </c>
      <c r="D1496" s="100" t="e">
        <f t="shared" si="47"/>
        <v>#VALUE!</v>
      </c>
      <c r="E1496" s="64" t="s">
        <v>4456</v>
      </c>
      <c r="F1496" s="66" t="e" cm="1" vm="1">
        <f t="array" aca="1" ref="F149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6" s="66">
        <v>2.16</v>
      </c>
      <c r="I1496" s="67">
        <v>45786</v>
      </c>
      <c r="J1496" s="67" t="s">
        <v>310</v>
      </c>
      <c r="K1496" s="68">
        <v>45818</v>
      </c>
      <c r="L1496" s="69"/>
      <c r="M1496" s="66" t="str">
        <f t="shared" ca="1" si="46"/>
        <v>CLOSED</v>
      </c>
    </row>
    <row r="1497" spans="1:13" ht="30">
      <c r="A1497" s="64" t="s">
        <v>43</v>
      </c>
      <c r="B1497" s="98" t="e">
        <f>VLOOKUP([2]!Table27[[#This Row],[Location 
(drop-down)]],'[2]List source'!D$2:E$59,2,FALSE)</f>
        <v>#VALUE!</v>
      </c>
      <c r="C1497" s="99" t="s">
        <v>4457</v>
      </c>
      <c r="D1497" s="100" t="e">
        <f t="shared" si="47"/>
        <v>#VALUE!</v>
      </c>
      <c r="E1497" s="64" t="s">
        <v>4458</v>
      </c>
      <c r="F1497" s="66" t="e" cm="1" vm="1">
        <f t="array" aca="1" ref="F149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7" s="110" t="s">
        <v>4459</v>
      </c>
      <c r="I1497" s="67">
        <v>45786</v>
      </c>
      <c r="J1497" s="67" t="s">
        <v>108</v>
      </c>
      <c r="K1497" s="68">
        <v>45879</v>
      </c>
      <c r="L1497" s="69"/>
      <c r="M1497" s="66" t="str">
        <f t="shared" ca="1" si="46"/>
        <v>CLOSED</v>
      </c>
    </row>
    <row r="1498" spans="1:13" ht="45">
      <c r="A1498" s="64" t="s">
        <v>39</v>
      </c>
      <c r="B1498" s="98" t="e">
        <f>VLOOKUP([2]!Table27[[#This Row],[Location 
(drop-down)]],'[2]List source'!D$2:E$59,2,FALSE)</f>
        <v>#VALUE!</v>
      </c>
      <c r="C1498" s="99" t="s">
        <v>4460</v>
      </c>
      <c r="D1498" s="100" t="e">
        <f t="shared" si="47"/>
        <v>#VALUE!</v>
      </c>
      <c r="E1498" s="64" t="s">
        <v>4461</v>
      </c>
      <c r="F1498" s="66" t="e" cm="1" vm="1">
        <f t="array" aca="1" ref="F149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8" s="110" t="s">
        <v>4462</v>
      </c>
      <c r="I1498" s="67">
        <v>45793</v>
      </c>
      <c r="J1498" s="67" t="s">
        <v>239</v>
      </c>
      <c r="K1498" s="68">
        <v>45869</v>
      </c>
      <c r="L1498" s="69"/>
      <c r="M1498" s="66" t="str">
        <f t="shared" ca="1" si="46"/>
        <v>CLOSED</v>
      </c>
    </row>
    <row r="1499" spans="1:13" ht="60">
      <c r="A1499" s="64" t="s">
        <v>432</v>
      </c>
      <c r="B1499" s="98" t="e">
        <f>VLOOKUP([2]!Table27[[#This Row],[Location 
(drop-down)]],'[2]List source'!D$2:E$59,2,FALSE)</f>
        <v>#VALUE!</v>
      </c>
      <c r="C1499" s="99" t="s">
        <v>4463</v>
      </c>
      <c r="D1499" s="100" t="e">
        <f t="shared" si="47"/>
        <v>#VALUE!</v>
      </c>
      <c r="E1499" s="64" t="s">
        <v>4464</v>
      </c>
      <c r="F1499" s="66" t="e" cm="1" vm="1">
        <f t="array" aca="1" ref="F149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4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499" s="66">
        <v>18.7</v>
      </c>
      <c r="I1499" s="67">
        <v>45793</v>
      </c>
      <c r="J1499" s="67" t="s">
        <v>108</v>
      </c>
      <c r="K1499" s="68">
        <v>45839</v>
      </c>
      <c r="L1499" s="69" t="s">
        <v>4465</v>
      </c>
      <c r="M1499" s="66" t="str">
        <f t="shared" ca="1" si="46"/>
        <v>CLOSED</v>
      </c>
    </row>
    <row r="1500" spans="1:13" ht="30">
      <c r="A1500" s="64" t="s">
        <v>462</v>
      </c>
      <c r="B1500" s="98" t="e">
        <f>VLOOKUP([2]!Table27[[#This Row],[Location 
(drop-down)]],'[2]List source'!D$2:E$59,2,FALSE)</f>
        <v>#VALUE!</v>
      </c>
      <c r="C1500" s="99" t="s">
        <v>4466</v>
      </c>
      <c r="D1500" s="100" t="e">
        <f t="shared" si="47"/>
        <v>#VALUE!</v>
      </c>
      <c r="E1500" s="64" t="s">
        <v>4467</v>
      </c>
      <c r="F1500" s="66" t="e" cm="1" vm="1">
        <f t="array" aca="1" ref="F150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0" s="116" t="s">
        <v>4468</v>
      </c>
      <c r="I1500" s="67">
        <v>45793</v>
      </c>
      <c r="J1500" s="67" t="s">
        <v>29</v>
      </c>
      <c r="K1500" s="68">
        <v>45797</v>
      </c>
      <c r="L1500" s="69"/>
      <c r="M1500" s="66" t="str">
        <f t="shared" ca="1" si="46"/>
        <v>CLOSED</v>
      </c>
    </row>
    <row r="1501" spans="1:13" ht="90">
      <c r="A1501" s="64" t="s">
        <v>462</v>
      </c>
      <c r="B1501" s="98" t="e">
        <f>VLOOKUP([2]!Table27[[#This Row],[Location 
(drop-down)]],'[2]List source'!D$2:E$59,2,FALSE)</f>
        <v>#VALUE!</v>
      </c>
      <c r="C1501" s="99" t="s">
        <v>4469</v>
      </c>
      <c r="D1501" s="100" t="e">
        <f t="shared" si="47"/>
        <v>#VALUE!</v>
      </c>
      <c r="E1501" s="64" t="s">
        <v>4470</v>
      </c>
      <c r="F1501" s="66" t="e" cm="1" vm="1">
        <f t="array" aca="1" ref="F150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1" s="66">
        <v>2.35</v>
      </c>
      <c r="I1501" s="67">
        <v>45786</v>
      </c>
      <c r="J1501" s="67" t="s">
        <v>34</v>
      </c>
      <c r="K1501" s="68">
        <v>45786</v>
      </c>
      <c r="L1501" s="69" t="s">
        <v>1562</v>
      </c>
      <c r="M1501" s="66" t="str">
        <f t="shared" ca="1" si="46"/>
        <v>CLOSED</v>
      </c>
    </row>
    <row r="1502" spans="1:13" ht="45">
      <c r="A1502" s="64" t="s">
        <v>462</v>
      </c>
      <c r="B1502" s="98" t="e">
        <f>VLOOKUP([2]!Table27[[#This Row],[Location 
(drop-down)]],'[2]List source'!D$2:E$59,2,FALSE)</f>
        <v>#VALUE!</v>
      </c>
      <c r="C1502" s="99" t="s">
        <v>4471</v>
      </c>
      <c r="D1502" s="100" t="e">
        <f t="shared" si="47"/>
        <v>#VALUE!</v>
      </c>
      <c r="E1502" s="64" t="s">
        <v>4472</v>
      </c>
      <c r="F1502" s="66" t="e" cm="1" vm="1">
        <f t="array" aca="1" ref="F150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2" s="66">
        <v>2.0699999999999998</v>
      </c>
      <c r="I1502" s="67">
        <v>45793</v>
      </c>
      <c r="J1502" s="67" t="s">
        <v>34</v>
      </c>
      <c r="K1502" s="68">
        <v>45798</v>
      </c>
      <c r="L1502" s="69" t="s">
        <v>1505</v>
      </c>
      <c r="M1502" s="66" t="str">
        <f t="shared" ca="1" si="46"/>
        <v>CLOSED</v>
      </c>
    </row>
    <row r="1503" spans="1:13" ht="30">
      <c r="A1503" s="64" t="s">
        <v>462</v>
      </c>
      <c r="B1503" s="98" t="e">
        <f>VLOOKUP([2]!Table27[[#This Row],[Location 
(drop-down)]],'[2]List source'!D$2:E$59,2,FALSE)</f>
        <v>#VALUE!</v>
      </c>
      <c r="C1503" s="99" t="s">
        <v>4473</v>
      </c>
      <c r="D1503" s="100" t="e">
        <f t="shared" si="47"/>
        <v>#VALUE!</v>
      </c>
      <c r="E1503" s="64" t="s">
        <v>4474</v>
      </c>
      <c r="F1503" s="66" t="e" cm="1" vm="1">
        <f t="array" aca="1" ref="F150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3" s="110" t="s">
        <v>2754</v>
      </c>
      <c r="I1503" s="67">
        <v>45793</v>
      </c>
      <c r="J1503" s="67" t="s">
        <v>108</v>
      </c>
      <c r="K1503" s="68">
        <v>45839</v>
      </c>
      <c r="L1503" s="69"/>
      <c r="M1503" s="66" t="str">
        <f t="shared" ref="M1503:M1566" ca="1" si="48">IF(ISBLANK(K1503), TODAY()-(I1503), "CLOSED")</f>
        <v>CLOSED</v>
      </c>
    </row>
    <row r="1504" spans="1:13" ht="30">
      <c r="A1504" s="64" t="s">
        <v>125</v>
      </c>
      <c r="B1504" s="98" t="e">
        <f>VLOOKUP([2]!Table27[[#This Row],[Location 
(drop-down)]],'[2]List source'!D$2:E$59,2,FALSE)</f>
        <v>#VALUE!</v>
      </c>
      <c r="C1504" s="99" t="s">
        <v>4475</v>
      </c>
      <c r="D1504" s="100" t="e">
        <f t="shared" si="47"/>
        <v>#VALUE!</v>
      </c>
      <c r="E1504" s="64" t="s">
        <v>4476</v>
      </c>
      <c r="F1504" s="66" t="e" cm="1" vm="1">
        <f t="array" aca="1" ref="F150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4" s="110" t="s">
        <v>4477</v>
      </c>
      <c r="I1504" s="67">
        <v>45793</v>
      </c>
      <c r="J1504" s="67" t="s">
        <v>111</v>
      </c>
      <c r="K1504" s="68">
        <v>45856</v>
      </c>
      <c r="L1504" s="69"/>
      <c r="M1504" s="66" t="str">
        <f t="shared" ca="1" si="48"/>
        <v>CLOSED</v>
      </c>
    </row>
    <row r="1505" spans="1:13" ht="45">
      <c r="A1505" s="64" t="s">
        <v>125</v>
      </c>
      <c r="B1505" s="98" t="e">
        <f>VLOOKUP([2]!Table27[[#This Row],[Location 
(drop-down)]],'[2]List source'!D$2:E$59,2,FALSE)</f>
        <v>#VALUE!</v>
      </c>
      <c r="C1505" s="99" t="s">
        <v>4478</v>
      </c>
      <c r="D1505" s="100" t="e">
        <f t="shared" si="47"/>
        <v>#VALUE!</v>
      </c>
      <c r="E1505" s="64" t="s">
        <v>4479</v>
      </c>
      <c r="F1505" s="66" t="e" cm="1" vm="1">
        <f t="array" aca="1" ref="F150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5" s="116" t="s">
        <v>4480</v>
      </c>
      <c r="I1505" s="67">
        <v>45793</v>
      </c>
      <c r="J1505" s="67" t="s">
        <v>111</v>
      </c>
      <c r="K1505" s="68">
        <v>45855</v>
      </c>
      <c r="L1505" s="69"/>
      <c r="M1505" s="66" t="str">
        <f t="shared" ca="1" si="48"/>
        <v>CLOSED</v>
      </c>
    </row>
    <row r="1506" spans="1:13" ht="45">
      <c r="A1506" s="64" t="s">
        <v>125</v>
      </c>
      <c r="B1506" s="98" t="e">
        <f>VLOOKUP([2]!Table27[[#This Row],[Location 
(drop-down)]],'[2]List source'!D$2:E$59,2,FALSE)</f>
        <v>#VALUE!</v>
      </c>
      <c r="C1506" s="99" t="s">
        <v>4481</v>
      </c>
      <c r="D1506" s="100" t="e">
        <f t="shared" si="47"/>
        <v>#VALUE!</v>
      </c>
      <c r="E1506" s="64" t="s">
        <v>4482</v>
      </c>
      <c r="F1506" s="66" t="e" cm="1" vm="1">
        <f t="array" aca="1" ref="F150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6" s="66">
        <v>3.8</v>
      </c>
      <c r="I1506" s="67">
        <v>45793</v>
      </c>
      <c r="J1506" s="67" t="s">
        <v>34</v>
      </c>
      <c r="K1506" s="68">
        <v>45819</v>
      </c>
      <c r="L1506" s="69" t="s">
        <v>1505</v>
      </c>
      <c r="M1506" s="66" t="str">
        <f t="shared" ca="1" si="48"/>
        <v>CLOSED</v>
      </c>
    </row>
    <row r="1507" spans="1:13" ht="45">
      <c r="A1507" s="64" t="s">
        <v>125</v>
      </c>
      <c r="B1507" s="98" t="e">
        <f>VLOOKUP([2]!Table27[[#This Row],[Location 
(drop-down)]],'[2]List source'!D$2:E$59,2,FALSE)</f>
        <v>#VALUE!</v>
      </c>
      <c r="C1507" s="99" t="s">
        <v>4483</v>
      </c>
      <c r="D1507" s="100" t="e">
        <f t="shared" si="47"/>
        <v>#VALUE!</v>
      </c>
      <c r="E1507" s="64" t="s">
        <v>4484</v>
      </c>
      <c r="F1507" s="66" t="e" cm="1" vm="1">
        <f t="array" aca="1" ref="F15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7" s="110" t="s">
        <v>4485</v>
      </c>
      <c r="I1507" s="67">
        <v>45793</v>
      </c>
      <c r="J1507" s="67" t="s">
        <v>34</v>
      </c>
      <c r="K1507" s="68">
        <v>45841</v>
      </c>
      <c r="L1507" s="69" t="s">
        <v>1505</v>
      </c>
      <c r="M1507" s="66" t="str">
        <f t="shared" ca="1" si="48"/>
        <v>CLOSED</v>
      </c>
    </row>
    <row r="1508" spans="1:13" ht="45">
      <c r="A1508" s="64" t="s">
        <v>125</v>
      </c>
      <c r="B1508" s="98" t="e">
        <f>VLOOKUP([2]!Table27[[#This Row],[Location 
(drop-down)]],'[2]List source'!D$2:E$59,2,FALSE)</f>
        <v>#VALUE!</v>
      </c>
      <c r="C1508" s="99" t="s">
        <v>4486</v>
      </c>
      <c r="D1508" s="100" t="e">
        <f t="shared" si="47"/>
        <v>#VALUE!</v>
      </c>
      <c r="E1508" s="64" t="s">
        <v>4487</v>
      </c>
      <c r="F1508" s="66" t="e" cm="1" vm="1">
        <f t="array" aca="1" ref="F150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8" s="66">
        <v>52.56</v>
      </c>
      <c r="I1508" s="67">
        <v>45793</v>
      </c>
      <c r="J1508" s="67" t="s">
        <v>34</v>
      </c>
      <c r="K1508" s="68">
        <v>45819</v>
      </c>
      <c r="L1508" s="69" t="s">
        <v>1505</v>
      </c>
      <c r="M1508" s="66" t="str">
        <f t="shared" ca="1" si="48"/>
        <v>CLOSED</v>
      </c>
    </row>
    <row r="1509" spans="1:13" ht="30">
      <c r="A1509" s="64" t="s">
        <v>43</v>
      </c>
      <c r="B1509" s="98" t="e">
        <f>VLOOKUP([2]!Table27[[#This Row],[Location 
(drop-down)]],'[2]List source'!D$2:E$59,2,FALSE)</f>
        <v>#VALUE!</v>
      </c>
      <c r="C1509" s="99" t="s">
        <v>4488</v>
      </c>
      <c r="D1509" s="100" t="e">
        <f t="shared" si="47"/>
        <v>#VALUE!</v>
      </c>
      <c r="E1509" s="64" t="s">
        <v>4489</v>
      </c>
      <c r="F1509" s="66" t="e" cm="1" vm="1">
        <f t="array" aca="1" ref="F15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0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09" s="110" t="s">
        <v>1953</v>
      </c>
      <c r="I1509" s="67">
        <v>45786</v>
      </c>
      <c r="J1509" s="67" t="s">
        <v>29</v>
      </c>
      <c r="K1509" s="68">
        <v>45838</v>
      </c>
      <c r="L1509" s="69"/>
      <c r="M1509" s="66" t="str">
        <f t="shared" ca="1" si="48"/>
        <v>CLOSED</v>
      </c>
    </row>
    <row r="1510" spans="1:13" ht="45">
      <c r="A1510" s="64" t="s">
        <v>43</v>
      </c>
      <c r="B1510" s="98" t="e">
        <f>VLOOKUP([2]!Table27[[#This Row],[Location 
(drop-down)]],'[2]List source'!D$2:E$59,2,FALSE)</f>
        <v>#VALUE!</v>
      </c>
      <c r="C1510" s="99" t="s">
        <v>4490</v>
      </c>
      <c r="D1510" s="100" t="e">
        <f t="shared" si="47"/>
        <v>#VALUE!</v>
      </c>
      <c r="E1510" s="64" t="s">
        <v>4491</v>
      </c>
      <c r="F1510" s="66" t="e" cm="1" vm="1">
        <f t="array" aca="1" ref="F151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0" s="110" t="s">
        <v>4492</v>
      </c>
      <c r="I1510" s="67">
        <v>45786</v>
      </c>
      <c r="J1510" s="67" t="s">
        <v>34</v>
      </c>
      <c r="K1510" s="68">
        <v>45786</v>
      </c>
      <c r="L1510" s="69" t="s">
        <v>1505</v>
      </c>
      <c r="M1510" s="66" t="str">
        <f t="shared" ca="1" si="48"/>
        <v>CLOSED</v>
      </c>
    </row>
    <row r="1511" spans="1:13" ht="30">
      <c r="A1511" s="64" t="s">
        <v>43</v>
      </c>
      <c r="B1511" s="98" t="e">
        <f>VLOOKUP([2]!Table27[[#This Row],[Location 
(drop-down)]],'[2]List source'!D$2:E$59,2,FALSE)</f>
        <v>#VALUE!</v>
      </c>
      <c r="C1511" s="99" t="s">
        <v>4493</v>
      </c>
      <c r="D1511" s="100" t="e">
        <f t="shared" si="47"/>
        <v>#VALUE!</v>
      </c>
      <c r="E1511" s="10" t="s">
        <v>4494</v>
      </c>
      <c r="F1511" s="11" t="e" cm="1" vm="1">
        <f t="array" aca="1" ref="F151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1" s="11">
        <v>7.9</v>
      </c>
      <c r="I1511" s="67">
        <v>45786</v>
      </c>
      <c r="J1511" s="73" t="s">
        <v>108</v>
      </c>
      <c r="K1511" s="68">
        <v>45841</v>
      </c>
      <c r="L1511" s="69"/>
      <c r="M1511" s="66" t="str">
        <f t="shared" ca="1" si="48"/>
        <v>CLOSED</v>
      </c>
    </row>
    <row r="1512" spans="1:13" ht="30">
      <c r="A1512" s="64" t="s">
        <v>119</v>
      </c>
      <c r="B1512" s="98" t="e">
        <f>VLOOKUP([2]!Table27[[#This Row],[Location 
(drop-down)]],'[2]List source'!D$2:E$59,2,FALSE)</f>
        <v>#VALUE!</v>
      </c>
      <c r="C1512" s="99" t="s">
        <v>4495</v>
      </c>
      <c r="D1512" s="100" t="e">
        <f t="shared" si="47"/>
        <v>#VALUE!</v>
      </c>
      <c r="E1512" s="10" t="s">
        <v>4496</v>
      </c>
      <c r="F1512" s="11" t="e" cm="1" vm="1">
        <f t="array" aca="1" ref="F151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2" s="9" t="s">
        <v>1883</v>
      </c>
      <c r="I1512" s="67">
        <v>45819</v>
      </c>
      <c r="J1512" s="73" t="s">
        <v>111</v>
      </c>
      <c r="K1512" s="68">
        <v>45912</v>
      </c>
      <c r="L1512" s="69"/>
      <c r="M1512" s="66" t="str">
        <f t="shared" ca="1" si="48"/>
        <v>CLOSED</v>
      </c>
    </row>
    <row r="1513" spans="1:13" ht="30">
      <c r="A1513" s="64" t="s">
        <v>119</v>
      </c>
      <c r="B1513" s="98" t="e">
        <f>VLOOKUP([2]!Table27[[#This Row],[Location 
(drop-down)]],'[2]List source'!D$2:E$59,2,FALSE)</f>
        <v>#VALUE!</v>
      </c>
      <c r="C1513" s="99" t="s">
        <v>4497</v>
      </c>
      <c r="D1513" s="100" t="e">
        <f t="shared" si="47"/>
        <v>#VALUE!</v>
      </c>
      <c r="E1513" s="10" t="s">
        <v>4498</v>
      </c>
      <c r="F1513" s="11" t="e" cm="1" vm="1">
        <f t="array" aca="1" ref="F151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3" s="120">
        <v>2.46</v>
      </c>
      <c r="I1513" s="67">
        <v>45819</v>
      </c>
      <c r="J1513" s="73" t="s">
        <v>111</v>
      </c>
      <c r="K1513" s="68">
        <v>45912</v>
      </c>
      <c r="L1513" s="69"/>
      <c r="M1513" s="66" t="str">
        <f t="shared" ca="1" si="48"/>
        <v>CLOSED</v>
      </c>
    </row>
    <row r="1514" spans="1:13" ht="60">
      <c r="A1514" s="64" t="s">
        <v>500</v>
      </c>
      <c r="B1514" s="98" t="e">
        <f>VLOOKUP([2]!Table27[[#This Row],[Location 
(drop-down)]],'[2]List source'!D$2:E$59,2,FALSE)</f>
        <v>#VALUE!</v>
      </c>
      <c r="C1514" s="99" t="s">
        <v>4499</v>
      </c>
      <c r="D1514" s="100" t="e">
        <f t="shared" si="47"/>
        <v>#VALUE!</v>
      </c>
      <c r="E1514" s="10" t="s">
        <v>4500</v>
      </c>
      <c r="F1514" s="11" t="e" cm="1" vm="1">
        <f t="array" aca="1" ref="F151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4"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4" s="9" t="s">
        <v>4501</v>
      </c>
      <c r="I1514" s="67">
        <v>45807</v>
      </c>
      <c r="J1514" s="73" t="s">
        <v>310</v>
      </c>
      <c r="K1514" s="68">
        <v>45954</v>
      </c>
      <c r="L1514" s="69"/>
      <c r="M1514" s="66" t="str">
        <f t="shared" ca="1" si="48"/>
        <v>CLOSED</v>
      </c>
    </row>
    <row r="1515" spans="1:13" ht="45">
      <c r="A1515" s="64" t="s">
        <v>202</v>
      </c>
      <c r="B1515" s="98" t="e">
        <f>VLOOKUP([2]!Table27[[#This Row],[Location 
(drop-down)]],'[2]List source'!D$2:E$59,2,FALSE)</f>
        <v>#VALUE!</v>
      </c>
      <c r="C1515" s="99" t="s">
        <v>4502</v>
      </c>
      <c r="D1515" s="100" t="e">
        <f t="shared" si="47"/>
        <v>#VALUE!</v>
      </c>
      <c r="E1515" s="10" t="s">
        <v>4503</v>
      </c>
      <c r="F1515" s="11" t="e" cm="1" vm="1">
        <f t="array" aca="1" ref="F151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5"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5" s="9" t="s">
        <v>4504</v>
      </c>
      <c r="I1515" s="67">
        <v>45793</v>
      </c>
      <c r="J1515" s="73"/>
      <c r="K1515" s="68"/>
      <c r="L1515" s="69"/>
      <c r="M1515" s="66">
        <f t="shared" ca="1" si="48"/>
        <v>285</v>
      </c>
    </row>
    <row r="1516" spans="1:13" ht="18.75">
      <c r="A1516" s="64" t="s">
        <v>167</v>
      </c>
      <c r="B1516" s="98" t="e">
        <f>VLOOKUP([2]!Table27[[#This Row],[Location 
(drop-down)]],'[2]List source'!D$2:E$59,2,FALSE)</f>
        <v>#VALUE!</v>
      </c>
      <c r="C1516" s="99" t="s">
        <v>4505</v>
      </c>
      <c r="D1516" s="100" t="e">
        <f t="shared" si="47"/>
        <v>#VALUE!</v>
      </c>
      <c r="E1516" s="10" t="s">
        <v>4506</v>
      </c>
      <c r="F1516" s="11" t="e" cm="1" vm="1">
        <f t="array" aca="1" ref="F151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6" s="3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6" s="120">
        <v>2.77</v>
      </c>
      <c r="I1516" s="67">
        <v>45793</v>
      </c>
      <c r="J1516" s="73" t="s">
        <v>310</v>
      </c>
      <c r="K1516" s="68">
        <v>45824</v>
      </c>
      <c r="L1516" s="69"/>
      <c r="M1516" s="66" t="str">
        <f t="shared" ca="1" si="48"/>
        <v>CLOSED</v>
      </c>
    </row>
    <row r="1517" spans="1:13" ht="45">
      <c r="A1517" s="64" t="s">
        <v>167</v>
      </c>
      <c r="B1517" s="98" t="e">
        <f>VLOOKUP([2]!Table27[[#This Row],[Location 
(drop-down)]],'[2]List source'!D$2:E$59,2,FALSE)</f>
        <v>#VALUE!</v>
      </c>
      <c r="C1517" s="99" t="s">
        <v>4507</v>
      </c>
      <c r="D1517" s="100" t="e">
        <f t="shared" si="47"/>
        <v>#VALUE!</v>
      </c>
      <c r="E1517" s="70" t="s">
        <v>4508</v>
      </c>
      <c r="F1517" s="121" t="e" cm="1" vm="1">
        <f t="array" aca="1" ref="F151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7"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7" s="433" t="s">
        <v>4509</v>
      </c>
      <c r="I1517" s="67">
        <v>45793</v>
      </c>
      <c r="J1517" s="73" t="s">
        <v>34</v>
      </c>
      <c r="K1517" s="68">
        <v>45813</v>
      </c>
      <c r="L1517" s="69" t="s">
        <v>1505</v>
      </c>
      <c r="M1517" s="66" t="str">
        <f t="shared" ca="1" si="48"/>
        <v>CLOSED</v>
      </c>
    </row>
    <row r="1518" spans="1:13" ht="90">
      <c r="A1518" s="64" t="s">
        <v>323</v>
      </c>
      <c r="B1518" s="98" t="e">
        <f>VLOOKUP([2]!Table27[[#This Row],[Location 
(drop-down)]],'[2]List source'!D$2:E$59,2,FALSE)</f>
        <v>#VALUE!</v>
      </c>
      <c r="C1518" s="99" t="s">
        <v>4510</v>
      </c>
      <c r="D1518" s="100" t="e">
        <f t="shared" si="47"/>
        <v>#VALUE!</v>
      </c>
      <c r="E1518" s="10" t="s">
        <v>4511</v>
      </c>
      <c r="F1518" s="11" t="e" cm="1" vm="1">
        <f t="array" aca="1" ref="F151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8"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8" s="11">
        <v>2.6</v>
      </c>
      <c r="I1518" s="67">
        <v>45786</v>
      </c>
      <c r="J1518" s="73" t="s">
        <v>34</v>
      </c>
      <c r="K1518" s="68">
        <v>45786</v>
      </c>
      <c r="L1518" s="69" t="s">
        <v>1562</v>
      </c>
      <c r="M1518" s="66" t="str">
        <f t="shared" ca="1" si="48"/>
        <v>CLOSED</v>
      </c>
    </row>
    <row r="1519" spans="1:13" ht="30">
      <c r="A1519" s="64" t="s">
        <v>323</v>
      </c>
      <c r="B1519" s="98" t="e">
        <f>VLOOKUP([2]!Table27[[#This Row],[Location 
(drop-down)]],'[2]List source'!D$2:E$59,2,FALSE)</f>
        <v>#VALUE!</v>
      </c>
      <c r="C1519" s="99" t="s">
        <v>4512</v>
      </c>
      <c r="D1519" s="100" t="e">
        <f t="shared" si="47"/>
        <v>#VALUE!</v>
      </c>
      <c r="E1519" s="10" t="s">
        <v>4513</v>
      </c>
      <c r="F1519" s="11" t="e" cm="1" vm="1">
        <f t="array" aca="1" ref="F151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19" s="3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19" s="9" t="s">
        <v>4514</v>
      </c>
      <c r="I1519" s="67">
        <v>45793</v>
      </c>
      <c r="J1519" s="73" t="s">
        <v>130</v>
      </c>
      <c r="K1519" s="68">
        <v>45832</v>
      </c>
      <c r="L1519" s="69"/>
      <c r="M1519" s="66" t="str">
        <f t="shared" ca="1" si="48"/>
        <v>CLOSED</v>
      </c>
    </row>
    <row r="1520" spans="1:13" ht="45">
      <c r="A1520" s="64" t="s">
        <v>323</v>
      </c>
      <c r="B1520" s="98" t="e">
        <f>VLOOKUP([2]!Table27[[#This Row],[Location 
(drop-down)]],'[2]List source'!D$2:E$59,2,FALSE)</f>
        <v>#VALUE!</v>
      </c>
      <c r="C1520" s="99" t="s">
        <v>4515</v>
      </c>
      <c r="D1520" s="100" t="e">
        <f t="shared" si="47"/>
        <v>#VALUE!</v>
      </c>
      <c r="E1520" s="123" t="s">
        <v>4516</v>
      </c>
      <c r="F1520" s="11" t="e" cm="1" vm="1">
        <f t="array" aca="1" ref="F152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0"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0" s="9" t="s">
        <v>4517</v>
      </c>
      <c r="I1520" s="67">
        <v>45793</v>
      </c>
      <c r="J1520" s="73" t="s">
        <v>34</v>
      </c>
      <c r="K1520" s="68">
        <v>45819</v>
      </c>
      <c r="L1520" s="69" t="s">
        <v>1505</v>
      </c>
      <c r="M1520" s="66" t="str">
        <f t="shared" ca="1" si="48"/>
        <v>CLOSED</v>
      </c>
    </row>
    <row r="1521" spans="1:13" ht="18.75">
      <c r="A1521" s="64" t="s">
        <v>621</v>
      </c>
      <c r="B1521" s="98" t="e">
        <f>VLOOKUP([2]!Table27[[#This Row],[Location 
(drop-down)]],'[2]List source'!D$2:E$59,2,FALSE)</f>
        <v>#VALUE!</v>
      </c>
      <c r="C1521" s="99" t="s">
        <v>4518</v>
      </c>
      <c r="D1521" s="100" t="e">
        <f t="shared" si="47"/>
        <v>#VALUE!</v>
      </c>
      <c r="E1521" s="64" t="s">
        <v>4519</v>
      </c>
      <c r="F1521" s="66" t="e" cm="1" vm="1">
        <f t="array" aca="1" ref="F152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1"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1" s="66">
        <v>2.56</v>
      </c>
      <c r="I1521" s="67">
        <v>45793</v>
      </c>
      <c r="J1521" s="73" t="s">
        <v>310</v>
      </c>
      <c r="K1521" s="68">
        <v>45826</v>
      </c>
      <c r="L1521" s="69"/>
      <c r="M1521" s="66" t="str">
        <f t="shared" ca="1" si="48"/>
        <v>CLOSED</v>
      </c>
    </row>
    <row r="1522" spans="1:13" ht="30">
      <c r="A1522" s="64" t="s">
        <v>621</v>
      </c>
      <c r="B1522" s="98" t="e">
        <f>VLOOKUP([2]!Table27[[#This Row],[Location 
(drop-down)]],'[2]List source'!D$2:E$59,2,FALSE)</f>
        <v>#VALUE!</v>
      </c>
      <c r="C1522" s="99" t="s">
        <v>4520</v>
      </c>
      <c r="D1522" s="100" t="e">
        <f t="shared" si="47"/>
        <v>#VALUE!</v>
      </c>
      <c r="E1522" s="64" t="s">
        <v>4521</v>
      </c>
      <c r="F1522" s="66" t="e" cm="1" vm="1">
        <f t="array" aca="1" ref="F152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2" s="3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2" s="110" t="s">
        <v>3418</v>
      </c>
      <c r="I1522" s="67">
        <v>45793</v>
      </c>
      <c r="J1522" s="73" t="s">
        <v>310</v>
      </c>
      <c r="K1522" s="75">
        <v>45826</v>
      </c>
      <c r="L1522" s="69"/>
      <c r="M1522" s="66" t="str">
        <f t="shared" ca="1" si="48"/>
        <v>CLOSED</v>
      </c>
    </row>
    <row r="1523" spans="1:13" ht="30">
      <c r="A1523" s="64" t="s">
        <v>43</v>
      </c>
      <c r="B1523" s="98" t="e">
        <f>VLOOKUP([2]!Table27[[#This Row],[Location 
(drop-down)]],'[2]List source'!D$2:E$59,2,FALSE)</f>
        <v>#VALUE!</v>
      </c>
      <c r="C1523" s="99" t="s">
        <v>4522</v>
      </c>
      <c r="D1523" s="100" t="e">
        <f t="shared" si="47"/>
        <v>#VALUE!</v>
      </c>
      <c r="E1523" s="64" t="s">
        <v>4523</v>
      </c>
      <c r="F1523" s="66" t="e" cm="1" vm="1">
        <f t="array" aca="1" ref="F152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3"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3" s="66">
        <v>22.53</v>
      </c>
      <c r="I1523" s="67">
        <v>45786</v>
      </c>
      <c r="J1523" s="67" t="s">
        <v>108</v>
      </c>
      <c r="K1523" s="68">
        <v>45845</v>
      </c>
      <c r="L1523" s="69"/>
      <c r="M1523" s="66" t="str">
        <f t="shared" ca="1" si="48"/>
        <v>CLOSED</v>
      </c>
    </row>
    <row r="1524" spans="1:13" ht="30">
      <c r="A1524" s="64" t="s">
        <v>156</v>
      </c>
      <c r="B1524" s="98" t="e">
        <f>VLOOKUP([2]!Table27[[#This Row],[Location 
(drop-down)]],'[2]List source'!D$2:E$59,2,FALSE)</f>
        <v>#VALUE!</v>
      </c>
      <c r="C1524" s="99" t="s">
        <v>4524</v>
      </c>
      <c r="D1524" s="100" t="e">
        <f t="shared" si="47"/>
        <v>#VALUE!</v>
      </c>
      <c r="E1524" s="64" t="s">
        <v>4525</v>
      </c>
      <c r="F1524" s="66" t="e" cm="1" vm="1">
        <f t="array" aca="1" ref="F152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4"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4" s="110" t="s">
        <v>4526</v>
      </c>
      <c r="I1524" s="67">
        <v>45786</v>
      </c>
      <c r="J1524" s="67" t="s">
        <v>29</v>
      </c>
      <c r="K1524" s="68">
        <v>45974</v>
      </c>
      <c r="L1524" s="69"/>
      <c r="M1524" s="66" t="str">
        <f t="shared" ca="1" si="48"/>
        <v>CLOSED</v>
      </c>
    </row>
    <row r="1525" spans="1:13" ht="90">
      <c r="A1525" s="64" t="s">
        <v>167</v>
      </c>
      <c r="B1525" s="98" t="e">
        <f>VLOOKUP([2]!Table27[[#This Row],[Location 
(drop-down)]],'[2]List source'!D$2:E$59,2,FALSE)</f>
        <v>#VALUE!</v>
      </c>
      <c r="C1525" s="99" t="s">
        <v>4527</v>
      </c>
      <c r="D1525" s="100" t="e">
        <f t="shared" si="47"/>
        <v>#VALUE!</v>
      </c>
      <c r="E1525" s="64" t="s">
        <v>4528</v>
      </c>
      <c r="F1525" s="69" t="e" cm="1" vm="1">
        <f t="array" aca="1" ref="F152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5" s="3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5" s="434" t="s">
        <v>1806</v>
      </c>
      <c r="I1525" s="67">
        <v>45786</v>
      </c>
      <c r="J1525" s="67" t="s">
        <v>34</v>
      </c>
      <c r="K1525" s="68">
        <v>45786</v>
      </c>
      <c r="L1525" s="69" t="s">
        <v>1562</v>
      </c>
      <c r="M1525" s="66" t="str">
        <f t="shared" ca="1" si="48"/>
        <v>CLOSED</v>
      </c>
    </row>
    <row r="1526" spans="1:13" ht="30">
      <c r="A1526" s="64" t="s">
        <v>73</v>
      </c>
      <c r="B1526" s="98" t="e">
        <f>VLOOKUP([2]!Table27[[#This Row],[Location 
(drop-down)]],'[2]List source'!D$2:E$59,2,FALSE)</f>
        <v>#VALUE!</v>
      </c>
      <c r="C1526" s="99" t="s">
        <v>4529</v>
      </c>
      <c r="D1526" s="100" t="e">
        <f t="shared" si="47"/>
        <v>#VALUE!</v>
      </c>
      <c r="E1526" s="64" t="s">
        <v>4530</v>
      </c>
      <c r="F1526" s="66" t="e" cm="1" vm="1">
        <f t="array" aca="1" ref="F152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6"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6" s="110" t="s">
        <v>2744</v>
      </c>
      <c r="I1526" s="67">
        <v>45786</v>
      </c>
      <c r="J1526" s="67" t="s">
        <v>239</v>
      </c>
      <c r="K1526" s="68">
        <v>45867</v>
      </c>
      <c r="L1526" s="69"/>
      <c r="M1526" s="66" t="str">
        <f t="shared" ca="1" si="48"/>
        <v>CLOSED</v>
      </c>
    </row>
    <row r="1527" spans="1:13" ht="30">
      <c r="A1527" s="64" t="s">
        <v>73</v>
      </c>
      <c r="B1527" s="98" t="e">
        <f>VLOOKUP([2]!Table27[[#This Row],[Location 
(drop-down)]],'[2]List source'!D$2:E$59,2,FALSE)</f>
        <v>#VALUE!</v>
      </c>
      <c r="C1527" s="99" t="s">
        <v>4531</v>
      </c>
      <c r="D1527" s="100" t="e">
        <f t="shared" si="47"/>
        <v>#VALUE!</v>
      </c>
      <c r="E1527" s="64" t="s">
        <v>4532</v>
      </c>
      <c r="F1527" s="66" t="e" cm="1" vm="1">
        <f t="array" aca="1" ref="F152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7"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7" s="66">
        <v>2.11</v>
      </c>
      <c r="I1527" s="67">
        <v>45786</v>
      </c>
      <c r="J1527" s="67" t="s">
        <v>239</v>
      </c>
      <c r="K1527" s="68">
        <v>45867</v>
      </c>
      <c r="L1527" s="69"/>
      <c r="M1527" s="66" t="str">
        <f t="shared" ca="1" si="48"/>
        <v>CLOSED</v>
      </c>
    </row>
    <row r="1528" spans="1:13" ht="90">
      <c r="A1528" s="64" t="s">
        <v>15</v>
      </c>
      <c r="B1528" s="98" t="e">
        <f>VLOOKUP([2]!Table27[[#This Row],[Location 
(drop-down)]],'[2]List source'!D$2:E$59,2,FALSE)</f>
        <v>#VALUE!</v>
      </c>
      <c r="C1528" s="99" t="s">
        <v>4533</v>
      </c>
      <c r="D1528" s="100" t="e">
        <f t="shared" si="47"/>
        <v>#VALUE!</v>
      </c>
      <c r="E1528" s="84" t="s">
        <v>4534</v>
      </c>
      <c r="F1528" s="126" t="e" cm="1" vm="1">
        <f t="array" aca="1" ref="F152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8" s="3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8" s="435" t="s">
        <v>1593</v>
      </c>
      <c r="I1528" s="67">
        <v>45786</v>
      </c>
      <c r="J1528" s="67" t="s">
        <v>34</v>
      </c>
      <c r="K1528" s="68">
        <v>45786</v>
      </c>
      <c r="L1528" s="69" t="s">
        <v>1562</v>
      </c>
      <c r="M1528" s="66" t="str">
        <f t="shared" ca="1" si="48"/>
        <v>CLOSED</v>
      </c>
    </row>
    <row r="1529" spans="1:13" ht="45">
      <c r="A1529" s="64" t="s">
        <v>43</v>
      </c>
      <c r="B1529" s="98" t="e">
        <f>VLOOKUP([2]!Table27[[#This Row],[Location 
(drop-down)]],'[2]List source'!D$2:E$59,2,FALSE)</f>
        <v>#VALUE!</v>
      </c>
      <c r="C1529" s="99" t="s">
        <v>4535</v>
      </c>
      <c r="D1529" s="100" t="e">
        <f t="shared" si="47"/>
        <v>#VALUE!</v>
      </c>
      <c r="E1529" s="64" t="s">
        <v>4536</v>
      </c>
      <c r="F1529" s="66" t="e" cm="1" vm="1">
        <f t="array" aca="1" ref="F152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29" s="66" t="s">
        <v>4537</v>
      </c>
      <c r="I1529" s="67">
        <v>45786</v>
      </c>
      <c r="J1529" s="67" t="s">
        <v>34</v>
      </c>
      <c r="K1529" s="68">
        <v>45786</v>
      </c>
      <c r="L1529" s="69" t="s">
        <v>1773</v>
      </c>
      <c r="M1529" s="66" t="str">
        <f t="shared" ca="1" si="48"/>
        <v>CLOSED</v>
      </c>
    </row>
    <row r="1530" spans="1:13" ht="30">
      <c r="A1530" s="64" t="s">
        <v>43</v>
      </c>
      <c r="B1530" s="98" t="e">
        <f>VLOOKUP([2]!Table27[[#This Row],[Location 
(drop-down)]],'[2]List source'!D$2:E$59,2,FALSE)</f>
        <v>#VALUE!</v>
      </c>
      <c r="C1530" s="99" t="s">
        <v>4538</v>
      </c>
      <c r="D1530" s="100" t="e">
        <f t="shared" si="47"/>
        <v>#VALUE!</v>
      </c>
      <c r="E1530" s="64" t="s">
        <v>4539</v>
      </c>
      <c r="F1530" s="66" t="e" cm="1" vm="1">
        <f t="array" aca="1" ref="F153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30" s="66">
        <v>5.36</v>
      </c>
      <c r="I1530" s="67">
        <v>45786</v>
      </c>
      <c r="J1530" s="67" t="s">
        <v>108</v>
      </c>
      <c r="K1530" s="68">
        <v>45872</v>
      </c>
      <c r="L1530" s="69"/>
      <c r="M1530" s="66" t="str">
        <f t="shared" ca="1" si="48"/>
        <v>CLOSED</v>
      </c>
    </row>
    <row r="1531" spans="1:13" ht="45">
      <c r="A1531" s="64" t="s">
        <v>432</v>
      </c>
      <c r="B1531" s="98" t="e">
        <f>VLOOKUP([2]!Table27[[#This Row],[Location 
(drop-down)]],'[2]List source'!D$2:E$59,2,FALSE)</f>
        <v>#VALUE!</v>
      </c>
      <c r="C1531" s="99" t="s">
        <v>4540</v>
      </c>
      <c r="D1531" s="100" t="e">
        <f t="shared" si="47"/>
        <v>#VALUE!</v>
      </c>
      <c r="E1531" s="64" t="s">
        <v>4541</v>
      </c>
      <c r="F1531" s="66" t="e" cm="1" vm="1">
        <f t="array" aca="1" ref="F153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31" s="66">
        <v>5</v>
      </c>
      <c r="I1531" s="67">
        <v>45796</v>
      </c>
      <c r="J1531" s="67" t="s">
        <v>34</v>
      </c>
      <c r="K1531" s="68">
        <v>45873</v>
      </c>
      <c r="L1531" s="69" t="s">
        <v>1505</v>
      </c>
      <c r="M1531" s="66" t="str">
        <f t="shared" ca="1" si="48"/>
        <v>CLOSED</v>
      </c>
    </row>
    <row r="1532" spans="1:13" ht="45">
      <c r="A1532" s="64" t="s">
        <v>432</v>
      </c>
      <c r="B1532" s="98" t="e">
        <f>VLOOKUP([2]!Table27[[#This Row],[Location 
(drop-down)]],'[2]List source'!D$2:E$59,2,FALSE)</f>
        <v>#VALUE!</v>
      </c>
      <c r="C1532" s="99" t="s">
        <v>4542</v>
      </c>
      <c r="D1532" s="100" t="e">
        <f t="shared" si="47"/>
        <v>#VALUE!</v>
      </c>
      <c r="E1532" s="64" t="s">
        <v>4543</v>
      </c>
      <c r="F1532" s="66" t="e" cm="1" vm="1">
        <f t="array" aca="1" ref="F153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32" s="66">
        <v>2.02</v>
      </c>
      <c r="I1532" s="67">
        <v>45796</v>
      </c>
      <c r="J1532" s="67" t="s">
        <v>34</v>
      </c>
      <c r="K1532" s="68">
        <v>45873</v>
      </c>
      <c r="L1532" s="69" t="s">
        <v>1505</v>
      </c>
      <c r="M1532" s="66" t="str">
        <f t="shared" ca="1" si="48"/>
        <v>CLOSED</v>
      </c>
    </row>
    <row r="1533" spans="1:13" ht="30">
      <c r="A1533" s="64" t="s">
        <v>432</v>
      </c>
      <c r="B1533" s="98" t="e">
        <f>VLOOKUP([2]!Table27[[#This Row],[Location 
(drop-down)]],'[2]List source'!D$2:E$59,2,FALSE)</f>
        <v>#VALUE!</v>
      </c>
      <c r="C1533" s="99" t="s">
        <v>4544</v>
      </c>
      <c r="D1533" s="100" t="e">
        <f t="shared" si="47"/>
        <v>#VALUE!</v>
      </c>
      <c r="E1533" s="97" t="s">
        <v>4545</v>
      </c>
      <c r="F1533" s="106" t="e" cm="1" vm="1">
        <f t="array" aca="1" ref="F153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3" s="97"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33" s="102" t="s">
        <v>2012</v>
      </c>
      <c r="I1533" s="67">
        <v>45796</v>
      </c>
      <c r="J1533" s="67" t="s">
        <v>29</v>
      </c>
      <c r="K1533" s="68">
        <v>46072</v>
      </c>
      <c r="L1533" s="69"/>
      <c r="M1533" s="66" t="str">
        <f t="shared" ca="1" si="48"/>
        <v>CLOSED</v>
      </c>
    </row>
    <row r="1534" spans="1:13" ht="30">
      <c r="A1534" s="64" t="s">
        <v>432</v>
      </c>
      <c r="B1534" s="98" t="e">
        <f>VLOOKUP([2]!Table27[[#This Row],[Location 
(drop-down)]],'[2]List source'!D$2:E$59,2,FALSE)</f>
        <v>#VALUE!</v>
      </c>
      <c r="C1534" s="99" t="s">
        <v>4546</v>
      </c>
      <c r="D1534" s="100" t="e">
        <f t="shared" si="47"/>
        <v>#VALUE!</v>
      </c>
      <c r="E1534" s="64" t="s">
        <v>4547</v>
      </c>
      <c r="F1534" s="66" t="e" cm="1" vm="1">
        <f t="array" aca="1" ref="F153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34" s="66" t="s">
        <v>4548</v>
      </c>
      <c r="I1534" s="67">
        <v>45796</v>
      </c>
      <c r="J1534" s="67"/>
      <c r="K1534" s="68"/>
      <c r="L1534" s="69"/>
      <c r="M1534" s="66">
        <f t="shared" ca="1" si="48"/>
        <v>282</v>
      </c>
    </row>
    <row r="1535" spans="1:13" ht="75">
      <c r="A1535" s="64" t="s">
        <v>30</v>
      </c>
      <c r="B1535" s="98" t="e">
        <f>VLOOKUP([2]!Table27[[#This Row],[Location 
(drop-down)]],'[2]List source'!D$2:E$59,2,FALSE)</f>
        <v>#VALUE!</v>
      </c>
      <c r="C1535" s="99" t="s">
        <v>4549</v>
      </c>
      <c r="D1535" s="100" t="e">
        <f t="shared" si="47"/>
        <v>#VALUE!</v>
      </c>
      <c r="E1535" s="64" t="s">
        <v>4550</v>
      </c>
      <c r="F1535" s="66" t="e" cm="1" vm="1">
        <f t="array" aca="1" ref="F153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5" s="64" t="s">
        <v>4551</v>
      </c>
      <c r="H1535" s="66" t="s">
        <v>4552</v>
      </c>
      <c r="I1535" s="67">
        <v>45796</v>
      </c>
      <c r="J1535" s="67" t="s">
        <v>111</v>
      </c>
      <c r="K1535" s="68">
        <v>45821</v>
      </c>
      <c r="L1535" s="69"/>
      <c r="M1535" s="66" t="str">
        <f t="shared" ca="1" si="48"/>
        <v>CLOSED</v>
      </c>
    </row>
    <row r="1536" spans="1:13" ht="30">
      <c r="A1536" s="64" t="s">
        <v>53</v>
      </c>
      <c r="B1536" s="98" t="e">
        <f>VLOOKUP([2]!Table27[[#This Row],[Location 
(drop-down)]],'[2]List source'!D$2:E$59,2,FALSE)</f>
        <v>#VALUE!</v>
      </c>
      <c r="C1536" s="99" t="s">
        <v>4553</v>
      </c>
      <c r="D1536" s="100" t="e">
        <f t="shared" si="47"/>
        <v>#VALUE!</v>
      </c>
      <c r="E1536" s="64" t="s">
        <v>4554</v>
      </c>
      <c r="F1536" s="66" t="e" cm="1" vm="1">
        <f t="array" aca="1" ref="F153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36" s="66">
        <v>2.58</v>
      </c>
      <c r="I1536" s="67">
        <v>45796</v>
      </c>
      <c r="J1536" s="67" t="s">
        <v>327</v>
      </c>
      <c r="K1536" s="68">
        <v>45915</v>
      </c>
      <c r="L1536" s="69"/>
      <c r="M1536" s="66" t="str">
        <f t="shared" ca="1" si="48"/>
        <v>CLOSED</v>
      </c>
    </row>
    <row r="1537" spans="1:13" ht="30">
      <c r="A1537" s="64" t="s">
        <v>53</v>
      </c>
      <c r="B1537" s="98" t="e">
        <f>VLOOKUP([2]!Table27[[#This Row],[Location 
(drop-down)]],'[2]List source'!D$2:E$59,2,FALSE)</f>
        <v>#VALUE!</v>
      </c>
      <c r="C1537" s="99" t="s">
        <v>4555</v>
      </c>
      <c r="D1537" s="100" t="e">
        <f t="shared" si="47"/>
        <v>#VALUE!</v>
      </c>
      <c r="E1537" s="64" t="s">
        <v>4556</v>
      </c>
      <c r="F1537" s="66" t="e" cm="1" vm="1">
        <f t="array" aca="1" ref="F153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37" s="110" t="s">
        <v>1762</v>
      </c>
      <c r="I1537" s="67">
        <v>45796</v>
      </c>
      <c r="J1537" s="67" t="s">
        <v>327</v>
      </c>
      <c r="K1537" s="68">
        <v>45871</v>
      </c>
      <c r="L1537" s="69"/>
      <c r="M1537" s="66" t="str">
        <f t="shared" ca="1" si="48"/>
        <v>CLOSED</v>
      </c>
    </row>
    <row r="1538" spans="1:13" ht="45">
      <c r="A1538" s="64" t="s">
        <v>73</v>
      </c>
      <c r="B1538" s="98" t="e">
        <f>VLOOKUP([2]!Table27[[#This Row],[Location 
(drop-down)]],'[2]List source'!D$2:E$59,2,FALSE)</f>
        <v>#VALUE!</v>
      </c>
      <c r="C1538" s="99" t="s">
        <v>4557</v>
      </c>
      <c r="D1538" s="100" t="e">
        <f t="shared" ref="D1538:D1601" si="49">"PTO" &amp; C1538 &amp; "-" &amp; B1538 &amp; "-" &amp; "23"</f>
        <v>#VALUE!</v>
      </c>
      <c r="E1538" s="64" t="s">
        <v>4558</v>
      </c>
      <c r="F1538" s="66" t="e" cm="1" vm="1">
        <f t="array" aca="1" ref="F153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38" s="66" t="s">
        <v>4559</v>
      </c>
      <c r="I1538" s="67">
        <v>45796</v>
      </c>
      <c r="J1538" s="67" t="s">
        <v>130</v>
      </c>
      <c r="K1538" s="68">
        <v>45825</v>
      </c>
      <c r="L1538" s="69"/>
      <c r="M1538" s="66" t="str">
        <f t="shared" ca="1" si="48"/>
        <v>CLOSED</v>
      </c>
    </row>
    <row r="1539" spans="1:13" ht="60">
      <c r="A1539" s="64" t="s">
        <v>485</v>
      </c>
      <c r="B1539" s="98" t="e">
        <f>VLOOKUP([2]!Table27[[#This Row],[Location 
(drop-down)]],'[2]List source'!D$2:E$59,2,FALSE)</f>
        <v>#VALUE!</v>
      </c>
      <c r="C1539" s="99" t="s">
        <v>4560</v>
      </c>
      <c r="D1539" s="100" t="e">
        <f t="shared" si="49"/>
        <v>#VALUE!</v>
      </c>
      <c r="E1539" s="64" t="s">
        <v>4561</v>
      </c>
      <c r="F1539" s="66" t="e" cm="1" vm="1">
        <f t="array" aca="1" ref="F153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39" s="64" t="s">
        <v>4562</v>
      </c>
      <c r="H1539" s="66" t="s">
        <v>4563</v>
      </c>
      <c r="I1539" s="67">
        <v>45796</v>
      </c>
      <c r="J1539" s="67" t="s">
        <v>239</v>
      </c>
      <c r="K1539" s="68">
        <v>45957</v>
      </c>
      <c r="L1539" s="69"/>
      <c r="M1539" s="66" t="str">
        <f t="shared" ca="1" si="48"/>
        <v>CLOSED</v>
      </c>
    </row>
    <row r="1540" spans="1:13" ht="45">
      <c r="A1540" s="64" t="s">
        <v>485</v>
      </c>
      <c r="B1540" s="98" t="e">
        <f>VLOOKUP([2]!Table27[[#This Row],[Location 
(drop-down)]],'[2]List source'!D$2:E$59,2,FALSE)</f>
        <v>#VALUE!</v>
      </c>
      <c r="C1540" s="99" t="s">
        <v>4564</v>
      </c>
      <c r="D1540" s="100" t="e">
        <f t="shared" si="49"/>
        <v>#VALUE!</v>
      </c>
      <c r="E1540" s="64" t="s">
        <v>4565</v>
      </c>
      <c r="F1540" s="66" t="e" cm="1" vm="1">
        <f t="array" aca="1" ref="F154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0" s="64" t="s">
        <v>4566</v>
      </c>
      <c r="H1540" s="436" t="s">
        <v>4567</v>
      </c>
      <c r="I1540" s="67">
        <v>45796</v>
      </c>
      <c r="J1540" s="130"/>
      <c r="K1540" s="68"/>
      <c r="L1540" s="131"/>
      <c r="M1540" s="66">
        <f t="shared" ca="1" si="48"/>
        <v>282</v>
      </c>
    </row>
    <row r="1541" spans="1:13" ht="45">
      <c r="A1541" s="64" t="s">
        <v>485</v>
      </c>
      <c r="B1541" s="98" t="e">
        <f>VLOOKUP([2]!Table27[[#This Row],[Location 
(drop-down)]],'[2]List source'!D$2:E$59,2,FALSE)</f>
        <v>#VALUE!</v>
      </c>
      <c r="C1541" s="99" t="s">
        <v>4568</v>
      </c>
      <c r="D1541" s="100" t="e">
        <f t="shared" si="49"/>
        <v>#VALUE!</v>
      </c>
      <c r="E1541" s="70" t="s">
        <v>4569</v>
      </c>
      <c r="F1541" s="66" t="e" cm="1" vm="1">
        <f t="array" aca="1" ref="F154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1" s="64" t="s">
        <v>4570</v>
      </c>
      <c r="H1541" s="148" t="s">
        <v>4571</v>
      </c>
      <c r="I1541" s="78">
        <v>45796</v>
      </c>
      <c r="J1541" s="132" t="s">
        <v>239</v>
      </c>
      <c r="K1541" s="133">
        <v>45866</v>
      </c>
      <c r="L1541" s="131"/>
      <c r="M1541" s="66" t="str">
        <f t="shared" ca="1" si="48"/>
        <v>CLOSED</v>
      </c>
    </row>
    <row r="1542" spans="1:13" ht="30">
      <c r="A1542" s="64" t="s">
        <v>15</v>
      </c>
      <c r="B1542" s="98" t="e">
        <f>VLOOKUP([2]!Table27[[#This Row],[Location 
(drop-down)]],'[2]List source'!D$2:E$59,2,FALSE)</f>
        <v>#VALUE!</v>
      </c>
      <c r="C1542" s="99" t="s">
        <v>4572</v>
      </c>
      <c r="D1542" s="100" t="e">
        <f t="shared" si="49"/>
        <v>#VALUE!</v>
      </c>
      <c r="E1542" s="64" t="s">
        <v>4573</v>
      </c>
      <c r="F1542" s="66" t="e" cm="1" vm="1">
        <f t="array" aca="1" ref="F154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42" s="110" t="s">
        <v>3557</v>
      </c>
      <c r="I1542" s="78">
        <v>45796</v>
      </c>
      <c r="J1542" s="132" t="s">
        <v>69</v>
      </c>
      <c r="K1542" s="133">
        <v>45968</v>
      </c>
      <c r="L1542" s="69"/>
      <c r="M1542" s="66" t="str">
        <f t="shared" ca="1" si="48"/>
        <v>CLOSED</v>
      </c>
    </row>
    <row r="1543" spans="1:13" ht="60">
      <c r="A1543" s="64" t="s">
        <v>15</v>
      </c>
      <c r="B1543" s="98" t="e">
        <f>VLOOKUP([2]!Table27[[#This Row],[Location 
(drop-down)]],'[2]List source'!D$2:E$59,2,FALSE)</f>
        <v>#VALUE!</v>
      </c>
      <c r="C1543" s="99" t="s">
        <v>4574</v>
      </c>
      <c r="D1543" s="100" t="e">
        <f t="shared" si="49"/>
        <v>#VALUE!</v>
      </c>
      <c r="E1543" s="64" t="s">
        <v>4575</v>
      </c>
      <c r="F1543" s="66" t="e" cm="1" vm="1">
        <f t="array" aca="1" ref="F154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43" s="66">
        <v>4.96</v>
      </c>
      <c r="I1543" s="78">
        <v>45796</v>
      </c>
      <c r="J1543" s="132"/>
      <c r="K1543" s="133"/>
      <c r="L1543" s="69"/>
      <c r="M1543" s="66">
        <f t="shared" ca="1" si="48"/>
        <v>282</v>
      </c>
    </row>
    <row r="1544" spans="1:13" ht="45">
      <c r="A1544" s="64" t="s">
        <v>43</v>
      </c>
      <c r="B1544" s="98" t="e">
        <f>VLOOKUP([2]!Table27[[#This Row],[Location 
(drop-down)]],'[2]List source'!D$2:E$59,2,FALSE)</f>
        <v>#VALUE!</v>
      </c>
      <c r="C1544" s="99" t="s">
        <v>4576</v>
      </c>
      <c r="D1544" s="100" t="e">
        <f t="shared" si="49"/>
        <v>#VALUE!</v>
      </c>
      <c r="E1544" s="64" t="s">
        <v>4577</v>
      </c>
      <c r="F1544" s="66" t="e" cm="1" vm="1">
        <f t="array" aca="1" ref="F154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44" s="66" t="s">
        <v>4578</v>
      </c>
      <c r="I1544" s="67">
        <v>45796</v>
      </c>
      <c r="J1544" s="67" t="s">
        <v>108</v>
      </c>
      <c r="K1544" s="68">
        <v>45872</v>
      </c>
      <c r="L1544" s="69"/>
      <c r="M1544" s="66" t="str">
        <f t="shared" ca="1" si="48"/>
        <v>CLOSED</v>
      </c>
    </row>
    <row r="1545" spans="1:13" ht="30">
      <c r="A1545" s="64" t="s">
        <v>43</v>
      </c>
      <c r="B1545" s="98" t="e">
        <f>VLOOKUP([2]!Table27[[#This Row],[Location 
(drop-down)]],'[2]List source'!D$2:E$59,2,FALSE)</f>
        <v>#VALUE!</v>
      </c>
      <c r="C1545" s="99" t="s">
        <v>4579</v>
      </c>
      <c r="D1545" s="100" t="e">
        <f t="shared" si="49"/>
        <v>#VALUE!</v>
      </c>
      <c r="E1545" s="64" t="s">
        <v>4580</v>
      </c>
      <c r="F1545" s="66" t="e" cm="1" vm="1">
        <f t="array" aca="1" ref="F154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45" s="66">
        <v>72.900000000000006</v>
      </c>
      <c r="I1545" s="67">
        <v>45796</v>
      </c>
      <c r="J1545" s="67" t="s">
        <v>108</v>
      </c>
      <c r="K1545" s="68">
        <v>45872</v>
      </c>
      <c r="L1545" s="69"/>
      <c r="M1545" s="66" t="str">
        <f t="shared" ca="1" si="48"/>
        <v>CLOSED</v>
      </c>
    </row>
    <row r="1546" spans="1:13" ht="45">
      <c r="A1546" s="64" t="s">
        <v>202</v>
      </c>
      <c r="B1546" s="98" t="e">
        <f>VLOOKUP([2]!Table27[[#This Row],[Location 
(drop-down)]],'[2]List source'!D$2:E$59,2,FALSE)</f>
        <v>#VALUE!</v>
      </c>
      <c r="C1546" s="99" t="s">
        <v>4581</v>
      </c>
      <c r="D1546" s="100" t="e">
        <f t="shared" si="49"/>
        <v>#VALUE!</v>
      </c>
      <c r="E1546" s="64" t="s">
        <v>4582</v>
      </c>
      <c r="F1546" s="66" t="e" cm="1" vm="1">
        <f t="array" aca="1" ref="F154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46" s="66">
        <v>-13.43</v>
      </c>
      <c r="I1546" s="67">
        <v>45798</v>
      </c>
      <c r="J1546" s="132" t="s">
        <v>34</v>
      </c>
      <c r="K1546" s="133">
        <v>45799</v>
      </c>
      <c r="L1546" s="69" t="s">
        <v>1505</v>
      </c>
      <c r="M1546" s="66" t="str">
        <f t="shared" ca="1" si="48"/>
        <v>CLOSED</v>
      </c>
    </row>
    <row r="1547" spans="1:13" ht="30">
      <c r="A1547" s="64" t="s">
        <v>202</v>
      </c>
      <c r="B1547" s="98" t="e">
        <f>VLOOKUP([2]!Table27[[#This Row],[Location 
(drop-down)]],'[2]List source'!D$2:E$59,2,FALSE)</f>
        <v>#VALUE!</v>
      </c>
      <c r="C1547" s="99" t="s">
        <v>4583</v>
      </c>
      <c r="D1547" s="100" t="e">
        <f t="shared" si="49"/>
        <v>#VALUE!</v>
      </c>
      <c r="E1547" s="64" t="s">
        <v>4584</v>
      </c>
      <c r="F1547" s="66" t="e" cm="1" vm="1">
        <f t="array" aca="1" ref="F154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47" s="66">
        <v>-4.5199999999999996</v>
      </c>
      <c r="I1547" s="67">
        <v>45798</v>
      </c>
      <c r="J1547" s="132" t="s">
        <v>21</v>
      </c>
      <c r="K1547" s="133">
        <v>45862</v>
      </c>
      <c r="L1547" s="69"/>
      <c r="M1547" s="66" t="str">
        <f t="shared" ca="1" si="48"/>
        <v>CLOSED</v>
      </c>
    </row>
    <row r="1548" spans="1:13" ht="30">
      <c r="A1548" s="64" t="s">
        <v>39</v>
      </c>
      <c r="B1548" s="98" t="e">
        <f>VLOOKUP([2]!Table27[[#This Row],[Location 
(drop-down)]],'[2]List source'!D$2:E$59,2,FALSE)</f>
        <v>#VALUE!</v>
      </c>
      <c r="C1548" s="99" t="s">
        <v>4585</v>
      </c>
      <c r="D1548" s="100" t="e">
        <f t="shared" si="49"/>
        <v>#VALUE!</v>
      </c>
      <c r="E1548" s="64" t="s">
        <v>4586</v>
      </c>
      <c r="F1548" s="66" t="e" cm="1" vm="1">
        <f t="array" aca="1" ref="F154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48" s="110" t="s">
        <v>4587</v>
      </c>
      <c r="I1548" s="67">
        <v>45798</v>
      </c>
      <c r="J1548" s="132" t="s">
        <v>34</v>
      </c>
      <c r="K1548" s="133">
        <v>45798</v>
      </c>
      <c r="L1548" s="69"/>
      <c r="M1548" s="66" t="str">
        <f t="shared" ca="1" si="48"/>
        <v>CLOSED</v>
      </c>
    </row>
    <row r="1549" spans="1:13" ht="30">
      <c r="A1549" s="64" t="s">
        <v>344</v>
      </c>
      <c r="B1549" s="98" t="e">
        <f>VLOOKUP([2]!Table27[[#This Row],[Location 
(drop-down)]],'[2]List source'!D$2:E$59,2,FALSE)</f>
        <v>#VALUE!</v>
      </c>
      <c r="C1549" s="99" t="s">
        <v>4588</v>
      </c>
      <c r="D1549" s="100" t="e">
        <f t="shared" si="49"/>
        <v>#VALUE!</v>
      </c>
      <c r="E1549" s="124" t="s">
        <v>4589</v>
      </c>
      <c r="F1549" s="66" t="e" cm="1" vm="1">
        <f t="array" aca="1" ref="F154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49" s="13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49" s="110" t="s">
        <v>3623</v>
      </c>
      <c r="I1549" s="67">
        <v>45798</v>
      </c>
      <c r="J1549" s="132" t="s">
        <v>327</v>
      </c>
      <c r="K1549" s="133">
        <v>45874</v>
      </c>
      <c r="L1549" s="69"/>
      <c r="M1549" s="66" t="str">
        <f t="shared" ca="1" si="48"/>
        <v>CLOSED</v>
      </c>
    </row>
    <row r="1550" spans="1:13" ht="30">
      <c r="A1550" s="64" t="s">
        <v>64</v>
      </c>
      <c r="B1550" s="98" t="e">
        <f>VLOOKUP([2]!Table27[[#This Row],[Location 
(drop-down)]],'[2]List source'!D$2:E$59,2,FALSE)</f>
        <v>#VALUE!</v>
      </c>
      <c r="C1550" s="99" t="s">
        <v>4590</v>
      </c>
      <c r="D1550" s="100" t="e">
        <f t="shared" si="49"/>
        <v>#VALUE!</v>
      </c>
      <c r="E1550" s="168" t="s">
        <v>4591</v>
      </c>
      <c r="F1550" s="437" t="s">
        <v>1769</v>
      </c>
      <c r="G1550" s="438"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0" s="439">
        <v>2.0099999999999998</v>
      </c>
      <c r="I1550" s="67">
        <v>45799</v>
      </c>
      <c r="J1550" s="132" t="s">
        <v>239</v>
      </c>
      <c r="K1550" s="133">
        <v>45896</v>
      </c>
      <c r="L1550" s="69"/>
      <c r="M1550" s="66" t="str">
        <f t="shared" ca="1" si="48"/>
        <v>CLOSED</v>
      </c>
    </row>
    <row r="1551" spans="1:13" ht="30">
      <c r="A1551" s="64" t="s">
        <v>500</v>
      </c>
      <c r="B1551" s="98" t="e">
        <f>VLOOKUP([2]!Table27[[#This Row],[Location 
(drop-down)]],'[2]List source'!D$2:E$59,2,FALSE)</f>
        <v>#VALUE!</v>
      </c>
      <c r="C1551" s="99" t="s">
        <v>4592</v>
      </c>
      <c r="D1551" s="100" t="e">
        <f t="shared" si="49"/>
        <v>#VALUE!</v>
      </c>
      <c r="E1551" s="97" t="s">
        <v>4593</v>
      </c>
      <c r="F1551" s="66" t="s">
        <v>1769</v>
      </c>
      <c r="G15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1" s="66">
        <v>9.26</v>
      </c>
      <c r="I1551" s="67">
        <v>45799</v>
      </c>
      <c r="J1551" s="132" t="s">
        <v>310</v>
      </c>
      <c r="K1551" s="133">
        <v>45831</v>
      </c>
      <c r="L1551" s="69"/>
      <c r="M1551" s="66" t="str">
        <f t="shared" ca="1" si="48"/>
        <v>CLOSED</v>
      </c>
    </row>
    <row r="1552" spans="1:13" ht="30">
      <c r="A1552" s="64" t="s">
        <v>500</v>
      </c>
      <c r="B1552" s="98" t="e">
        <f>VLOOKUP([2]!Table27[[#This Row],[Location 
(drop-down)]],'[2]List source'!D$2:E$59,2,FALSE)</f>
        <v>#VALUE!</v>
      </c>
      <c r="C1552" s="99" t="s">
        <v>4594</v>
      </c>
      <c r="D1552" s="100" t="e">
        <f t="shared" si="49"/>
        <v>#VALUE!</v>
      </c>
      <c r="E1552" s="64" t="s">
        <v>4595</v>
      </c>
      <c r="F1552" s="66" t="s">
        <v>1769</v>
      </c>
      <c r="G15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2" s="66">
        <v>2.86</v>
      </c>
      <c r="I1552" s="67">
        <v>45799</v>
      </c>
      <c r="J1552" s="132" t="s">
        <v>310</v>
      </c>
      <c r="K1552" s="133">
        <v>45855</v>
      </c>
      <c r="L1552" s="69"/>
      <c r="M1552" s="66" t="str">
        <f t="shared" ca="1" si="48"/>
        <v>CLOSED</v>
      </c>
    </row>
    <row r="1553" spans="1:13" ht="30">
      <c r="A1553" s="64" t="s">
        <v>139</v>
      </c>
      <c r="B1553" s="98" t="e">
        <f>VLOOKUP([2]!Table27[[#This Row],[Location 
(drop-down)]],'[2]List source'!D$2:E$59,2,FALSE)</f>
        <v>#VALUE!</v>
      </c>
      <c r="C1553" s="99" t="s">
        <v>4596</v>
      </c>
      <c r="D1553" s="100" t="e">
        <f t="shared" si="49"/>
        <v>#VALUE!</v>
      </c>
      <c r="E1553" s="64" t="s">
        <v>4597</v>
      </c>
      <c r="F1553" s="66" t="s">
        <v>1769</v>
      </c>
      <c r="G15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3" s="110" t="s">
        <v>4598</v>
      </c>
      <c r="I1553" s="67">
        <v>45799</v>
      </c>
      <c r="J1553" s="132" t="s">
        <v>310</v>
      </c>
      <c r="K1553" s="133">
        <v>45911</v>
      </c>
      <c r="L1553" s="69"/>
      <c r="M1553" s="66" t="str">
        <f t="shared" ca="1" si="48"/>
        <v>CLOSED</v>
      </c>
    </row>
    <row r="1554" spans="1:13" ht="30">
      <c r="A1554" s="64" t="s">
        <v>64</v>
      </c>
      <c r="B1554" s="98" t="e">
        <f>VLOOKUP([2]!Table27[[#This Row],[Location 
(drop-down)]],'[2]List source'!D$2:E$59,2,FALSE)</f>
        <v>#VALUE!</v>
      </c>
      <c r="C1554" s="99" t="s">
        <v>4599</v>
      </c>
      <c r="D1554" s="100" t="e">
        <f t="shared" si="49"/>
        <v>#VALUE!</v>
      </c>
      <c r="E1554" s="64" t="s">
        <v>4600</v>
      </c>
      <c r="F1554" s="66" t="s">
        <v>1769</v>
      </c>
      <c r="G15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4" s="66">
        <v>2.19</v>
      </c>
      <c r="I1554" s="67">
        <v>45800</v>
      </c>
      <c r="J1554" s="67" t="s">
        <v>239</v>
      </c>
      <c r="K1554" s="68">
        <v>45913</v>
      </c>
      <c r="L1554" s="69"/>
      <c r="M1554" s="66" t="str">
        <f t="shared" ca="1" si="48"/>
        <v>CLOSED</v>
      </c>
    </row>
    <row r="1555" spans="1:13" ht="30">
      <c r="A1555" s="64" t="s">
        <v>167</v>
      </c>
      <c r="B1555" s="98" t="e">
        <f>VLOOKUP([2]!Table27[[#This Row],[Location 
(drop-down)]],'[2]List source'!D$2:E$59,2,FALSE)</f>
        <v>#VALUE!</v>
      </c>
      <c r="C1555" s="99" t="s">
        <v>4601</v>
      </c>
      <c r="D1555" s="100" t="e">
        <f t="shared" si="49"/>
        <v>#VALUE!</v>
      </c>
      <c r="E1555" s="64" t="s">
        <v>4602</v>
      </c>
      <c r="F1555" s="66" t="s">
        <v>1769</v>
      </c>
      <c r="G15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5" s="66">
        <v>3.54</v>
      </c>
      <c r="I1555" s="67">
        <v>45800</v>
      </c>
      <c r="J1555" s="67" t="s">
        <v>310</v>
      </c>
      <c r="K1555" s="68">
        <v>45852</v>
      </c>
      <c r="L1555" s="69"/>
      <c r="M1555" s="66" t="str">
        <f t="shared" ca="1" si="48"/>
        <v>CLOSED</v>
      </c>
    </row>
    <row r="1556" spans="1:13" ht="90">
      <c r="A1556" s="64" t="s">
        <v>167</v>
      </c>
      <c r="B1556" s="98" t="e">
        <f>VLOOKUP([2]!Table27[[#This Row],[Location 
(drop-down)]],'[2]List source'!D$2:E$59,2,FALSE)</f>
        <v>#VALUE!</v>
      </c>
      <c r="C1556" s="99" t="s">
        <v>4603</v>
      </c>
      <c r="D1556" s="100" t="e">
        <f t="shared" si="49"/>
        <v>#VALUE!</v>
      </c>
      <c r="E1556" s="64" t="s">
        <v>4604</v>
      </c>
      <c r="F1556" s="66" t="s">
        <v>1769</v>
      </c>
      <c r="G15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6" s="66">
        <v>2.35</v>
      </c>
      <c r="I1556" s="67">
        <v>45800</v>
      </c>
      <c r="J1556" s="67" t="s">
        <v>34</v>
      </c>
      <c r="K1556" s="68">
        <v>45800</v>
      </c>
      <c r="L1556" s="69" t="s">
        <v>1562</v>
      </c>
      <c r="M1556" s="66" t="str">
        <f t="shared" ca="1" si="48"/>
        <v>CLOSED</v>
      </c>
    </row>
    <row r="1557" spans="1:13" ht="30">
      <c r="A1557" s="64" t="s">
        <v>500</v>
      </c>
      <c r="B1557" s="98" t="e">
        <f>VLOOKUP([2]!Table27[[#This Row],[Location 
(drop-down)]],'[2]List source'!D$2:E$59,2,FALSE)</f>
        <v>#VALUE!</v>
      </c>
      <c r="C1557" s="99" t="s">
        <v>4605</v>
      </c>
      <c r="D1557" s="100" t="e">
        <f t="shared" si="49"/>
        <v>#VALUE!</v>
      </c>
      <c r="E1557" s="64" t="s">
        <v>4606</v>
      </c>
      <c r="F1557" s="66" t="s">
        <v>1769</v>
      </c>
      <c r="G15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7" s="66">
        <v>-8.08</v>
      </c>
      <c r="I1557" s="67">
        <v>45800</v>
      </c>
      <c r="J1557" s="67" t="s">
        <v>310</v>
      </c>
      <c r="K1557" s="68">
        <v>45845</v>
      </c>
      <c r="L1557" s="69"/>
      <c r="M1557" s="66" t="str">
        <f t="shared" ca="1" si="48"/>
        <v>CLOSED</v>
      </c>
    </row>
    <row r="1558" spans="1:13" ht="90">
      <c r="A1558" s="64" t="s">
        <v>139</v>
      </c>
      <c r="B1558" s="98" t="e">
        <f>VLOOKUP([2]!Table27[[#This Row],[Location 
(drop-down)]],'[2]List source'!D$2:E$59,2,FALSE)</f>
        <v>#VALUE!</v>
      </c>
      <c r="C1558" s="99" t="s">
        <v>4607</v>
      </c>
      <c r="D1558" s="100" t="e">
        <f t="shared" si="49"/>
        <v>#VALUE!</v>
      </c>
      <c r="E1558" s="64" t="s">
        <v>4608</v>
      </c>
      <c r="F1558" s="66" t="s">
        <v>1769</v>
      </c>
      <c r="G15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8" s="110" t="s">
        <v>4609</v>
      </c>
      <c r="I1558" s="67">
        <v>45800</v>
      </c>
      <c r="J1558" s="67" t="s">
        <v>34</v>
      </c>
      <c r="K1558" s="68">
        <v>45800</v>
      </c>
      <c r="L1558" s="69" t="s">
        <v>1562</v>
      </c>
      <c r="M1558" s="66" t="str">
        <f t="shared" ca="1" si="48"/>
        <v>CLOSED</v>
      </c>
    </row>
    <row r="1559" spans="1:13" ht="45">
      <c r="A1559" s="64" t="s">
        <v>156</v>
      </c>
      <c r="B1559" s="98" t="e">
        <f>VLOOKUP([2]!Table27[[#This Row],[Location 
(drop-down)]],'[2]List source'!D$2:E$59,2,FALSE)</f>
        <v>#VALUE!</v>
      </c>
      <c r="C1559" s="99" t="s">
        <v>4610</v>
      </c>
      <c r="D1559" s="100" t="e">
        <f t="shared" si="49"/>
        <v>#VALUE!</v>
      </c>
      <c r="E1559" s="64" t="s">
        <v>4611</v>
      </c>
      <c r="F1559" s="66" t="s">
        <v>1769</v>
      </c>
      <c r="G15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59" s="66">
        <v>2.09</v>
      </c>
      <c r="I1559" s="67">
        <v>45800</v>
      </c>
      <c r="J1559" s="67" t="s">
        <v>34</v>
      </c>
      <c r="K1559" s="68">
        <v>45800</v>
      </c>
      <c r="L1559" s="69" t="s">
        <v>1505</v>
      </c>
      <c r="M1559" s="66" t="str">
        <f t="shared" ca="1" si="48"/>
        <v>CLOSED</v>
      </c>
    </row>
    <row r="1560" spans="1:13" ht="90">
      <c r="A1560" s="64" t="s">
        <v>103</v>
      </c>
      <c r="B1560" s="98" t="e">
        <f>VLOOKUP([2]!Table27[[#This Row],[Location 
(drop-down)]],'[2]List source'!D$2:E$59,2,FALSE)</f>
        <v>#VALUE!</v>
      </c>
      <c r="C1560" s="99" t="s">
        <v>4612</v>
      </c>
      <c r="D1560" s="100" t="e">
        <f t="shared" si="49"/>
        <v>#VALUE!</v>
      </c>
      <c r="E1560" s="64" t="s">
        <v>4613</v>
      </c>
      <c r="F1560" s="66" t="s">
        <v>1769</v>
      </c>
      <c r="G15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0" s="66">
        <v>2.62</v>
      </c>
      <c r="I1560" s="67">
        <v>45800</v>
      </c>
      <c r="J1560" s="67" t="s">
        <v>34</v>
      </c>
      <c r="K1560" s="68">
        <v>45800</v>
      </c>
      <c r="L1560" s="69" t="s">
        <v>1562</v>
      </c>
      <c r="M1560" s="66" t="str">
        <f t="shared" ca="1" si="48"/>
        <v>CLOSED</v>
      </c>
    </row>
    <row r="1561" spans="1:13" ht="30">
      <c r="A1561" s="64" t="s">
        <v>80</v>
      </c>
      <c r="B1561" s="98" t="e">
        <f>VLOOKUP([2]!Table27[[#This Row],[Location 
(drop-down)]],'[2]List source'!D$2:E$59,2,FALSE)</f>
        <v>#VALUE!</v>
      </c>
      <c r="C1561" s="99" t="s">
        <v>4614</v>
      </c>
      <c r="D1561" s="100" t="e">
        <f t="shared" si="49"/>
        <v>#VALUE!</v>
      </c>
      <c r="E1561" s="64" t="s">
        <v>4615</v>
      </c>
      <c r="F1561" s="66" t="s">
        <v>1769</v>
      </c>
      <c r="G15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1" s="66">
        <v>2.14</v>
      </c>
      <c r="I1561" s="67">
        <v>45800</v>
      </c>
      <c r="J1561" s="67"/>
      <c r="K1561" s="68"/>
      <c r="L1561" s="69"/>
      <c r="M1561" s="66">
        <f t="shared" ca="1" si="48"/>
        <v>278</v>
      </c>
    </row>
    <row r="1562" spans="1:13" ht="45">
      <c r="A1562" s="64" t="s">
        <v>167</v>
      </c>
      <c r="B1562" s="98" t="e">
        <f>VLOOKUP([2]!Table27[[#This Row],[Location 
(drop-down)]],'[2]List source'!D$2:E$59,2,FALSE)</f>
        <v>#VALUE!</v>
      </c>
      <c r="C1562" s="99" t="s">
        <v>4616</v>
      </c>
      <c r="D1562" s="100" t="e">
        <f t="shared" si="49"/>
        <v>#VALUE!</v>
      </c>
      <c r="E1562" s="64" t="s">
        <v>4617</v>
      </c>
      <c r="F1562" s="66" t="s">
        <v>1769</v>
      </c>
      <c r="G15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2" s="110" t="s">
        <v>4618</v>
      </c>
      <c r="I1562" s="67">
        <v>45800</v>
      </c>
      <c r="J1562" s="67" t="s">
        <v>34</v>
      </c>
      <c r="K1562" s="68">
        <v>45813</v>
      </c>
      <c r="L1562" s="69" t="s">
        <v>1505</v>
      </c>
      <c r="M1562" s="66" t="str">
        <f t="shared" ca="1" si="48"/>
        <v>CLOSED</v>
      </c>
    </row>
    <row r="1563" spans="1:13" ht="30">
      <c r="A1563" s="64" t="s">
        <v>139</v>
      </c>
      <c r="B1563" s="98" t="e">
        <f>VLOOKUP([2]!Table27[[#This Row],[Location 
(drop-down)]],'[2]List source'!D$2:E$59,2,FALSE)</f>
        <v>#VALUE!</v>
      </c>
      <c r="C1563" s="99" t="s">
        <v>4619</v>
      </c>
      <c r="D1563" s="100" t="e">
        <f t="shared" si="49"/>
        <v>#VALUE!</v>
      </c>
      <c r="E1563" s="64" t="s">
        <v>4620</v>
      </c>
      <c r="F1563" s="66" t="s">
        <v>1769</v>
      </c>
      <c r="G15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3" s="110" t="s">
        <v>2134</v>
      </c>
      <c r="I1563" s="67">
        <v>45800</v>
      </c>
      <c r="J1563" s="67" t="s">
        <v>310</v>
      </c>
      <c r="K1563" s="68">
        <v>45888</v>
      </c>
      <c r="L1563" s="69"/>
      <c r="M1563" s="66" t="str">
        <f t="shared" ca="1" si="48"/>
        <v>CLOSED</v>
      </c>
    </row>
    <row r="1564" spans="1:13" ht="30">
      <c r="A1564" s="64" t="s">
        <v>1334</v>
      </c>
      <c r="B1564" s="98" t="e">
        <f>VLOOKUP([2]!Table27[[#This Row],[Location 
(drop-down)]],'[2]List source'!D$2:E$59,2,FALSE)</f>
        <v>#VALUE!</v>
      </c>
      <c r="C1564" s="99" t="s">
        <v>4621</v>
      </c>
      <c r="D1564" s="100" t="e">
        <f t="shared" si="49"/>
        <v>#VALUE!</v>
      </c>
      <c r="E1564" s="64" t="s">
        <v>4622</v>
      </c>
      <c r="F1564" s="66" t="e" cm="1" vm="1">
        <f t="array" aca="1" ref="F15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4" s="110" t="s">
        <v>4053</v>
      </c>
      <c r="I1564" s="67">
        <v>45804</v>
      </c>
      <c r="J1564" s="67" t="s">
        <v>310</v>
      </c>
      <c r="K1564" s="68">
        <v>45807</v>
      </c>
      <c r="L1564" s="69"/>
      <c r="M1564" s="66" t="str">
        <f t="shared" ca="1" si="48"/>
        <v>CLOSED</v>
      </c>
    </row>
    <row r="1565" spans="1:13" ht="30">
      <c r="A1565" s="64" t="s">
        <v>432</v>
      </c>
      <c r="B1565" s="98" t="e">
        <f>VLOOKUP([2]!Table27[[#This Row],[Location 
(drop-down)]],'[2]List source'!D$2:E$59,2,FALSE)</f>
        <v>#VALUE!</v>
      </c>
      <c r="C1565" s="99" t="s">
        <v>4623</v>
      </c>
      <c r="D1565" s="100" t="e">
        <f t="shared" si="49"/>
        <v>#VALUE!</v>
      </c>
      <c r="E1565" s="64" t="s">
        <v>4624</v>
      </c>
      <c r="F1565" s="66" t="e" cm="1" vm="1">
        <f t="array" aca="1" ref="F156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5" s="66">
        <v>4.3899999999999997</v>
      </c>
      <c r="I1565" s="67">
        <v>45804</v>
      </c>
      <c r="J1565" s="67"/>
      <c r="K1565" s="68"/>
      <c r="L1565" s="69"/>
      <c r="M1565" s="66">
        <f t="shared" ca="1" si="48"/>
        <v>274</v>
      </c>
    </row>
    <row r="1566" spans="1:13" ht="45">
      <c r="A1566" s="64" t="s">
        <v>462</v>
      </c>
      <c r="B1566" s="98" t="e">
        <f>VLOOKUP([2]!Table27[[#This Row],[Location 
(drop-down)]],'[2]List source'!D$2:E$59,2,FALSE)</f>
        <v>#VALUE!</v>
      </c>
      <c r="C1566" s="99" t="s">
        <v>4625</v>
      </c>
      <c r="D1566" s="100" t="e">
        <f t="shared" si="49"/>
        <v>#VALUE!</v>
      </c>
      <c r="E1566" s="64" t="s">
        <v>4626</v>
      </c>
      <c r="F1566" s="66" t="e" cm="1" vm="1">
        <f t="array" aca="1" ref="F15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6" s="110" t="s">
        <v>4627</v>
      </c>
      <c r="I1566" s="67">
        <v>45804</v>
      </c>
      <c r="J1566" s="67" t="s">
        <v>34</v>
      </c>
      <c r="K1566" s="68">
        <v>45807</v>
      </c>
      <c r="L1566" s="69" t="s">
        <v>1505</v>
      </c>
      <c r="M1566" s="66" t="str">
        <f t="shared" ca="1" si="48"/>
        <v>CLOSED</v>
      </c>
    </row>
    <row r="1567" spans="1:13" ht="30">
      <c r="A1567" s="64" t="s">
        <v>462</v>
      </c>
      <c r="B1567" s="98" t="e">
        <f>VLOOKUP([2]!Table27[[#This Row],[Location 
(drop-down)]],'[2]List source'!D$2:E$59,2,FALSE)</f>
        <v>#VALUE!</v>
      </c>
      <c r="C1567" s="99" t="s">
        <v>4628</v>
      </c>
      <c r="D1567" s="100" t="e">
        <f t="shared" si="49"/>
        <v>#VALUE!</v>
      </c>
      <c r="E1567" s="64" t="s">
        <v>4629</v>
      </c>
      <c r="F1567" s="66" t="e" cm="1" vm="1">
        <f t="array" aca="1" ref="F15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7" s="66">
        <v>2.0499999999999998</v>
      </c>
      <c r="I1567" s="67">
        <v>45804</v>
      </c>
      <c r="J1567" s="67" t="s">
        <v>108</v>
      </c>
      <c r="K1567" s="68">
        <v>45931</v>
      </c>
      <c r="L1567" s="69"/>
      <c r="M1567" s="66" t="str">
        <f t="shared" ref="M1567:M1630" ca="1" si="50">IF(ISBLANK(K1567), TODAY()-(I1567), "CLOSED")</f>
        <v>CLOSED</v>
      </c>
    </row>
    <row r="1568" spans="1:13" ht="30">
      <c r="A1568" s="64" t="s">
        <v>462</v>
      </c>
      <c r="B1568" s="98" t="e">
        <f>VLOOKUP([2]!Table27[[#This Row],[Location 
(drop-down)]],'[2]List source'!D$2:E$59,2,FALSE)</f>
        <v>#VALUE!</v>
      </c>
      <c r="C1568" s="99" t="s">
        <v>4630</v>
      </c>
      <c r="D1568" s="100" t="e">
        <f t="shared" si="49"/>
        <v>#VALUE!</v>
      </c>
      <c r="E1568" s="124" t="s">
        <v>4631</v>
      </c>
      <c r="F1568" s="135" t="e" cm="1" vm="1">
        <f t="array" aca="1" ref="F15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8" s="135">
        <v>2.44</v>
      </c>
      <c r="I1568" s="67">
        <v>45804</v>
      </c>
      <c r="J1568" s="67" t="s">
        <v>29</v>
      </c>
      <c r="K1568" s="68">
        <v>45854</v>
      </c>
      <c r="L1568" s="69"/>
      <c r="M1568" s="66" t="str">
        <f t="shared" ca="1" si="50"/>
        <v>CLOSED</v>
      </c>
    </row>
    <row r="1569" spans="1:13" ht="45">
      <c r="A1569" s="64" t="s">
        <v>125</v>
      </c>
      <c r="B1569" s="98" t="e">
        <f>VLOOKUP([2]!Table27[[#This Row],[Location 
(drop-down)]],'[2]List source'!D$2:E$59,2,FALSE)</f>
        <v>#VALUE!</v>
      </c>
      <c r="C1569" s="99" t="s">
        <v>4632</v>
      </c>
      <c r="D1569" s="100" t="e">
        <f t="shared" si="49"/>
        <v>#VALUE!</v>
      </c>
      <c r="E1569" s="136" t="s">
        <v>4629</v>
      </c>
      <c r="F1569" s="137" t="e" cm="1" vm="1">
        <f t="array" aca="1" ref="F156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69" s="137">
        <v>2.0499999999999998</v>
      </c>
      <c r="I1569" s="67">
        <v>45804</v>
      </c>
      <c r="J1569" s="67" t="s">
        <v>34</v>
      </c>
      <c r="K1569" s="68">
        <v>45819</v>
      </c>
      <c r="L1569" s="69" t="s">
        <v>1505</v>
      </c>
      <c r="M1569" s="66" t="str">
        <f t="shared" ca="1" si="50"/>
        <v>CLOSED</v>
      </c>
    </row>
    <row r="1570" spans="1:13" ht="45">
      <c r="A1570" s="64" t="s">
        <v>125</v>
      </c>
      <c r="B1570" s="98" t="e">
        <f>VLOOKUP([2]!Table27[[#This Row],[Location 
(drop-down)]],'[2]List source'!D$2:E$59,2,FALSE)</f>
        <v>#VALUE!</v>
      </c>
      <c r="C1570" s="99" t="s">
        <v>4633</v>
      </c>
      <c r="D1570" s="100" t="e">
        <f t="shared" si="49"/>
        <v>#VALUE!</v>
      </c>
      <c r="E1570" s="97" t="s">
        <v>4634</v>
      </c>
      <c r="F1570" s="106" t="e" cm="1" vm="1">
        <f t="array" aca="1" ref="F157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0" s="102" t="s">
        <v>4635</v>
      </c>
      <c r="I1570" s="67">
        <v>45804</v>
      </c>
      <c r="J1570" s="67" t="s">
        <v>34</v>
      </c>
      <c r="K1570" s="68">
        <v>45819</v>
      </c>
      <c r="L1570" s="69" t="s">
        <v>1773</v>
      </c>
      <c r="M1570" s="66" t="str">
        <f t="shared" ca="1" si="50"/>
        <v>CLOSED</v>
      </c>
    </row>
    <row r="1571" spans="1:13" ht="30">
      <c r="A1571" s="64" t="s">
        <v>125</v>
      </c>
      <c r="B1571" s="98" t="e">
        <f>VLOOKUP([2]!Table27[[#This Row],[Location 
(drop-down)]],'[2]List source'!D$2:E$59,2,FALSE)</f>
        <v>#VALUE!</v>
      </c>
      <c r="C1571" s="99" t="s">
        <v>4636</v>
      </c>
      <c r="D1571" s="100" t="e">
        <f t="shared" si="49"/>
        <v>#VALUE!</v>
      </c>
      <c r="E1571" s="64" t="s">
        <v>4637</v>
      </c>
      <c r="F1571" s="69" t="e" cm="1" vm="1">
        <f t="array" aca="1" ref="F157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1" s="125">
        <v>3.2</v>
      </c>
      <c r="I1571" s="67">
        <v>45804</v>
      </c>
      <c r="J1571" s="67" t="s">
        <v>239</v>
      </c>
      <c r="K1571" s="68">
        <v>45896</v>
      </c>
      <c r="L1571" s="69"/>
      <c r="M1571" s="66" t="str">
        <f t="shared" ca="1" si="50"/>
        <v>CLOSED</v>
      </c>
    </row>
    <row r="1572" spans="1:13" ht="45">
      <c r="A1572" s="64" t="s">
        <v>30</v>
      </c>
      <c r="B1572" s="98" t="e">
        <f>VLOOKUP([2]!Table27[[#This Row],[Location 
(drop-down)]],'[2]List source'!D$2:E$59,2,FALSE)</f>
        <v>#VALUE!</v>
      </c>
      <c r="C1572" s="99" t="s">
        <v>4638</v>
      </c>
      <c r="D1572" s="100" t="e">
        <f t="shared" si="49"/>
        <v>#VALUE!</v>
      </c>
      <c r="E1572" s="64" t="s">
        <v>4639</v>
      </c>
      <c r="F1572" s="66" t="e" cm="1" vm="1">
        <f t="array" aca="1" ref="F157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2" s="110">
        <v>4.13</v>
      </c>
      <c r="I1572" s="67">
        <v>45805</v>
      </c>
      <c r="J1572" s="67" t="s">
        <v>34</v>
      </c>
      <c r="K1572" s="68">
        <v>45811</v>
      </c>
      <c r="L1572" s="69" t="s">
        <v>1505</v>
      </c>
      <c r="M1572" s="66" t="str">
        <f t="shared" ca="1" si="50"/>
        <v>CLOSED</v>
      </c>
    </row>
    <row r="1573" spans="1:13" ht="45">
      <c r="A1573" s="64" t="s">
        <v>30</v>
      </c>
      <c r="B1573" s="98" t="e">
        <f>VLOOKUP([2]!Table27[[#This Row],[Location 
(drop-down)]],'[2]List source'!D$2:E$59,2,FALSE)</f>
        <v>#VALUE!</v>
      </c>
      <c r="C1573" s="99" t="s">
        <v>4640</v>
      </c>
      <c r="D1573" s="100" t="e">
        <f t="shared" si="49"/>
        <v>#VALUE!</v>
      </c>
      <c r="E1573" s="64" t="s">
        <v>4641</v>
      </c>
      <c r="F1573" s="66" t="e" cm="1" vm="1">
        <f t="array" aca="1" ref="F157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3" s="440" t="s">
        <v>4642</v>
      </c>
      <c r="I1573" s="67">
        <v>45805</v>
      </c>
      <c r="J1573" s="67" t="s">
        <v>111</v>
      </c>
      <c r="K1573" s="68">
        <v>45838</v>
      </c>
      <c r="L1573" s="69"/>
      <c r="M1573" s="66" t="str">
        <f t="shared" ca="1" si="50"/>
        <v>CLOSED</v>
      </c>
    </row>
    <row r="1574" spans="1:13" ht="45">
      <c r="A1574" s="64" t="s">
        <v>30</v>
      </c>
      <c r="B1574" s="98" t="e">
        <f>VLOOKUP([2]!Table27[[#This Row],[Location 
(drop-down)]],'[2]List source'!D$2:E$59,2,FALSE)</f>
        <v>#VALUE!</v>
      </c>
      <c r="C1574" s="99" t="s">
        <v>4643</v>
      </c>
      <c r="D1574" s="100" t="e">
        <f t="shared" si="49"/>
        <v>#VALUE!</v>
      </c>
      <c r="E1574" s="64" t="s">
        <v>4644</v>
      </c>
      <c r="F1574" s="66" t="e" cm="1" vm="1">
        <f t="array" aca="1" ref="F157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4" s="66" t="s">
        <v>1579</v>
      </c>
      <c r="I1574" s="67">
        <v>45805</v>
      </c>
      <c r="J1574" s="67" t="s">
        <v>34</v>
      </c>
      <c r="K1574" s="68">
        <v>45811</v>
      </c>
      <c r="L1574" s="69" t="s">
        <v>1773</v>
      </c>
      <c r="M1574" s="66" t="str">
        <f t="shared" ca="1" si="50"/>
        <v>CLOSED</v>
      </c>
    </row>
    <row r="1575" spans="1:13" ht="60">
      <c r="A1575" s="64" t="s">
        <v>103</v>
      </c>
      <c r="B1575" s="98" t="e">
        <f>VLOOKUP([2]!Table27[[#This Row],[Location 
(drop-down)]],'[2]List source'!D$2:E$59,2,FALSE)</f>
        <v>#VALUE!</v>
      </c>
      <c r="C1575" s="99" t="s">
        <v>4645</v>
      </c>
      <c r="D1575" s="100" t="e">
        <f t="shared" si="49"/>
        <v>#VALUE!</v>
      </c>
      <c r="E1575" s="10" t="s">
        <v>4646</v>
      </c>
      <c r="F1575" s="139" t="e" cm="1" vm="1">
        <f t="array" aca="1" ref="F157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5" s="140" t="s">
        <v>4647</v>
      </c>
      <c r="I1575" s="138">
        <v>45805</v>
      </c>
      <c r="J1575" s="67" t="s">
        <v>310</v>
      </c>
      <c r="K1575" s="68">
        <v>45811</v>
      </c>
      <c r="L1575" s="69"/>
      <c r="M1575" s="66" t="str">
        <f t="shared" ca="1" si="50"/>
        <v>CLOSED</v>
      </c>
    </row>
    <row r="1576" spans="1:13" ht="45">
      <c r="A1576" s="64" t="s">
        <v>80</v>
      </c>
      <c r="B1576" s="98" t="e">
        <f>VLOOKUP([2]!Table27[[#This Row],[Location 
(drop-down)]],'[2]List source'!D$2:E$59,2,FALSE)</f>
        <v>#VALUE!</v>
      </c>
      <c r="C1576" s="99" t="s">
        <v>4648</v>
      </c>
      <c r="D1576" s="100" t="e">
        <f t="shared" si="49"/>
        <v>#VALUE!</v>
      </c>
      <c r="E1576" s="10" t="s">
        <v>4649</v>
      </c>
      <c r="F1576" s="139" t="e" cm="1" vm="1">
        <f t="array" aca="1" ref="F157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6" s="140">
        <v>217060.25</v>
      </c>
      <c r="I1576" s="138">
        <v>45805</v>
      </c>
      <c r="J1576" s="67" t="s">
        <v>34</v>
      </c>
      <c r="K1576" s="68">
        <v>45812</v>
      </c>
      <c r="L1576" s="69" t="s">
        <v>1505</v>
      </c>
      <c r="M1576" s="66" t="str">
        <f t="shared" ca="1" si="50"/>
        <v>CLOSED</v>
      </c>
    </row>
    <row r="1577" spans="1:13" ht="45">
      <c r="A1577" s="64" t="s">
        <v>73</v>
      </c>
      <c r="B1577" s="98" t="e">
        <f>VLOOKUP([2]!Table27[[#This Row],[Location 
(drop-down)]],'[2]List source'!D$2:E$59,2,FALSE)</f>
        <v>#VALUE!</v>
      </c>
      <c r="C1577" s="99" t="s">
        <v>4650</v>
      </c>
      <c r="D1577" s="100" t="e">
        <f t="shared" si="49"/>
        <v>#VALUE!</v>
      </c>
      <c r="E1577" s="10" t="s">
        <v>4651</v>
      </c>
      <c r="F1577" s="11" t="e" cm="1" vm="1">
        <f t="array" aca="1" ref="F157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7"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7" s="11" t="s">
        <v>4652</v>
      </c>
      <c r="I1577" s="67">
        <v>45805</v>
      </c>
      <c r="J1577" s="67" t="s">
        <v>239</v>
      </c>
      <c r="K1577" s="68">
        <v>45835</v>
      </c>
      <c r="L1577" s="69"/>
      <c r="M1577" s="66" t="str">
        <f t="shared" ca="1" si="50"/>
        <v>CLOSED</v>
      </c>
    </row>
    <row r="1578" spans="1:13" ht="30">
      <c r="A1578" s="64" t="s">
        <v>73</v>
      </c>
      <c r="B1578" s="98" t="e">
        <f>VLOOKUP([2]!Table27[[#This Row],[Location 
(drop-down)]],'[2]List source'!D$2:E$59,2,FALSE)</f>
        <v>#VALUE!</v>
      </c>
      <c r="C1578" s="99" t="s">
        <v>4653</v>
      </c>
      <c r="D1578" s="100" t="e">
        <f t="shared" si="49"/>
        <v>#VALUE!</v>
      </c>
      <c r="E1578" s="10" t="s">
        <v>4654</v>
      </c>
      <c r="F1578" s="11" t="e" cm="1" vm="1">
        <f t="array" aca="1" ref="F157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8"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8" s="9" t="s">
        <v>4655</v>
      </c>
      <c r="I1578" s="67">
        <v>45805</v>
      </c>
      <c r="J1578" s="67" t="s">
        <v>239</v>
      </c>
      <c r="K1578" s="68">
        <v>45825</v>
      </c>
      <c r="L1578" s="69"/>
      <c r="M1578" s="66" t="str">
        <f t="shared" ca="1" si="50"/>
        <v>CLOSED</v>
      </c>
    </row>
    <row r="1579" spans="1:13" ht="45">
      <c r="A1579" s="64" t="s">
        <v>73</v>
      </c>
      <c r="B1579" s="98" t="e">
        <f>VLOOKUP([2]!Table27[[#This Row],[Location 
(drop-down)]],'[2]List source'!D$2:E$59,2,FALSE)</f>
        <v>#VALUE!</v>
      </c>
      <c r="C1579" s="99" t="s">
        <v>4656</v>
      </c>
      <c r="D1579" s="100" t="e">
        <f t="shared" si="49"/>
        <v>#VALUE!</v>
      </c>
      <c r="E1579" s="10" t="s">
        <v>4657</v>
      </c>
      <c r="F1579" s="11" t="e" cm="1" vm="1">
        <f t="array" aca="1" ref="F157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79"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79" s="9" t="s">
        <v>3045</v>
      </c>
      <c r="I1579" s="74">
        <v>45805</v>
      </c>
      <c r="J1579" s="67" t="s">
        <v>34</v>
      </c>
      <c r="K1579" s="68">
        <v>45825</v>
      </c>
      <c r="L1579" s="69" t="s">
        <v>1505</v>
      </c>
      <c r="M1579" s="66" t="str">
        <f t="shared" ca="1" si="50"/>
        <v>CLOSED</v>
      </c>
    </row>
    <row r="1580" spans="1:13" ht="30">
      <c r="A1580" s="64" t="s">
        <v>485</v>
      </c>
      <c r="B1580" s="98" t="e">
        <f>VLOOKUP([2]!Table27[[#This Row],[Location 
(drop-down)]],'[2]List source'!D$2:E$59,2,FALSE)</f>
        <v>#VALUE!</v>
      </c>
      <c r="C1580" s="99" t="s">
        <v>4658</v>
      </c>
      <c r="D1580" s="100" t="e">
        <f t="shared" si="49"/>
        <v>#VALUE!</v>
      </c>
      <c r="E1580" s="10" t="s">
        <v>4659</v>
      </c>
      <c r="F1580" s="11" t="e" cm="1" vm="1">
        <f t="array" aca="1" ref="F158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0"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0" s="9" t="s">
        <v>4660</v>
      </c>
      <c r="I1580" s="67">
        <v>45805</v>
      </c>
      <c r="J1580" s="67" t="s">
        <v>239</v>
      </c>
      <c r="K1580" s="68">
        <v>45853</v>
      </c>
      <c r="L1580" s="69"/>
      <c r="M1580" s="66" t="str">
        <f t="shared" ca="1" si="50"/>
        <v>CLOSED</v>
      </c>
    </row>
    <row r="1581" spans="1:13" ht="30">
      <c r="A1581" s="64" t="s">
        <v>500</v>
      </c>
      <c r="B1581" s="98" t="e">
        <f>VLOOKUP([2]!Table27[[#This Row],[Location 
(drop-down)]],'[2]List source'!D$2:E$59,2,FALSE)</f>
        <v>#VALUE!</v>
      </c>
      <c r="C1581" s="99" t="s">
        <v>4661</v>
      </c>
      <c r="D1581" s="100" t="e">
        <f t="shared" si="49"/>
        <v>#VALUE!</v>
      </c>
      <c r="E1581" s="10" t="s">
        <v>4662</v>
      </c>
      <c r="F1581" s="11" t="e" cm="1" vm="1">
        <f t="array" aca="1" ref="F158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1"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1" s="141" t="s">
        <v>4663</v>
      </c>
      <c r="I1581" s="67">
        <v>45804</v>
      </c>
      <c r="J1581" s="67" t="s">
        <v>310</v>
      </c>
      <c r="K1581" s="68">
        <v>45831</v>
      </c>
      <c r="L1581" s="69"/>
      <c r="M1581" s="66" t="str">
        <f t="shared" ca="1" si="50"/>
        <v>CLOSED</v>
      </c>
    </row>
    <row r="1582" spans="1:13" ht="30">
      <c r="A1582" s="64" t="s">
        <v>500</v>
      </c>
      <c r="B1582" s="98" t="e">
        <f>VLOOKUP([2]!Table27[[#This Row],[Location 
(drop-down)]],'[2]List source'!D$2:E$59,2,FALSE)</f>
        <v>#VALUE!</v>
      </c>
      <c r="C1582" s="99" t="s">
        <v>4664</v>
      </c>
      <c r="D1582" s="100" t="e">
        <f t="shared" si="49"/>
        <v>#VALUE!</v>
      </c>
      <c r="E1582" s="10" t="s">
        <v>4665</v>
      </c>
      <c r="F1582" s="11" t="e" cm="1" vm="1">
        <f t="array" aca="1" ref="F158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2"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2" s="11">
        <v>2.74</v>
      </c>
      <c r="I1582" s="67">
        <v>45804</v>
      </c>
      <c r="J1582" s="67" t="s">
        <v>310</v>
      </c>
      <c r="K1582" s="68">
        <v>45846</v>
      </c>
      <c r="L1582" s="69"/>
      <c r="M1582" s="66" t="str">
        <f t="shared" ca="1" si="50"/>
        <v>CLOSED</v>
      </c>
    </row>
    <row r="1583" spans="1:13" ht="30">
      <c r="A1583" s="64" t="s">
        <v>500</v>
      </c>
      <c r="B1583" s="98" t="e">
        <f>VLOOKUP([2]!Table27[[#This Row],[Location 
(drop-down)]],'[2]List source'!D$2:E$59,2,FALSE)</f>
        <v>#VALUE!</v>
      </c>
      <c r="C1583" s="99" t="s">
        <v>4666</v>
      </c>
      <c r="D1583" s="100" t="e">
        <f t="shared" si="49"/>
        <v>#VALUE!</v>
      </c>
      <c r="E1583" s="10" t="s">
        <v>4667</v>
      </c>
      <c r="F1583" s="11" t="e" cm="1" vm="1">
        <f t="array" aca="1" ref="F158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3"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3" s="9">
        <v>2.71</v>
      </c>
      <c r="I1583" s="67">
        <v>45804</v>
      </c>
      <c r="J1583" s="67" t="s">
        <v>310</v>
      </c>
      <c r="K1583" s="68">
        <v>45856</v>
      </c>
      <c r="L1583" s="69"/>
      <c r="M1583" s="66" t="str">
        <f t="shared" ca="1" si="50"/>
        <v>CLOSED</v>
      </c>
    </row>
    <row r="1584" spans="1:13" ht="30">
      <c r="A1584" s="64" t="s">
        <v>139</v>
      </c>
      <c r="B1584" s="98" t="e">
        <f>VLOOKUP([2]!Table27[[#This Row],[Location 
(drop-down)]],'[2]List source'!D$2:E$59,2,FALSE)</f>
        <v>#VALUE!</v>
      </c>
      <c r="C1584" s="99" t="s">
        <v>4668</v>
      </c>
      <c r="D1584" s="100" t="e">
        <f t="shared" si="49"/>
        <v>#VALUE!</v>
      </c>
      <c r="E1584" s="10" t="s">
        <v>4669</v>
      </c>
      <c r="F1584" s="11" t="e" cm="1" vm="1">
        <f t="array" aca="1" ref="F158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4"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4" s="9" t="s">
        <v>2650</v>
      </c>
      <c r="I1584" s="67">
        <v>45805</v>
      </c>
      <c r="J1584" s="67" t="s">
        <v>310</v>
      </c>
      <c r="K1584" s="68">
        <v>45911</v>
      </c>
      <c r="L1584" s="69"/>
      <c r="M1584" s="66" t="str">
        <f t="shared" ca="1" si="50"/>
        <v>CLOSED</v>
      </c>
    </row>
    <row r="1585" spans="1:13" ht="30">
      <c r="A1585" s="64" t="s">
        <v>43</v>
      </c>
      <c r="B1585" s="98" t="e">
        <f>VLOOKUP([2]!Table27[[#This Row],[Location 
(drop-down)]],'[2]List source'!D$2:E$59,2,FALSE)</f>
        <v>#VALUE!</v>
      </c>
      <c r="C1585" s="99" t="s">
        <v>4670</v>
      </c>
      <c r="D1585" s="100" t="e">
        <f t="shared" si="49"/>
        <v>#VALUE!</v>
      </c>
      <c r="E1585" s="10" t="s">
        <v>4671</v>
      </c>
      <c r="F1585" s="11" t="e" cm="1" vm="1">
        <f t="array" aca="1" ref="F158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5"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5" s="9">
        <v>4.4800000000000004</v>
      </c>
      <c r="I1585" s="67">
        <v>45805</v>
      </c>
      <c r="J1585" s="67" t="s">
        <v>29</v>
      </c>
      <c r="K1585" s="68">
        <v>45959</v>
      </c>
      <c r="L1585" s="69"/>
      <c r="M1585" s="66" t="str">
        <f t="shared" ca="1" si="50"/>
        <v>CLOSED</v>
      </c>
    </row>
    <row r="1586" spans="1:13" ht="60">
      <c r="A1586" s="64" t="s">
        <v>591</v>
      </c>
      <c r="B1586" s="98" t="e">
        <f>VLOOKUP([2]!Table27[[#This Row],[Location 
(drop-down)]],'[2]List source'!D$2:E$59,2,FALSE)</f>
        <v>#VALUE!</v>
      </c>
      <c r="C1586" s="99" t="s">
        <v>4672</v>
      </c>
      <c r="D1586" s="100" t="e">
        <f t="shared" si="49"/>
        <v>#VALUE!</v>
      </c>
      <c r="E1586" s="10" t="s">
        <v>4673</v>
      </c>
      <c r="F1586" s="98" t="e" cm="1" vm="1">
        <f t="array" aca="1" ref="F158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6" s="142"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6" s="72" t="s">
        <v>4674</v>
      </c>
      <c r="I1586" s="143">
        <v>45804</v>
      </c>
      <c r="J1586" s="67" t="s">
        <v>34</v>
      </c>
      <c r="K1586" s="144">
        <v>45804</v>
      </c>
      <c r="L1586" s="69" t="s">
        <v>1773</v>
      </c>
      <c r="M1586" s="66" t="str">
        <f t="shared" ca="1" si="50"/>
        <v>CLOSED</v>
      </c>
    </row>
    <row r="1587" spans="1:13" ht="60">
      <c r="A1587" s="64" t="s">
        <v>591</v>
      </c>
      <c r="B1587" s="98" t="e">
        <f>VLOOKUP([2]!Table27[[#This Row],[Location 
(drop-down)]],'[2]List source'!D$2:E$59,2,FALSE)</f>
        <v>#VALUE!</v>
      </c>
      <c r="C1587" s="99" t="s">
        <v>4675</v>
      </c>
      <c r="D1587" s="100" t="e">
        <f t="shared" si="49"/>
        <v>#VALUE!</v>
      </c>
      <c r="E1587" s="10" t="s">
        <v>4676</v>
      </c>
      <c r="F1587" s="11" t="e" cm="1" vm="1">
        <f t="array" aca="1" ref="F158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7"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7" s="11" t="s">
        <v>4677</v>
      </c>
      <c r="I1587" s="74">
        <v>45804</v>
      </c>
      <c r="J1587" s="67" t="s">
        <v>34</v>
      </c>
      <c r="K1587" s="75">
        <v>45804</v>
      </c>
      <c r="L1587" s="69" t="s">
        <v>1773</v>
      </c>
      <c r="M1587" s="66" t="str">
        <f t="shared" ca="1" si="50"/>
        <v>CLOSED</v>
      </c>
    </row>
    <row r="1588" spans="1:13" ht="30">
      <c r="A1588" s="64" t="s">
        <v>500</v>
      </c>
      <c r="B1588" s="98" t="e">
        <f>VLOOKUP([2]!Table27[[#This Row],[Location 
(drop-down)]],'[2]List source'!D$2:E$59,2,FALSE)</f>
        <v>#VALUE!</v>
      </c>
      <c r="C1588" s="99" t="s">
        <v>4678</v>
      </c>
      <c r="D1588" s="100" t="e">
        <f t="shared" si="49"/>
        <v>#VALUE!</v>
      </c>
      <c r="E1588" s="10" t="s">
        <v>4679</v>
      </c>
      <c r="F1588" s="11" t="e" cm="1" vm="1">
        <f t="array" aca="1" ref="F158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8"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8" s="9" t="s">
        <v>4680</v>
      </c>
      <c r="I1588" s="74">
        <v>45806</v>
      </c>
      <c r="J1588" s="67" t="s">
        <v>310</v>
      </c>
      <c r="K1588" s="75">
        <v>45846</v>
      </c>
      <c r="L1588" s="69"/>
      <c r="M1588" s="66" t="str">
        <f t="shared" ca="1" si="50"/>
        <v>CLOSED</v>
      </c>
    </row>
    <row r="1589" spans="1:13" ht="90">
      <c r="A1589" s="64" t="s">
        <v>202</v>
      </c>
      <c r="B1589" s="98" t="e">
        <f>VLOOKUP([2]!Table27[[#This Row],[Location 
(drop-down)]],'[2]List source'!D$2:E$59,2,FALSE)</f>
        <v>#VALUE!</v>
      </c>
      <c r="C1589" s="99" t="s">
        <v>4681</v>
      </c>
      <c r="D1589" s="100" t="e">
        <f t="shared" si="49"/>
        <v>#VALUE!</v>
      </c>
      <c r="E1589" s="10" t="s">
        <v>4682</v>
      </c>
      <c r="F1589" s="11" t="e" cm="1" vm="1">
        <f t="array" aca="1" ref="F158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89"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89" s="11" t="s">
        <v>4683</v>
      </c>
      <c r="I1589" s="74">
        <v>45806</v>
      </c>
      <c r="J1589" s="73" t="s">
        <v>34</v>
      </c>
      <c r="K1589" s="75">
        <v>45806</v>
      </c>
      <c r="L1589" s="69" t="s">
        <v>1562</v>
      </c>
      <c r="M1589" s="66" t="str">
        <f t="shared" ca="1" si="50"/>
        <v>CLOSED</v>
      </c>
    </row>
    <row r="1590" spans="1:13" ht="90">
      <c r="A1590" s="64" t="s">
        <v>39</v>
      </c>
      <c r="B1590" s="98" t="e">
        <f>VLOOKUP([2]!Table27[[#This Row],[Location 
(drop-down)]],'[2]List source'!D$2:E$59,2,FALSE)</f>
        <v>#VALUE!</v>
      </c>
      <c r="C1590" s="99" t="s">
        <v>4684</v>
      </c>
      <c r="D1590" s="100" t="e">
        <f t="shared" si="49"/>
        <v>#VALUE!</v>
      </c>
      <c r="E1590" s="10" t="s">
        <v>4685</v>
      </c>
      <c r="F1590" s="11" t="e" cm="1" vm="1">
        <f t="array" aca="1" ref="F159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90"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0" s="9">
        <v>2.44</v>
      </c>
      <c r="I1590" s="74">
        <v>45806</v>
      </c>
      <c r="J1590" s="73" t="s">
        <v>34</v>
      </c>
      <c r="K1590" s="75">
        <v>45806</v>
      </c>
      <c r="L1590" s="69" t="s">
        <v>1562</v>
      </c>
      <c r="M1590" s="66" t="str">
        <f t="shared" ca="1" si="50"/>
        <v>CLOSED</v>
      </c>
    </row>
    <row r="1591" spans="1:13" ht="90">
      <c r="A1591" s="64" t="s">
        <v>185</v>
      </c>
      <c r="B1591" s="98" t="e">
        <f>VLOOKUP([2]!Table27[[#This Row],[Location 
(drop-down)]],'[2]List source'!D$2:E$59,2,FALSE)</f>
        <v>#VALUE!</v>
      </c>
      <c r="C1591" s="99" t="s">
        <v>4686</v>
      </c>
      <c r="D1591" s="100" t="e">
        <f t="shared" si="49"/>
        <v>#VALUE!</v>
      </c>
      <c r="E1591" s="10" t="s">
        <v>4687</v>
      </c>
      <c r="F1591" s="11" t="e" cm="1" vm="1">
        <f t="array" aca="1" ref="F159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91"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1" s="9" t="s">
        <v>1962</v>
      </c>
      <c r="I1591" s="74">
        <v>45806</v>
      </c>
      <c r="J1591" s="73" t="s">
        <v>34</v>
      </c>
      <c r="K1591" s="75">
        <v>45806</v>
      </c>
      <c r="L1591" s="69" t="s">
        <v>1562</v>
      </c>
      <c r="M1591" s="66" t="str">
        <f t="shared" ca="1" si="50"/>
        <v>CLOSED</v>
      </c>
    </row>
    <row r="1592" spans="1:13" ht="30">
      <c r="A1592" s="64" t="s">
        <v>114</v>
      </c>
      <c r="B1592" s="98" t="e">
        <f>VLOOKUP([2]!Table27[[#This Row],[Location 
(drop-down)]],'[2]List source'!D$2:E$59,2,FALSE)</f>
        <v>#VALUE!</v>
      </c>
      <c r="C1592" s="99" t="s">
        <v>4688</v>
      </c>
      <c r="D1592" s="100" t="e">
        <f t="shared" si="49"/>
        <v>#VALUE!</v>
      </c>
      <c r="E1592" s="10" t="s">
        <v>4689</v>
      </c>
      <c r="F1592" s="31" t="e" cm="1" vm="1">
        <f t="array" aca="1" ref="F159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92" s="3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2" s="32" t="s">
        <v>4690</v>
      </c>
      <c r="I1592" s="74">
        <v>45806</v>
      </c>
      <c r="J1592" s="73" t="s">
        <v>69</v>
      </c>
      <c r="K1592" s="75">
        <v>46052</v>
      </c>
      <c r="L1592" s="69"/>
      <c r="M1592" s="66" t="str">
        <f t="shared" ca="1" si="50"/>
        <v>CLOSED</v>
      </c>
    </row>
    <row r="1593" spans="1:13" ht="30">
      <c r="A1593" s="64" t="s">
        <v>30</v>
      </c>
      <c r="B1593" s="98" t="e">
        <f>VLOOKUP([2]!Table27[[#This Row],[Location 
(drop-down)]],'[2]List source'!D$2:E$59,2,FALSE)</f>
        <v>#VALUE!</v>
      </c>
      <c r="C1593" s="99" t="s">
        <v>4691</v>
      </c>
      <c r="D1593" s="100" t="e">
        <f t="shared" si="49"/>
        <v>#VALUE!</v>
      </c>
      <c r="E1593" s="441" t="s">
        <v>4692</v>
      </c>
      <c r="F1593" s="442" t="s">
        <v>4693</v>
      </c>
      <c r="G1593" s="44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3" s="442">
        <v>171.99</v>
      </c>
      <c r="I1593" s="16">
        <v>45806</v>
      </c>
      <c r="J1593" s="73" t="s">
        <v>111</v>
      </c>
      <c r="K1593" s="75">
        <v>45861</v>
      </c>
      <c r="L1593" s="69"/>
      <c r="M1593" s="66" t="str">
        <f t="shared" ca="1" si="50"/>
        <v>CLOSED</v>
      </c>
    </row>
    <row r="1594" spans="1:13" ht="30">
      <c r="A1594" s="64" t="s">
        <v>500</v>
      </c>
      <c r="B1594" s="98" t="e">
        <f>VLOOKUP([2]!Table27[[#This Row],[Location 
(drop-down)]],'[2]List source'!D$2:E$59,2,FALSE)</f>
        <v>#VALUE!</v>
      </c>
      <c r="C1594" s="99" t="s">
        <v>4694</v>
      </c>
      <c r="D1594" s="100" t="e">
        <f t="shared" si="49"/>
        <v>#VALUE!</v>
      </c>
      <c r="E1594" s="10" t="s">
        <v>4695</v>
      </c>
      <c r="F1594" s="98" t="e" cm="1" vm="1">
        <f t="array" aca="1" ref="F159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94" s="142"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4" s="72">
        <v>2.0499999999999998</v>
      </c>
      <c r="I1594" s="74">
        <v>45804</v>
      </c>
      <c r="J1594" s="73" t="s">
        <v>310</v>
      </c>
      <c r="K1594" s="75">
        <v>45846</v>
      </c>
      <c r="L1594" s="69"/>
      <c r="M1594" s="66" t="str">
        <f t="shared" ca="1" si="50"/>
        <v>CLOSED</v>
      </c>
    </row>
    <row r="1595" spans="1:13" ht="30">
      <c r="A1595" s="64" t="s">
        <v>500</v>
      </c>
      <c r="B1595" s="98" t="e">
        <f>VLOOKUP([2]!Table27[[#This Row],[Location 
(drop-down)]],'[2]List source'!D$2:E$59,2,FALSE)</f>
        <v>#VALUE!</v>
      </c>
      <c r="C1595" s="99" t="s">
        <v>4696</v>
      </c>
      <c r="D1595" s="100" t="e">
        <f t="shared" si="49"/>
        <v>#VALUE!</v>
      </c>
      <c r="E1595" s="64" t="s">
        <v>4697</v>
      </c>
      <c r="F1595" s="66" t="e" cm="1" vm="1">
        <f t="array" aca="1" ref="F159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5" s="110">
        <v>2.04</v>
      </c>
      <c r="I1595" s="74">
        <v>45804</v>
      </c>
      <c r="J1595" s="73" t="s">
        <v>310</v>
      </c>
      <c r="K1595" s="75">
        <v>45846</v>
      </c>
      <c r="L1595" s="69"/>
      <c r="M1595" s="66" t="str">
        <f t="shared" ca="1" si="50"/>
        <v>CLOSED</v>
      </c>
    </row>
    <row r="1596" spans="1:13" ht="90">
      <c r="A1596" s="64" t="s">
        <v>500</v>
      </c>
      <c r="B1596" s="98" t="e">
        <f>VLOOKUP([2]!Table27[[#This Row],[Location 
(drop-down)]],'[2]List source'!D$2:E$59,2,FALSE)</f>
        <v>#VALUE!</v>
      </c>
      <c r="C1596" s="99" t="s">
        <v>4698</v>
      </c>
      <c r="D1596" s="100" t="e">
        <f t="shared" si="49"/>
        <v>#VALUE!</v>
      </c>
      <c r="E1596" s="10" t="s">
        <v>4699</v>
      </c>
      <c r="F1596" s="11" t="e" cm="1" vm="1">
        <f t="array" aca="1" ref="F159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96"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6" s="9" t="s">
        <v>4700</v>
      </c>
      <c r="I1596" s="74">
        <v>45804</v>
      </c>
      <c r="J1596" s="73" t="s">
        <v>34</v>
      </c>
      <c r="K1596" s="75">
        <v>45804</v>
      </c>
      <c r="L1596" s="69" t="s">
        <v>1562</v>
      </c>
      <c r="M1596" s="66" t="str">
        <f t="shared" ca="1" si="50"/>
        <v>CLOSED</v>
      </c>
    </row>
    <row r="1597" spans="1:13" ht="45">
      <c r="A1597" s="64" t="s">
        <v>500</v>
      </c>
      <c r="B1597" s="98" t="e">
        <f>VLOOKUP([2]!Table27[[#This Row],[Location 
(drop-down)]],'[2]List source'!D$2:E$59,2,FALSE)</f>
        <v>#VALUE!</v>
      </c>
      <c r="C1597" s="99" t="s">
        <v>4701</v>
      </c>
      <c r="D1597" s="100" t="e">
        <f t="shared" si="49"/>
        <v>#VALUE!</v>
      </c>
      <c r="E1597" s="10" t="s">
        <v>4702</v>
      </c>
      <c r="F1597" s="11" t="e" cm="1" vm="1">
        <f t="array" aca="1" ref="F159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97"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7" s="120" t="s">
        <v>4703</v>
      </c>
      <c r="I1597" s="74">
        <v>45804</v>
      </c>
      <c r="J1597" s="73" t="s">
        <v>310</v>
      </c>
      <c r="K1597" s="75">
        <v>45856</v>
      </c>
      <c r="L1597" s="147"/>
      <c r="M1597" s="66" t="str">
        <f t="shared" ca="1" si="50"/>
        <v>CLOSED</v>
      </c>
    </row>
    <row r="1598" spans="1:13" ht="30">
      <c r="A1598" s="64" t="s">
        <v>114</v>
      </c>
      <c r="B1598" s="98" t="e">
        <f>VLOOKUP([2]!Table27[[#This Row],[Location 
(drop-down)]],'[2]List source'!D$2:E$59,2,FALSE)</f>
        <v>#VALUE!</v>
      </c>
      <c r="C1598" s="99" t="s">
        <v>4704</v>
      </c>
      <c r="D1598" s="100" t="e">
        <f t="shared" si="49"/>
        <v>#VALUE!</v>
      </c>
      <c r="E1598" s="10" t="s">
        <v>4705</v>
      </c>
      <c r="F1598" s="11" t="s">
        <v>4706</v>
      </c>
      <c r="G1598"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8" s="11">
        <v>82.84</v>
      </c>
      <c r="I1598" s="74">
        <v>45806</v>
      </c>
      <c r="J1598" s="73"/>
      <c r="K1598" s="75"/>
      <c r="L1598" s="147"/>
      <c r="M1598" s="66">
        <f t="shared" ca="1" si="50"/>
        <v>272</v>
      </c>
    </row>
    <row r="1599" spans="1:13" ht="30">
      <c r="A1599" s="64" t="s">
        <v>518</v>
      </c>
      <c r="B1599" s="98" t="e">
        <f>VLOOKUP([2]!Table27[[#This Row],[Location 
(drop-down)]],'[2]List source'!D$2:E$59,2,FALSE)</f>
        <v>#VALUE!</v>
      </c>
      <c r="C1599" s="99" t="s">
        <v>4707</v>
      </c>
      <c r="D1599" s="100" t="e">
        <f t="shared" si="49"/>
        <v>#VALUE!</v>
      </c>
      <c r="E1599" s="10" t="s">
        <v>4708</v>
      </c>
      <c r="F1599" s="11" t="e" cm="1" vm="1">
        <f t="array" aca="1" ref="F159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599"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599" s="11">
        <v>2.33</v>
      </c>
      <c r="I1599" s="74">
        <v>45804</v>
      </c>
      <c r="J1599" s="73" t="s">
        <v>108</v>
      </c>
      <c r="K1599" s="75">
        <v>45839</v>
      </c>
      <c r="L1599" s="69"/>
      <c r="M1599" s="66" t="str">
        <f t="shared" ca="1" si="50"/>
        <v>CLOSED</v>
      </c>
    </row>
    <row r="1600" spans="1:13" ht="90">
      <c r="A1600" s="64" t="s">
        <v>125</v>
      </c>
      <c r="B1600" s="98" t="e">
        <f>VLOOKUP([2]!Table27[[#This Row],[Location 
(drop-down)]],'[2]List source'!D$2:E$59,2,FALSE)</f>
        <v>#VALUE!</v>
      </c>
      <c r="C1600" s="99" t="s">
        <v>4709</v>
      </c>
      <c r="D1600" s="100" t="e">
        <f t="shared" si="49"/>
        <v>#VALUE!</v>
      </c>
      <c r="E1600" s="10" t="s">
        <v>4710</v>
      </c>
      <c r="F1600" s="11" t="s">
        <v>4711</v>
      </c>
      <c r="G1600"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0" s="9" t="s">
        <v>1679</v>
      </c>
      <c r="I1600" s="74">
        <v>45806</v>
      </c>
      <c r="J1600" s="67" t="s">
        <v>34</v>
      </c>
      <c r="K1600" s="75">
        <v>45806</v>
      </c>
      <c r="L1600" s="69" t="s">
        <v>1562</v>
      </c>
      <c r="M1600" s="66" t="str">
        <f t="shared" ca="1" si="50"/>
        <v>CLOSED</v>
      </c>
    </row>
    <row r="1601" spans="1:13" ht="45">
      <c r="A1601" s="64" t="s">
        <v>125</v>
      </c>
      <c r="B1601" s="98" t="e">
        <f>VLOOKUP([2]!Table27[[#This Row],[Location 
(drop-down)]],'[2]List source'!D$2:E$59,2,FALSE)</f>
        <v>#VALUE!</v>
      </c>
      <c r="C1601" s="99" t="s">
        <v>4712</v>
      </c>
      <c r="D1601" s="100" t="e">
        <f t="shared" si="49"/>
        <v>#VALUE!</v>
      </c>
      <c r="E1601" s="10" t="s">
        <v>4713</v>
      </c>
      <c r="F1601" s="11" t="s">
        <v>4711</v>
      </c>
      <c r="G1601"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1" s="11" t="s">
        <v>4714</v>
      </c>
      <c r="I1601" s="74">
        <v>45806</v>
      </c>
      <c r="J1601" s="67" t="s">
        <v>34</v>
      </c>
      <c r="K1601" s="75">
        <v>45819</v>
      </c>
      <c r="L1601" s="69" t="s">
        <v>1773</v>
      </c>
      <c r="M1601" s="66" t="str">
        <f t="shared" ca="1" si="50"/>
        <v>CLOSED</v>
      </c>
    </row>
    <row r="1602" spans="1:13" ht="30">
      <c r="A1602" s="64" t="s">
        <v>119</v>
      </c>
      <c r="B1602" s="98" t="e">
        <f>VLOOKUP([2]!Table27[[#This Row],[Location 
(drop-down)]],'[2]List source'!D$2:E$59,2,FALSE)</f>
        <v>#VALUE!</v>
      </c>
      <c r="C1602" s="99" t="s">
        <v>4715</v>
      </c>
      <c r="D1602" s="100" t="e">
        <f t="shared" ref="D1602:D1665" si="51">"PTO" &amp; C1602 &amp; "-" &amp; B1602 &amp; "-" &amp; "23"</f>
        <v>#VALUE!</v>
      </c>
      <c r="E1602" s="10" t="s">
        <v>4716</v>
      </c>
      <c r="F1602" s="11" t="s">
        <v>4711</v>
      </c>
      <c r="G1602"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2" s="9" t="s">
        <v>1653</v>
      </c>
      <c r="I1602" s="74">
        <v>45806</v>
      </c>
      <c r="J1602" s="67" t="s">
        <v>111</v>
      </c>
      <c r="K1602" s="68">
        <v>45957</v>
      </c>
      <c r="L1602" s="69"/>
      <c r="M1602" s="66" t="str">
        <f t="shared" ca="1" si="50"/>
        <v>CLOSED</v>
      </c>
    </row>
    <row r="1603" spans="1:13" ht="90">
      <c r="A1603" s="64" t="s">
        <v>591</v>
      </c>
      <c r="B1603" s="98" t="e">
        <f>VLOOKUP([2]!Table27[[#This Row],[Location 
(drop-down)]],'[2]List source'!D$2:E$59,2,FALSE)</f>
        <v>#VALUE!</v>
      </c>
      <c r="C1603" s="99" t="s">
        <v>4717</v>
      </c>
      <c r="D1603" s="100" t="e">
        <f t="shared" si="51"/>
        <v>#VALUE!</v>
      </c>
      <c r="E1603" s="10" t="s">
        <v>4718</v>
      </c>
      <c r="F1603" s="11" t="e" cm="1" vm="1">
        <f t="array" aca="1" ref="F160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03"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3" s="9" t="s">
        <v>3164</v>
      </c>
      <c r="I1603" s="74">
        <v>45804</v>
      </c>
      <c r="J1603" s="67" t="s">
        <v>34</v>
      </c>
      <c r="K1603" s="75">
        <v>45804</v>
      </c>
      <c r="L1603" s="69" t="s">
        <v>1562</v>
      </c>
      <c r="M1603" s="66" t="str">
        <f t="shared" ca="1" si="50"/>
        <v>CLOSED</v>
      </c>
    </row>
    <row r="1604" spans="1:13" ht="30">
      <c r="A1604" s="64" t="s">
        <v>1334</v>
      </c>
      <c r="B1604" s="98" t="e">
        <f>VLOOKUP([2]!Table27[[#This Row],[Location 
(drop-down)]],'[2]List source'!D$2:E$59,2,FALSE)</f>
        <v>#VALUE!</v>
      </c>
      <c r="C1604" s="99" t="s">
        <v>4719</v>
      </c>
      <c r="D1604" s="100" t="e">
        <f t="shared" si="51"/>
        <v>#VALUE!</v>
      </c>
      <c r="E1604" s="10" t="s">
        <v>4720</v>
      </c>
      <c r="F1604" s="11" t="e" cm="1" vm="1">
        <f t="array" aca="1" ref="F160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04"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4" s="11">
        <v>3.05</v>
      </c>
      <c r="I1604" s="74">
        <v>45807</v>
      </c>
      <c r="J1604" s="67" t="s">
        <v>310</v>
      </c>
      <c r="K1604" s="68">
        <v>45889</v>
      </c>
      <c r="L1604" s="69"/>
      <c r="M1604" s="66" t="str">
        <f t="shared" ca="1" si="50"/>
        <v>CLOSED</v>
      </c>
    </row>
    <row r="1605" spans="1:13" ht="30">
      <c r="A1605" s="64" t="s">
        <v>1334</v>
      </c>
      <c r="B1605" s="98" t="e">
        <f>VLOOKUP([2]!Table27[[#This Row],[Location 
(drop-down)]],'[2]List source'!D$2:E$59,2,FALSE)</f>
        <v>#VALUE!</v>
      </c>
      <c r="C1605" s="99" t="s">
        <v>4721</v>
      </c>
      <c r="D1605" s="100" t="e">
        <f t="shared" si="51"/>
        <v>#VALUE!</v>
      </c>
      <c r="E1605" s="10" t="s">
        <v>4722</v>
      </c>
      <c r="F1605" s="11" t="e" cm="1" vm="1">
        <f t="array" aca="1" ref="F160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05" s="1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5" s="9" t="s">
        <v>2533</v>
      </c>
      <c r="I1605" s="74">
        <v>45807</v>
      </c>
      <c r="J1605" s="67" t="s">
        <v>310</v>
      </c>
      <c r="K1605" s="75">
        <v>45943</v>
      </c>
      <c r="L1605" s="69"/>
      <c r="M1605" s="66" t="str">
        <f t="shared" ca="1" si="50"/>
        <v>CLOSED</v>
      </c>
    </row>
    <row r="1606" spans="1:13" ht="90">
      <c r="A1606" s="64" t="s">
        <v>1334</v>
      </c>
      <c r="B1606" s="98" t="e">
        <f>VLOOKUP([2]!Table27[[#This Row],[Location 
(drop-down)]],'[2]List source'!D$2:E$59,2,FALSE)</f>
        <v>#VALUE!</v>
      </c>
      <c r="C1606" s="99" t="s">
        <v>4723</v>
      </c>
      <c r="D1606" s="100" t="e">
        <f t="shared" si="51"/>
        <v>#VALUE!</v>
      </c>
      <c r="E1606" s="64" t="s">
        <v>4724</v>
      </c>
      <c r="F1606" s="66" t="e" cm="1" vm="1">
        <f t="array" aca="1" ref="F160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6" s="110">
        <v>2.1800000000000002</v>
      </c>
      <c r="I1606" s="74">
        <v>45807</v>
      </c>
      <c r="J1606" s="67" t="s">
        <v>34</v>
      </c>
      <c r="K1606" s="68">
        <v>45807</v>
      </c>
      <c r="L1606" s="69" t="s">
        <v>1562</v>
      </c>
      <c r="M1606" s="66" t="str">
        <f t="shared" ca="1" si="50"/>
        <v>CLOSED</v>
      </c>
    </row>
    <row r="1607" spans="1:13" ht="90">
      <c r="A1607" s="64" t="s">
        <v>39</v>
      </c>
      <c r="B1607" s="98" t="e">
        <f>VLOOKUP([2]!Table27[[#This Row],[Location 
(drop-down)]],'[2]List source'!D$2:E$59,2,FALSE)</f>
        <v>#VALUE!</v>
      </c>
      <c r="C1607" s="99" t="s">
        <v>4725</v>
      </c>
      <c r="D1607" s="100" t="e">
        <f t="shared" si="51"/>
        <v>#VALUE!</v>
      </c>
      <c r="E1607" s="9" t="s">
        <v>4699</v>
      </c>
      <c r="F1607" s="9" t="e" cm="1" vm="1">
        <f t="array" aca="1" ref="F16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07" s="77"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7" s="9" t="s">
        <v>1883</v>
      </c>
      <c r="I1607" s="74">
        <v>45807</v>
      </c>
      <c r="J1607" s="9" t="s">
        <v>34</v>
      </c>
      <c r="K1607" s="73">
        <v>45807</v>
      </c>
      <c r="L1607" s="69" t="s">
        <v>1562</v>
      </c>
      <c r="M1607" s="66" t="str">
        <f t="shared" ca="1" si="50"/>
        <v>CLOSED</v>
      </c>
    </row>
    <row r="1608" spans="1:13" ht="90">
      <c r="A1608" s="64" t="s">
        <v>432</v>
      </c>
      <c r="B1608" s="98" t="e">
        <f>VLOOKUP([2]!Table27[[#This Row],[Location 
(drop-down)]],'[2]List source'!D$2:E$59,2,FALSE)</f>
        <v>#VALUE!</v>
      </c>
      <c r="C1608" s="99" t="s">
        <v>4726</v>
      </c>
      <c r="D1608" s="100" t="e">
        <f t="shared" si="51"/>
        <v>#VALUE!</v>
      </c>
      <c r="E1608" s="70" t="s">
        <v>4727</v>
      </c>
      <c r="F1608" s="114" t="e" cm="1" vm="1">
        <f t="array" aca="1" ref="F160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08" s="7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8" s="148" t="s">
        <v>1883</v>
      </c>
      <c r="I1608" s="74">
        <v>45807</v>
      </c>
      <c r="J1608" s="132" t="s">
        <v>34</v>
      </c>
      <c r="K1608" s="133">
        <v>45807</v>
      </c>
      <c r="L1608" s="69" t="s">
        <v>1562</v>
      </c>
      <c r="M1608" s="66" t="str">
        <f t="shared" ca="1" si="50"/>
        <v>CLOSED</v>
      </c>
    </row>
    <row r="1609" spans="1:13" ht="30">
      <c r="A1609" s="64" t="s">
        <v>462</v>
      </c>
      <c r="B1609" s="98" t="e">
        <f>VLOOKUP([2]!Table27[[#This Row],[Location 
(drop-down)]],'[2]List source'!D$2:E$59,2,FALSE)</f>
        <v>#VALUE!</v>
      </c>
      <c r="C1609" s="99" t="s">
        <v>4728</v>
      </c>
      <c r="D1609" s="100" t="e">
        <f t="shared" si="51"/>
        <v>#VALUE!</v>
      </c>
      <c r="E1609" s="64" t="s">
        <v>4729</v>
      </c>
      <c r="F1609" s="106" t="e" cm="1" vm="1">
        <f t="array" aca="1" ref="F16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09" s="97"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09" s="102" t="s">
        <v>2507</v>
      </c>
      <c r="I1609" s="143">
        <v>45807</v>
      </c>
      <c r="J1609" s="146" t="s">
        <v>108</v>
      </c>
      <c r="K1609" s="144">
        <v>45931</v>
      </c>
      <c r="L1609" s="69"/>
      <c r="M1609" s="66" t="str">
        <f t="shared" ca="1" si="50"/>
        <v>CLOSED</v>
      </c>
    </row>
    <row r="1610" spans="1:13" ht="90">
      <c r="A1610" s="64" t="s">
        <v>432</v>
      </c>
      <c r="B1610" s="98" t="e">
        <f>VLOOKUP([2]!Table27[[#This Row],[Location 
(drop-down)]],'[2]List source'!D$2:E$59,2,FALSE)</f>
        <v>#VALUE!</v>
      </c>
      <c r="C1610" s="99" t="s">
        <v>4730</v>
      </c>
      <c r="D1610" s="100" t="e">
        <f t="shared" si="51"/>
        <v>#VALUE!</v>
      </c>
      <c r="E1610" s="64" t="s">
        <v>4731</v>
      </c>
      <c r="F1610" s="66" t="e" cm="1" vm="1">
        <f t="array" aca="1" ref="F161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0" s="110">
        <v>2.75</v>
      </c>
      <c r="I1610" s="74">
        <v>45804</v>
      </c>
      <c r="J1610" s="67" t="s">
        <v>34</v>
      </c>
      <c r="K1610" s="68">
        <v>45804</v>
      </c>
      <c r="L1610" s="69" t="s">
        <v>1562</v>
      </c>
      <c r="M1610" s="66" t="str">
        <f t="shared" ca="1" si="50"/>
        <v>CLOSED</v>
      </c>
    </row>
    <row r="1611" spans="1:13" ht="90">
      <c r="A1611" s="64" t="s">
        <v>30</v>
      </c>
      <c r="B1611" s="98" t="e">
        <f>VLOOKUP([2]!Table27[[#This Row],[Location 
(drop-down)]],'[2]List source'!D$2:E$59,2,FALSE)</f>
        <v>#VALUE!</v>
      </c>
      <c r="C1611" s="99" t="s">
        <v>4732</v>
      </c>
      <c r="D1611" s="100" t="e">
        <f t="shared" si="51"/>
        <v>#VALUE!</v>
      </c>
      <c r="E1611" s="64" t="s">
        <v>4733</v>
      </c>
      <c r="F1611" s="66" t="e" cm="1" vm="1">
        <f t="array" aca="1" ref="F161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1" s="110" t="s">
        <v>1764</v>
      </c>
      <c r="I1611" s="74">
        <v>45807</v>
      </c>
      <c r="J1611" s="67" t="s">
        <v>34</v>
      </c>
      <c r="K1611" s="68">
        <v>45807</v>
      </c>
      <c r="L1611" s="69" t="s">
        <v>1562</v>
      </c>
      <c r="M1611" s="66" t="str">
        <f t="shared" ca="1" si="50"/>
        <v>CLOSED</v>
      </c>
    </row>
    <row r="1612" spans="1:13" ht="90">
      <c r="A1612" s="64" t="s">
        <v>125</v>
      </c>
      <c r="B1612" s="98" t="e">
        <f>VLOOKUP([2]!Table27[[#This Row],[Location 
(drop-down)]],'[2]List source'!D$2:E$59,2,FALSE)</f>
        <v>#VALUE!</v>
      </c>
      <c r="C1612" s="99" t="s">
        <v>4734</v>
      </c>
      <c r="D1612" s="100" t="e">
        <f t="shared" si="51"/>
        <v>#VALUE!</v>
      </c>
      <c r="E1612" s="64" t="s">
        <v>4735</v>
      </c>
      <c r="F1612" s="66" t="e" cm="1" vm="1">
        <f t="array" aca="1" ref="F161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2" s="110" t="s">
        <v>4017</v>
      </c>
      <c r="I1612" s="74">
        <v>45804</v>
      </c>
      <c r="J1612" s="67" t="s">
        <v>34</v>
      </c>
      <c r="K1612" s="68">
        <v>45804</v>
      </c>
      <c r="L1612" s="69" t="s">
        <v>1562</v>
      </c>
      <c r="M1612" s="66" t="str">
        <f t="shared" ca="1" si="50"/>
        <v>CLOSED</v>
      </c>
    </row>
    <row r="1613" spans="1:13" ht="30">
      <c r="A1613" s="64" t="s">
        <v>125</v>
      </c>
      <c r="B1613" s="98" t="e">
        <f>VLOOKUP([2]!Table27[[#This Row],[Location 
(drop-down)]],'[2]List source'!D$2:E$59,2,FALSE)</f>
        <v>#VALUE!</v>
      </c>
      <c r="C1613" s="99" t="s">
        <v>4736</v>
      </c>
      <c r="D1613" s="100" t="e">
        <f t="shared" si="51"/>
        <v>#VALUE!</v>
      </c>
      <c r="E1613" s="64" t="s">
        <v>4737</v>
      </c>
      <c r="F1613" s="66" t="e" cm="1" vm="1">
        <f t="array" aca="1" ref="F161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3" s="66" t="s">
        <v>1579</v>
      </c>
      <c r="I1613" s="74">
        <v>45807</v>
      </c>
      <c r="J1613" s="67" t="s">
        <v>111</v>
      </c>
      <c r="K1613" s="68">
        <v>45863</v>
      </c>
      <c r="L1613" s="69"/>
      <c r="M1613" s="66" t="str">
        <f t="shared" ca="1" si="50"/>
        <v>CLOSED</v>
      </c>
    </row>
    <row r="1614" spans="1:13" ht="30">
      <c r="A1614" s="64" t="s">
        <v>125</v>
      </c>
      <c r="B1614" s="98" t="e">
        <f>VLOOKUP([2]!Table27[[#This Row],[Location 
(drop-down)]],'[2]List source'!D$2:E$59,2,FALSE)</f>
        <v>#VALUE!</v>
      </c>
      <c r="C1614" s="99" t="s">
        <v>4738</v>
      </c>
      <c r="D1614" s="100" t="e">
        <f t="shared" si="51"/>
        <v>#VALUE!</v>
      </c>
      <c r="E1614" s="64" t="s">
        <v>4739</v>
      </c>
      <c r="F1614" s="66" t="e" cm="1" vm="1">
        <f t="array" aca="1" ref="F161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4" s="66">
        <v>2.87</v>
      </c>
      <c r="I1614" s="74">
        <v>45807</v>
      </c>
      <c r="J1614" s="67" t="s">
        <v>239</v>
      </c>
      <c r="K1614" s="68">
        <v>45896</v>
      </c>
      <c r="L1614" s="69"/>
      <c r="M1614" s="66" t="str">
        <f t="shared" ca="1" si="50"/>
        <v>CLOSED</v>
      </c>
    </row>
    <row r="1615" spans="1:13" ht="90">
      <c r="A1615" s="64" t="s">
        <v>185</v>
      </c>
      <c r="B1615" s="98" t="e">
        <f>VLOOKUP([2]!Table27[[#This Row],[Location 
(drop-down)]],'[2]List source'!D$2:E$59,2,FALSE)</f>
        <v>#VALUE!</v>
      </c>
      <c r="C1615" s="99" t="s">
        <v>4740</v>
      </c>
      <c r="D1615" s="100" t="e">
        <f t="shared" si="51"/>
        <v>#VALUE!</v>
      </c>
      <c r="E1615" s="64" t="s">
        <v>4741</v>
      </c>
      <c r="F1615" s="66" t="e" cm="1" vm="1">
        <f t="array" aca="1" ref="F161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5" s="110" t="s">
        <v>2315</v>
      </c>
      <c r="I1615" s="74">
        <v>45807</v>
      </c>
      <c r="J1615" s="67" t="s">
        <v>34</v>
      </c>
      <c r="K1615" s="68">
        <v>45807</v>
      </c>
      <c r="L1615" s="69" t="s">
        <v>1562</v>
      </c>
      <c r="M1615" s="66" t="str">
        <f t="shared" ca="1" si="50"/>
        <v>CLOSED</v>
      </c>
    </row>
    <row r="1616" spans="1:13" ht="30">
      <c r="A1616" s="64" t="s">
        <v>167</v>
      </c>
      <c r="B1616" s="98" t="e">
        <f>VLOOKUP([2]!Table27[[#This Row],[Location 
(drop-down)]],'[2]List source'!D$2:E$59,2,FALSE)</f>
        <v>#VALUE!</v>
      </c>
      <c r="C1616" s="99" t="s">
        <v>4742</v>
      </c>
      <c r="D1616" s="100" t="e">
        <f t="shared" si="51"/>
        <v>#VALUE!</v>
      </c>
      <c r="E1616" s="64" t="s">
        <v>4743</v>
      </c>
      <c r="F1616" s="66" t="e" cm="1" vm="1">
        <f t="array" aca="1" ref="F161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6" s="110" t="s">
        <v>1806</v>
      </c>
      <c r="I1616" s="74">
        <v>45807</v>
      </c>
      <c r="J1616" s="67" t="s">
        <v>310</v>
      </c>
      <c r="K1616" s="68">
        <v>45882</v>
      </c>
      <c r="L1616" s="69"/>
      <c r="M1616" s="66" t="str">
        <f t="shared" ca="1" si="50"/>
        <v>CLOSED</v>
      </c>
    </row>
    <row r="1617" spans="1:13" ht="30">
      <c r="A1617" s="64" t="s">
        <v>167</v>
      </c>
      <c r="B1617" s="98" t="e">
        <f>VLOOKUP([2]!Table27[[#This Row],[Location 
(drop-down)]],'[2]List source'!D$2:E$59,2,FALSE)</f>
        <v>#VALUE!</v>
      </c>
      <c r="C1617" s="99" t="s">
        <v>4744</v>
      </c>
      <c r="D1617" s="100" t="e">
        <f t="shared" si="51"/>
        <v>#VALUE!</v>
      </c>
      <c r="E1617" s="64" t="s">
        <v>4745</v>
      </c>
      <c r="F1617" s="66" t="e" cm="1" vm="1">
        <f t="array" aca="1" ref="F161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7" s="110" t="s">
        <v>2342</v>
      </c>
      <c r="I1617" s="74">
        <v>45807</v>
      </c>
      <c r="J1617" s="67" t="s">
        <v>310</v>
      </c>
      <c r="K1617" s="68">
        <v>45845</v>
      </c>
      <c r="L1617" s="69"/>
      <c r="M1617" s="66" t="str">
        <f t="shared" ca="1" si="50"/>
        <v>CLOSED</v>
      </c>
    </row>
    <row r="1618" spans="1:13" ht="90">
      <c r="A1618" s="64" t="s">
        <v>139</v>
      </c>
      <c r="B1618" s="98" t="e">
        <f>VLOOKUP([2]!Table27[[#This Row],[Location 
(drop-down)]],'[2]List source'!D$2:E$59,2,FALSE)</f>
        <v>#VALUE!</v>
      </c>
      <c r="C1618" s="99" t="s">
        <v>4746</v>
      </c>
      <c r="D1618" s="100" t="e">
        <f t="shared" si="51"/>
        <v>#VALUE!</v>
      </c>
      <c r="E1618" s="97" t="s">
        <v>4747</v>
      </c>
      <c r="F1618" s="66" t="e" cm="1" vm="1">
        <f t="array" aca="1" ref="F161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8" s="66" t="s">
        <v>4748</v>
      </c>
      <c r="I1618" s="74">
        <v>45807</v>
      </c>
      <c r="J1618" s="67" t="s">
        <v>34</v>
      </c>
      <c r="K1618" s="68">
        <v>45807</v>
      </c>
      <c r="L1618" s="69" t="s">
        <v>1562</v>
      </c>
      <c r="M1618" s="66" t="str">
        <f t="shared" ca="1" si="50"/>
        <v>CLOSED</v>
      </c>
    </row>
    <row r="1619" spans="1:13" ht="90">
      <c r="A1619" s="64" t="s">
        <v>518</v>
      </c>
      <c r="B1619" s="98" t="e">
        <f>VLOOKUP([2]!Table27[[#This Row],[Location 
(drop-down)]],'[2]List source'!D$2:E$59,2,FALSE)</f>
        <v>#VALUE!</v>
      </c>
      <c r="C1619" s="99" t="s">
        <v>4749</v>
      </c>
      <c r="D1619" s="100" t="e">
        <f t="shared" si="51"/>
        <v>#VALUE!</v>
      </c>
      <c r="E1619" s="64" t="s">
        <v>4750</v>
      </c>
      <c r="F1619" s="66" t="e" cm="1" vm="1">
        <f t="array" aca="1" ref="F161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19" s="110">
        <v>2.38</v>
      </c>
      <c r="I1619" s="74">
        <v>45804</v>
      </c>
      <c r="J1619" s="67" t="s">
        <v>34</v>
      </c>
      <c r="K1619" s="68">
        <v>45804</v>
      </c>
      <c r="L1619" s="69" t="s">
        <v>1562</v>
      </c>
      <c r="M1619" s="66" t="str">
        <f t="shared" ca="1" si="50"/>
        <v>CLOSED</v>
      </c>
    </row>
    <row r="1620" spans="1:13" ht="90">
      <c r="A1620" s="64" t="s">
        <v>156</v>
      </c>
      <c r="B1620" s="98" t="e">
        <f>VLOOKUP([2]!Table27[[#This Row],[Location 
(drop-down)]],'[2]List source'!D$2:E$59,2,FALSE)</f>
        <v>#VALUE!</v>
      </c>
      <c r="C1620" s="99" t="s">
        <v>4751</v>
      </c>
      <c r="D1620" s="100" t="e">
        <f t="shared" si="51"/>
        <v>#VALUE!</v>
      </c>
      <c r="E1620" s="64" t="s">
        <v>4752</v>
      </c>
      <c r="F1620" s="66" t="e" cm="1" vm="1">
        <f t="array" aca="1" ref="F162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0" s="110">
        <v>2.0299999999999998</v>
      </c>
      <c r="I1620" s="74">
        <v>45804</v>
      </c>
      <c r="J1620" s="132" t="s">
        <v>34</v>
      </c>
      <c r="K1620" s="133">
        <v>45804</v>
      </c>
      <c r="L1620" s="69" t="s">
        <v>1562</v>
      </c>
      <c r="M1620" s="66" t="str">
        <f t="shared" ca="1" si="50"/>
        <v>CLOSED</v>
      </c>
    </row>
    <row r="1621" spans="1:13" ht="30">
      <c r="A1621" s="64" t="s">
        <v>23</v>
      </c>
      <c r="B1621" s="98" t="e">
        <f>VLOOKUP([2]!Table27[[#This Row],[Location 
(drop-down)]],'[2]List source'!D$2:E$59,2,FALSE)</f>
        <v>#VALUE!</v>
      </c>
      <c r="C1621" s="99" t="s">
        <v>4753</v>
      </c>
      <c r="D1621" s="100" t="e">
        <f t="shared" si="51"/>
        <v>#VALUE!</v>
      </c>
      <c r="E1621" s="64" t="s">
        <v>4754</v>
      </c>
      <c r="F1621" s="66" t="e" cm="1" vm="1">
        <f t="array" aca="1" ref="F162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1" s="110" t="s">
        <v>3106</v>
      </c>
      <c r="I1621" s="74">
        <v>45807</v>
      </c>
      <c r="J1621" s="67" t="s">
        <v>29</v>
      </c>
      <c r="K1621" s="68">
        <v>45954</v>
      </c>
      <c r="L1621" s="69"/>
      <c r="M1621" s="66" t="str">
        <f t="shared" ca="1" si="50"/>
        <v>CLOSED</v>
      </c>
    </row>
    <row r="1622" spans="1:13" ht="90">
      <c r="A1622" s="64" t="s">
        <v>432</v>
      </c>
      <c r="B1622" s="98" t="e">
        <f>VLOOKUP([2]!Table27[[#This Row],[Location 
(drop-down)]],'[2]List source'!D$2:E$59,2,FALSE)</f>
        <v>#VALUE!</v>
      </c>
      <c r="C1622" s="99" t="s">
        <v>4755</v>
      </c>
      <c r="D1622" s="100" t="e">
        <f t="shared" si="51"/>
        <v>#VALUE!</v>
      </c>
      <c r="E1622" s="64" t="s">
        <v>4752</v>
      </c>
      <c r="F1622" s="66" t="e" cm="1" vm="1">
        <f t="array" aca="1" ref="F162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2" s="66">
        <v>2.2400000000000002</v>
      </c>
      <c r="I1622" s="74">
        <v>45804</v>
      </c>
      <c r="J1622" s="67" t="s">
        <v>34</v>
      </c>
      <c r="K1622" s="68">
        <v>45804</v>
      </c>
      <c r="L1622" s="69" t="s">
        <v>1562</v>
      </c>
      <c r="M1622" s="66" t="str">
        <f t="shared" ca="1" si="50"/>
        <v>CLOSED</v>
      </c>
    </row>
    <row r="1623" spans="1:13" ht="90">
      <c r="A1623" s="64" t="s">
        <v>591</v>
      </c>
      <c r="B1623" s="98" t="e">
        <f>VLOOKUP([2]!Table27[[#This Row],[Location 
(drop-down)]],'[2]List source'!D$2:E$59,2,FALSE)</f>
        <v>#VALUE!</v>
      </c>
      <c r="C1623" s="99" t="s">
        <v>4756</v>
      </c>
      <c r="D1623" s="100" t="e">
        <f t="shared" si="51"/>
        <v>#VALUE!</v>
      </c>
      <c r="E1623" s="134" t="s">
        <v>4752</v>
      </c>
      <c r="F1623" s="66" t="e" cm="1" vm="1">
        <f t="array" aca="1" ref="F162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3" s="110" t="s">
        <v>3418</v>
      </c>
      <c r="I1623" s="74">
        <v>45804</v>
      </c>
      <c r="J1623" s="67" t="s">
        <v>34</v>
      </c>
      <c r="K1623" s="68">
        <v>45804</v>
      </c>
      <c r="L1623" s="69" t="s">
        <v>1562</v>
      </c>
      <c r="M1623" s="66" t="str">
        <f t="shared" ca="1" si="50"/>
        <v>CLOSED</v>
      </c>
    </row>
    <row r="1624" spans="1:13" ht="30">
      <c r="A1624" s="64" t="s">
        <v>314</v>
      </c>
      <c r="B1624" s="98" t="e">
        <f>VLOOKUP([2]!Table27[[#This Row],[Location 
(drop-down)]],'[2]List source'!D$2:E$59,2,FALSE)</f>
        <v>#VALUE!</v>
      </c>
      <c r="C1624" s="99" t="s">
        <v>4757</v>
      </c>
      <c r="D1624" s="100" t="e">
        <f t="shared" si="51"/>
        <v>#VALUE!</v>
      </c>
      <c r="E1624" s="64" t="s">
        <v>4758</v>
      </c>
      <c r="F1624" s="66" t="e" cm="1" vm="1">
        <f t="array" aca="1" ref="F162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4" s="110" t="s">
        <v>1971</v>
      </c>
      <c r="I1624" s="74">
        <v>45807</v>
      </c>
      <c r="J1624" s="67" t="s">
        <v>327</v>
      </c>
      <c r="K1624" s="68">
        <v>45896</v>
      </c>
      <c r="L1624" s="69"/>
      <c r="M1624" s="66" t="str">
        <f t="shared" ca="1" si="50"/>
        <v>CLOSED</v>
      </c>
    </row>
    <row r="1625" spans="1:13" ht="45">
      <c r="A1625" s="64" t="s">
        <v>314</v>
      </c>
      <c r="B1625" s="98" t="e">
        <f>VLOOKUP([2]!Table27[[#This Row],[Location 
(drop-down)]],'[2]List source'!D$2:E$59,2,FALSE)</f>
        <v>#VALUE!</v>
      </c>
      <c r="C1625" s="99" t="s">
        <v>4759</v>
      </c>
      <c r="D1625" s="100" t="e">
        <f t="shared" si="51"/>
        <v>#VALUE!</v>
      </c>
      <c r="E1625" s="64" t="s">
        <v>4760</v>
      </c>
      <c r="F1625" s="66" t="e" cm="1" vm="1">
        <f t="array" aca="1" ref="F162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5" s="66">
        <v>10.45</v>
      </c>
      <c r="I1625" s="74">
        <v>45807</v>
      </c>
      <c r="J1625" s="67" t="s">
        <v>34</v>
      </c>
      <c r="K1625" s="68">
        <v>45812</v>
      </c>
      <c r="L1625" s="69" t="s">
        <v>1505</v>
      </c>
      <c r="M1625" s="66" t="str">
        <f t="shared" ca="1" si="50"/>
        <v>CLOSED</v>
      </c>
    </row>
    <row r="1626" spans="1:13" ht="45">
      <c r="A1626" s="64" t="s">
        <v>294</v>
      </c>
      <c r="B1626" s="98" t="e">
        <f>VLOOKUP([2]!Table27[[#This Row],[Location 
(drop-down)]],'[2]List source'!D$2:E$59,2,FALSE)</f>
        <v>#VALUE!</v>
      </c>
      <c r="C1626" s="99" t="s">
        <v>4761</v>
      </c>
      <c r="D1626" s="100" t="e">
        <f t="shared" si="51"/>
        <v>#VALUE!</v>
      </c>
      <c r="E1626" s="64" t="s">
        <v>4762</v>
      </c>
      <c r="F1626" s="66" t="e" cm="1" vm="1">
        <f t="array" aca="1" ref="F162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6" s="66" t="s">
        <v>1579</v>
      </c>
      <c r="I1626" s="74">
        <v>45807</v>
      </c>
      <c r="J1626" s="132" t="s">
        <v>34</v>
      </c>
      <c r="K1626" s="133">
        <v>46003</v>
      </c>
      <c r="L1626" s="69" t="s">
        <v>1505</v>
      </c>
      <c r="M1626" s="66" t="str">
        <f t="shared" ca="1" si="50"/>
        <v>CLOSED</v>
      </c>
    </row>
    <row r="1627" spans="1:13" ht="30">
      <c r="A1627" s="64" t="s">
        <v>294</v>
      </c>
      <c r="B1627" s="98" t="e">
        <f>VLOOKUP([2]!Table27[[#This Row],[Location 
(drop-down)]],'[2]List source'!D$2:E$59,2,FALSE)</f>
        <v>#VALUE!</v>
      </c>
      <c r="C1627" s="99" t="s">
        <v>4763</v>
      </c>
      <c r="D1627" s="100" t="e">
        <f t="shared" si="51"/>
        <v>#VALUE!</v>
      </c>
      <c r="E1627" s="64" t="s">
        <v>4764</v>
      </c>
      <c r="F1627" s="66" t="e" cm="1" vm="1">
        <f t="array" aca="1" ref="F162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7" s="66" t="s">
        <v>1579</v>
      </c>
      <c r="I1627" s="74">
        <v>45807</v>
      </c>
      <c r="J1627" s="132" t="s">
        <v>327</v>
      </c>
      <c r="K1627" s="133">
        <v>45884</v>
      </c>
      <c r="L1627" s="69"/>
      <c r="M1627" s="66" t="str">
        <f t="shared" ca="1" si="50"/>
        <v>CLOSED</v>
      </c>
    </row>
    <row r="1628" spans="1:13" ht="30">
      <c r="A1628" s="64" t="s">
        <v>73</v>
      </c>
      <c r="B1628" s="98" t="e">
        <f>VLOOKUP([2]!Table27[[#This Row],[Location 
(drop-down)]],'[2]List source'!D$2:E$59,2,FALSE)</f>
        <v>#VALUE!</v>
      </c>
      <c r="C1628" s="99" t="s">
        <v>4765</v>
      </c>
      <c r="D1628" s="100" t="e">
        <f t="shared" si="51"/>
        <v>#VALUE!</v>
      </c>
      <c r="E1628" s="64" t="s">
        <v>4766</v>
      </c>
      <c r="F1628" s="66" t="e" cm="1" vm="1">
        <f t="array" aca="1" ref="F162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8" s="110" t="s">
        <v>3164</v>
      </c>
      <c r="I1628" s="74">
        <v>45807</v>
      </c>
      <c r="J1628" s="132"/>
      <c r="K1628" s="133"/>
      <c r="L1628" s="69"/>
      <c r="M1628" s="66">
        <f t="shared" ca="1" si="50"/>
        <v>271</v>
      </c>
    </row>
    <row r="1629" spans="1:13" ht="90">
      <c r="A1629" s="64" t="s">
        <v>73</v>
      </c>
      <c r="B1629" s="98" t="e">
        <f>VLOOKUP([2]!Table27[[#This Row],[Location 
(drop-down)]],'[2]List source'!D$2:E$59,2,FALSE)</f>
        <v>#VALUE!</v>
      </c>
      <c r="C1629" s="99" t="s">
        <v>4767</v>
      </c>
      <c r="D1629" s="100" t="e">
        <f t="shared" si="51"/>
        <v>#VALUE!</v>
      </c>
      <c r="E1629" s="64" t="s">
        <v>4768</v>
      </c>
      <c r="F1629" s="66" t="e" cm="1" vm="1">
        <f t="array" aca="1" ref="F162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29" s="66">
        <v>2.62</v>
      </c>
      <c r="I1629" s="74">
        <v>45807</v>
      </c>
      <c r="J1629" s="132" t="s">
        <v>34</v>
      </c>
      <c r="K1629" s="133">
        <v>45807</v>
      </c>
      <c r="L1629" s="69" t="s">
        <v>1562</v>
      </c>
      <c r="M1629" s="66" t="str">
        <f t="shared" ca="1" si="50"/>
        <v>CLOSED</v>
      </c>
    </row>
    <row r="1630" spans="1:13" ht="90">
      <c r="A1630" s="64" t="s">
        <v>202</v>
      </c>
      <c r="B1630" s="98" t="e">
        <f>VLOOKUP([2]!Table27[[#This Row],[Location 
(drop-down)]],'[2]List source'!D$2:E$59,2,FALSE)</f>
        <v>#VALUE!</v>
      </c>
      <c r="C1630" s="99" t="s">
        <v>4769</v>
      </c>
      <c r="D1630" s="100" t="e">
        <f t="shared" si="51"/>
        <v>#VALUE!</v>
      </c>
      <c r="E1630" s="64" t="s">
        <v>4770</v>
      </c>
      <c r="F1630" s="66" t="e" cm="1" vm="1">
        <f t="array" aca="1" ref="F163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0" s="110" t="s">
        <v>4771</v>
      </c>
      <c r="I1630" s="74">
        <v>45807</v>
      </c>
      <c r="J1630" s="132" t="s">
        <v>34</v>
      </c>
      <c r="K1630" s="133">
        <v>45807</v>
      </c>
      <c r="L1630" s="69" t="s">
        <v>1562</v>
      </c>
      <c r="M1630" s="66" t="str">
        <f t="shared" ca="1" si="50"/>
        <v>CLOSED</v>
      </c>
    </row>
    <row r="1631" spans="1:13" ht="30">
      <c r="A1631" s="64" t="s">
        <v>202</v>
      </c>
      <c r="B1631" s="98" t="e">
        <f>VLOOKUP([2]!Table27[[#This Row],[Location 
(drop-down)]],'[2]List source'!D$2:E$59,2,FALSE)</f>
        <v>#VALUE!</v>
      </c>
      <c r="C1631" s="99" t="s">
        <v>4772</v>
      </c>
      <c r="D1631" s="100" t="e">
        <f t="shared" si="51"/>
        <v>#VALUE!</v>
      </c>
      <c r="E1631" s="64" t="s">
        <v>4773</v>
      </c>
      <c r="F1631" s="66" t="e" cm="1" vm="1">
        <f t="array" aca="1" ref="F163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1" s="110" t="s">
        <v>4774</v>
      </c>
      <c r="I1631" s="74">
        <v>45807</v>
      </c>
      <c r="J1631" s="132"/>
      <c r="K1631" s="133"/>
      <c r="L1631" s="149"/>
      <c r="M1631" s="66">
        <f t="shared" ref="M1631:M1694" ca="1" si="52">IF(ISBLANK(K1631), TODAY()-(I1631), "CLOSED")</f>
        <v>271</v>
      </c>
    </row>
    <row r="1632" spans="1:13" ht="30">
      <c r="A1632" s="64" t="s">
        <v>43</v>
      </c>
      <c r="B1632" s="98" t="e">
        <f>VLOOKUP([2]!Table27[[#This Row],[Location 
(drop-down)]],'[2]List source'!D$2:E$59,2,FALSE)</f>
        <v>#VALUE!</v>
      </c>
      <c r="C1632" s="99" t="s">
        <v>4775</v>
      </c>
      <c r="D1632" s="100" t="e">
        <f t="shared" si="51"/>
        <v>#VALUE!</v>
      </c>
      <c r="E1632" s="64" t="s">
        <v>4776</v>
      </c>
      <c r="F1632" s="66" t="e" cm="1" vm="1">
        <f t="array" aca="1" ref="F163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2" s="66">
        <v>3.04</v>
      </c>
      <c r="I1632" s="74">
        <v>45807</v>
      </c>
      <c r="J1632" s="132" t="s">
        <v>29</v>
      </c>
      <c r="K1632" s="133">
        <v>46007</v>
      </c>
      <c r="L1632" s="149"/>
      <c r="M1632" s="66" t="str">
        <f t="shared" ca="1" si="52"/>
        <v>CLOSED</v>
      </c>
    </row>
    <row r="1633" spans="1:13" ht="45">
      <c r="A1633" s="64" t="s">
        <v>43</v>
      </c>
      <c r="B1633" s="98" t="e">
        <f>VLOOKUP([2]!Table27[[#This Row],[Location 
(drop-down)]],'[2]List source'!D$2:E$59,2,FALSE)</f>
        <v>#VALUE!</v>
      </c>
      <c r="C1633" s="99" t="s">
        <v>4777</v>
      </c>
      <c r="D1633" s="100" t="e">
        <f t="shared" si="51"/>
        <v>#VALUE!</v>
      </c>
      <c r="E1633" s="64" t="s">
        <v>4778</v>
      </c>
      <c r="F1633" s="66" t="e" cm="1" vm="1">
        <f t="array" aca="1" ref="F163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3" s="110" t="s">
        <v>4779</v>
      </c>
      <c r="I1633" s="74">
        <v>45807</v>
      </c>
      <c r="J1633" s="132" t="s">
        <v>29</v>
      </c>
      <c r="K1633" s="133">
        <v>45877</v>
      </c>
      <c r="L1633" s="69"/>
      <c r="M1633" s="66" t="str">
        <f t="shared" ca="1" si="52"/>
        <v>CLOSED</v>
      </c>
    </row>
    <row r="1634" spans="1:13" ht="30">
      <c r="A1634" s="64" t="s">
        <v>43</v>
      </c>
      <c r="B1634" s="98" t="e">
        <f>VLOOKUP([2]!Table27[[#This Row],[Location 
(drop-down)]],'[2]List source'!D$2:E$59,2,FALSE)</f>
        <v>#VALUE!</v>
      </c>
      <c r="C1634" s="99" t="s">
        <v>4780</v>
      </c>
      <c r="D1634" s="100" t="e">
        <f t="shared" si="51"/>
        <v>#VALUE!</v>
      </c>
      <c r="E1634" s="64" t="s">
        <v>4781</v>
      </c>
      <c r="F1634" s="66" t="e" cm="1" vm="1">
        <f t="array" aca="1" ref="F163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4" s="110" t="s">
        <v>4782</v>
      </c>
      <c r="I1634" s="74">
        <v>45807</v>
      </c>
      <c r="J1634" s="132" t="s">
        <v>108</v>
      </c>
      <c r="K1634" s="133">
        <v>45845</v>
      </c>
      <c r="L1634" s="69"/>
      <c r="M1634" s="66" t="str">
        <f t="shared" ca="1" si="52"/>
        <v>CLOSED</v>
      </c>
    </row>
    <row r="1635" spans="1:13" ht="30">
      <c r="A1635" s="64" t="s">
        <v>39</v>
      </c>
      <c r="B1635" s="98" t="e">
        <f>VLOOKUP([2]!Table27[[#This Row],[Location 
(drop-down)]],'[2]List source'!D$2:E$59,2,FALSE)</f>
        <v>#VALUE!</v>
      </c>
      <c r="C1635" s="99" t="s">
        <v>4783</v>
      </c>
      <c r="D1635" s="100" t="e">
        <f t="shared" si="51"/>
        <v>#VALUE!</v>
      </c>
      <c r="E1635" s="64" t="s">
        <v>4784</v>
      </c>
      <c r="F1635" s="66" t="e" cm="1" vm="1">
        <f t="array" aca="1" ref="F163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5" s="15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5" s="110" t="s">
        <v>4785</v>
      </c>
      <c r="I1635" s="74">
        <v>45807</v>
      </c>
      <c r="J1635" s="132" t="s">
        <v>239</v>
      </c>
      <c r="K1635" s="133">
        <v>45869</v>
      </c>
      <c r="L1635" s="69"/>
      <c r="M1635" s="66" t="str">
        <f t="shared" ca="1" si="52"/>
        <v>CLOSED</v>
      </c>
    </row>
    <row r="1636" spans="1:13" ht="45">
      <c r="A1636" s="64" t="s">
        <v>125</v>
      </c>
      <c r="B1636" s="98" t="e">
        <f>VLOOKUP([2]!Table27[[#This Row],[Location 
(drop-down)]],'[2]List source'!D$2:E$59,2,FALSE)</f>
        <v>#VALUE!</v>
      </c>
      <c r="C1636" s="99" t="s">
        <v>4786</v>
      </c>
      <c r="D1636" s="100" t="e">
        <f t="shared" si="51"/>
        <v>#VALUE!</v>
      </c>
      <c r="E1636" s="64" t="s">
        <v>4787</v>
      </c>
      <c r="F1636" s="66" t="e" cm="1" vm="1">
        <f t="array" aca="1" ref="F163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6" s="110">
        <v>2.23</v>
      </c>
      <c r="I1636" s="74">
        <v>45807</v>
      </c>
      <c r="J1636" s="67" t="s">
        <v>34</v>
      </c>
      <c r="K1636" s="68">
        <v>45819</v>
      </c>
      <c r="L1636" s="69" t="s">
        <v>1505</v>
      </c>
      <c r="M1636" s="66" t="str">
        <f t="shared" ca="1" si="52"/>
        <v>CLOSED</v>
      </c>
    </row>
    <row r="1637" spans="1:13" ht="90">
      <c r="A1637" s="64" t="s">
        <v>125</v>
      </c>
      <c r="B1637" s="98" t="e">
        <f>VLOOKUP([2]!Table27[[#This Row],[Location 
(drop-down)]],'[2]List source'!D$2:E$59,2,FALSE)</f>
        <v>#VALUE!</v>
      </c>
      <c r="C1637" s="99" t="s">
        <v>4788</v>
      </c>
      <c r="D1637" s="100" t="e">
        <f t="shared" si="51"/>
        <v>#VALUE!</v>
      </c>
      <c r="E1637" s="64" t="s">
        <v>4789</v>
      </c>
      <c r="F1637" s="66" t="e" cm="1" vm="1">
        <f t="array" aca="1" ref="F163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7" s="66">
        <v>2.12</v>
      </c>
      <c r="I1637" s="74">
        <v>45807</v>
      </c>
      <c r="J1637" s="132" t="s">
        <v>34</v>
      </c>
      <c r="K1637" s="133">
        <v>45807</v>
      </c>
      <c r="L1637" s="69" t="s">
        <v>1562</v>
      </c>
      <c r="M1637" s="66" t="str">
        <f t="shared" ca="1" si="52"/>
        <v>CLOSED</v>
      </c>
    </row>
    <row r="1638" spans="1:13" ht="90">
      <c r="A1638" s="64" t="s">
        <v>119</v>
      </c>
      <c r="B1638" s="98" t="e">
        <f>VLOOKUP([2]!Table27[[#This Row],[Location 
(drop-down)]],'[2]List source'!D$2:E$59,2,FALSE)</f>
        <v>#VALUE!</v>
      </c>
      <c r="C1638" s="99" t="s">
        <v>4790</v>
      </c>
      <c r="D1638" s="100" t="e">
        <f t="shared" si="51"/>
        <v>#VALUE!</v>
      </c>
      <c r="E1638" s="64" t="s">
        <v>4791</v>
      </c>
      <c r="F1638" s="66" t="e" cm="1" vm="1">
        <f t="array" aca="1" ref="F163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8" s="66" t="s">
        <v>4792</v>
      </c>
      <c r="I1638" s="74">
        <v>45807</v>
      </c>
      <c r="J1638" s="132" t="s">
        <v>34</v>
      </c>
      <c r="K1638" s="133">
        <v>45807</v>
      </c>
      <c r="L1638" s="69" t="s">
        <v>1562</v>
      </c>
      <c r="M1638" s="66" t="str">
        <f t="shared" ca="1" si="52"/>
        <v>CLOSED</v>
      </c>
    </row>
    <row r="1639" spans="1:13" ht="90">
      <c r="A1639" s="64" t="s">
        <v>119</v>
      </c>
      <c r="B1639" s="98" t="e">
        <f>VLOOKUP([2]!Table27[[#This Row],[Location 
(drop-down)]],'[2]List source'!D$2:E$59,2,FALSE)</f>
        <v>#VALUE!</v>
      </c>
      <c r="C1639" s="99" t="s">
        <v>4793</v>
      </c>
      <c r="D1639" s="100" t="e">
        <f t="shared" si="51"/>
        <v>#VALUE!</v>
      </c>
      <c r="E1639" s="64" t="s">
        <v>4794</v>
      </c>
      <c r="F1639" s="66" t="e" cm="1" vm="1">
        <f t="array" aca="1" ref="F163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39" s="66">
        <v>2.04</v>
      </c>
      <c r="I1639" s="74">
        <v>45807</v>
      </c>
      <c r="J1639" s="132" t="s">
        <v>34</v>
      </c>
      <c r="K1639" s="133">
        <v>45807</v>
      </c>
      <c r="L1639" s="69" t="s">
        <v>1562</v>
      </c>
      <c r="M1639" s="66" t="str">
        <f t="shared" ca="1" si="52"/>
        <v>CLOSED</v>
      </c>
    </row>
    <row r="1640" spans="1:13" ht="45">
      <c r="A1640" s="64" t="s">
        <v>294</v>
      </c>
      <c r="B1640" s="98" t="e">
        <f>VLOOKUP([2]!Table27[[#This Row],[Location 
(drop-down)]],'[2]List source'!D$2:E$59,2,FALSE)</f>
        <v>#VALUE!</v>
      </c>
      <c r="C1640" s="99" t="s">
        <v>4795</v>
      </c>
      <c r="D1640" s="100" t="e">
        <f t="shared" si="51"/>
        <v>#VALUE!</v>
      </c>
      <c r="E1640" s="64" t="s">
        <v>4796</v>
      </c>
      <c r="F1640" s="66" t="e" cm="1" vm="1">
        <f t="array" aca="1" ref="F164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0" s="110">
        <v>-144.77000000000001</v>
      </c>
      <c r="I1640" s="74">
        <v>45807</v>
      </c>
      <c r="J1640" s="67" t="s">
        <v>34</v>
      </c>
      <c r="K1640" s="68">
        <v>45812</v>
      </c>
      <c r="L1640" s="69" t="s">
        <v>1505</v>
      </c>
      <c r="M1640" s="66" t="str">
        <f t="shared" ca="1" si="52"/>
        <v>CLOSED</v>
      </c>
    </row>
    <row r="1641" spans="1:13" ht="45">
      <c r="A1641" s="64" t="s">
        <v>294</v>
      </c>
      <c r="B1641" s="98" t="e">
        <f>VLOOKUP([2]!Table27[[#This Row],[Location 
(drop-down)]],'[2]List source'!D$2:E$59,2,FALSE)</f>
        <v>#VALUE!</v>
      </c>
      <c r="C1641" s="99" t="s">
        <v>4797</v>
      </c>
      <c r="D1641" s="100" t="e">
        <f t="shared" si="51"/>
        <v>#VALUE!</v>
      </c>
      <c r="E1641" s="64" t="s">
        <v>4798</v>
      </c>
      <c r="F1641" s="66" t="e" cm="1" vm="1">
        <f t="array" aca="1" ref="F164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1" s="66" t="s">
        <v>4799</v>
      </c>
      <c r="I1641" s="74">
        <v>45807</v>
      </c>
      <c r="J1641" s="67" t="s">
        <v>34</v>
      </c>
      <c r="K1641" s="153">
        <v>45812</v>
      </c>
      <c r="L1641" s="444" t="s">
        <v>1773</v>
      </c>
      <c r="M1641" s="66" t="str">
        <f t="shared" ca="1" si="52"/>
        <v>CLOSED</v>
      </c>
    </row>
    <row r="1642" spans="1:13" ht="45">
      <c r="A1642" s="64" t="s">
        <v>294</v>
      </c>
      <c r="B1642" s="98" t="e">
        <f>VLOOKUP([2]!Table27[[#This Row],[Location 
(drop-down)]],'[2]List source'!D$2:E$59,2,FALSE)</f>
        <v>#VALUE!</v>
      </c>
      <c r="C1642" s="99" t="s">
        <v>4800</v>
      </c>
      <c r="D1642" s="100" t="e">
        <f t="shared" si="51"/>
        <v>#VALUE!</v>
      </c>
      <c r="E1642" s="64" t="s">
        <v>4801</v>
      </c>
      <c r="F1642" s="66" t="e" cm="1" vm="1">
        <f t="array" aca="1" ref="F164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2" s="110" t="s">
        <v>4802</v>
      </c>
      <c r="I1642" s="74">
        <v>45807</v>
      </c>
      <c r="J1642" s="67" t="s">
        <v>34</v>
      </c>
      <c r="K1642" s="153">
        <v>45812</v>
      </c>
      <c r="L1642" s="445" t="s">
        <v>1505</v>
      </c>
      <c r="M1642" s="66" t="str">
        <f t="shared" ca="1" si="52"/>
        <v>CLOSED</v>
      </c>
    </row>
    <row r="1643" spans="1:13" ht="90">
      <c r="A1643" s="64" t="s">
        <v>500</v>
      </c>
      <c r="B1643" s="98" t="e">
        <f>VLOOKUP([2]!Table27[[#This Row],[Location 
(drop-down)]],'[2]List source'!D$2:E$59,2,FALSE)</f>
        <v>#VALUE!</v>
      </c>
      <c r="C1643" s="99" t="s">
        <v>4803</v>
      </c>
      <c r="D1643" s="100" t="e">
        <f t="shared" si="51"/>
        <v>#VALUE!</v>
      </c>
      <c r="E1643" s="64" t="s">
        <v>4804</v>
      </c>
      <c r="F1643" s="66" t="e" cm="1" vm="1">
        <f t="array" aca="1" ref="F164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3" s="110" t="s">
        <v>4805</v>
      </c>
      <c r="I1643" s="74">
        <v>45807</v>
      </c>
      <c r="J1643" s="67" t="s">
        <v>34</v>
      </c>
      <c r="K1643" s="68">
        <v>45807</v>
      </c>
      <c r="L1643" s="69" t="s">
        <v>1562</v>
      </c>
      <c r="M1643" s="66" t="str">
        <f t="shared" ca="1" si="52"/>
        <v>CLOSED</v>
      </c>
    </row>
    <row r="1644" spans="1:13" ht="45">
      <c r="A1644" s="64" t="s">
        <v>500</v>
      </c>
      <c r="B1644" s="98" t="e">
        <f>VLOOKUP([2]!Table27[[#This Row],[Location 
(drop-down)]],'[2]List source'!D$2:E$59,2,FALSE)</f>
        <v>#VALUE!</v>
      </c>
      <c r="C1644" s="99" t="s">
        <v>4806</v>
      </c>
      <c r="D1644" s="100" t="e">
        <f t="shared" si="51"/>
        <v>#VALUE!</v>
      </c>
      <c r="E1644" s="64" t="s">
        <v>4807</v>
      </c>
      <c r="F1644" s="66" t="e" cm="1" vm="1">
        <f t="array" aca="1" ref="F164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4" s="66" t="s">
        <v>4808</v>
      </c>
      <c r="I1644" s="74">
        <v>45807</v>
      </c>
      <c r="J1644" s="67" t="s">
        <v>310</v>
      </c>
      <c r="K1644" s="68">
        <v>45847</v>
      </c>
      <c r="L1644" s="149"/>
      <c r="M1644" s="66" t="str">
        <f t="shared" ca="1" si="52"/>
        <v>CLOSED</v>
      </c>
    </row>
    <row r="1645" spans="1:13" ht="90">
      <c r="A1645" s="64" t="s">
        <v>500</v>
      </c>
      <c r="B1645" s="98" t="e">
        <f>VLOOKUP([2]!Table27[[#This Row],[Location 
(drop-down)]],'[2]List source'!D$2:E$59,2,FALSE)</f>
        <v>#VALUE!</v>
      </c>
      <c r="C1645" s="99" t="s">
        <v>4809</v>
      </c>
      <c r="D1645" s="100" t="e">
        <f t="shared" si="51"/>
        <v>#VALUE!</v>
      </c>
      <c r="E1645" s="64" t="s">
        <v>4810</v>
      </c>
      <c r="F1645" s="66" t="e" cm="1" vm="1">
        <f t="array" aca="1" ref="F164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5" s="110" t="s">
        <v>4811</v>
      </c>
      <c r="I1645" s="74">
        <v>45807</v>
      </c>
      <c r="J1645" s="67" t="s">
        <v>34</v>
      </c>
      <c r="K1645" s="68">
        <v>45807</v>
      </c>
      <c r="L1645" s="69" t="s">
        <v>1562</v>
      </c>
      <c r="M1645" s="66" t="str">
        <f t="shared" ca="1" si="52"/>
        <v>CLOSED</v>
      </c>
    </row>
    <row r="1646" spans="1:13" ht="90">
      <c r="A1646" s="64" t="s">
        <v>518</v>
      </c>
      <c r="B1646" s="98" t="e">
        <f>VLOOKUP([2]!Table27[[#This Row],[Location 
(drop-down)]],'[2]List source'!D$2:E$59,2,FALSE)</f>
        <v>#VALUE!</v>
      </c>
      <c r="C1646" s="99" t="s">
        <v>4812</v>
      </c>
      <c r="D1646" s="100" t="e">
        <f t="shared" si="51"/>
        <v>#VALUE!</v>
      </c>
      <c r="E1646" s="64" t="s">
        <v>4813</v>
      </c>
      <c r="F1646" s="66" t="e" cm="1" vm="1">
        <f t="array" aca="1" ref="F164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6" s="66">
        <v>2.1800000000000002</v>
      </c>
      <c r="I1646" s="74">
        <v>45804</v>
      </c>
      <c r="J1646" s="67" t="s">
        <v>34</v>
      </c>
      <c r="K1646" s="68">
        <v>45804</v>
      </c>
      <c r="L1646" s="69" t="s">
        <v>1562</v>
      </c>
      <c r="M1646" s="66" t="str">
        <f t="shared" ca="1" si="52"/>
        <v>CLOSED</v>
      </c>
    </row>
    <row r="1647" spans="1:13" ht="30">
      <c r="A1647" s="64" t="s">
        <v>294</v>
      </c>
      <c r="B1647" s="98" t="e">
        <f>VLOOKUP([2]!Table27[[#This Row],[Location 
(drop-down)]],'[2]List source'!D$2:E$59,2,FALSE)</f>
        <v>#VALUE!</v>
      </c>
      <c r="C1647" s="99" t="s">
        <v>4814</v>
      </c>
      <c r="D1647" s="100" t="e">
        <f t="shared" si="51"/>
        <v>#VALUE!</v>
      </c>
      <c r="E1647" s="64" t="s">
        <v>4815</v>
      </c>
      <c r="F1647" s="66" t="e" cm="1" vm="1">
        <f t="array" aca="1" ref="F164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7" s="110" t="s">
        <v>1962</v>
      </c>
      <c r="I1647" s="74">
        <v>45807</v>
      </c>
      <c r="J1647" s="67" t="s">
        <v>327</v>
      </c>
      <c r="K1647" s="68">
        <v>45847</v>
      </c>
      <c r="L1647" s="69"/>
      <c r="M1647" s="66" t="str">
        <f t="shared" ca="1" si="52"/>
        <v>CLOSED</v>
      </c>
    </row>
    <row r="1648" spans="1:13" ht="90">
      <c r="A1648" s="64" t="s">
        <v>294</v>
      </c>
      <c r="B1648" s="98" t="e">
        <f>VLOOKUP([2]!Table27[[#This Row],[Location 
(drop-down)]],'[2]List source'!D$2:E$59,2,FALSE)</f>
        <v>#VALUE!</v>
      </c>
      <c r="C1648" s="99" t="s">
        <v>4816</v>
      </c>
      <c r="D1648" s="100" t="e">
        <f t="shared" si="51"/>
        <v>#VALUE!</v>
      </c>
      <c r="E1648" s="64" t="s">
        <v>4817</v>
      </c>
      <c r="F1648" s="66" t="e" cm="1" vm="1">
        <f t="array" aca="1" ref="F164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8" s="66" t="s">
        <v>1579</v>
      </c>
      <c r="I1648" s="74">
        <v>45807</v>
      </c>
      <c r="J1648" s="67" t="s">
        <v>34</v>
      </c>
      <c r="K1648" s="68">
        <v>45807</v>
      </c>
      <c r="L1648" s="69" t="s">
        <v>1562</v>
      </c>
      <c r="M1648" s="66" t="str">
        <f t="shared" ca="1" si="52"/>
        <v>CLOSED</v>
      </c>
    </row>
    <row r="1649" spans="1:13" ht="90">
      <c r="A1649" s="64" t="s">
        <v>294</v>
      </c>
      <c r="B1649" s="98" t="e">
        <f>VLOOKUP([2]!Table27[[#This Row],[Location 
(drop-down)]],'[2]List source'!D$2:E$59,2,FALSE)</f>
        <v>#VALUE!</v>
      </c>
      <c r="C1649" s="99" t="s">
        <v>4818</v>
      </c>
      <c r="D1649" s="100" t="e">
        <f t="shared" si="51"/>
        <v>#VALUE!</v>
      </c>
      <c r="E1649" s="83" t="s">
        <v>4819</v>
      </c>
      <c r="F1649" s="151" t="e" cm="1" vm="1">
        <f t="array" aca="1" ref="F164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49" s="8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49" s="151">
        <v>2.77</v>
      </c>
      <c r="I1649" s="74">
        <v>45807</v>
      </c>
      <c r="J1649" s="67" t="s">
        <v>34</v>
      </c>
      <c r="K1649" s="68">
        <v>45807</v>
      </c>
      <c r="L1649" s="69" t="s">
        <v>1562</v>
      </c>
      <c r="M1649" s="66" t="str">
        <f t="shared" ca="1" si="52"/>
        <v>CLOSED</v>
      </c>
    </row>
    <row r="1650" spans="1:13" ht="30">
      <c r="A1650" s="64" t="s">
        <v>500</v>
      </c>
      <c r="B1650" s="98" t="e">
        <f>VLOOKUP([2]!Table27[[#This Row],[Location 
(drop-down)]],'[2]List source'!D$2:E$59,2,FALSE)</f>
        <v>#VALUE!</v>
      </c>
      <c r="C1650" s="99" t="s">
        <v>4820</v>
      </c>
      <c r="D1650" s="100" t="e">
        <f t="shared" si="51"/>
        <v>#VALUE!</v>
      </c>
      <c r="E1650" s="64" t="s">
        <v>4821</v>
      </c>
      <c r="F1650" s="66" t="e" cm="1" vm="1">
        <f t="array" aca="1" ref="F165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0" s="110" t="s">
        <v>4822</v>
      </c>
      <c r="I1650" s="74">
        <v>45807</v>
      </c>
      <c r="J1650" s="67"/>
      <c r="K1650" s="68"/>
      <c r="L1650" s="69"/>
      <c r="M1650" s="66">
        <f t="shared" ca="1" si="52"/>
        <v>271</v>
      </c>
    </row>
    <row r="1651" spans="1:13" ht="90">
      <c r="A1651" s="64" t="s">
        <v>500</v>
      </c>
      <c r="B1651" s="98" t="e">
        <f>VLOOKUP([2]!Table27[[#This Row],[Location 
(drop-down)]],'[2]List source'!D$2:E$59,2,FALSE)</f>
        <v>#VALUE!</v>
      </c>
      <c r="C1651" s="99" t="s">
        <v>4823</v>
      </c>
      <c r="D1651" s="100" t="e">
        <f t="shared" si="51"/>
        <v>#VALUE!</v>
      </c>
      <c r="E1651" s="64" t="s">
        <v>4824</v>
      </c>
      <c r="F1651" s="66" t="e" cm="1" vm="1">
        <f t="array" aca="1" ref="F165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1" s="66">
        <v>2.17</v>
      </c>
      <c r="I1651" s="74">
        <v>45807</v>
      </c>
      <c r="J1651" s="67" t="s">
        <v>34</v>
      </c>
      <c r="K1651" s="68">
        <v>45807</v>
      </c>
      <c r="L1651" s="69" t="s">
        <v>1671</v>
      </c>
      <c r="M1651" s="66" t="str">
        <f t="shared" ca="1" si="52"/>
        <v>CLOSED</v>
      </c>
    </row>
    <row r="1652" spans="1:13" ht="45">
      <c r="A1652" s="64" t="s">
        <v>294</v>
      </c>
      <c r="B1652" s="98" t="e">
        <f>VLOOKUP([2]!Table27[[#This Row],[Location 
(drop-down)]],'[2]List source'!D$2:E$59,2,FALSE)</f>
        <v>#VALUE!</v>
      </c>
      <c r="C1652" s="99" t="s">
        <v>4825</v>
      </c>
      <c r="D1652" s="100" t="e">
        <f t="shared" si="51"/>
        <v>#VALUE!</v>
      </c>
      <c r="E1652" s="152" t="s">
        <v>4826</v>
      </c>
      <c r="F1652" s="66" t="e" cm="1" vm="1">
        <f t="array" aca="1" ref="F165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2" s="110" t="s">
        <v>4827</v>
      </c>
      <c r="I1652" s="74">
        <v>45807</v>
      </c>
      <c r="J1652" s="67"/>
      <c r="K1652" s="68"/>
      <c r="L1652" s="149"/>
      <c r="M1652" s="66">
        <f t="shared" ca="1" si="52"/>
        <v>271</v>
      </c>
    </row>
    <row r="1653" spans="1:13" ht="45">
      <c r="A1653" s="64" t="s">
        <v>294</v>
      </c>
      <c r="B1653" s="98" t="e">
        <f>VLOOKUP([2]!Table27[[#This Row],[Location 
(drop-down)]],'[2]List source'!D$2:E$59,2,FALSE)</f>
        <v>#VALUE!</v>
      </c>
      <c r="C1653" s="99" t="s">
        <v>4828</v>
      </c>
      <c r="D1653" s="100" t="e">
        <f t="shared" si="51"/>
        <v>#VALUE!</v>
      </c>
      <c r="E1653" s="64" t="s">
        <v>4829</v>
      </c>
      <c r="F1653" s="66" t="e" cm="1" vm="1">
        <f t="array" aca="1" ref="F165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3" s="110" t="s">
        <v>1579</v>
      </c>
      <c r="I1653" s="74">
        <v>45807</v>
      </c>
      <c r="J1653" s="67" t="s">
        <v>327</v>
      </c>
      <c r="K1653" s="68">
        <v>45885</v>
      </c>
      <c r="L1653" s="69"/>
      <c r="M1653" s="66" t="str">
        <f t="shared" ca="1" si="52"/>
        <v>CLOSED</v>
      </c>
    </row>
    <row r="1654" spans="1:13" ht="30">
      <c r="A1654" s="64" t="s">
        <v>294</v>
      </c>
      <c r="B1654" s="98" t="e">
        <f>VLOOKUP([2]!Table27[[#This Row],[Location 
(drop-down)]],'[2]List source'!D$2:E$59,2,FALSE)</f>
        <v>#VALUE!</v>
      </c>
      <c r="C1654" s="99" t="s">
        <v>4830</v>
      </c>
      <c r="D1654" s="100" t="e">
        <f t="shared" si="51"/>
        <v>#VALUE!</v>
      </c>
      <c r="E1654" s="64" t="s">
        <v>4831</v>
      </c>
      <c r="F1654" s="66" t="e" cm="1" vm="1">
        <f t="array" aca="1" ref="F165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4" s="66">
        <v>5.29</v>
      </c>
      <c r="I1654" s="74">
        <v>45807</v>
      </c>
      <c r="J1654" s="67" t="s">
        <v>327</v>
      </c>
      <c r="K1654" s="68">
        <v>46065</v>
      </c>
      <c r="L1654" s="446"/>
      <c r="M1654" s="66" t="str">
        <f t="shared" ca="1" si="52"/>
        <v>CLOSED</v>
      </c>
    </row>
    <row r="1655" spans="1:13" ht="30">
      <c r="A1655" s="64" t="s">
        <v>344</v>
      </c>
      <c r="B1655" s="98" t="e">
        <f>VLOOKUP([2]!Table27[[#This Row],[Location 
(drop-down)]],'[2]List source'!D$2:E$59,2,FALSE)</f>
        <v>#VALUE!</v>
      </c>
      <c r="C1655" s="99" t="s">
        <v>4832</v>
      </c>
      <c r="D1655" s="100" t="e">
        <f t="shared" si="51"/>
        <v>#VALUE!</v>
      </c>
      <c r="E1655" s="64" t="s">
        <v>4833</v>
      </c>
      <c r="F1655" s="66" t="e" cm="1" vm="1">
        <f t="array" aca="1" ref="F165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5" s="66">
        <v>3.17</v>
      </c>
      <c r="I1655" s="74">
        <v>45810</v>
      </c>
      <c r="J1655" s="67" t="s">
        <v>327</v>
      </c>
      <c r="K1655" s="153">
        <v>45874</v>
      </c>
      <c r="L1655" s="447"/>
      <c r="M1655" s="66" t="str">
        <f t="shared" ca="1" si="52"/>
        <v>CLOSED</v>
      </c>
    </row>
    <row r="1656" spans="1:13" ht="45">
      <c r="A1656" s="64" t="s">
        <v>344</v>
      </c>
      <c r="B1656" s="98" t="e">
        <f>VLOOKUP([2]!Table27[[#This Row],[Location 
(drop-down)]],'[2]List source'!D$2:E$59,2,FALSE)</f>
        <v>#VALUE!</v>
      </c>
      <c r="C1656" s="99" t="s">
        <v>4834</v>
      </c>
      <c r="D1656" s="100" t="e">
        <f t="shared" si="51"/>
        <v>#VALUE!</v>
      </c>
      <c r="E1656" s="64" t="s">
        <v>4835</v>
      </c>
      <c r="F1656" s="66" t="e" cm="1" vm="1">
        <f t="array" aca="1" ref="F165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6" s="110" t="s">
        <v>4836</v>
      </c>
      <c r="I1656" s="74">
        <v>45810</v>
      </c>
      <c r="J1656" s="67" t="s">
        <v>327</v>
      </c>
      <c r="K1656" s="68">
        <v>45847</v>
      </c>
      <c r="L1656" s="149"/>
      <c r="M1656" s="66" t="str">
        <f t="shared" ca="1" si="52"/>
        <v>CLOSED</v>
      </c>
    </row>
    <row r="1657" spans="1:13" ht="30">
      <c r="A1657" s="64" t="s">
        <v>114</v>
      </c>
      <c r="B1657" s="98" t="e">
        <f>VLOOKUP([2]!Table27[[#This Row],[Location 
(drop-down)]],'[2]List source'!D$2:E$59,2,FALSE)</f>
        <v>#VALUE!</v>
      </c>
      <c r="C1657" s="99" t="s">
        <v>4837</v>
      </c>
      <c r="D1657" s="100" t="e">
        <f t="shared" si="51"/>
        <v>#VALUE!</v>
      </c>
      <c r="E1657" s="64" t="s">
        <v>4838</v>
      </c>
      <c r="F1657" s="66" t="e" cm="1" vm="1">
        <f t="array" aca="1" ref="F165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7" s="66">
        <v>6.64</v>
      </c>
      <c r="I1657" s="74">
        <v>45810</v>
      </c>
      <c r="J1657" s="67"/>
      <c r="K1657" s="153"/>
      <c r="L1657" s="447"/>
      <c r="M1657" s="66">
        <f t="shared" ca="1" si="52"/>
        <v>268</v>
      </c>
    </row>
    <row r="1658" spans="1:13" ht="90">
      <c r="A1658" s="64" t="s">
        <v>114</v>
      </c>
      <c r="B1658" s="98" t="e">
        <f>VLOOKUP([2]!Table27[[#This Row],[Location 
(drop-down)]],'[2]List source'!D$2:E$59,2,FALSE)</f>
        <v>#VALUE!</v>
      </c>
      <c r="C1658" s="99" t="s">
        <v>4839</v>
      </c>
      <c r="D1658" s="100" t="e">
        <f t="shared" si="51"/>
        <v>#VALUE!</v>
      </c>
      <c r="E1658" s="64" t="s">
        <v>4840</v>
      </c>
      <c r="F1658" s="66" t="s">
        <v>4841</v>
      </c>
      <c r="G16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8" s="66">
        <v>2.25</v>
      </c>
      <c r="I1658" s="74">
        <v>45810</v>
      </c>
      <c r="J1658" s="67" t="s">
        <v>34</v>
      </c>
      <c r="K1658" s="68">
        <v>45810</v>
      </c>
      <c r="L1658" s="149" t="s">
        <v>1562</v>
      </c>
      <c r="M1658" s="66" t="str">
        <f t="shared" ca="1" si="52"/>
        <v>CLOSED</v>
      </c>
    </row>
    <row r="1659" spans="1:13" ht="30">
      <c r="A1659" s="64" t="s">
        <v>15</v>
      </c>
      <c r="B1659" s="98" t="e">
        <f>VLOOKUP([2]!Table27[[#This Row],[Location 
(drop-down)]],'[2]List source'!D$2:E$59,2,FALSE)</f>
        <v>#VALUE!</v>
      </c>
      <c r="C1659" s="99" t="s">
        <v>4842</v>
      </c>
      <c r="D1659" s="100" t="e">
        <f t="shared" si="51"/>
        <v>#VALUE!</v>
      </c>
      <c r="E1659" s="64" t="s">
        <v>4843</v>
      </c>
      <c r="F1659" s="66" t="s">
        <v>4841</v>
      </c>
      <c r="G16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59" s="66">
        <v>4.92</v>
      </c>
      <c r="I1659" s="74">
        <v>45810</v>
      </c>
      <c r="J1659" s="67"/>
      <c r="K1659" s="153"/>
      <c r="L1659" s="447"/>
      <c r="M1659" s="66">
        <f t="shared" ca="1" si="52"/>
        <v>268</v>
      </c>
    </row>
    <row r="1660" spans="1:13" ht="30">
      <c r="A1660" s="64" t="s">
        <v>1334</v>
      </c>
      <c r="B1660" s="98" t="e">
        <f>VLOOKUP([2]!Table27[[#This Row],[Location 
(drop-down)]],'[2]List source'!D$2:E$59,2,FALSE)</f>
        <v>#VALUE!</v>
      </c>
      <c r="C1660" s="99" t="s">
        <v>4844</v>
      </c>
      <c r="D1660" s="100" t="e">
        <f t="shared" si="51"/>
        <v>#VALUE!</v>
      </c>
      <c r="E1660" s="64" t="s">
        <v>4845</v>
      </c>
      <c r="F1660" s="66" t="e" cm="1" vm="1">
        <f t="array" aca="1" ref="F16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0" s="66">
        <v>2.67</v>
      </c>
      <c r="I1660" s="74">
        <v>45810</v>
      </c>
      <c r="J1660" s="67" t="s">
        <v>310</v>
      </c>
      <c r="K1660" s="68">
        <v>45889</v>
      </c>
      <c r="L1660" s="448"/>
      <c r="M1660" s="66" t="str">
        <f t="shared" ca="1" si="52"/>
        <v>CLOSED</v>
      </c>
    </row>
    <row r="1661" spans="1:13" ht="30">
      <c r="A1661" s="64" t="s">
        <v>432</v>
      </c>
      <c r="B1661" s="98" t="e">
        <f>VLOOKUP([2]!Table27[[#This Row],[Location 
(drop-down)]],'[2]List source'!D$2:E$59,2,FALSE)</f>
        <v>#VALUE!</v>
      </c>
      <c r="C1661" s="99" t="s">
        <v>4846</v>
      </c>
      <c r="D1661" s="100" t="e">
        <f t="shared" si="51"/>
        <v>#VALUE!</v>
      </c>
      <c r="E1661" s="64" t="s">
        <v>4847</v>
      </c>
      <c r="F1661" s="66" t="e" cm="1" vm="1">
        <f t="array" aca="1" ref="F166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1" s="66">
        <v>5.95</v>
      </c>
      <c r="I1661" s="74">
        <v>45810</v>
      </c>
      <c r="J1661" s="67"/>
      <c r="K1661" s="68"/>
      <c r="L1661" s="69"/>
      <c r="M1661" s="66">
        <f t="shared" ca="1" si="52"/>
        <v>268</v>
      </c>
    </row>
    <row r="1662" spans="1:13" ht="30">
      <c r="A1662" s="64" t="s">
        <v>462</v>
      </c>
      <c r="B1662" s="98" t="e">
        <f>VLOOKUP([2]!Table27[[#This Row],[Location 
(drop-down)]],'[2]List source'!D$2:E$59,2,FALSE)</f>
        <v>#VALUE!</v>
      </c>
      <c r="C1662" s="99" t="s">
        <v>4848</v>
      </c>
      <c r="D1662" s="100" t="e">
        <f t="shared" si="51"/>
        <v>#VALUE!</v>
      </c>
      <c r="E1662" s="64" t="s">
        <v>4849</v>
      </c>
      <c r="F1662" s="66" t="e" cm="1" vm="1">
        <f t="array" aca="1" ref="F16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2" s="110" t="s">
        <v>4850</v>
      </c>
      <c r="I1662" s="74">
        <v>45810</v>
      </c>
      <c r="J1662" s="67" t="s">
        <v>29</v>
      </c>
      <c r="K1662" s="68">
        <v>45827</v>
      </c>
      <c r="L1662" s="447"/>
      <c r="M1662" s="66" t="str">
        <f t="shared" ca="1" si="52"/>
        <v>CLOSED</v>
      </c>
    </row>
    <row r="1663" spans="1:13" ht="30">
      <c r="A1663" s="64" t="s">
        <v>30</v>
      </c>
      <c r="B1663" s="98" t="e">
        <f>VLOOKUP([2]!Table27[[#This Row],[Location 
(drop-down)]],'[2]List source'!D$2:E$59,2,FALSE)</f>
        <v>#VALUE!</v>
      </c>
      <c r="C1663" s="99" t="s">
        <v>4851</v>
      </c>
      <c r="D1663" s="100" t="e">
        <f t="shared" si="51"/>
        <v>#VALUE!</v>
      </c>
      <c r="E1663" s="64" t="s">
        <v>4852</v>
      </c>
      <c r="F1663" s="66" t="e" cm="1" vm="1">
        <f t="array" aca="1" ref="F166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3" s="66" t="s">
        <v>4853</v>
      </c>
      <c r="I1663" s="74">
        <v>45810</v>
      </c>
      <c r="J1663" s="67" t="s">
        <v>111</v>
      </c>
      <c r="K1663" s="68">
        <v>45821</v>
      </c>
      <c r="L1663" s="69"/>
      <c r="M1663" s="66" t="str">
        <f t="shared" ca="1" si="52"/>
        <v>CLOSED</v>
      </c>
    </row>
    <row r="1664" spans="1:13" ht="90">
      <c r="A1664" s="64" t="s">
        <v>30</v>
      </c>
      <c r="B1664" s="98" t="e">
        <f>VLOOKUP([2]!Table27[[#This Row],[Location 
(drop-down)]],'[2]List source'!D$2:E$59,2,FALSE)</f>
        <v>#VALUE!</v>
      </c>
      <c r="C1664" s="99" t="s">
        <v>4854</v>
      </c>
      <c r="D1664" s="100" t="e">
        <f t="shared" si="51"/>
        <v>#VALUE!</v>
      </c>
      <c r="E1664" s="64" t="s">
        <v>4855</v>
      </c>
      <c r="F1664" s="66" t="e" cm="1" vm="1">
        <f t="array" aca="1" ref="F16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4" s="110" t="s">
        <v>4856</v>
      </c>
      <c r="I1664" s="74">
        <v>45810</v>
      </c>
      <c r="J1664" s="67" t="s">
        <v>34</v>
      </c>
      <c r="K1664" s="68">
        <v>45810</v>
      </c>
      <c r="L1664" s="69" t="s">
        <v>1671</v>
      </c>
      <c r="M1664" s="66" t="str">
        <f t="shared" ca="1" si="52"/>
        <v>CLOSED</v>
      </c>
    </row>
    <row r="1665" spans="1:13" ht="30">
      <c r="A1665" s="64" t="s">
        <v>30</v>
      </c>
      <c r="B1665" s="98" t="e">
        <f>VLOOKUP([2]!Table27[[#This Row],[Location 
(drop-down)]],'[2]List source'!D$2:E$59,2,FALSE)</f>
        <v>#VALUE!</v>
      </c>
      <c r="C1665" s="99" t="s">
        <v>4857</v>
      </c>
      <c r="D1665" s="100" t="e">
        <f t="shared" si="51"/>
        <v>#VALUE!</v>
      </c>
      <c r="E1665" s="64" t="s">
        <v>4858</v>
      </c>
      <c r="F1665" s="66" t="e" cm="1" vm="1">
        <f t="array" aca="1" ref="F166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5" s="110" t="s">
        <v>4771</v>
      </c>
      <c r="I1665" s="74">
        <v>45810</v>
      </c>
      <c r="J1665" s="67" t="s">
        <v>111</v>
      </c>
      <c r="K1665" s="68">
        <v>45862</v>
      </c>
      <c r="L1665" s="69"/>
      <c r="M1665" s="66" t="str">
        <f t="shared" ca="1" si="52"/>
        <v>CLOSED</v>
      </c>
    </row>
    <row r="1666" spans="1:13" ht="45">
      <c r="A1666" s="64" t="s">
        <v>30</v>
      </c>
      <c r="B1666" s="98" t="e">
        <f>VLOOKUP([2]!Table27[[#This Row],[Location 
(drop-down)]],'[2]List source'!D$2:E$59,2,FALSE)</f>
        <v>#VALUE!</v>
      </c>
      <c r="C1666" s="99" t="s">
        <v>4859</v>
      </c>
      <c r="D1666" s="100" t="e">
        <f t="shared" ref="D1666:D1729" si="53">"PTO" &amp; C1666 &amp; "-" &amp; B1666 &amp; "-" &amp; "23"</f>
        <v>#VALUE!</v>
      </c>
      <c r="E1666" s="64" t="s">
        <v>4860</v>
      </c>
      <c r="F1666" s="66" t="e" cm="1" vm="1">
        <f t="array" aca="1" ref="F16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6" s="66" t="s">
        <v>4861</v>
      </c>
      <c r="I1666" s="74">
        <v>45810</v>
      </c>
      <c r="J1666" s="67" t="s">
        <v>111</v>
      </c>
      <c r="K1666" s="449">
        <v>45911</v>
      </c>
      <c r="L1666" s="450"/>
      <c r="M1666" s="66" t="str">
        <f t="shared" ca="1" si="52"/>
        <v>CLOSED</v>
      </c>
    </row>
    <row r="1667" spans="1:13" ht="90">
      <c r="A1667" s="64" t="s">
        <v>185</v>
      </c>
      <c r="B1667" s="98" t="e">
        <f>VLOOKUP([2]!Table27[[#This Row],[Location 
(drop-down)]],'[2]List source'!D$2:E$59,2,FALSE)</f>
        <v>#VALUE!</v>
      </c>
      <c r="C1667" s="99" t="s">
        <v>4862</v>
      </c>
      <c r="D1667" s="100" t="e">
        <f t="shared" si="53"/>
        <v>#VALUE!</v>
      </c>
      <c r="E1667" s="64" t="s">
        <v>4863</v>
      </c>
      <c r="F1667" s="66" t="e" cm="1" vm="1">
        <f t="array" aca="1" ref="F16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7" s="110" t="s">
        <v>1883</v>
      </c>
      <c r="I1667" s="74">
        <v>45810</v>
      </c>
      <c r="J1667" s="67" t="s">
        <v>34</v>
      </c>
      <c r="K1667" s="68">
        <v>45810</v>
      </c>
      <c r="L1667" s="69" t="s">
        <v>1671</v>
      </c>
      <c r="M1667" s="66" t="str">
        <f t="shared" ca="1" si="52"/>
        <v>CLOSED</v>
      </c>
    </row>
    <row r="1668" spans="1:13" ht="90">
      <c r="A1668" s="64" t="s">
        <v>64</v>
      </c>
      <c r="B1668" s="98" t="e">
        <f>VLOOKUP([2]!Table27[[#This Row],[Location 
(drop-down)]],'[2]List source'!D$2:E$59,2,FALSE)</f>
        <v>#VALUE!</v>
      </c>
      <c r="C1668" s="99" t="s">
        <v>4864</v>
      </c>
      <c r="D1668" s="100" t="e">
        <f t="shared" si="53"/>
        <v>#VALUE!</v>
      </c>
      <c r="E1668" s="64" t="s">
        <v>4865</v>
      </c>
      <c r="F1668" s="66" t="e" cm="1" vm="1">
        <f t="array" aca="1" ref="F16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8" s="66">
        <v>2.8</v>
      </c>
      <c r="I1668" s="74">
        <v>45810</v>
      </c>
      <c r="J1668" s="67" t="s">
        <v>34</v>
      </c>
      <c r="K1668" s="68">
        <v>45810</v>
      </c>
      <c r="L1668" s="69" t="s">
        <v>1671</v>
      </c>
      <c r="M1668" s="66" t="str">
        <f t="shared" ca="1" si="52"/>
        <v>CLOSED</v>
      </c>
    </row>
    <row r="1669" spans="1:13" ht="90">
      <c r="A1669" s="64" t="s">
        <v>314</v>
      </c>
      <c r="B1669" s="98" t="e">
        <f>VLOOKUP([2]!Table27[[#This Row],[Location 
(drop-down)]],'[2]List source'!D$2:E$59,2,FALSE)</f>
        <v>#VALUE!</v>
      </c>
      <c r="C1669" s="99" t="s">
        <v>4866</v>
      </c>
      <c r="D1669" s="100" t="e">
        <f t="shared" si="53"/>
        <v>#VALUE!</v>
      </c>
      <c r="E1669" s="64" t="s">
        <v>4867</v>
      </c>
      <c r="F1669" s="66" t="e" cm="1" vm="1">
        <f t="array" aca="1" ref="F166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69" s="66">
        <v>2.68</v>
      </c>
      <c r="I1669" s="74">
        <v>45810</v>
      </c>
      <c r="J1669" s="67" t="s">
        <v>34</v>
      </c>
      <c r="K1669" s="68">
        <v>45810</v>
      </c>
      <c r="L1669" s="69" t="s">
        <v>1671</v>
      </c>
      <c r="M1669" s="66" t="str">
        <f t="shared" ca="1" si="52"/>
        <v>CLOSED</v>
      </c>
    </row>
    <row r="1670" spans="1:13" ht="30">
      <c r="A1670" s="64" t="s">
        <v>73</v>
      </c>
      <c r="B1670" s="98" t="e">
        <f>VLOOKUP([2]!Table27[[#This Row],[Location 
(drop-down)]],'[2]List source'!D$2:E$59,2,FALSE)</f>
        <v>#VALUE!</v>
      </c>
      <c r="C1670" s="99" t="s">
        <v>4868</v>
      </c>
      <c r="D1670" s="100" t="e">
        <f t="shared" si="53"/>
        <v>#VALUE!</v>
      </c>
      <c r="E1670" s="64" t="s">
        <v>4869</v>
      </c>
      <c r="F1670" s="66" t="e" cm="1" vm="1">
        <f t="array" aca="1" ref="F167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0" s="66">
        <v>2.19</v>
      </c>
      <c r="I1670" s="74">
        <v>45810</v>
      </c>
      <c r="J1670" s="67" t="s">
        <v>327</v>
      </c>
      <c r="K1670" s="68">
        <v>45848</v>
      </c>
      <c r="L1670" s="69"/>
      <c r="M1670" s="66" t="str">
        <f t="shared" ca="1" si="52"/>
        <v>CLOSED</v>
      </c>
    </row>
    <row r="1671" spans="1:13" ht="30">
      <c r="A1671" s="64" t="s">
        <v>202</v>
      </c>
      <c r="B1671" s="98" t="e">
        <f>VLOOKUP([2]!Table27[[#This Row],[Location 
(drop-down)]],'[2]List source'!D$2:E$59,2,FALSE)</f>
        <v>#VALUE!</v>
      </c>
      <c r="C1671" s="99" t="s">
        <v>4870</v>
      </c>
      <c r="D1671" s="100" t="e">
        <f t="shared" si="53"/>
        <v>#VALUE!</v>
      </c>
      <c r="E1671" s="64" t="s">
        <v>4871</v>
      </c>
      <c r="F1671" s="66" t="e" cm="1" vm="1">
        <f t="array" aca="1" ref="F167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1" s="66">
        <v>2.1</v>
      </c>
      <c r="I1671" s="74">
        <v>45810</v>
      </c>
      <c r="J1671" s="67" t="s">
        <v>21</v>
      </c>
      <c r="K1671" s="68">
        <v>45839</v>
      </c>
      <c r="L1671" s="69"/>
      <c r="M1671" s="66" t="str">
        <f t="shared" ca="1" si="52"/>
        <v>CLOSED</v>
      </c>
    </row>
    <row r="1672" spans="1:13" ht="30">
      <c r="A1672" s="64" t="s">
        <v>518</v>
      </c>
      <c r="B1672" s="98" t="e">
        <f>VLOOKUP([2]!Table27[[#This Row],[Location 
(drop-down)]],'[2]List source'!D$2:E$59,2,FALSE)</f>
        <v>#VALUE!</v>
      </c>
      <c r="C1672" s="99" t="s">
        <v>4872</v>
      </c>
      <c r="D1672" s="100" t="e">
        <f t="shared" si="53"/>
        <v>#VALUE!</v>
      </c>
      <c r="E1672" s="64" t="s">
        <v>4873</v>
      </c>
      <c r="F1672" s="66" t="e" cm="1" vm="1">
        <f t="array" aca="1" ref="F167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2" s="66">
        <v>3.08</v>
      </c>
      <c r="I1672" s="74">
        <v>45810</v>
      </c>
      <c r="J1672" s="67" t="s">
        <v>108</v>
      </c>
      <c r="K1672" s="68">
        <v>45859</v>
      </c>
      <c r="L1672" s="69"/>
      <c r="M1672" s="66" t="str">
        <f t="shared" ca="1" si="52"/>
        <v>CLOSED</v>
      </c>
    </row>
    <row r="1673" spans="1:13" ht="18.75">
      <c r="A1673" s="64" t="s">
        <v>23</v>
      </c>
      <c r="B1673" s="98" t="e">
        <f>VLOOKUP([2]!Table27[[#This Row],[Location 
(drop-down)]],'[2]List source'!D$2:E$59,2,FALSE)</f>
        <v>#VALUE!</v>
      </c>
      <c r="C1673" s="99" t="s">
        <v>4874</v>
      </c>
      <c r="D1673" s="100" t="e">
        <f t="shared" si="53"/>
        <v>#VALUE!</v>
      </c>
      <c r="E1673" s="64" t="s">
        <v>4875</v>
      </c>
      <c r="F1673" s="66" t="e" cm="1" vm="1">
        <f t="array" aca="1" ref="F167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3" s="66">
        <v>2.08</v>
      </c>
      <c r="I1673" s="74">
        <v>45810</v>
      </c>
      <c r="J1673" s="67" t="s">
        <v>34</v>
      </c>
      <c r="K1673" s="68">
        <v>45810</v>
      </c>
      <c r="L1673" s="147" t="s">
        <v>1671</v>
      </c>
      <c r="M1673" s="66" t="str">
        <f t="shared" ca="1" si="52"/>
        <v>CLOSED</v>
      </c>
    </row>
    <row r="1674" spans="1:13" ht="45">
      <c r="A1674" s="64" t="s">
        <v>43</v>
      </c>
      <c r="B1674" s="98" t="e">
        <f>VLOOKUP([2]!Table27[[#This Row],[Location 
(drop-down)]],'[2]List source'!D$2:E$59,2,FALSE)</f>
        <v>#VALUE!</v>
      </c>
      <c r="C1674" s="99" t="s">
        <v>4876</v>
      </c>
      <c r="D1674" s="100" t="e">
        <f t="shared" si="53"/>
        <v>#VALUE!</v>
      </c>
      <c r="E1674" s="64" t="s">
        <v>4877</v>
      </c>
      <c r="F1674" s="66" t="e" cm="1" vm="1">
        <f t="array" aca="1" ref="F167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4" s="110" t="s">
        <v>4878</v>
      </c>
      <c r="I1674" s="74">
        <v>45810</v>
      </c>
      <c r="J1674" s="67" t="s">
        <v>29</v>
      </c>
      <c r="K1674" s="68">
        <v>45961</v>
      </c>
      <c r="L1674" s="69"/>
      <c r="M1674" s="66" t="str">
        <f t="shared" ca="1" si="52"/>
        <v>CLOSED</v>
      </c>
    </row>
    <row r="1675" spans="1:13" ht="45">
      <c r="A1675" s="64" t="s">
        <v>294</v>
      </c>
      <c r="B1675" s="98" t="e">
        <f>VLOOKUP([2]!Table27[[#This Row],[Location 
(drop-down)]],'[2]List source'!D$2:E$59,2,FALSE)</f>
        <v>#VALUE!</v>
      </c>
      <c r="C1675" s="99" t="s">
        <v>4879</v>
      </c>
      <c r="D1675" s="100" t="e">
        <f t="shared" si="53"/>
        <v>#VALUE!</v>
      </c>
      <c r="E1675" s="64" t="s">
        <v>4880</v>
      </c>
      <c r="F1675" s="66" t="e" cm="1" vm="1">
        <f t="array" aca="1" ref="F167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5" s="110">
        <v>133387.98000000001</v>
      </c>
      <c r="I1675" s="74">
        <v>45819</v>
      </c>
      <c r="J1675" s="67" t="s">
        <v>34</v>
      </c>
      <c r="K1675" s="68">
        <v>45826</v>
      </c>
      <c r="L1675" s="69" t="s">
        <v>1505</v>
      </c>
      <c r="M1675" s="66" t="str">
        <f t="shared" ca="1" si="52"/>
        <v>CLOSED</v>
      </c>
    </row>
    <row r="1676" spans="1:13" ht="45">
      <c r="A1676" s="64" t="s">
        <v>294</v>
      </c>
      <c r="B1676" s="98" t="e">
        <f>VLOOKUP([2]!Table27[[#This Row],[Location 
(drop-down)]],'[2]List source'!D$2:E$59,2,FALSE)</f>
        <v>#VALUE!</v>
      </c>
      <c r="C1676" s="99" t="s">
        <v>4881</v>
      </c>
      <c r="D1676" s="100" t="e">
        <f t="shared" si="53"/>
        <v>#VALUE!</v>
      </c>
      <c r="E1676" s="64" t="s">
        <v>4882</v>
      </c>
      <c r="F1676" s="66" t="e" cm="1" vm="1">
        <f t="array" aca="1" ref="F167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6" s="66" t="s">
        <v>4883</v>
      </c>
      <c r="I1676" s="74">
        <v>45819</v>
      </c>
      <c r="J1676" s="67" t="s">
        <v>34</v>
      </c>
      <c r="K1676" s="68">
        <v>45826</v>
      </c>
      <c r="L1676" s="69" t="s">
        <v>1505</v>
      </c>
      <c r="M1676" s="66" t="str">
        <f t="shared" ca="1" si="52"/>
        <v>CLOSED</v>
      </c>
    </row>
    <row r="1677" spans="1:13" ht="45">
      <c r="A1677" s="64" t="s">
        <v>294</v>
      </c>
      <c r="B1677" s="98" t="e">
        <f>VLOOKUP([2]!Table27[[#This Row],[Location 
(drop-down)]],'[2]List source'!D$2:E$59,2,FALSE)</f>
        <v>#VALUE!</v>
      </c>
      <c r="C1677" s="99" t="s">
        <v>4884</v>
      </c>
      <c r="D1677" s="100" t="e">
        <f t="shared" si="53"/>
        <v>#VALUE!</v>
      </c>
      <c r="E1677" s="64" t="s">
        <v>4885</v>
      </c>
      <c r="F1677" s="66" t="e" cm="1" vm="1">
        <f t="array" aca="1" ref="F167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7" s="451" t="s">
        <v>1878</v>
      </c>
      <c r="I1677" s="74">
        <v>45819</v>
      </c>
      <c r="J1677" s="67" t="s">
        <v>34</v>
      </c>
      <c r="K1677" s="68">
        <v>45826</v>
      </c>
      <c r="L1677" s="69" t="s">
        <v>1505</v>
      </c>
      <c r="M1677" s="66" t="str">
        <f t="shared" ca="1" si="52"/>
        <v>CLOSED</v>
      </c>
    </row>
    <row r="1678" spans="1:13" ht="30">
      <c r="A1678" s="64" t="s">
        <v>500</v>
      </c>
      <c r="B1678" s="98" t="e">
        <f>VLOOKUP([2]!Table27[[#This Row],[Location 
(drop-down)]],'[2]List source'!D$2:E$59,2,FALSE)</f>
        <v>#VALUE!</v>
      </c>
      <c r="C1678" s="99" t="s">
        <v>4886</v>
      </c>
      <c r="D1678" s="100" t="e">
        <f t="shared" si="53"/>
        <v>#VALUE!</v>
      </c>
      <c r="E1678" s="64" t="s">
        <v>4887</v>
      </c>
      <c r="F1678" s="66" t="e" cm="1" vm="1">
        <f t="array" aca="1" ref="F167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8" s="66">
        <v>2.75</v>
      </c>
      <c r="I1678" s="74">
        <v>45810</v>
      </c>
      <c r="J1678" s="67" t="s">
        <v>34</v>
      </c>
      <c r="K1678" s="68">
        <v>45810</v>
      </c>
      <c r="L1678" s="147" t="s">
        <v>1671</v>
      </c>
      <c r="M1678" s="66" t="str">
        <f t="shared" ca="1" si="52"/>
        <v>CLOSED</v>
      </c>
    </row>
    <row r="1679" spans="1:13" ht="45">
      <c r="A1679" s="64" t="s">
        <v>500</v>
      </c>
      <c r="B1679" s="98" t="e">
        <f>VLOOKUP([2]!Table27[[#This Row],[Location 
(drop-down)]],'[2]List source'!D$2:E$59,2,FALSE)</f>
        <v>#VALUE!</v>
      </c>
      <c r="C1679" s="99" t="s">
        <v>4888</v>
      </c>
      <c r="D1679" s="452" t="e">
        <f t="shared" si="53"/>
        <v>#VALUE!</v>
      </c>
      <c r="E1679" s="64" t="s">
        <v>4889</v>
      </c>
      <c r="F1679" s="66" t="e" cm="1" vm="1">
        <f t="array" aca="1" ref="F167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79" s="66">
        <v>2.4900000000000002</v>
      </c>
      <c r="I1679" s="74">
        <v>45810</v>
      </c>
      <c r="J1679" s="67" t="s">
        <v>310</v>
      </c>
      <c r="K1679" s="68">
        <v>45868</v>
      </c>
      <c r="L1679" s="453" t="s">
        <v>4890</v>
      </c>
      <c r="M1679" s="66" t="str">
        <f t="shared" ca="1" si="52"/>
        <v>CLOSED</v>
      </c>
    </row>
    <row r="1680" spans="1:13" ht="30">
      <c r="A1680" s="64" t="s">
        <v>500</v>
      </c>
      <c r="B1680" s="98" t="e">
        <f>VLOOKUP([2]!Table27[[#This Row],[Location 
(drop-down)]],'[2]List source'!D$2:E$59,2,FALSE)</f>
        <v>#VALUE!</v>
      </c>
      <c r="C1680" s="99" t="s">
        <v>4891</v>
      </c>
      <c r="D1680" s="100" t="e">
        <f t="shared" si="53"/>
        <v>#VALUE!</v>
      </c>
      <c r="E1680" s="64" t="s">
        <v>4892</v>
      </c>
      <c r="F1680" s="66" t="e" cm="1" vm="1">
        <f t="array" aca="1" ref="F168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6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80" s="66">
        <v>2.31</v>
      </c>
      <c r="I1680" s="74">
        <v>45810</v>
      </c>
      <c r="J1680" s="67" t="s">
        <v>34</v>
      </c>
      <c r="K1680" s="68">
        <v>45810</v>
      </c>
      <c r="L1680" s="147" t="s">
        <v>1671</v>
      </c>
      <c r="M1680" s="66" t="str">
        <f t="shared" ca="1" si="52"/>
        <v>CLOSED</v>
      </c>
    </row>
    <row r="1681" spans="1:13" ht="45">
      <c r="A1681" s="64" t="s">
        <v>1334</v>
      </c>
      <c r="B1681" s="98" t="e">
        <f>VLOOKUP([2]!Table27[[#This Row],[Location 
(drop-down)]],'[2]List source'!D$2:E$59,2,FALSE)</f>
        <v>#VALUE!</v>
      </c>
      <c r="C1681" s="99" t="s">
        <v>4893</v>
      </c>
      <c r="D1681" s="100" t="e">
        <f t="shared" si="53"/>
        <v>#VALUE!</v>
      </c>
      <c r="E1681" s="64" t="s">
        <v>4894</v>
      </c>
      <c r="F1681" s="66" t="s">
        <v>1524</v>
      </c>
      <c r="G16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81" s="110" t="s">
        <v>4895</v>
      </c>
      <c r="I1681" s="74">
        <v>45811</v>
      </c>
      <c r="J1681" s="67" t="s">
        <v>310</v>
      </c>
      <c r="K1681" s="75">
        <v>45869</v>
      </c>
      <c r="L1681" s="80"/>
      <c r="M1681" s="66" t="str">
        <f t="shared" ca="1" si="52"/>
        <v>CLOSED</v>
      </c>
    </row>
    <row r="1682" spans="1:13" ht="30">
      <c r="A1682" s="64" t="s">
        <v>314</v>
      </c>
      <c r="B1682" s="98" t="e">
        <f>VLOOKUP([2]!Table27[[#This Row],[Location 
(drop-down)]],'[2]List source'!D$2:E$59,2,FALSE)</f>
        <v>#VALUE!</v>
      </c>
      <c r="C1682" s="99" t="s">
        <v>4896</v>
      </c>
      <c r="D1682" s="100" t="e">
        <f t="shared" si="53"/>
        <v>#VALUE!</v>
      </c>
      <c r="E1682" s="64" t="s">
        <v>4897</v>
      </c>
      <c r="F1682" s="66" t="s">
        <v>1524</v>
      </c>
      <c r="G16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82" s="110" t="s">
        <v>1802</v>
      </c>
      <c r="I1682" s="74">
        <v>45811</v>
      </c>
      <c r="J1682" s="73" t="s">
        <v>239</v>
      </c>
      <c r="K1682" s="75">
        <v>46022</v>
      </c>
      <c r="L1682" s="149"/>
      <c r="M1682" s="66" t="str">
        <f t="shared" ca="1" si="52"/>
        <v>CLOSED</v>
      </c>
    </row>
    <row r="1683" spans="1:13" ht="45">
      <c r="A1683" s="64" t="s">
        <v>294</v>
      </c>
      <c r="B1683" s="98" t="e">
        <f>VLOOKUP([2]!Table27[[#This Row],[Location 
(drop-down)]],'[2]List source'!D$2:E$59,2,FALSE)</f>
        <v>#VALUE!</v>
      </c>
      <c r="C1683" s="99" t="s">
        <v>4898</v>
      </c>
      <c r="D1683" s="100" t="e">
        <f t="shared" si="53"/>
        <v>#VALUE!</v>
      </c>
      <c r="E1683" s="64" t="s">
        <v>4899</v>
      </c>
      <c r="F1683" s="66" t="s">
        <v>1524</v>
      </c>
      <c r="G1683" s="64" t="s">
        <v>4900</v>
      </c>
      <c r="H1683" s="66" t="s">
        <v>4901</v>
      </c>
      <c r="I1683" s="74">
        <v>45811</v>
      </c>
      <c r="J1683" s="67"/>
      <c r="K1683" s="68"/>
      <c r="L1683" s="69"/>
      <c r="M1683" s="66">
        <f t="shared" ca="1" si="52"/>
        <v>267</v>
      </c>
    </row>
    <row r="1684" spans="1:13" ht="90">
      <c r="A1684" s="64" t="s">
        <v>73</v>
      </c>
      <c r="B1684" s="98" t="e">
        <f>VLOOKUP([2]!Table27[[#This Row],[Location 
(drop-down)]],'[2]List source'!D$2:E$59,2,FALSE)</f>
        <v>#VALUE!</v>
      </c>
      <c r="C1684" s="99" t="s">
        <v>4902</v>
      </c>
      <c r="D1684" s="100" t="e">
        <f t="shared" si="53"/>
        <v>#VALUE!</v>
      </c>
      <c r="E1684" s="122" t="s">
        <v>4903</v>
      </c>
      <c r="F1684" s="66" t="s">
        <v>1524</v>
      </c>
      <c r="G16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84" s="110" t="s">
        <v>2042</v>
      </c>
      <c r="I1684" s="74">
        <v>45811</v>
      </c>
      <c r="J1684" s="67" t="s">
        <v>34</v>
      </c>
      <c r="K1684" s="68">
        <v>45811</v>
      </c>
      <c r="L1684" s="69" t="s">
        <v>1562</v>
      </c>
      <c r="M1684" s="66" t="str">
        <f t="shared" ca="1" si="52"/>
        <v>CLOSED</v>
      </c>
    </row>
    <row r="1685" spans="1:13" ht="30">
      <c r="A1685" s="64" t="s">
        <v>500</v>
      </c>
      <c r="B1685" s="98" t="e">
        <f>VLOOKUP([2]!Table27[[#This Row],[Location 
(drop-down)]],'[2]List source'!D$2:E$59,2,FALSE)</f>
        <v>#VALUE!</v>
      </c>
      <c r="C1685" s="99" t="s">
        <v>4904</v>
      </c>
      <c r="D1685" s="100" t="e">
        <f t="shared" si="53"/>
        <v>#VALUE!</v>
      </c>
      <c r="E1685" s="64" t="s">
        <v>4905</v>
      </c>
      <c r="F1685" s="66" t="s">
        <v>1524</v>
      </c>
      <c r="G16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85" s="66">
        <v>2.42</v>
      </c>
      <c r="I1685" s="67">
        <v>45811</v>
      </c>
      <c r="J1685" s="67" t="s">
        <v>310</v>
      </c>
      <c r="K1685" s="68">
        <v>45847</v>
      </c>
      <c r="L1685" s="69"/>
      <c r="M1685" s="66" t="str">
        <f t="shared" ca="1" si="52"/>
        <v>CLOSED</v>
      </c>
    </row>
    <row r="1686" spans="1:13" ht="30">
      <c r="A1686" s="64" t="s">
        <v>314</v>
      </c>
      <c r="B1686" s="98" t="e">
        <f>VLOOKUP([2]!Table27[[#This Row],[Location 
(drop-down)]],'[2]List source'!D$2:E$59,2,FALSE)</f>
        <v>#VALUE!</v>
      </c>
      <c r="C1686" s="99" t="s">
        <v>4906</v>
      </c>
      <c r="D1686" s="100" t="e">
        <f t="shared" si="53"/>
        <v>#VALUE!</v>
      </c>
      <c r="E1686" s="64" t="s">
        <v>4907</v>
      </c>
      <c r="F1686" s="66" t="s">
        <v>1524</v>
      </c>
      <c r="G16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86" s="66">
        <v>2.58</v>
      </c>
      <c r="I1686" s="67">
        <v>45811</v>
      </c>
      <c r="J1686" s="67" t="s">
        <v>239</v>
      </c>
      <c r="K1686" s="68">
        <v>46022</v>
      </c>
      <c r="L1686" s="69"/>
      <c r="M1686" s="66" t="str">
        <f t="shared" ca="1" si="52"/>
        <v>CLOSED</v>
      </c>
    </row>
    <row r="1687" spans="1:13" ht="30">
      <c r="A1687" s="64" t="s">
        <v>53</v>
      </c>
      <c r="B1687" s="98" t="e">
        <f>VLOOKUP([2]!Table27[[#This Row],[Location 
(drop-down)]],'[2]List source'!D$2:E$59,2,FALSE)</f>
        <v>#VALUE!</v>
      </c>
      <c r="C1687" s="99" t="s">
        <v>4908</v>
      </c>
      <c r="D1687" s="100" t="e">
        <f t="shared" si="53"/>
        <v>#VALUE!</v>
      </c>
      <c r="E1687" s="64" t="s">
        <v>4909</v>
      </c>
      <c r="F1687" s="66" t="s">
        <v>1524</v>
      </c>
      <c r="G16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87" s="110" t="s">
        <v>2704</v>
      </c>
      <c r="I1687" s="67">
        <v>45811</v>
      </c>
      <c r="J1687" s="67" t="s">
        <v>327</v>
      </c>
      <c r="K1687" s="68">
        <v>45824</v>
      </c>
      <c r="L1687" s="69"/>
      <c r="M1687" s="66" t="str">
        <f t="shared" ca="1" si="52"/>
        <v>CLOSED</v>
      </c>
    </row>
    <row r="1688" spans="1:13" ht="30">
      <c r="A1688" s="64" t="s">
        <v>73</v>
      </c>
      <c r="B1688" s="98" t="e">
        <f>VLOOKUP([2]!Table27[[#This Row],[Location 
(drop-down)]],'[2]List source'!D$2:E$59,2,FALSE)</f>
        <v>#VALUE!</v>
      </c>
      <c r="C1688" s="99" t="s">
        <v>4910</v>
      </c>
      <c r="D1688" s="100" t="e">
        <f t="shared" si="53"/>
        <v>#VALUE!</v>
      </c>
      <c r="E1688" s="64" t="s">
        <v>4911</v>
      </c>
      <c r="F1688" s="66" t="s">
        <v>1524</v>
      </c>
      <c r="G16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88" s="110" t="s">
        <v>4912</v>
      </c>
      <c r="I1688" s="67">
        <v>45811</v>
      </c>
      <c r="J1688" s="67" t="s">
        <v>239</v>
      </c>
      <c r="K1688" s="68">
        <v>45874</v>
      </c>
      <c r="L1688" s="69"/>
      <c r="M1688" s="66" t="str">
        <f t="shared" ca="1" si="52"/>
        <v>CLOSED</v>
      </c>
    </row>
    <row r="1689" spans="1:13" ht="30">
      <c r="A1689" s="64" t="s">
        <v>1334</v>
      </c>
      <c r="B1689" s="98" t="e">
        <f>VLOOKUP([2]!Table27[[#This Row],[Location 
(drop-down)]],'[2]List source'!D$2:E$59,2,FALSE)</f>
        <v>#VALUE!</v>
      </c>
      <c r="C1689" s="99" t="s">
        <v>4913</v>
      </c>
      <c r="D1689" s="100" t="e">
        <f t="shared" si="53"/>
        <v>#VALUE!</v>
      </c>
      <c r="E1689" s="64" t="s">
        <v>4914</v>
      </c>
      <c r="F1689" s="66" t="s">
        <v>1524</v>
      </c>
      <c r="G16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89" s="66">
        <v>4.0999999999999996</v>
      </c>
      <c r="I1689" s="67">
        <v>45811</v>
      </c>
      <c r="J1689" s="67" t="s">
        <v>310</v>
      </c>
      <c r="K1689" s="68">
        <v>45890</v>
      </c>
      <c r="L1689" s="69"/>
      <c r="M1689" s="66" t="str">
        <f t="shared" ca="1" si="52"/>
        <v>CLOSED</v>
      </c>
    </row>
    <row r="1690" spans="1:13" ht="30">
      <c r="A1690" s="64" t="s">
        <v>1334</v>
      </c>
      <c r="B1690" s="98" t="e">
        <f>VLOOKUP([2]!Table27[[#This Row],[Location 
(drop-down)]],'[2]List source'!D$2:E$59,2,FALSE)</f>
        <v>#VALUE!</v>
      </c>
      <c r="C1690" s="99" t="s">
        <v>4915</v>
      </c>
      <c r="D1690" s="100" t="e">
        <f t="shared" si="53"/>
        <v>#VALUE!</v>
      </c>
      <c r="E1690" s="64" t="s">
        <v>4916</v>
      </c>
      <c r="F1690" s="66" t="s">
        <v>1524</v>
      </c>
      <c r="G16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0" s="66">
        <v>2.4300000000000002</v>
      </c>
      <c r="I1690" s="67">
        <v>45811</v>
      </c>
      <c r="J1690" s="67" t="s">
        <v>310</v>
      </c>
      <c r="K1690" s="68">
        <v>45951</v>
      </c>
      <c r="L1690" s="149"/>
      <c r="M1690" s="66" t="str">
        <f t="shared" ca="1" si="52"/>
        <v>CLOSED</v>
      </c>
    </row>
    <row r="1691" spans="1:13" ht="45">
      <c r="A1691" s="64" t="s">
        <v>500</v>
      </c>
      <c r="B1691" s="98" t="e">
        <f>VLOOKUP([2]!Table27[[#This Row],[Location 
(drop-down)]],'[2]List source'!D$2:E$59,2,FALSE)</f>
        <v>#VALUE!</v>
      </c>
      <c r="C1691" s="99" t="s">
        <v>4917</v>
      </c>
      <c r="D1691" s="100" t="e">
        <f t="shared" si="53"/>
        <v>#VALUE!</v>
      </c>
      <c r="E1691" s="82" t="s">
        <v>4918</v>
      </c>
      <c r="F1691" s="66" t="s">
        <v>1524</v>
      </c>
      <c r="G16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1" s="454" t="s">
        <v>4655</v>
      </c>
      <c r="I1691" s="67">
        <v>45811</v>
      </c>
      <c r="J1691" s="67" t="s">
        <v>34</v>
      </c>
      <c r="K1691" s="68">
        <v>45847</v>
      </c>
      <c r="L1691" s="69" t="s">
        <v>1505</v>
      </c>
      <c r="M1691" s="66" t="str">
        <f t="shared" ca="1" si="52"/>
        <v>CLOSED</v>
      </c>
    </row>
    <row r="1692" spans="1:13" ht="90">
      <c r="A1692" s="64" t="s">
        <v>1334</v>
      </c>
      <c r="B1692" s="98" t="e">
        <f>VLOOKUP([2]!Table27[[#This Row],[Location 
(drop-down)]],'[2]List source'!D$2:E$59,2,FALSE)</f>
        <v>#VALUE!</v>
      </c>
      <c r="C1692" s="99" t="s">
        <v>4919</v>
      </c>
      <c r="D1692" s="100" t="e">
        <f t="shared" si="53"/>
        <v>#VALUE!</v>
      </c>
      <c r="E1692" s="82" t="s">
        <v>4920</v>
      </c>
      <c r="F1692" s="66" t="s">
        <v>1524</v>
      </c>
      <c r="G16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2" s="155">
        <v>2.7</v>
      </c>
      <c r="I1692" s="67">
        <v>45811</v>
      </c>
      <c r="J1692" s="67" t="s">
        <v>34</v>
      </c>
      <c r="K1692" s="68">
        <v>45811</v>
      </c>
      <c r="L1692" s="69" t="s">
        <v>1671</v>
      </c>
      <c r="M1692" s="66" t="str">
        <f t="shared" ca="1" si="52"/>
        <v>CLOSED</v>
      </c>
    </row>
    <row r="1693" spans="1:13" ht="45">
      <c r="A1693" s="64" t="s">
        <v>314</v>
      </c>
      <c r="B1693" s="98" t="e">
        <f>VLOOKUP([2]!Table27[[#This Row],[Location 
(drop-down)]],'[2]List source'!D$2:E$59,2,FALSE)</f>
        <v>#VALUE!</v>
      </c>
      <c r="C1693" s="99" t="s">
        <v>4921</v>
      </c>
      <c r="D1693" s="100" t="e">
        <f t="shared" si="53"/>
        <v>#VALUE!</v>
      </c>
      <c r="E1693" s="19" t="s">
        <v>4922</v>
      </c>
      <c r="F1693" s="66" t="s">
        <v>1524</v>
      </c>
      <c r="G16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3" s="154" t="s">
        <v>4923</v>
      </c>
      <c r="I1693" s="67">
        <v>45811</v>
      </c>
      <c r="J1693" s="67" t="s">
        <v>34</v>
      </c>
      <c r="K1693" s="68">
        <v>45811</v>
      </c>
      <c r="L1693" s="69" t="s">
        <v>1773</v>
      </c>
      <c r="M1693" s="66" t="str">
        <f t="shared" ca="1" si="52"/>
        <v>CLOSED</v>
      </c>
    </row>
    <row r="1694" spans="1:13" ht="30">
      <c r="A1694" s="64" t="s">
        <v>294</v>
      </c>
      <c r="B1694" s="98" t="e">
        <f>VLOOKUP([2]!Table27[[#This Row],[Location 
(drop-down)]],'[2]List source'!D$2:E$59,2,FALSE)</f>
        <v>#VALUE!</v>
      </c>
      <c r="C1694" s="99" t="s">
        <v>4924</v>
      </c>
      <c r="D1694" s="100" t="e">
        <f t="shared" si="53"/>
        <v>#VALUE!</v>
      </c>
      <c r="E1694" s="64" t="s">
        <v>4925</v>
      </c>
      <c r="F1694" s="66" t="s">
        <v>1524</v>
      </c>
      <c r="G16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4" s="110" t="s">
        <v>1756</v>
      </c>
      <c r="I1694" s="67">
        <v>45811</v>
      </c>
      <c r="J1694" s="67" t="s">
        <v>327</v>
      </c>
      <c r="K1694" s="68">
        <v>45871</v>
      </c>
      <c r="L1694" s="69"/>
      <c r="M1694" s="66" t="str">
        <f t="shared" ca="1" si="52"/>
        <v>CLOSED</v>
      </c>
    </row>
    <row r="1695" spans="1:13" ht="45">
      <c r="A1695" s="64" t="s">
        <v>294</v>
      </c>
      <c r="B1695" s="98" t="e">
        <f>VLOOKUP([2]!Table27[[#This Row],[Location 
(drop-down)]],'[2]List source'!D$2:E$59,2,FALSE)</f>
        <v>#VALUE!</v>
      </c>
      <c r="C1695" s="99" t="s">
        <v>4926</v>
      </c>
      <c r="D1695" s="100" t="e">
        <f t="shared" si="53"/>
        <v>#VALUE!</v>
      </c>
      <c r="E1695" s="64" t="s">
        <v>4927</v>
      </c>
      <c r="F1695" s="66" t="s">
        <v>1524</v>
      </c>
      <c r="G16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5" s="110" t="s">
        <v>4928</v>
      </c>
      <c r="I1695" s="67">
        <v>45811</v>
      </c>
      <c r="J1695" s="67" t="s">
        <v>34</v>
      </c>
      <c r="K1695" s="68">
        <v>46005</v>
      </c>
      <c r="L1695" s="69" t="s">
        <v>1505</v>
      </c>
      <c r="M1695" s="66" t="str">
        <f t="shared" ref="M1695:M1758" ca="1" si="54">IF(ISBLANK(K1695), TODAY()-(I1695), "CLOSED")</f>
        <v>CLOSED</v>
      </c>
    </row>
    <row r="1696" spans="1:13" ht="30">
      <c r="A1696" s="64" t="s">
        <v>39</v>
      </c>
      <c r="B1696" s="98" t="e">
        <f>VLOOKUP([2]!Table27[[#This Row],[Location 
(drop-down)]],'[2]List source'!D$2:E$59,2,FALSE)</f>
        <v>#VALUE!</v>
      </c>
      <c r="C1696" s="99" t="s">
        <v>4929</v>
      </c>
      <c r="D1696" s="100" t="e">
        <f t="shared" si="53"/>
        <v>#VALUE!</v>
      </c>
      <c r="E1696" s="122" t="s">
        <v>4930</v>
      </c>
      <c r="F1696" s="66" t="s">
        <v>1811</v>
      </c>
      <c r="G16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6" s="156">
        <v>-10.61</v>
      </c>
      <c r="I1696" s="138">
        <v>45813</v>
      </c>
      <c r="J1696" s="67" t="s">
        <v>327</v>
      </c>
      <c r="K1696" s="68">
        <v>45887</v>
      </c>
      <c r="L1696" s="149"/>
      <c r="M1696" s="66" t="str">
        <f t="shared" ca="1" si="54"/>
        <v>CLOSED</v>
      </c>
    </row>
    <row r="1697" spans="1:13" ht="30">
      <c r="A1697" s="64" t="s">
        <v>39</v>
      </c>
      <c r="B1697" s="98" t="e">
        <f>VLOOKUP([2]!Table27[[#This Row],[Location 
(drop-down)]],'[2]List source'!D$2:E$59,2,FALSE)</f>
        <v>#VALUE!</v>
      </c>
      <c r="C1697" s="99" t="s">
        <v>4931</v>
      </c>
      <c r="D1697" s="100" t="e">
        <f t="shared" si="53"/>
        <v>#VALUE!</v>
      </c>
      <c r="E1697" s="64" t="s">
        <v>4932</v>
      </c>
      <c r="F1697" s="66" t="s">
        <v>1811</v>
      </c>
      <c r="G16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7" s="110" t="s">
        <v>2119</v>
      </c>
      <c r="I1697" s="67">
        <v>45813</v>
      </c>
      <c r="J1697" s="67" t="s">
        <v>327</v>
      </c>
      <c r="K1697" s="68">
        <v>45887</v>
      </c>
      <c r="L1697" s="69"/>
      <c r="M1697" s="66" t="str">
        <f t="shared" ca="1" si="54"/>
        <v>CLOSED</v>
      </c>
    </row>
    <row r="1698" spans="1:13" ht="45">
      <c r="A1698" s="64" t="s">
        <v>39</v>
      </c>
      <c r="B1698" s="98" t="e">
        <f>VLOOKUP([2]!Table27[[#This Row],[Location 
(drop-down)]],'[2]List source'!D$2:E$59,2,FALSE)</f>
        <v>#VALUE!</v>
      </c>
      <c r="C1698" s="99" t="s">
        <v>4933</v>
      </c>
      <c r="D1698" s="100" t="e">
        <f t="shared" si="53"/>
        <v>#VALUE!</v>
      </c>
      <c r="E1698" s="127" t="s">
        <v>4934</v>
      </c>
      <c r="F1698" s="66" t="s">
        <v>1811</v>
      </c>
      <c r="G16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8" s="157">
        <v>3.47</v>
      </c>
      <c r="I1698" s="67">
        <v>45813</v>
      </c>
      <c r="J1698" s="67" t="s">
        <v>327</v>
      </c>
      <c r="K1698" s="68">
        <v>45915</v>
      </c>
      <c r="L1698" s="69"/>
      <c r="M1698" s="66" t="str">
        <f t="shared" ca="1" si="54"/>
        <v>CLOSED</v>
      </c>
    </row>
    <row r="1699" spans="1:13" ht="45">
      <c r="A1699" s="64" t="s">
        <v>294</v>
      </c>
      <c r="B1699" s="98" t="e">
        <f>VLOOKUP([2]!Table27[[#This Row],[Location 
(drop-down)]],'[2]List source'!D$2:E$59,2,FALSE)</f>
        <v>#VALUE!</v>
      </c>
      <c r="C1699" s="99" t="s">
        <v>4935</v>
      </c>
      <c r="D1699" s="100" t="e">
        <f t="shared" si="53"/>
        <v>#VALUE!</v>
      </c>
      <c r="E1699" s="23" t="s">
        <v>4936</v>
      </c>
      <c r="F1699" s="66" t="s">
        <v>1811</v>
      </c>
      <c r="G16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699" s="108" t="s">
        <v>4937</v>
      </c>
      <c r="I1699" s="67">
        <v>45813</v>
      </c>
      <c r="J1699" s="67" t="s">
        <v>239</v>
      </c>
      <c r="K1699" s="68">
        <v>45973</v>
      </c>
      <c r="L1699" s="69"/>
      <c r="M1699" s="66" t="str">
        <f t="shared" ca="1" si="54"/>
        <v>CLOSED</v>
      </c>
    </row>
    <row r="1700" spans="1:13" ht="30">
      <c r="A1700" s="64" t="s">
        <v>294</v>
      </c>
      <c r="B1700" s="98" t="e">
        <f>VLOOKUP([2]!Table27[[#This Row],[Location 
(drop-down)]],'[2]List source'!D$2:E$59,2,FALSE)</f>
        <v>#VALUE!</v>
      </c>
      <c r="C1700" s="99" t="s">
        <v>4938</v>
      </c>
      <c r="D1700" s="100" t="e">
        <f t="shared" si="53"/>
        <v>#VALUE!</v>
      </c>
      <c r="E1700" s="23" t="s">
        <v>4939</v>
      </c>
      <c r="F1700" s="66" t="s">
        <v>1811</v>
      </c>
      <c r="G17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0" s="108" t="s">
        <v>4940</v>
      </c>
      <c r="I1700" s="67">
        <v>45813</v>
      </c>
      <c r="J1700" s="67" t="s">
        <v>327</v>
      </c>
      <c r="K1700" s="68">
        <v>46065</v>
      </c>
      <c r="L1700" s="69"/>
      <c r="M1700" s="66" t="str">
        <f t="shared" ca="1" si="54"/>
        <v>CLOSED</v>
      </c>
    </row>
    <row r="1701" spans="1:13" ht="45">
      <c r="A1701" s="64" t="s">
        <v>1334</v>
      </c>
      <c r="B1701" s="98" t="e">
        <f>VLOOKUP([2]!Table27[[#This Row],[Location 
(drop-down)]],'[2]List source'!D$2:E$59,2,FALSE)</f>
        <v>#VALUE!</v>
      </c>
      <c r="C1701" s="99" t="s">
        <v>4941</v>
      </c>
      <c r="D1701" s="100" t="e">
        <f t="shared" si="53"/>
        <v>#VALUE!</v>
      </c>
      <c r="E1701" s="23" t="s">
        <v>4942</v>
      </c>
      <c r="F1701" s="66" t="e" cm="1" vm="1">
        <f t="array" aca="1" ref="F170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1" s="107">
        <v>2.65</v>
      </c>
      <c r="I1701" s="67">
        <v>45813</v>
      </c>
      <c r="J1701" s="67" t="s">
        <v>310</v>
      </c>
      <c r="K1701" s="68">
        <v>45852</v>
      </c>
      <c r="L1701" s="69"/>
      <c r="M1701" s="66" t="str">
        <f t="shared" ca="1" si="54"/>
        <v>CLOSED</v>
      </c>
    </row>
    <row r="1702" spans="1:13" ht="30">
      <c r="A1702" s="64" t="s">
        <v>1334</v>
      </c>
      <c r="B1702" s="98" t="e">
        <f>VLOOKUP([2]!Table27[[#This Row],[Location 
(drop-down)]],'[2]List source'!D$2:E$59,2,FALSE)</f>
        <v>#VALUE!</v>
      </c>
      <c r="C1702" s="99" t="s">
        <v>4943</v>
      </c>
      <c r="D1702" s="100" t="e">
        <f t="shared" si="53"/>
        <v>#VALUE!</v>
      </c>
      <c r="E1702" s="23" t="s">
        <v>4944</v>
      </c>
      <c r="F1702" s="66" t="e" cm="1" vm="1">
        <f t="array" aca="1" ref="F170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2" s="108" t="s">
        <v>3455</v>
      </c>
      <c r="I1702" s="67">
        <v>45813</v>
      </c>
      <c r="J1702" s="67" t="s">
        <v>310</v>
      </c>
      <c r="K1702" s="68">
        <v>45923</v>
      </c>
      <c r="L1702" s="69"/>
      <c r="M1702" s="66" t="str">
        <f t="shared" ca="1" si="54"/>
        <v>CLOSED</v>
      </c>
    </row>
    <row r="1703" spans="1:13" ht="90">
      <c r="A1703" s="64" t="s">
        <v>1334</v>
      </c>
      <c r="B1703" s="98" t="e">
        <f>VLOOKUP([2]!Table27[[#This Row],[Location 
(drop-down)]],'[2]List source'!D$2:E$59,2,FALSE)</f>
        <v>#VALUE!</v>
      </c>
      <c r="C1703" s="99" t="s">
        <v>4945</v>
      </c>
      <c r="D1703" s="100" t="e">
        <f t="shared" si="53"/>
        <v>#VALUE!</v>
      </c>
      <c r="E1703" s="23" t="s">
        <v>4946</v>
      </c>
      <c r="F1703" s="66" t="e" cm="1" vm="1">
        <f t="array" aca="1" ref="F170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3" s="108" t="s">
        <v>4947</v>
      </c>
      <c r="I1703" s="67">
        <v>45813</v>
      </c>
      <c r="J1703" s="67" t="s">
        <v>34</v>
      </c>
      <c r="K1703" s="68">
        <v>45813</v>
      </c>
      <c r="L1703" s="69" t="s">
        <v>1671</v>
      </c>
      <c r="M1703" s="66" t="str">
        <f t="shared" ca="1" si="54"/>
        <v>CLOSED</v>
      </c>
    </row>
    <row r="1704" spans="1:13" ht="30">
      <c r="A1704" s="64" t="s">
        <v>432</v>
      </c>
      <c r="B1704" s="98" t="e">
        <f>VLOOKUP([2]!Table27[[#This Row],[Location 
(drop-down)]],'[2]List source'!D$2:E$59,2,FALSE)</f>
        <v>#VALUE!</v>
      </c>
      <c r="C1704" s="99" t="s">
        <v>4948</v>
      </c>
      <c r="D1704" s="100" t="e">
        <f t="shared" si="53"/>
        <v>#VALUE!</v>
      </c>
      <c r="E1704" s="23" t="s">
        <v>4949</v>
      </c>
      <c r="F1704" s="66" t="e" cm="1" vm="1">
        <f t="array" aca="1" ref="F170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4" s="107">
        <v>8.9600000000000009</v>
      </c>
      <c r="I1704" s="67">
        <v>45813</v>
      </c>
      <c r="J1704" s="67"/>
      <c r="K1704" s="68"/>
      <c r="L1704" s="149"/>
      <c r="M1704" s="66">
        <f t="shared" ca="1" si="54"/>
        <v>265</v>
      </c>
    </row>
    <row r="1705" spans="1:13" ht="90">
      <c r="A1705" s="64" t="s">
        <v>432</v>
      </c>
      <c r="B1705" s="98" t="e">
        <f>VLOOKUP([2]!Table27[[#This Row],[Location 
(drop-down)]],'[2]List source'!D$2:E$59,2,FALSE)</f>
        <v>#VALUE!</v>
      </c>
      <c r="C1705" s="99" t="s">
        <v>4950</v>
      </c>
      <c r="D1705" s="100" t="e">
        <f t="shared" si="53"/>
        <v>#VALUE!</v>
      </c>
      <c r="E1705" s="23" t="s">
        <v>4951</v>
      </c>
      <c r="F1705" s="66" t="e" cm="1" vm="1">
        <f t="array" aca="1" ref="F170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5" s="108" t="s">
        <v>4952</v>
      </c>
      <c r="I1705" s="67">
        <v>45813</v>
      </c>
      <c r="J1705" s="67"/>
      <c r="K1705" s="68"/>
      <c r="L1705" s="69"/>
      <c r="M1705" s="66">
        <f t="shared" ca="1" si="54"/>
        <v>265</v>
      </c>
    </row>
    <row r="1706" spans="1:13" ht="90">
      <c r="A1706" s="64" t="s">
        <v>432</v>
      </c>
      <c r="B1706" s="98" t="e">
        <f>VLOOKUP([2]!Table27[[#This Row],[Location 
(drop-down)]],'[2]List source'!D$2:E$59,2,FALSE)</f>
        <v>#VALUE!</v>
      </c>
      <c r="C1706" s="99" t="s">
        <v>4953</v>
      </c>
      <c r="D1706" s="100" t="e">
        <f t="shared" si="53"/>
        <v>#VALUE!</v>
      </c>
      <c r="E1706" s="23" t="s">
        <v>4954</v>
      </c>
      <c r="F1706" s="66" t="e" cm="1" vm="1">
        <f t="array" aca="1" ref="F170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06"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6" s="107">
        <v>2.0099999999999998</v>
      </c>
      <c r="I1706" s="67">
        <v>45813</v>
      </c>
      <c r="J1706" s="67" t="s">
        <v>34</v>
      </c>
      <c r="K1706" s="68">
        <v>45813</v>
      </c>
      <c r="L1706" s="69" t="s">
        <v>1671</v>
      </c>
      <c r="M1706" s="66" t="str">
        <f t="shared" ca="1" si="54"/>
        <v>CLOSED</v>
      </c>
    </row>
    <row r="1707" spans="1:13" ht="90">
      <c r="A1707" s="64" t="s">
        <v>462</v>
      </c>
      <c r="B1707" s="98" t="e">
        <f>VLOOKUP([2]!Table27[[#This Row],[Location 
(drop-down)]],'[2]List source'!D$2:E$59,2,FALSE)</f>
        <v>#VALUE!</v>
      </c>
      <c r="C1707" s="99" t="s">
        <v>4955</v>
      </c>
      <c r="D1707" s="100" t="e">
        <f t="shared" si="53"/>
        <v>#VALUE!</v>
      </c>
      <c r="E1707" s="23" t="s">
        <v>4956</v>
      </c>
      <c r="F1707" s="66" t="e" cm="1" vm="1">
        <f t="array" aca="1" ref="F17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07"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7" s="107">
        <v>-2.2599999999999998</v>
      </c>
      <c r="I1707" s="67">
        <v>45813</v>
      </c>
      <c r="J1707" s="67" t="s">
        <v>34</v>
      </c>
      <c r="K1707" s="68">
        <v>45813</v>
      </c>
      <c r="L1707" s="69" t="s">
        <v>1671</v>
      </c>
      <c r="M1707" s="66" t="str">
        <f t="shared" ca="1" si="54"/>
        <v>CLOSED</v>
      </c>
    </row>
    <row r="1708" spans="1:13" ht="30">
      <c r="A1708" s="64" t="s">
        <v>462</v>
      </c>
      <c r="B1708" s="98" t="e">
        <f>VLOOKUP([2]!Table27[[#This Row],[Location 
(drop-down)]],'[2]List source'!D$2:E$59,2,FALSE)</f>
        <v>#VALUE!</v>
      </c>
      <c r="C1708" s="99" t="s">
        <v>4957</v>
      </c>
      <c r="D1708" s="100" t="e">
        <f t="shared" si="53"/>
        <v>#VALUE!</v>
      </c>
      <c r="E1708" s="23" t="s">
        <v>4958</v>
      </c>
      <c r="F1708" s="66" t="e" cm="1" vm="1">
        <f t="array" aca="1" ref="F170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08"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8" s="107">
        <v>2.12</v>
      </c>
      <c r="I1708" s="67">
        <v>45813</v>
      </c>
      <c r="J1708" s="67" t="s">
        <v>108</v>
      </c>
      <c r="K1708" s="68">
        <v>45931</v>
      </c>
      <c r="L1708" s="149"/>
      <c r="M1708" s="66" t="str">
        <f t="shared" ca="1" si="54"/>
        <v>CLOSED</v>
      </c>
    </row>
    <row r="1709" spans="1:13" ht="90">
      <c r="A1709" s="64" t="s">
        <v>213</v>
      </c>
      <c r="B1709" s="98" t="e">
        <f>VLOOKUP([2]!Table27[[#This Row],[Location 
(drop-down)]],'[2]List source'!D$2:E$59,2,FALSE)</f>
        <v>#VALUE!</v>
      </c>
      <c r="C1709" s="99" t="s">
        <v>4959</v>
      </c>
      <c r="D1709" s="100" t="e">
        <f t="shared" si="53"/>
        <v>#VALUE!</v>
      </c>
      <c r="E1709" s="23" t="s">
        <v>4960</v>
      </c>
      <c r="F1709" s="66" t="e" cm="1" vm="1">
        <f t="array" aca="1" ref="F17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09"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09" s="107">
        <v>2.59</v>
      </c>
      <c r="I1709" s="67">
        <v>45813</v>
      </c>
      <c r="J1709" s="67" t="s">
        <v>34</v>
      </c>
      <c r="K1709" s="68">
        <v>45813</v>
      </c>
      <c r="L1709" s="69" t="s">
        <v>1671</v>
      </c>
      <c r="M1709" s="66" t="str">
        <f t="shared" ca="1" si="54"/>
        <v>CLOSED</v>
      </c>
    </row>
    <row r="1710" spans="1:13" ht="30">
      <c r="A1710" s="64" t="s">
        <v>264</v>
      </c>
      <c r="B1710" s="98" t="e">
        <f>VLOOKUP([2]!Table27[[#This Row],[Location 
(drop-down)]],'[2]List source'!D$2:E$59,2,FALSE)</f>
        <v>#VALUE!</v>
      </c>
      <c r="C1710" s="99" t="s">
        <v>4961</v>
      </c>
      <c r="D1710" s="100" t="e">
        <f t="shared" si="53"/>
        <v>#VALUE!</v>
      </c>
      <c r="E1710" s="23" t="s">
        <v>4962</v>
      </c>
      <c r="F1710" s="66" t="e" cm="1" vm="1">
        <f t="array" aca="1" ref="F171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0"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0" s="107">
        <v>4.0999999999999996</v>
      </c>
      <c r="I1710" s="67">
        <v>45813</v>
      </c>
      <c r="J1710" s="67"/>
      <c r="K1710" s="68"/>
      <c r="L1710" s="69"/>
      <c r="M1710" s="66">
        <f t="shared" ca="1" si="54"/>
        <v>265</v>
      </c>
    </row>
    <row r="1711" spans="1:13" ht="30">
      <c r="A1711" s="64" t="s">
        <v>185</v>
      </c>
      <c r="B1711" s="98" t="e">
        <f>VLOOKUP([2]!Table27[[#This Row],[Location 
(drop-down)]],'[2]List source'!D$2:E$59,2,FALSE)</f>
        <v>#VALUE!</v>
      </c>
      <c r="C1711" s="99" t="s">
        <v>4963</v>
      </c>
      <c r="D1711" s="100" t="e">
        <f t="shared" si="53"/>
        <v>#VALUE!</v>
      </c>
      <c r="E1711" s="70" t="s">
        <v>4964</v>
      </c>
      <c r="F1711" s="66" t="e" cm="1" vm="1">
        <f t="array" aca="1" ref="F171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1" s="7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1" s="107">
        <v>3.17</v>
      </c>
      <c r="I1711" s="67">
        <v>45813</v>
      </c>
      <c r="J1711" s="67"/>
      <c r="K1711" s="68"/>
      <c r="L1711" s="69"/>
      <c r="M1711" s="66">
        <f t="shared" ca="1" si="54"/>
        <v>265</v>
      </c>
    </row>
    <row r="1712" spans="1:13" ht="45">
      <c r="A1712" s="64" t="s">
        <v>314</v>
      </c>
      <c r="B1712" s="98" t="e">
        <f>VLOOKUP([2]!Table27[[#This Row],[Location 
(drop-down)]],'[2]List source'!D$2:E$59,2,FALSE)</f>
        <v>#VALUE!</v>
      </c>
      <c r="C1712" s="99" t="s">
        <v>4965</v>
      </c>
      <c r="D1712" s="100" t="e">
        <f t="shared" si="53"/>
        <v>#VALUE!</v>
      </c>
      <c r="E1712" s="70" t="s">
        <v>4966</v>
      </c>
      <c r="F1712" s="66" t="e" cm="1" vm="1">
        <f t="array" aca="1" ref="F171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2" s="70"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2" s="107" t="s">
        <v>4967</v>
      </c>
      <c r="I1712" s="67">
        <v>45813</v>
      </c>
      <c r="J1712" s="67" t="s">
        <v>327</v>
      </c>
      <c r="K1712" s="68">
        <v>46050</v>
      </c>
      <c r="L1712" s="69"/>
      <c r="M1712" s="66" t="str">
        <f t="shared" ca="1" si="54"/>
        <v>CLOSED</v>
      </c>
    </row>
    <row r="1713" spans="1:13" ht="90">
      <c r="A1713" s="64" t="s">
        <v>73</v>
      </c>
      <c r="B1713" s="98" t="e">
        <f>VLOOKUP([2]!Table27[[#This Row],[Location 
(drop-down)]],'[2]List source'!D$2:E$59,2,FALSE)</f>
        <v>#VALUE!</v>
      </c>
      <c r="C1713" s="99" t="s">
        <v>4968</v>
      </c>
      <c r="D1713" s="100" t="e">
        <f t="shared" si="53"/>
        <v>#VALUE!</v>
      </c>
      <c r="E1713" s="64" t="s">
        <v>4969</v>
      </c>
      <c r="F1713" s="66" t="e" cm="1" vm="1">
        <f t="array" aca="1" ref="F171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3" s="110" t="s">
        <v>4970</v>
      </c>
      <c r="I1713" s="67">
        <v>45813</v>
      </c>
      <c r="J1713" s="67" t="s">
        <v>34</v>
      </c>
      <c r="K1713" s="68">
        <v>45813</v>
      </c>
      <c r="L1713" s="69" t="s">
        <v>1671</v>
      </c>
      <c r="M1713" s="66" t="str">
        <f t="shared" ca="1" si="54"/>
        <v>CLOSED</v>
      </c>
    </row>
    <row r="1714" spans="1:13" ht="90">
      <c r="A1714" s="64" t="s">
        <v>518</v>
      </c>
      <c r="B1714" s="98" t="e">
        <f>VLOOKUP([2]!Table27[[#This Row],[Location 
(drop-down)]],'[2]List source'!D$2:E$59,2,FALSE)</f>
        <v>#VALUE!</v>
      </c>
      <c r="C1714" s="99" t="s">
        <v>4971</v>
      </c>
      <c r="D1714" s="100" t="e">
        <f t="shared" si="53"/>
        <v>#VALUE!</v>
      </c>
      <c r="E1714" s="158" t="s">
        <v>4972</v>
      </c>
      <c r="F1714" s="66" t="e" cm="1" vm="1">
        <f t="array" aca="1" ref="F171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4" s="23"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4" s="110" t="s">
        <v>4973</v>
      </c>
      <c r="I1714" s="67">
        <v>45813</v>
      </c>
      <c r="J1714" s="67" t="s">
        <v>34</v>
      </c>
      <c r="K1714" s="68">
        <v>45813</v>
      </c>
      <c r="L1714" s="69" t="s">
        <v>1671</v>
      </c>
      <c r="M1714" s="66" t="str">
        <f t="shared" ca="1" si="54"/>
        <v>CLOSED</v>
      </c>
    </row>
    <row r="1715" spans="1:13" ht="30">
      <c r="A1715" s="64" t="s">
        <v>139</v>
      </c>
      <c r="B1715" s="98" t="e">
        <f>VLOOKUP([2]!Table27[[#This Row],[Location 
(drop-down)]],'[2]List source'!D$2:E$59,2,FALSE)</f>
        <v>#VALUE!</v>
      </c>
      <c r="C1715" s="99" t="s">
        <v>4974</v>
      </c>
      <c r="D1715" s="100" t="e">
        <f t="shared" si="53"/>
        <v>#VALUE!</v>
      </c>
      <c r="E1715" s="64" t="s">
        <v>4975</v>
      </c>
      <c r="F1715" s="66" t="e" cm="1" vm="1">
        <f t="array" aca="1" ref="F171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5" s="66">
        <v>3.61</v>
      </c>
      <c r="I1715" s="67">
        <v>45813</v>
      </c>
      <c r="J1715" s="67" t="s">
        <v>310</v>
      </c>
      <c r="K1715" s="68">
        <v>45939</v>
      </c>
      <c r="L1715" s="149"/>
      <c r="M1715" s="66" t="str">
        <f t="shared" ca="1" si="54"/>
        <v>CLOSED</v>
      </c>
    </row>
    <row r="1716" spans="1:13" ht="45">
      <c r="A1716" s="64" t="s">
        <v>43</v>
      </c>
      <c r="B1716" s="98" t="e">
        <f>VLOOKUP([2]!Table27[[#This Row],[Location 
(drop-down)]],'[2]List source'!D$2:E$59,2,FALSE)</f>
        <v>#VALUE!</v>
      </c>
      <c r="C1716" s="99" t="s">
        <v>4976</v>
      </c>
      <c r="D1716" s="100" t="e">
        <f t="shared" si="53"/>
        <v>#VALUE!</v>
      </c>
      <c r="E1716" s="64" t="s">
        <v>4977</v>
      </c>
      <c r="F1716" s="66" t="e" cm="1" vm="1">
        <f t="array" aca="1" ref="F171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6" s="66">
        <v>68.319999999999993</v>
      </c>
      <c r="I1716" s="67">
        <v>45813</v>
      </c>
      <c r="J1716" s="67" t="s">
        <v>34</v>
      </c>
      <c r="K1716" s="68">
        <v>45817</v>
      </c>
      <c r="L1716" s="149" t="s">
        <v>1505</v>
      </c>
      <c r="M1716" s="66" t="str">
        <f t="shared" ca="1" si="54"/>
        <v>CLOSED</v>
      </c>
    </row>
    <row r="1717" spans="1:13" ht="60">
      <c r="A1717" s="64" t="s">
        <v>714</v>
      </c>
      <c r="B1717" s="98" t="e">
        <f>VLOOKUP([2]!Table27[[#This Row],[Location 
(drop-down)]],'[2]List source'!D$2:E$59,2,FALSE)</f>
        <v>#VALUE!</v>
      </c>
      <c r="C1717" s="99" t="s">
        <v>4978</v>
      </c>
      <c r="D1717" s="100" t="e">
        <f t="shared" si="53"/>
        <v>#VALUE!</v>
      </c>
      <c r="E1717" s="64" t="s">
        <v>4979</v>
      </c>
      <c r="F1717" s="66" t="e" cm="1" vm="1">
        <f t="array" aca="1" ref="F171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7" s="66" t="s">
        <v>4980</v>
      </c>
      <c r="I1717" s="67">
        <v>45813</v>
      </c>
      <c r="J1717" s="67" t="s">
        <v>29</v>
      </c>
      <c r="K1717" s="68">
        <v>45881</v>
      </c>
      <c r="L1717" s="69"/>
      <c r="M1717" s="66" t="str">
        <f t="shared" ca="1" si="54"/>
        <v>CLOSED</v>
      </c>
    </row>
    <row r="1718" spans="1:13" ht="90">
      <c r="A1718" s="64" t="s">
        <v>1334</v>
      </c>
      <c r="B1718" s="98" t="e">
        <f>VLOOKUP([2]!Table27[[#This Row],[Location 
(drop-down)]],'[2]List source'!D$2:E$59,2,FALSE)</f>
        <v>#VALUE!</v>
      </c>
      <c r="C1718" s="99" t="s">
        <v>4981</v>
      </c>
      <c r="D1718" s="100" t="e">
        <f t="shared" si="53"/>
        <v>#VALUE!</v>
      </c>
      <c r="E1718" s="64" t="s">
        <v>4982</v>
      </c>
      <c r="F1718" s="66" t="e" cm="1" vm="1">
        <f t="array" aca="1" ref="F171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8" s="110" t="s">
        <v>4983</v>
      </c>
      <c r="I1718" s="67">
        <v>45814</v>
      </c>
      <c r="J1718" s="67" t="s">
        <v>34</v>
      </c>
      <c r="K1718" s="68">
        <v>45814</v>
      </c>
      <c r="L1718" s="149" t="s">
        <v>1671</v>
      </c>
      <c r="M1718" s="66" t="str">
        <f t="shared" ca="1" si="54"/>
        <v>CLOSED</v>
      </c>
    </row>
    <row r="1719" spans="1:13" ht="30">
      <c r="A1719" s="64" t="s">
        <v>314</v>
      </c>
      <c r="B1719" s="98" t="e">
        <f>VLOOKUP([2]!Table27[[#This Row],[Location 
(drop-down)]],'[2]List source'!D$2:E$59,2,FALSE)</f>
        <v>#VALUE!</v>
      </c>
      <c r="C1719" s="99" t="s">
        <v>4984</v>
      </c>
      <c r="D1719" s="100" t="e">
        <f t="shared" si="53"/>
        <v>#VALUE!</v>
      </c>
      <c r="E1719" s="64" t="s">
        <v>4985</v>
      </c>
      <c r="F1719" s="66" t="e" cm="1" vm="1">
        <f t="array" aca="1" ref="F171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19" s="110" t="s">
        <v>4986</v>
      </c>
      <c r="I1719" s="67">
        <v>45814</v>
      </c>
      <c r="J1719" s="67" t="s">
        <v>327</v>
      </c>
      <c r="K1719" s="68">
        <v>46052</v>
      </c>
      <c r="L1719" s="69"/>
      <c r="M1719" s="66" t="str">
        <f t="shared" ca="1" si="54"/>
        <v>CLOSED</v>
      </c>
    </row>
    <row r="1720" spans="1:13" ht="30">
      <c r="A1720" s="64" t="s">
        <v>294</v>
      </c>
      <c r="B1720" s="98" t="e">
        <f>VLOOKUP([2]!Table27[[#This Row],[Location 
(drop-down)]],'[2]List source'!D$2:E$59,2,FALSE)</f>
        <v>#VALUE!</v>
      </c>
      <c r="C1720" s="99" t="s">
        <v>4987</v>
      </c>
      <c r="D1720" s="100" t="e">
        <f t="shared" si="53"/>
        <v>#VALUE!</v>
      </c>
      <c r="E1720" s="64" t="s">
        <v>4988</v>
      </c>
      <c r="F1720" s="66" t="e" cm="1" vm="1">
        <f t="array" aca="1" ref="F172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0" s="110" t="s">
        <v>2318</v>
      </c>
      <c r="I1720" s="67">
        <v>45814</v>
      </c>
      <c r="J1720" s="67" t="s">
        <v>327</v>
      </c>
      <c r="K1720" s="68">
        <v>45871</v>
      </c>
      <c r="L1720" s="69"/>
      <c r="M1720" s="66" t="str">
        <f t="shared" ca="1" si="54"/>
        <v>CLOSED</v>
      </c>
    </row>
    <row r="1721" spans="1:13" ht="90">
      <c r="A1721" s="64" t="s">
        <v>294</v>
      </c>
      <c r="B1721" s="98" t="e">
        <f>VLOOKUP([2]!Table27[[#This Row],[Location 
(drop-down)]],'[2]List source'!D$2:E$59,2,FALSE)</f>
        <v>#VALUE!</v>
      </c>
      <c r="C1721" s="99" t="s">
        <v>4989</v>
      </c>
      <c r="D1721" s="100" t="e">
        <f t="shared" si="53"/>
        <v>#VALUE!</v>
      </c>
      <c r="E1721" s="64" t="s">
        <v>4990</v>
      </c>
      <c r="F1721" s="66" t="e" cm="1" vm="1">
        <f t="array" aca="1" ref="F172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1" s="110" t="s">
        <v>2650</v>
      </c>
      <c r="I1721" s="67">
        <v>45814</v>
      </c>
      <c r="J1721" s="67" t="s">
        <v>34</v>
      </c>
      <c r="K1721" s="68">
        <v>45814</v>
      </c>
      <c r="L1721" s="149" t="s">
        <v>1671</v>
      </c>
      <c r="M1721" s="66" t="str">
        <f t="shared" ca="1" si="54"/>
        <v>CLOSED</v>
      </c>
    </row>
    <row r="1722" spans="1:13" ht="30">
      <c r="A1722" s="64" t="s">
        <v>500</v>
      </c>
      <c r="B1722" s="98" t="e">
        <f>VLOOKUP([2]!Table27[[#This Row],[Location 
(drop-down)]],'[2]List source'!D$2:E$59,2,FALSE)</f>
        <v>#VALUE!</v>
      </c>
      <c r="C1722" s="99" t="s">
        <v>4991</v>
      </c>
      <c r="D1722" s="100" t="e">
        <f t="shared" si="53"/>
        <v>#VALUE!</v>
      </c>
      <c r="E1722" s="64" t="s">
        <v>4992</v>
      </c>
      <c r="F1722" s="66" t="e" cm="1" vm="1">
        <f t="array" aca="1" ref="F172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2" s="66">
        <v>2.04</v>
      </c>
      <c r="I1722" s="67">
        <v>45814</v>
      </c>
      <c r="J1722" s="67" t="s">
        <v>310</v>
      </c>
      <c r="K1722" s="68">
        <v>45847</v>
      </c>
      <c r="L1722" s="69"/>
      <c r="M1722" s="66" t="str">
        <f t="shared" ca="1" si="54"/>
        <v>CLOSED</v>
      </c>
    </row>
    <row r="1723" spans="1:13" ht="90">
      <c r="A1723" s="64" t="s">
        <v>39</v>
      </c>
      <c r="B1723" s="98" t="e">
        <f>VLOOKUP([2]!Table27[[#This Row],[Location 
(drop-down)]],'[2]List source'!D$2:E$59,2,FALSE)</f>
        <v>#VALUE!</v>
      </c>
      <c r="C1723" s="99" t="s">
        <v>4993</v>
      </c>
      <c r="D1723" s="100" t="e">
        <f t="shared" si="53"/>
        <v>#VALUE!</v>
      </c>
      <c r="E1723" s="64" t="s">
        <v>4994</v>
      </c>
      <c r="F1723" s="66" t="e" cm="1" vm="1">
        <f t="array" aca="1" ref="F172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3" s="66">
        <v>2.2200000000000002</v>
      </c>
      <c r="I1723" s="67">
        <v>45818</v>
      </c>
      <c r="J1723" s="67" t="s">
        <v>34</v>
      </c>
      <c r="K1723" s="68">
        <v>45818</v>
      </c>
      <c r="L1723" s="69" t="s">
        <v>1562</v>
      </c>
      <c r="M1723" s="66" t="str">
        <f t="shared" ca="1" si="54"/>
        <v>CLOSED</v>
      </c>
    </row>
    <row r="1724" spans="1:13" ht="45">
      <c r="A1724" s="64" t="s">
        <v>432</v>
      </c>
      <c r="B1724" s="98" t="e">
        <f>VLOOKUP([2]!Table27[[#This Row],[Location 
(drop-down)]],'[2]List source'!D$2:E$59,2,FALSE)</f>
        <v>#VALUE!</v>
      </c>
      <c r="C1724" s="99" t="s">
        <v>4995</v>
      </c>
      <c r="D1724" s="100" t="e">
        <f t="shared" si="53"/>
        <v>#VALUE!</v>
      </c>
      <c r="E1724" s="64" t="s">
        <v>4996</v>
      </c>
      <c r="F1724" s="66" t="e" cm="1" vm="1">
        <f t="array" aca="1" ref="F172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4" s="66" t="s">
        <v>4997</v>
      </c>
      <c r="I1724" s="67">
        <v>45818</v>
      </c>
      <c r="J1724" s="67"/>
      <c r="K1724" s="68"/>
      <c r="L1724" s="69"/>
      <c r="M1724" s="66">
        <f t="shared" ca="1" si="54"/>
        <v>260</v>
      </c>
    </row>
    <row r="1725" spans="1:13" ht="30">
      <c r="A1725" s="64" t="s">
        <v>462</v>
      </c>
      <c r="B1725" s="98" t="e">
        <f>VLOOKUP([2]!Table27[[#This Row],[Location 
(drop-down)]],'[2]List source'!D$2:E$59,2,FALSE)</f>
        <v>#VALUE!</v>
      </c>
      <c r="C1725" s="99" t="s">
        <v>4998</v>
      </c>
      <c r="D1725" s="100" t="e">
        <f t="shared" si="53"/>
        <v>#VALUE!</v>
      </c>
      <c r="E1725" s="64" t="s">
        <v>4999</v>
      </c>
      <c r="F1725" s="66" t="e" cm="1" vm="1">
        <f t="array" aca="1" ref="F172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5" s="110" t="s">
        <v>4268</v>
      </c>
      <c r="I1725" s="67">
        <v>45818</v>
      </c>
      <c r="J1725" s="67" t="s">
        <v>29</v>
      </c>
      <c r="K1725" s="68">
        <v>45846</v>
      </c>
      <c r="L1725" s="69"/>
      <c r="M1725" s="66" t="str">
        <f t="shared" ca="1" si="54"/>
        <v>CLOSED</v>
      </c>
    </row>
    <row r="1726" spans="1:13" ht="90">
      <c r="A1726" s="64" t="s">
        <v>125</v>
      </c>
      <c r="B1726" s="98" t="e">
        <f>VLOOKUP([2]!Table27[[#This Row],[Location 
(drop-down)]],'[2]List source'!D$2:E$59,2,FALSE)</f>
        <v>#VALUE!</v>
      </c>
      <c r="C1726" s="99" t="s">
        <v>5000</v>
      </c>
      <c r="D1726" s="100" t="e">
        <f t="shared" si="53"/>
        <v>#VALUE!</v>
      </c>
      <c r="E1726" s="64" t="s">
        <v>5001</v>
      </c>
      <c r="F1726" s="66" t="e" cm="1" vm="1">
        <f t="array" aca="1" ref="F172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6" s="66">
        <v>2.87</v>
      </c>
      <c r="I1726" s="67">
        <v>45818</v>
      </c>
      <c r="J1726" s="67" t="s">
        <v>34</v>
      </c>
      <c r="K1726" s="68">
        <v>45818</v>
      </c>
      <c r="L1726" s="69" t="s">
        <v>1562</v>
      </c>
      <c r="M1726" s="66" t="str">
        <f t="shared" ca="1" si="54"/>
        <v>CLOSED</v>
      </c>
    </row>
    <row r="1727" spans="1:13" ht="90">
      <c r="A1727" s="64" t="s">
        <v>119</v>
      </c>
      <c r="B1727" s="98" t="e">
        <f>VLOOKUP([2]!Table27[[#This Row],[Location 
(drop-down)]],'[2]List source'!D$2:E$59,2,FALSE)</f>
        <v>#VALUE!</v>
      </c>
      <c r="C1727" s="99" t="s">
        <v>5002</v>
      </c>
      <c r="D1727" s="100" t="e">
        <f t="shared" si="53"/>
        <v>#VALUE!</v>
      </c>
      <c r="E1727" s="64" t="s">
        <v>5003</v>
      </c>
      <c r="F1727" s="66" t="e" cm="1" vm="1">
        <f t="array" aca="1" ref="F172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7" s="110" t="s">
        <v>5004</v>
      </c>
      <c r="I1727" s="67">
        <v>45818</v>
      </c>
      <c r="J1727" s="67" t="s">
        <v>34</v>
      </c>
      <c r="K1727" s="68">
        <v>45818</v>
      </c>
      <c r="L1727" s="69" t="s">
        <v>1562</v>
      </c>
      <c r="M1727" s="66" t="str">
        <f t="shared" ca="1" si="54"/>
        <v>CLOSED</v>
      </c>
    </row>
    <row r="1728" spans="1:13" ht="90">
      <c r="A1728" s="64" t="s">
        <v>30</v>
      </c>
      <c r="B1728" s="98" t="e">
        <f>VLOOKUP([2]!Table27[[#This Row],[Location 
(drop-down)]],'[2]List source'!D$2:E$59,2,FALSE)</f>
        <v>#VALUE!</v>
      </c>
      <c r="C1728" s="99" t="s">
        <v>5005</v>
      </c>
      <c r="D1728" s="100" t="e">
        <f t="shared" si="53"/>
        <v>#VALUE!</v>
      </c>
      <c r="E1728" s="64" t="s">
        <v>5006</v>
      </c>
      <c r="F1728" s="66" t="e" cm="1" vm="1">
        <f t="array" aca="1" ref="F172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8" s="66">
        <v>2.36</v>
      </c>
      <c r="I1728" s="67">
        <v>45818</v>
      </c>
      <c r="J1728" s="67" t="s">
        <v>34</v>
      </c>
      <c r="K1728" s="68">
        <v>45818</v>
      </c>
      <c r="L1728" s="69" t="s">
        <v>1562</v>
      </c>
      <c r="M1728" s="66" t="str">
        <f t="shared" ca="1" si="54"/>
        <v>CLOSED</v>
      </c>
    </row>
    <row r="1729" spans="1:13" ht="30">
      <c r="A1729" s="64" t="s">
        <v>30</v>
      </c>
      <c r="B1729" s="98" t="e">
        <f>VLOOKUP([2]!Table27[[#This Row],[Location 
(drop-down)]],'[2]List source'!D$2:E$59,2,FALSE)</f>
        <v>#VALUE!</v>
      </c>
      <c r="C1729" s="99" t="s">
        <v>5007</v>
      </c>
      <c r="D1729" s="100" t="e">
        <f t="shared" si="53"/>
        <v>#VALUE!</v>
      </c>
      <c r="E1729" s="64" t="s">
        <v>5008</v>
      </c>
      <c r="F1729" s="66" t="e" cm="1" vm="1">
        <f t="array" aca="1" ref="F172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29" s="110" t="s">
        <v>2342</v>
      </c>
      <c r="I1729" s="67">
        <v>45818</v>
      </c>
      <c r="J1729" s="67" t="s">
        <v>47</v>
      </c>
      <c r="K1729" s="68">
        <v>45869</v>
      </c>
      <c r="L1729" s="69"/>
      <c r="M1729" s="66" t="str">
        <f t="shared" ca="1" si="54"/>
        <v>CLOSED</v>
      </c>
    </row>
    <row r="1730" spans="1:13" ht="90">
      <c r="A1730" s="64" t="s">
        <v>103</v>
      </c>
      <c r="B1730" s="98" t="e">
        <f>VLOOKUP([2]!Table27[[#This Row],[Location 
(drop-down)]],'[2]List source'!D$2:E$59,2,FALSE)</f>
        <v>#VALUE!</v>
      </c>
      <c r="C1730" s="99" t="s">
        <v>5009</v>
      </c>
      <c r="D1730" s="100" t="e">
        <f t="shared" ref="D1730:D1793" si="55">"PTO" &amp; C1730 &amp; "-" &amp; B1730 &amp; "-" &amp; "23"</f>
        <v>#VALUE!</v>
      </c>
      <c r="E1730" s="64" t="s">
        <v>5010</v>
      </c>
      <c r="F1730" s="66" t="e" cm="1" vm="1">
        <f t="array" aca="1" ref="F173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0" s="66">
        <v>2.54</v>
      </c>
      <c r="I1730" s="67">
        <v>45818</v>
      </c>
      <c r="J1730" s="67" t="s">
        <v>34</v>
      </c>
      <c r="K1730" s="68">
        <v>45818</v>
      </c>
      <c r="L1730" s="69" t="s">
        <v>1562</v>
      </c>
      <c r="M1730" s="66" t="str">
        <f t="shared" ca="1" si="54"/>
        <v>CLOSED</v>
      </c>
    </row>
    <row r="1731" spans="1:13" ht="90">
      <c r="A1731" s="64" t="s">
        <v>213</v>
      </c>
      <c r="B1731" s="98" t="e">
        <f>VLOOKUP([2]!Table27[[#This Row],[Location 
(drop-down)]],'[2]List source'!D$2:E$59,2,FALSE)</f>
        <v>#VALUE!</v>
      </c>
      <c r="C1731" s="99" t="s">
        <v>5011</v>
      </c>
      <c r="D1731" s="100" t="e">
        <f t="shared" si="55"/>
        <v>#VALUE!</v>
      </c>
      <c r="E1731" s="64" t="s">
        <v>5012</v>
      </c>
      <c r="F1731" s="66" t="e" cm="1" vm="1">
        <f t="array" aca="1" ref="F173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1" s="110" t="s">
        <v>1762</v>
      </c>
      <c r="I1731" s="67">
        <v>45818</v>
      </c>
      <c r="J1731" s="67" t="s">
        <v>34</v>
      </c>
      <c r="K1731" s="68">
        <v>45818</v>
      </c>
      <c r="L1731" s="69" t="s">
        <v>1562</v>
      </c>
      <c r="M1731" s="66" t="str">
        <f t="shared" ca="1" si="54"/>
        <v>CLOSED</v>
      </c>
    </row>
    <row r="1732" spans="1:13" ht="90">
      <c r="A1732" s="64" t="s">
        <v>80</v>
      </c>
      <c r="B1732" s="98" t="e">
        <f>VLOOKUP([2]!Table27[[#This Row],[Location 
(drop-down)]],'[2]List source'!D$2:E$59,2,FALSE)</f>
        <v>#VALUE!</v>
      </c>
      <c r="C1732" s="99" t="s">
        <v>5013</v>
      </c>
      <c r="D1732" s="100" t="e">
        <f t="shared" si="55"/>
        <v>#VALUE!</v>
      </c>
      <c r="E1732" s="64" t="s">
        <v>5014</v>
      </c>
      <c r="F1732" s="66" t="e" cm="1" vm="1">
        <f t="array" aca="1" ref="F173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2" s="110" t="s">
        <v>1962</v>
      </c>
      <c r="I1732" s="67">
        <v>45818</v>
      </c>
      <c r="J1732" s="67" t="s">
        <v>34</v>
      </c>
      <c r="K1732" s="68">
        <v>45818</v>
      </c>
      <c r="L1732" s="69" t="s">
        <v>1562</v>
      </c>
      <c r="M1732" s="66" t="str">
        <f t="shared" ca="1" si="54"/>
        <v>CLOSED</v>
      </c>
    </row>
    <row r="1733" spans="1:13" ht="90">
      <c r="A1733" s="64" t="s">
        <v>185</v>
      </c>
      <c r="B1733" s="98" t="e">
        <f>VLOOKUP([2]!Table27[[#This Row],[Location 
(drop-down)]],'[2]List source'!D$2:E$59,2,FALSE)</f>
        <v>#VALUE!</v>
      </c>
      <c r="C1733" s="99" t="s">
        <v>5015</v>
      </c>
      <c r="D1733" s="100" t="e">
        <f t="shared" si="55"/>
        <v>#VALUE!</v>
      </c>
      <c r="E1733" s="64" t="s">
        <v>5016</v>
      </c>
      <c r="F1733" s="66" t="e" cm="1" vm="1">
        <f t="array" aca="1" ref="F173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3" s="110" t="s">
        <v>1762</v>
      </c>
      <c r="I1733" s="67">
        <v>45818</v>
      </c>
      <c r="J1733" s="67" t="s">
        <v>34</v>
      </c>
      <c r="K1733" s="68">
        <v>45818</v>
      </c>
      <c r="L1733" s="69" t="s">
        <v>1562</v>
      </c>
      <c r="M1733" s="66" t="str">
        <f t="shared" ca="1" si="54"/>
        <v>CLOSED</v>
      </c>
    </row>
    <row r="1734" spans="1:13" ht="90">
      <c r="A1734" s="64" t="s">
        <v>314</v>
      </c>
      <c r="B1734" s="98" t="e">
        <f>VLOOKUP([2]!Table27[[#This Row],[Location 
(drop-down)]],'[2]List source'!D$2:E$59,2,FALSE)</f>
        <v>#VALUE!</v>
      </c>
      <c r="C1734" s="99" t="s">
        <v>5017</v>
      </c>
      <c r="D1734" s="100" t="e">
        <f t="shared" si="55"/>
        <v>#VALUE!</v>
      </c>
      <c r="E1734" s="64" t="s">
        <v>5018</v>
      </c>
      <c r="F1734" s="66" t="e" cm="1" vm="1">
        <f t="array" aca="1" ref="F173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4" s="110" t="s">
        <v>5019</v>
      </c>
      <c r="I1734" s="67">
        <v>45818</v>
      </c>
      <c r="J1734" s="67" t="s">
        <v>34</v>
      </c>
      <c r="K1734" s="68">
        <v>45818</v>
      </c>
      <c r="L1734" s="69" t="s">
        <v>1562</v>
      </c>
      <c r="M1734" s="66" t="str">
        <f t="shared" ca="1" si="54"/>
        <v>CLOSED</v>
      </c>
    </row>
    <row r="1735" spans="1:13" ht="30">
      <c r="A1735" s="64" t="s">
        <v>73</v>
      </c>
      <c r="B1735" s="98" t="e">
        <f>VLOOKUP([2]!Table27[[#This Row],[Location 
(drop-down)]],'[2]List source'!D$2:E$59,2,FALSE)</f>
        <v>#VALUE!</v>
      </c>
      <c r="C1735" s="99" t="s">
        <v>5020</v>
      </c>
      <c r="D1735" s="100" t="e">
        <f t="shared" si="55"/>
        <v>#VALUE!</v>
      </c>
      <c r="E1735" s="64" t="s">
        <v>5021</v>
      </c>
      <c r="F1735" s="66" t="e" cm="1" vm="1">
        <f t="array" aca="1" ref="F173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5" s="110" t="s">
        <v>5022</v>
      </c>
      <c r="I1735" s="67">
        <v>45818</v>
      </c>
      <c r="J1735" s="67" t="s">
        <v>327</v>
      </c>
      <c r="K1735" s="68">
        <v>45895</v>
      </c>
      <c r="L1735" s="69"/>
      <c r="M1735" s="66" t="str">
        <f t="shared" ca="1" si="54"/>
        <v>CLOSED</v>
      </c>
    </row>
    <row r="1736" spans="1:13" ht="90">
      <c r="A1736" s="64" t="s">
        <v>73</v>
      </c>
      <c r="B1736" s="98" t="e">
        <f>VLOOKUP([2]!Table27[[#This Row],[Location 
(drop-down)]],'[2]List source'!D$2:E$59,2,FALSE)</f>
        <v>#VALUE!</v>
      </c>
      <c r="C1736" s="99" t="s">
        <v>5023</v>
      </c>
      <c r="D1736" s="100" t="e">
        <f t="shared" si="55"/>
        <v>#VALUE!</v>
      </c>
      <c r="E1736" s="64" t="s">
        <v>5024</v>
      </c>
      <c r="F1736" s="66" t="e" cm="1" vm="1">
        <f t="array" aca="1" ref="F173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6" s="66">
        <v>2.12</v>
      </c>
      <c r="I1736" s="67">
        <v>45818</v>
      </c>
      <c r="J1736" s="67" t="s">
        <v>34</v>
      </c>
      <c r="K1736" s="68">
        <v>45818</v>
      </c>
      <c r="L1736" s="69" t="s">
        <v>1562</v>
      </c>
      <c r="M1736" s="66" t="str">
        <f t="shared" ca="1" si="54"/>
        <v>CLOSED</v>
      </c>
    </row>
    <row r="1737" spans="1:13" ht="45">
      <c r="A1737" s="64" t="s">
        <v>73</v>
      </c>
      <c r="B1737" s="98" t="e">
        <f>VLOOKUP([2]!Table27[[#This Row],[Location 
(drop-down)]],'[2]List source'!D$2:E$59,2,FALSE)</f>
        <v>#VALUE!</v>
      </c>
      <c r="C1737" s="99" t="s">
        <v>5025</v>
      </c>
      <c r="D1737" s="100" t="e">
        <f t="shared" si="55"/>
        <v>#VALUE!</v>
      </c>
      <c r="E1737" s="64" t="s">
        <v>5026</v>
      </c>
      <c r="F1737" s="66" t="e" cm="1" vm="1">
        <f t="array" aca="1" ref="F173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7" s="66">
        <v>11.23</v>
      </c>
      <c r="I1737" s="67">
        <v>45818</v>
      </c>
      <c r="J1737" s="67" t="s">
        <v>34</v>
      </c>
      <c r="K1737" s="68">
        <v>45825</v>
      </c>
      <c r="L1737" s="69" t="s">
        <v>1505</v>
      </c>
      <c r="M1737" s="66" t="str">
        <f t="shared" ca="1" si="54"/>
        <v>CLOSED</v>
      </c>
    </row>
    <row r="1738" spans="1:13" ht="90">
      <c r="A1738" s="64" t="s">
        <v>485</v>
      </c>
      <c r="B1738" s="98" t="e">
        <f>VLOOKUP([2]!Table27[[#This Row],[Location 
(drop-down)]],'[2]List source'!D$2:E$59,2,FALSE)</f>
        <v>#VALUE!</v>
      </c>
      <c r="C1738" s="99" t="s">
        <v>5027</v>
      </c>
      <c r="D1738" s="100" t="e">
        <f t="shared" si="55"/>
        <v>#VALUE!</v>
      </c>
      <c r="E1738" s="64" t="s">
        <v>5028</v>
      </c>
      <c r="F1738" s="66" t="e" cm="1" vm="1">
        <f t="array" aca="1" ref="F173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8" s="110" t="s">
        <v>5029</v>
      </c>
      <c r="I1738" s="67">
        <v>45818</v>
      </c>
      <c r="J1738" s="67" t="s">
        <v>34</v>
      </c>
      <c r="K1738" s="68">
        <v>45818</v>
      </c>
      <c r="L1738" s="69" t="s">
        <v>1562</v>
      </c>
      <c r="M1738" s="66" t="str">
        <f t="shared" ca="1" si="54"/>
        <v>CLOSED</v>
      </c>
    </row>
    <row r="1739" spans="1:13" ht="30">
      <c r="A1739" s="64" t="s">
        <v>485</v>
      </c>
      <c r="B1739" s="98" t="e">
        <f>VLOOKUP([2]!Table27[[#This Row],[Location 
(drop-down)]],'[2]List source'!D$2:E$59,2,FALSE)</f>
        <v>#VALUE!</v>
      </c>
      <c r="C1739" s="99" t="s">
        <v>5030</v>
      </c>
      <c r="D1739" s="100" t="e">
        <f t="shared" si="55"/>
        <v>#VALUE!</v>
      </c>
      <c r="E1739" s="64" t="s">
        <v>5031</v>
      </c>
      <c r="F1739" s="66" t="e" cm="1" vm="1">
        <f t="array" aca="1" ref="F173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39" s="66">
        <v>3.2</v>
      </c>
      <c r="I1739" s="67">
        <v>45818</v>
      </c>
      <c r="J1739" s="67" t="s">
        <v>239</v>
      </c>
      <c r="K1739" s="68">
        <v>45896</v>
      </c>
      <c r="L1739" s="69"/>
      <c r="M1739" s="66" t="str">
        <f t="shared" ca="1" si="54"/>
        <v>CLOSED</v>
      </c>
    </row>
    <row r="1740" spans="1:13" ht="90">
      <c r="A1740" s="64" t="s">
        <v>202</v>
      </c>
      <c r="B1740" s="98" t="e">
        <f>VLOOKUP([2]!Table27[[#This Row],[Location 
(drop-down)]],'[2]List source'!D$2:E$59,2,FALSE)</f>
        <v>#VALUE!</v>
      </c>
      <c r="C1740" s="99" t="s">
        <v>5032</v>
      </c>
      <c r="D1740" s="100" t="e">
        <f t="shared" si="55"/>
        <v>#VALUE!</v>
      </c>
      <c r="E1740" s="64" t="s">
        <v>5033</v>
      </c>
      <c r="F1740" s="66" t="e" cm="1" vm="1">
        <f t="array" aca="1" ref="F174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0" s="66">
        <v>2.2400000000000002</v>
      </c>
      <c r="I1740" s="67">
        <v>45818</v>
      </c>
      <c r="J1740" s="67" t="s">
        <v>34</v>
      </c>
      <c r="K1740" s="68">
        <v>45818</v>
      </c>
      <c r="L1740" s="69" t="s">
        <v>1562</v>
      </c>
      <c r="M1740" s="66" t="str">
        <f t="shared" ca="1" si="54"/>
        <v>CLOSED</v>
      </c>
    </row>
    <row r="1741" spans="1:13" ht="45">
      <c r="A1741" s="64" t="s">
        <v>518</v>
      </c>
      <c r="B1741" s="98" t="e">
        <f>VLOOKUP([2]!Table27[[#This Row],[Location 
(drop-down)]],'[2]List source'!D$2:E$59,2,FALSE)</f>
        <v>#VALUE!</v>
      </c>
      <c r="C1741" s="99" t="s">
        <v>5034</v>
      </c>
      <c r="D1741" s="100" t="e">
        <f t="shared" si="55"/>
        <v>#VALUE!</v>
      </c>
      <c r="E1741" s="64" t="s">
        <v>5035</v>
      </c>
      <c r="F1741" s="66" t="e" cm="1" vm="1">
        <f t="array" aca="1" ref="F174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1" s="110" t="s">
        <v>5036</v>
      </c>
      <c r="I1741" s="67">
        <v>45818</v>
      </c>
      <c r="J1741" s="67" t="s">
        <v>108</v>
      </c>
      <c r="K1741" s="68">
        <v>45859</v>
      </c>
      <c r="L1741" s="69"/>
      <c r="M1741" s="66" t="str">
        <f t="shared" ca="1" si="54"/>
        <v>CLOSED</v>
      </c>
    </row>
    <row r="1742" spans="1:13" ht="90">
      <c r="A1742" s="64" t="s">
        <v>139</v>
      </c>
      <c r="B1742" s="98" t="e">
        <f>VLOOKUP([2]!Table27[[#This Row],[Location 
(drop-down)]],'[2]List source'!D$2:E$59,2,FALSE)</f>
        <v>#VALUE!</v>
      </c>
      <c r="C1742" s="99" t="s">
        <v>5037</v>
      </c>
      <c r="D1742" s="100" t="e">
        <f t="shared" si="55"/>
        <v>#VALUE!</v>
      </c>
      <c r="E1742" s="64" t="s">
        <v>5033</v>
      </c>
      <c r="F1742" s="66" t="e" cm="1" vm="1">
        <f t="array" aca="1" ref="F174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2" s="66">
        <v>2.2400000000000002</v>
      </c>
      <c r="I1742" s="67">
        <v>45818</v>
      </c>
      <c r="J1742" s="67" t="s">
        <v>34</v>
      </c>
      <c r="K1742" s="68">
        <v>45818</v>
      </c>
      <c r="L1742" s="69" t="s">
        <v>1562</v>
      </c>
      <c r="M1742" s="66" t="str">
        <f t="shared" ca="1" si="54"/>
        <v>CLOSED</v>
      </c>
    </row>
    <row r="1743" spans="1:13" ht="45">
      <c r="A1743" s="64" t="s">
        <v>1334</v>
      </c>
      <c r="B1743" s="98" t="e">
        <f>VLOOKUP([2]!Table27[[#This Row],[Location 
(drop-down)]],'[2]List source'!D$2:E$59,2,FALSE)</f>
        <v>#VALUE!</v>
      </c>
      <c r="C1743" s="99" t="s">
        <v>5038</v>
      </c>
      <c r="D1743" s="100" t="e">
        <f t="shared" si="55"/>
        <v>#VALUE!</v>
      </c>
      <c r="E1743" s="64" t="s">
        <v>5039</v>
      </c>
      <c r="F1743" s="66" t="e" cm="1" vm="1">
        <f t="array" aca="1" ref="F174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3" s="66">
        <v>2.91</v>
      </c>
      <c r="I1743" s="67">
        <v>45818</v>
      </c>
      <c r="J1743" s="67" t="s">
        <v>310</v>
      </c>
      <c r="K1743" s="68">
        <v>45889</v>
      </c>
      <c r="L1743" s="69"/>
      <c r="M1743" s="66" t="str">
        <f t="shared" ca="1" si="54"/>
        <v>CLOSED</v>
      </c>
    </row>
    <row r="1744" spans="1:13" ht="90">
      <c r="A1744" s="64" t="s">
        <v>39</v>
      </c>
      <c r="B1744" s="98" t="e">
        <f>VLOOKUP([2]!Table27[[#This Row],[Location 
(drop-down)]],'[2]List source'!D$2:E$59,2,FALSE)</f>
        <v>#VALUE!</v>
      </c>
      <c r="C1744" s="99" t="s">
        <v>5040</v>
      </c>
      <c r="D1744" s="100" t="e">
        <f t="shared" si="55"/>
        <v>#VALUE!</v>
      </c>
      <c r="E1744" s="64" t="s">
        <v>5041</v>
      </c>
      <c r="F1744" s="66" t="e" cm="1" vm="1">
        <f t="array" aca="1" ref="F174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4" s="66">
        <v>2.33</v>
      </c>
      <c r="I1744" s="67">
        <v>45818</v>
      </c>
      <c r="J1744" s="67" t="s">
        <v>34</v>
      </c>
      <c r="K1744" s="68">
        <v>45818</v>
      </c>
      <c r="L1744" s="69" t="s">
        <v>1562</v>
      </c>
      <c r="M1744" s="66" t="str">
        <f t="shared" ca="1" si="54"/>
        <v>CLOSED</v>
      </c>
    </row>
    <row r="1745" spans="1:13" ht="45">
      <c r="A1745" s="64" t="s">
        <v>432</v>
      </c>
      <c r="B1745" s="98" t="e">
        <f>VLOOKUP([2]!Table27[[#This Row],[Location 
(drop-down)]],'[2]List source'!D$2:E$59,2,FALSE)</f>
        <v>#VALUE!</v>
      </c>
      <c r="C1745" s="99" t="s">
        <v>5042</v>
      </c>
      <c r="D1745" s="100" t="e">
        <f t="shared" si="55"/>
        <v>#VALUE!</v>
      </c>
      <c r="E1745" s="64" t="s">
        <v>5043</v>
      </c>
      <c r="F1745" s="66" t="e" cm="1" vm="1">
        <f t="array" aca="1" ref="F174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5" s="66">
        <v>4.8</v>
      </c>
      <c r="I1745" s="67">
        <v>45818</v>
      </c>
      <c r="J1745" s="67" t="s">
        <v>34</v>
      </c>
      <c r="K1745" s="68">
        <v>45852</v>
      </c>
      <c r="L1745" s="69" t="s">
        <v>1505</v>
      </c>
      <c r="M1745" s="66" t="str">
        <f t="shared" ca="1" si="54"/>
        <v>CLOSED</v>
      </c>
    </row>
    <row r="1746" spans="1:13" ht="90">
      <c r="A1746" s="64" t="s">
        <v>462</v>
      </c>
      <c r="B1746" s="98" t="e">
        <f>VLOOKUP([2]!Table27[[#This Row],[Location 
(drop-down)]],'[2]List source'!D$2:E$59,2,FALSE)</f>
        <v>#VALUE!</v>
      </c>
      <c r="C1746" s="99" t="s">
        <v>5044</v>
      </c>
      <c r="D1746" s="100" t="e">
        <f t="shared" si="55"/>
        <v>#VALUE!</v>
      </c>
      <c r="E1746" s="64" t="s">
        <v>5045</v>
      </c>
      <c r="F1746" s="66" t="e" cm="1" vm="1">
        <f t="array" aca="1" ref="F174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6" s="66">
        <v>2.33</v>
      </c>
      <c r="I1746" s="67">
        <v>45818</v>
      </c>
      <c r="J1746" s="67" t="s">
        <v>34</v>
      </c>
      <c r="K1746" s="68">
        <v>45818</v>
      </c>
      <c r="L1746" s="69" t="s">
        <v>1562</v>
      </c>
      <c r="M1746" s="66" t="str">
        <f t="shared" ca="1" si="54"/>
        <v>CLOSED</v>
      </c>
    </row>
    <row r="1747" spans="1:13" ht="30">
      <c r="A1747" s="64" t="s">
        <v>125</v>
      </c>
      <c r="B1747" s="98" t="e">
        <f>VLOOKUP([2]!Table27[[#This Row],[Location 
(drop-down)]],'[2]List source'!D$2:E$59,2,FALSE)</f>
        <v>#VALUE!</v>
      </c>
      <c r="C1747" s="99" t="s">
        <v>5046</v>
      </c>
      <c r="D1747" s="100" t="e">
        <f t="shared" si="55"/>
        <v>#VALUE!</v>
      </c>
      <c r="E1747" s="64" t="s">
        <v>5047</v>
      </c>
      <c r="F1747" s="66" t="e" cm="1" vm="1">
        <f t="array" aca="1" ref="F174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7" s="66">
        <v>2.58</v>
      </c>
      <c r="I1747" s="67">
        <v>45818</v>
      </c>
      <c r="J1747" s="67" t="s">
        <v>239</v>
      </c>
      <c r="K1747" s="68">
        <v>45870</v>
      </c>
      <c r="L1747" s="69"/>
      <c r="M1747" s="66" t="str">
        <f t="shared" ca="1" si="54"/>
        <v>CLOSED</v>
      </c>
    </row>
    <row r="1748" spans="1:13" ht="30">
      <c r="A1748" s="64" t="s">
        <v>125</v>
      </c>
      <c r="B1748" s="98" t="e">
        <f>VLOOKUP([2]!Table27[[#This Row],[Location 
(drop-down)]],'[2]List source'!D$2:E$59,2,FALSE)</f>
        <v>#VALUE!</v>
      </c>
      <c r="C1748" s="99" t="s">
        <v>5048</v>
      </c>
      <c r="D1748" s="100" t="e">
        <f t="shared" si="55"/>
        <v>#VALUE!</v>
      </c>
      <c r="E1748" s="64" t="s">
        <v>5049</v>
      </c>
      <c r="F1748" s="66" t="e" cm="1" vm="1">
        <f t="array" aca="1" ref="F174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8" s="66">
        <v>5.73</v>
      </c>
      <c r="I1748" s="67">
        <v>45818</v>
      </c>
      <c r="J1748" s="67" t="s">
        <v>130</v>
      </c>
      <c r="K1748" s="68">
        <v>45870</v>
      </c>
      <c r="L1748" s="69"/>
      <c r="M1748" s="66" t="str">
        <f t="shared" ca="1" si="54"/>
        <v>CLOSED</v>
      </c>
    </row>
    <row r="1749" spans="1:13" ht="30">
      <c r="A1749" s="64" t="s">
        <v>125</v>
      </c>
      <c r="B1749" s="98" t="e">
        <f>VLOOKUP([2]!Table27[[#This Row],[Location 
(drop-down)]],'[2]List source'!D$2:E$59,2,FALSE)</f>
        <v>#VALUE!</v>
      </c>
      <c r="C1749" s="99" t="s">
        <v>5050</v>
      </c>
      <c r="D1749" s="100" t="e">
        <f t="shared" si="55"/>
        <v>#VALUE!</v>
      </c>
      <c r="E1749" s="64" t="s">
        <v>5051</v>
      </c>
      <c r="F1749" s="66" t="e" cm="1" vm="1">
        <f t="array" aca="1" ref="F174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4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49" s="66">
        <v>3.59</v>
      </c>
      <c r="I1749" s="67">
        <v>45818</v>
      </c>
      <c r="J1749" s="67" t="s">
        <v>239</v>
      </c>
      <c r="K1749" s="68">
        <v>45904</v>
      </c>
      <c r="L1749" s="69"/>
      <c r="M1749" s="66" t="str">
        <f t="shared" ca="1" si="54"/>
        <v>CLOSED</v>
      </c>
    </row>
    <row r="1750" spans="1:13" ht="30">
      <c r="A1750" s="64" t="s">
        <v>125</v>
      </c>
      <c r="B1750" s="98" t="e">
        <f>VLOOKUP([2]!Table27[[#This Row],[Location 
(drop-down)]],'[2]List source'!D$2:E$59,2,FALSE)</f>
        <v>#VALUE!</v>
      </c>
      <c r="C1750" s="99" t="s">
        <v>5052</v>
      </c>
      <c r="D1750" s="100" t="e">
        <f t="shared" si="55"/>
        <v>#VALUE!</v>
      </c>
      <c r="E1750" s="64" t="s">
        <v>5053</v>
      </c>
      <c r="F1750" s="66" t="e" cm="1" vm="1">
        <f t="array" aca="1" ref="F175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0" s="66">
        <v>2.19</v>
      </c>
      <c r="I1750" s="67">
        <v>45818</v>
      </c>
      <c r="J1750" s="67" t="s">
        <v>239</v>
      </c>
      <c r="K1750" s="68">
        <v>45904</v>
      </c>
      <c r="L1750" s="69"/>
      <c r="M1750" s="66" t="str">
        <f t="shared" ca="1" si="54"/>
        <v>CLOSED</v>
      </c>
    </row>
    <row r="1751" spans="1:13" ht="45">
      <c r="A1751" s="64" t="s">
        <v>119</v>
      </c>
      <c r="B1751" s="98" t="e">
        <f>VLOOKUP([2]!Table27[[#This Row],[Location 
(drop-down)]],'[2]List source'!D$2:E$59,2,FALSE)</f>
        <v>#VALUE!</v>
      </c>
      <c r="C1751" s="99" t="s">
        <v>5054</v>
      </c>
      <c r="D1751" s="100" t="e">
        <f t="shared" si="55"/>
        <v>#VALUE!</v>
      </c>
      <c r="E1751" s="64" t="s">
        <v>5055</v>
      </c>
      <c r="F1751" s="66" t="e" cm="1" vm="1">
        <f t="array" aca="1" ref="F175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1" s="110" t="s">
        <v>2004</v>
      </c>
      <c r="I1751" s="67">
        <v>45818</v>
      </c>
      <c r="J1751" s="67" t="s">
        <v>111</v>
      </c>
      <c r="K1751" s="68">
        <v>45959</v>
      </c>
      <c r="L1751" s="69"/>
      <c r="M1751" s="66" t="str">
        <f t="shared" ca="1" si="54"/>
        <v>CLOSED</v>
      </c>
    </row>
    <row r="1752" spans="1:13" ht="30">
      <c r="A1752" s="64" t="s">
        <v>30</v>
      </c>
      <c r="B1752" s="98" t="e">
        <f>VLOOKUP([2]!Table27[[#This Row],[Location 
(drop-down)]],'[2]List source'!D$2:E$59,2,FALSE)</f>
        <v>#VALUE!</v>
      </c>
      <c r="C1752" s="99" t="s">
        <v>5056</v>
      </c>
      <c r="D1752" s="100" t="e">
        <f t="shared" si="55"/>
        <v>#VALUE!</v>
      </c>
      <c r="E1752" s="64" t="s">
        <v>5057</v>
      </c>
      <c r="F1752" s="66" t="e" cm="1" vm="1">
        <f t="array" aca="1" ref="F175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2" s="110" t="s">
        <v>5058</v>
      </c>
      <c r="I1752" s="67">
        <v>45818</v>
      </c>
      <c r="J1752" s="67" t="s">
        <v>47</v>
      </c>
      <c r="K1752" s="68">
        <v>45882</v>
      </c>
      <c r="L1752" s="69"/>
      <c r="M1752" s="66" t="str">
        <f t="shared" ca="1" si="54"/>
        <v>CLOSED</v>
      </c>
    </row>
    <row r="1753" spans="1:13" ht="45">
      <c r="A1753" s="64" t="s">
        <v>103</v>
      </c>
      <c r="B1753" s="98" t="e">
        <f>VLOOKUP([2]!Table27[[#This Row],[Location 
(drop-down)]],'[2]List source'!D$2:E$59,2,FALSE)</f>
        <v>#VALUE!</v>
      </c>
      <c r="C1753" s="99" t="s">
        <v>5059</v>
      </c>
      <c r="D1753" s="100" t="e">
        <f t="shared" si="55"/>
        <v>#VALUE!</v>
      </c>
      <c r="E1753" s="64" t="s">
        <v>5060</v>
      </c>
      <c r="F1753" s="66" t="e" cm="1" vm="1">
        <f t="array" aca="1" ref="F175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3" s="66" t="s">
        <v>1579</v>
      </c>
      <c r="I1753" s="67">
        <v>45818</v>
      </c>
      <c r="J1753" s="67" t="s">
        <v>34</v>
      </c>
      <c r="K1753" s="68">
        <v>45819</v>
      </c>
      <c r="L1753" s="69" t="s">
        <v>1773</v>
      </c>
      <c r="M1753" s="66" t="str">
        <f t="shared" ca="1" si="54"/>
        <v>CLOSED</v>
      </c>
    </row>
    <row r="1754" spans="1:13" ht="90">
      <c r="A1754" s="64" t="s">
        <v>213</v>
      </c>
      <c r="B1754" s="98" t="e">
        <f>VLOOKUP([2]!Table27[[#This Row],[Location 
(drop-down)]],'[2]List source'!D$2:E$59,2,FALSE)</f>
        <v>#VALUE!</v>
      </c>
      <c r="C1754" s="99" t="s">
        <v>5061</v>
      </c>
      <c r="D1754" s="100" t="e">
        <f t="shared" si="55"/>
        <v>#VALUE!</v>
      </c>
      <c r="E1754" s="64" t="s">
        <v>5062</v>
      </c>
      <c r="F1754" s="66" t="e" cm="1" vm="1">
        <f t="array" aca="1" ref="F175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4" s="66">
        <v>2.1</v>
      </c>
      <c r="I1754" s="67">
        <v>45818</v>
      </c>
      <c r="J1754" s="67" t="s">
        <v>34</v>
      </c>
      <c r="K1754" s="68">
        <v>45818</v>
      </c>
      <c r="L1754" s="69" t="s">
        <v>1562</v>
      </c>
      <c r="M1754" s="66" t="str">
        <f t="shared" ca="1" si="54"/>
        <v>CLOSED</v>
      </c>
    </row>
    <row r="1755" spans="1:13" ht="90">
      <c r="A1755" s="64" t="s">
        <v>167</v>
      </c>
      <c r="B1755" s="98" t="e">
        <f>VLOOKUP([2]!Table27[[#This Row],[Location 
(drop-down)]],'[2]List source'!D$2:E$59,2,FALSE)</f>
        <v>#VALUE!</v>
      </c>
      <c r="C1755" s="99" t="s">
        <v>5063</v>
      </c>
      <c r="D1755" s="100" t="e">
        <f t="shared" si="55"/>
        <v>#VALUE!</v>
      </c>
      <c r="E1755" s="64" t="s">
        <v>5064</v>
      </c>
      <c r="F1755" s="66" t="e" cm="1" vm="1">
        <f t="array" aca="1" ref="F175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5" s="110" t="s">
        <v>3418</v>
      </c>
      <c r="I1755" s="67">
        <v>45818</v>
      </c>
      <c r="J1755" s="67" t="s">
        <v>34</v>
      </c>
      <c r="K1755" s="68">
        <v>45818</v>
      </c>
      <c r="L1755" s="69" t="s">
        <v>1562</v>
      </c>
      <c r="M1755" s="66" t="str">
        <f t="shared" ca="1" si="54"/>
        <v>CLOSED</v>
      </c>
    </row>
    <row r="1756" spans="1:13" ht="45">
      <c r="A1756" s="64" t="s">
        <v>73</v>
      </c>
      <c r="B1756" s="98" t="e">
        <f>VLOOKUP([2]!Table27[[#This Row],[Location 
(drop-down)]],'[2]List source'!D$2:E$59,2,FALSE)</f>
        <v>#VALUE!</v>
      </c>
      <c r="C1756" s="99" t="s">
        <v>5065</v>
      </c>
      <c r="D1756" s="100" t="e">
        <f t="shared" si="55"/>
        <v>#VALUE!</v>
      </c>
      <c r="E1756" s="64" t="s">
        <v>5066</v>
      </c>
      <c r="F1756" s="66" t="e" cm="1" vm="1">
        <f t="array" aca="1" ref="F175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6" s="110" t="s">
        <v>5067</v>
      </c>
      <c r="I1756" s="67">
        <v>45818</v>
      </c>
      <c r="J1756" s="67"/>
      <c r="K1756" s="68"/>
      <c r="L1756" s="69"/>
      <c r="M1756" s="66">
        <f t="shared" ca="1" si="54"/>
        <v>260</v>
      </c>
    </row>
    <row r="1757" spans="1:13" ht="30">
      <c r="A1757" s="64" t="s">
        <v>73</v>
      </c>
      <c r="B1757" s="98" t="e">
        <f>VLOOKUP([2]!Table27[[#This Row],[Location 
(drop-down)]],'[2]List source'!D$2:E$59,2,FALSE)</f>
        <v>#VALUE!</v>
      </c>
      <c r="C1757" s="99" t="s">
        <v>5068</v>
      </c>
      <c r="D1757" s="100" t="e">
        <f t="shared" si="55"/>
        <v>#VALUE!</v>
      </c>
      <c r="E1757" s="70" t="s">
        <v>5069</v>
      </c>
      <c r="F1757" s="66" t="e" cm="1" vm="1">
        <f t="array" aca="1" ref="F175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7" s="159" t="s">
        <v>5070</v>
      </c>
      <c r="I1757" s="67">
        <v>45818</v>
      </c>
      <c r="J1757" s="67" t="s">
        <v>327</v>
      </c>
      <c r="K1757" s="68">
        <v>45994</v>
      </c>
      <c r="L1757" s="69"/>
      <c r="M1757" s="66" t="str">
        <f t="shared" ca="1" si="54"/>
        <v>CLOSED</v>
      </c>
    </row>
    <row r="1758" spans="1:13" ht="45">
      <c r="A1758" s="64" t="s">
        <v>73</v>
      </c>
      <c r="B1758" s="98" t="e">
        <f>VLOOKUP([2]!Table27[[#This Row],[Location 
(drop-down)]],'[2]List source'!D$2:E$59,2,FALSE)</f>
        <v>#VALUE!</v>
      </c>
      <c r="C1758" s="99" t="s">
        <v>5071</v>
      </c>
      <c r="D1758" s="100" t="e">
        <f t="shared" si="55"/>
        <v>#VALUE!</v>
      </c>
      <c r="E1758" s="160" t="s">
        <v>5072</v>
      </c>
      <c r="F1758" s="66" t="e" cm="1" vm="1">
        <f t="array" aca="1" ref="F175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8" s="159">
        <v>8.3000000000000007</v>
      </c>
      <c r="I1758" s="67">
        <v>45818</v>
      </c>
      <c r="J1758" s="67" t="s">
        <v>34</v>
      </c>
      <c r="K1758" s="68">
        <v>45870</v>
      </c>
      <c r="L1758" s="69" t="s">
        <v>1505</v>
      </c>
      <c r="M1758" s="66" t="str">
        <f t="shared" ca="1" si="54"/>
        <v>CLOSED</v>
      </c>
    </row>
    <row r="1759" spans="1:13" ht="90">
      <c r="A1759" s="64" t="s">
        <v>485</v>
      </c>
      <c r="B1759" s="98" t="e">
        <f>VLOOKUP([2]!Table27[[#This Row],[Location 
(drop-down)]],'[2]List source'!D$2:E$59,2,FALSE)</f>
        <v>#VALUE!</v>
      </c>
      <c r="C1759" s="99" t="s">
        <v>5073</v>
      </c>
      <c r="D1759" s="100" t="e">
        <f t="shared" si="55"/>
        <v>#VALUE!</v>
      </c>
      <c r="E1759" s="64" t="s">
        <v>5074</v>
      </c>
      <c r="F1759" s="66" t="e" cm="1" vm="1">
        <f t="array" aca="1" ref="F175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59" s="110" t="s">
        <v>5075</v>
      </c>
      <c r="I1759" s="67">
        <v>45818</v>
      </c>
      <c r="J1759" s="67" t="s">
        <v>34</v>
      </c>
      <c r="K1759" s="68">
        <v>45818</v>
      </c>
      <c r="L1759" s="69" t="s">
        <v>1562</v>
      </c>
      <c r="M1759" s="66" t="str">
        <f t="shared" ref="M1759:M1822" ca="1" si="56">IF(ISBLANK(K1759), TODAY()-(I1759), "CLOSED")</f>
        <v>CLOSED</v>
      </c>
    </row>
    <row r="1760" spans="1:13" ht="30">
      <c r="A1760" s="64" t="s">
        <v>485</v>
      </c>
      <c r="B1760" s="98" t="e">
        <f>VLOOKUP([2]!Table27[[#This Row],[Location 
(drop-down)]],'[2]List source'!D$2:E$59,2,FALSE)</f>
        <v>#VALUE!</v>
      </c>
      <c r="C1760" s="99" t="s">
        <v>5076</v>
      </c>
      <c r="D1760" s="100" t="e">
        <f t="shared" si="55"/>
        <v>#VALUE!</v>
      </c>
      <c r="E1760" s="64" t="s">
        <v>5077</v>
      </c>
      <c r="F1760" s="66" t="e" cm="1" vm="1">
        <f t="array" aca="1" ref="F17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0" s="66">
        <v>2.4</v>
      </c>
      <c r="I1760" s="67">
        <v>45818</v>
      </c>
      <c r="J1760" s="67" t="s">
        <v>239</v>
      </c>
      <c r="K1760" s="68">
        <v>45972</v>
      </c>
      <c r="L1760" s="69"/>
      <c r="M1760" s="66" t="str">
        <f t="shared" ca="1" si="56"/>
        <v>CLOSED</v>
      </c>
    </row>
    <row r="1761" spans="1:13" ht="30">
      <c r="A1761" s="64" t="s">
        <v>23</v>
      </c>
      <c r="B1761" s="98" t="e">
        <f>VLOOKUP([2]!Table27[[#This Row],[Location 
(drop-down)]],'[2]List source'!D$2:E$59,2,FALSE)</f>
        <v>#VALUE!</v>
      </c>
      <c r="C1761" s="99" t="s">
        <v>5078</v>
      </c>
      <c r="D1761" s="100" t="e">
        <f t="shared" si="55"/>
        <v>#VALUE!</v>
      </c>
      <c r="E1761" s="64" t="s">
        <v>5079</v>
      </c>
      <c r="F1761" s="66" t="e" cm="1" vm="1">
        <f t="array" aca="1" ref="F176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1" s="66">
        <v>3.19</v>
      </c>
      <c r="I1761" s="67">
        <v>45818</v>
      </c>
      <c r="J1761" s="67" t="s">
        <v>108</v>
      </c>
      <c r="K1761" s="68">
        <v>45911</v>
      </c>
      <c r="L1761" s="69"/>
      <c r="M1761" s="66" t="str">
        <f t="shared" ca="1" si="56"/>
        <v>CLOSED</v>
      </c>
    </row>
    <row r="1762" spans="1:13" ht="60">
      <c r="A1762" s="64" t="s">
        <v>43</v>
      </c>
      <c r="B1762" s="98" t="e">
        <f>VLOOKUP([2]!Table27[[#This Row],[Location 
(drop-down)]],'[2]List source'!D$2:E$59,2,FALSE)</f>
        <v>#VALUE!</v>
      </c>
      <c r="C1762" s="99" t="s">
        <v>5080</v>
      </c>
      <c r="D1762" s="100" t="e">
        <f t="shared" si="55"/>
        <v>#VALUE!</v>
      </c>
      <c r="E1762" s="64" t="s">
        <v>5081</v>
      </c>
      <c r="F1762" s="66" t="e" cm="1" vm="1">
        <f t="array" aca="1" ref="F17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2" s="66" t="s">
        <v>5082</v>
      </c>
      <c r="I1762" s="67">
        <v>45818</v>
      </c>
      <c r="J1762" s="67" t="s">
        <v>29</v>
      </c>
      <c r="K1762" s="68">
        <v>45960</v>
      </c>
      <c r="L1762" s="69"/>
      <c r="M1762" s="66" t="str">
        <f t="shared" ca="1" si="56"/>
        <v>CLOSED</v>
      </c>
    </row>
    <row r="1763" spans="1:13" ht="45">
      <c r="A1763" s="64" t="s">
        <v>714</v>
      </c>
      <c r="B1763" s="98" t="e">
        <f>VLOOKUP([2]!Table27[[#This Row],[Location 
(drop-down)]],'[2]List source'!D$2:E$59,2,FALSE)</f>
        <v>#VALUE!</v>
      </c>
      <c r="C1763" s="99" t="s">
        <v>5083</v>
      </c>
      <c r="D1763" s="100" t="e">
        <f t="shared" si="55"/>
        <v>#VALUE!</v>
      </c>
      <c r="E1763" s="64" t="s">
        <v>5084</v>
      </c>
      <c r="F1763" s="66" t="e" cm="1" vm="1">
        <f t="array" aca="1" ref="F176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3" s="110" t="s">
        <v>5085</v>
      </c>
      <c r="I1763" s="67">
        <v>45818</v>
      </c>
      <c r="J1763" s="67" t="s">
        <v>29</v>
      </c>
      <c r="K1763" s="68">
        <v>45973</v>
      </c>
      <c r="L1763" s="69"/>
      <c r="M1763" s="66" t="str">
        <f t="shared" ca="1" si="56"/>
        <v>CLOSED</v>
      </c>
    </row>
    <row r="1764" spans="1:13" ht="30">
      <c r="A1764" s="64" t="s">
        <v>714</v>
      </c>
      <c r="B1764" s="98" t="e">
        <f>VLOOKUP([2]!Table27[[#This Row],[Location 
(drop-down)]],'[2]List source'!D$2:E$59,2,FALSE)</f>
        <v>#VALUE!</v>
      </c>
      <c r="C1764" s="99" t="s">
        <v>5086</v>
      </c>
      <c r="D1764" s="100" t="e">
        <f t="shared" si="55"/>
        <v>#VALUE!</v>
      </c>
      <c r="E1764" s="64" t="s">
        <v>5087</v>
      </c>
      <c r="F1764" s="66" t="e" cm="1" vm="1">
        <f t="array" aca="1" ref="F17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7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4" s="110" t="s">
        <v>5088</v>
      </c>
      <c r="I1764" s="67">
        <v>45818</v>
      </c>
      <c r="J1764" s="67" t="s">
        <v>29</v>
      </c>
      <c r="K1764" s="68">
        <v>46034</v>
      </c>
      <c r="L1764" s="69"/>
      <c r="M1764" s="66" t="str">
        <f t="shared" ca="1" si="56"/>
        <v>CLOSED</v>
      </c>
    </row>
    <row r="1765" spans="1:13" ht="30">
      <c r="A1765" s="64" t="s">
        <v>156</v>
      </c>
      <c r="B1765" s="98" t="e">
        <f>VLOOKUP([2]!Table27[[#This Row],[Location 
(drop-down)]],'[2]List source'!D$2:E$59,2,FALSE)</f>
        <v>#VALUE!</v>
      </c>
      <c r="C1765" s="99" t="s">
        <v>5089</v>
      </c>
      <c r="D1765" s="100" t="e">
        <f t="shared" si="55"/>
        <v>#VALUE!</v>
      </c>
      <c r="E1765" s="64" t="s">
        <v>5090</v>
      </c>
      <c r="F1765" s="66" t="s">
        <v>1520</v>
      </c>
      <c r="G17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5" s="110" t="s">
        <v>3645</v>
      </c>
      <c r="I1765" s="67">
        <v>45819</v>
      </c>
      <c r="J1765" s="67" t="s">
        <v>29</v>
      </c>
      <c r="K1765" s="68">
        <v>46070</v>
      </c>
      <c r="L1765" s="69"/>
      <c r="M1765" s="66" t="str">
        <f t="shared" ca="1" si="56"/>
        <v>CLOSED</v>
      </c>
    </row>
    <row r="1766" spans="1:13" ht="30">
      <c r="A1766" s="64" t="s">
        <v>1253</v>
      </c>
      <c r="B1766" s="98" t="e">
        <f>VLOOKUP([2]!Table27[[#This Row],[Location 
(drop-down)]],'[2]List source'!D$2:E$59,2,FALSE)</f>
        <v>#VALUE!</v>
      </c>
      <c r="C1766" s="99" t="s">
        <v>5091</v>
      </c>
      <c r="D1766" s="100" t="e">
        <f t="shared" si="55"/>
        <v>#VALUE!</v>
      </c>
      <c r="E1766" s="64" t="s">
        <v>5092</v>
      </c>
      <c r="F1766" s="66" t="s">
        <v>1520</v>
      </c>
      <c r="G17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6" s="110">
        <v>2.0099999999999998</v>
      </c>
      <c r="I1766" s="67">
        <v>45819</v>
      </c>
      <c r="J1766" s="67" t="s">
        <v>310</v>
      </c>
      <c r="K1766" s="68">
        <v>45994</v>
      </c>
      <c r="L1766" s="69"/>
      <c r="M1766" s="66" t="str">
        <f t="shared" ca="1" si="56"/>
        <v>CLOSED</v>
      </c>
    </row>
    <row r="1767" spans="1:13" ht="90">
      <c r="A1767" s="64" t="s">
        <v>1253</v>
      </c>
      <c r="B1767" s="98" t="e">
        <f>VLOOKUP([2]!Table27[[#This Row],[Location 
(drop-down)]],'[2]List source'!D$2:E$59,2,FALSE)</f>
        <v>#VALUE!</v>
      </c>
      <c r="C1767" s="99" t="s">
        <v>5093</v>
      </c>
      <c r="D1767" s="100" t="e">
        <f t="shared" si="55"/>
        <v>#VALUE!</v>
      </c>
      <c r="E1767" s="64" t="s">
        <v>5094</v>
      </c>
      <c r="F1767" s="66" t="s">
        <v>1520</v>
      </c>
      <c r="G17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7" s="66"/>
      <c r="I1767" s="67">
        <v>45819</v>
      </c>
      <c r="J1767" s="67" t="s">
        <v>34</v>
      </c>
      <c r="K1767" s="68">
        <v>45819</v>
      </c>
      <c r="L1767" s="69" t="s">
        <v>1562</v>
      </c>
      <c r="M1767" s="66" t="str">
        <f t="shared" ca="1" si="56"/>
        <v>CLOSED</v>
      </c>
    </row>
    <row r="1768" spans="1:13" ht="30">
      <c r="A1768" s="64" t="s">
        <v>1253</v>
      </c>
      <c r="B1768" s="98" t="e">
        <f>VLOOKUP([2]!Table27[[#This Row],[Location 
(drop-down)]],'[2]List source'!D$2:E$59,2,FALSE)</f>
        <v>#VALUE!</v>
      </c>
      <c r="C1768" s="99" t="s">
        <v>5095</v>
      </c>
      <c r="D1768" s="100" t="e">
        <f t="shared" si="55"/>
        <v>#VALUE!</v>
      </c>
      <c r="E1768" s="64" t="s">
        <v>5096</v>
      </c>
      <c r="F1768" s="66" t="s">
        <v>1520</v>
      </c>
      <c r="G17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8" s="110" t="s">
        <v>5097</v>
      </c>
      <c r="I1768" s="67">
        <v>45819</v>
      </c>
      <c r="J1768" s="67" t="s">
        <v>310</v>
      </c>
      <c r="K1768" s="68">
        <v>45994</v>
      </c>
      <c r="L1768" s="69"/>
      <c r="M1768" s="66" t="str">
        <f t="shared" ca="1" si="56"/>
        <v>CLOSED</v>
      </c>
    </row>
    <row r="1769" spans="1:13" ht="45">
      <c r="A1769" s="64" t="s">
        <v>39</v>
      </c>
      <c r="B1769" s="98" t="e">
        <f>VLOOKUP([2]!Table27[[#This Row],[Location 
(drop-down)]],'[2]List source'!D$2:E$59,2,FALSE)</f>
        <v>#VALUE!</v>
      </c>
      <c r="C1769" s="99" t="s">
        <v>5098</v>
      </c>
      <c r="D1769" s="100" t="e">
        <f t="shared" si="55"/>
        <v>#VALUE!</v>
      </c>
      <c r="E1769" s="64" t="s">
        <v>5099</v>
      </c>
      <c r="F1769" s="66" t="s">
        <v>1520</v>
      </c>
      <c r="G17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69" s="66">
        <v>2.19</v>
      </c>
      <c r="I1769" s="67">
        <v>45819</v>
      </c>
      <c r="J1769" s="67" t="s">
        <v>34</v>
      </c>
      <c r="K1769" s="68">
        <v>45824</v>
      </c>
      <c r="L1769" s="69" t="s">
        <v>1505</v>
      </c>
      <c r="M1769" s="66" t="str">
        <f t="shared" ca="1" si="56"/>
        <v>CLOSED</v>
      </c>
    </row>
    <row r="1770" spans="1:13" ht="30">
      <c r="A1770" s="64" t="s">
        <v>462</v>
      </c>
      <c r="B1770" s="98" t="e">
        <f>VLOOKUP([2]!Table27[[#This Row],[Location 
(drop-down)]],'[2]List source'!D$2:E$59,2,FALSE)</f>
        <v>#VALUE!</v>
      </c>
      <c r="C1770" s="99" t="s">
        <v>5100</v>
      </c>
      <c r="D1770" s="100" t="e">
        <f t="shared" si="55"/>
        <v>#VALUE!</v>
      </c>
      <c r="E1770" s="64" t="s">
        <v>5101</v>
      </c>
      <c r="F1770" s="66" t="s">
        <v>1520</v>
      </c>
      <c r="G17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0" s="110" t="s">
        <v>1965</v>
      </c>
      <c r="I1770" s="67">
        <v>45819</v>
      </c>
      <c r="J1770" s="67" t="s">
        <v>108</v>
      </c>
      <c r="K1770" s="68">
        <v>45931</v>
      </c>
      <c r="L1770" s="69"/>
      <c r="M1770" s="66" t="str">
        <f t="shared" ca="1" si="56"/>
        <v>CLOSED</v>
      </c>
    </row>
    <row r="1771" spans="1:13" ht="30">
      <c r="A1771" s="64" t="s">
        <v>119</v>
      </c>
      <c r="B1771" s="98" t="e">
        <f>VLOOKUP([2]!Table27[[#This Row],[Location 
(drop-down)]],'[2]List source'!D$2:E$59,2,FALSE)</f>
        <v>#VALUE!</v>
      </c>
      <c r="C1771" s="99" t="s">
        <v>5102</v>
      </c>
      <c r="D1771" s="100" t="e">
        <f t="shared" si="55"/>
        <v>#VALUE!</v>
      </c>
      <c r="E1771" s="64" t="s">
        <v>5103</v>
      </c>
      <c r="F1771" s="66" t="s">
        <v>1520</v>
      </c>
      <c r="G17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1" s="110" t="s">
        <v>5104</v>
      </c>
      <c r="I1771" s="67">
        <v>45819</v>
      </c>
      <c r="J1771" s="67" t="s">
        <v>111</v>
      </c>
      <c r="K1771" s="68">
        <v>45915</v>
      </c>
      <c r="L1771" s="69"/>
      <c r="M1771" s="66" t="str">
        <f t="shared" ca="1" si="56"/>
        <v>CLOSED</v>
      </c>
    </row>
    <row r="1772" spans="1:13" ht="30">
      <c r="A1772" s="64" t="s">
        <v>119</v>
      </c>
      <c r="B1772" s="98" t="e">
        <f>VLOOKUP([2]!Table27[[#This Row],[Location 
(drop-down)]],'[2]List source'!D$2:E$59,2,FALSE)</f>
        <v>#VALUE!</v>
      </c>
      <c r="C1772" s="99" t="s">
        <v>5105</v>
      </c>
      <c r="D1772" s="100" t="e">
        <f t="shared" si="55"/>
        <v>#VALUE!</v>
      </c>
      <c r="E1772" s="64" t="s">
        <v>5106</v>
      </c>
      <c r="F1772" s="66" t="s">
        <v>1520</v>
      </c>
      <c r="G17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2" s="66">
        <v>2.2000000000000002</v>
      </c>
      <c r="I1772" s="67">
        <v>45819</v>
      </c>
      <c r="J1772" s="67" t="s">
        <v>111</v>
      </c>
      <c r="K1772" s="68">
        <v>45924</v>
      </c>
      <c r="L1772" s="69"/>
      <c r="M1772" s="66" t="str">
        <f t="shared" ca="1" si="56"/>
        <v>CLOSED</v>
      </c>
    </row>
    <row r="1773" spans="1:13" ht="30">
      <c r="A1773" s="64" t="s">
        <v>119</v>
      </c>
      <c r="B1773" s="98" t="e">
        <f>VLOOKUP([2]!Table27[[#This Row],[Location 
(drop-down)]],'[2]List source'!D$2:E$59,2,FALSE)</f>
        <v>#VALUE!</v>
      </c>
      <c r="C1773" s="99" t="s">
        <v>5107</v>
      </c>
      <c r="D1773" s="100" t="e">
        <f t="shared" si="55"/>
        <v>#VALUE!</v>
      </c>
      <c r="E1773" s="64" t="s">
        <v>5108</v>
      </c>
      <c r="F1773" s="66" t="s">
        <v>1520</v>
      </c>
      <c r="G17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3" s="66">
        <v>2.25</v>
      </c>
      <c r="I1773" s="67">
        <v>45819</v>
      </c>
      <c r="J1773" s="67" t="s">
        <v>111</v>
      </c>
      <c r="K1773" s="68">
        <v>45924</v>
      </c>
      <c r="L1773" s="69"/>
      <c r="M1773" s="66" t="str">
        <f t="shared" ca="1" si="56"/>
        <v>CLOSED</v>
      </c>
    </row>
    <row r="1774" spans="1:13" ht="30">
      <c r="A1774" s="64" t="s">
        <v>119</v>
      </c>
      <c r="B1774" s="98" t="e">
        <f>VLOOKUP([2]!Table27[[#This Row],[Location 
(drop-down)]],'[2]List source'!D$2:E$59,2,FALSE)</f>
        <v>#VALUE!</v>
      </c>
      <c r="C1774" s="99" t="s">
        <v>5109</v>
      </c>
      <c r="D1774" s="100" t="e">
        <f t="shared" si="55"/>
        <v>#VALUE!</v>
      </c>
      <c r="E1774" s="64" t="s">
        <v>5110</v>
      </c>
      <c r="F1774" s="66" t="s">
        <v>1520</v>
      </c>
      <c r="G17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4" s="66">
        <v>10.99</v>
      </c>
      <c r="I1774" s="67">
        <v>45819</v>
      </c>
      <c r="J1774" s="67" t="s">
        <v>111</v>
      </c>
      <c r="K1774" s="68">
        <v>45918</v>
      </c>
      <c r="L1774" s="69"/>
      <c r="M1774" s="66" t="str">
        <f t="shared" ca="1" si="56"/>
        <v>CLOSED</v>
      </c>
    </row>
    <row r="1775" spans="1:13" ht="90">
      <c r="A1775" s="64" t="s">
        <v>30</v>
      </c>
      <c r="B1775" s="98" t="e">
        <f>VLOOKUP([2]!Table27[[#This Row],[Location 
(drop-down)]],'[2]List source'!D$2:E$59,2,FALSE)</f>
        <v>#VALUE!</v>
      </c>
      <c r="C1775" s="99" t="s">
        <v>5111</v>
      </c>
      <c r="D1775" s="100" t="e">
        <f t="shared" si="55"/>
        <v>#VALUE!</v>
      </c>
      <c r="E1775" s="64" t="s">
        <v>5112</v>
      </c>
      <c r="F1775" s="66" t="s">
        <v>1520</v>
      </c>
      <c r="G17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5" s="66"/>
      <c r="I1775" s="67">
        <v>45819</v>
      </c>
      <c r="J1775" s="67" t="s">
        <v>34</v>
      </c>
      <c r="K1775" s="68">
        <v>45819</v>
      </c>
      <c r="L1775" s="69" t="s">
        <v>1562</v>
      </c>
      <c r="M1775" s="66" t="str">
        <f t="shared" ca="1" si="56"/>
        <v>CLOSED</v>
      </c>
    </row>
    <row r="1776" spans="1:13" ht="30">
      <c r="A1776" s="64" t="s">
        <v>30</v>
      </c>
      <c r="B1776" s="98" t="e">
        <f>VLOOKUP([2]!Table27[[#This Row],[Location 
(drop-down)]],'[2]List source'!D$2:E$59,2,FALSE)</f>
        <v>#VALUE!</v>
      </c>
      <c r="C1776" s="99" t="s">
        <v>5113</v>
      </c>
      <c r="D1776" s="100" t="e">
        <f t="shared" si="55"/>
        <v>#VALUE!</v>
      </c>
      <c r="E1776" s="64" t="s">
        <v>5114</v>
      </c>
      <c r="F1776" s="66" t="s">
        <v>1520</v>
      </c>
      <c r="G17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6" s="66">
        <v>3</v>
      </c>
      <c r="I1776" s="67">
        <v>45819</v>
      </c>
      <c r="J1776" s="67" t="s">
        <v>111</v>
      </c>
      <c r="K1776" s="68">
        <v>45922</v>
      </c>
      <c r="L1776" s="69"/>
      <c r="M1776" s="66" t="str">
        <f t="shared" ca="1" si="56"/>
        <v>CLOSED</v>
      </c>
    </row>
    <row r="1777" spans="1:13" ht="90">
      <c r="A1777" s="64" t="s">
        <v>30</v>
      </c>
      <c r="B1777" s="98" t="e">
        <f>VLOOKUP([2]!Table27[[#This Row],[Location 
(drop-down)]],'[2]List source'!D$2:E$59,2,FALSE)</f>
        <v>#VALUE!</v>
      </c>
      <c r="C1777" s="99" t="s">
        <v>5115</v>
      </c>
      <c r="D1777" s="100" t="e">
        <f t="shared" si="55"/>
        <v>#VALUE!</v>
      </c>
      <c r="E1777" s="64" t="s">
        <v>5116</v>
      </c>
      <c r="F1777" s="66" t="s">
        <v>1520</v>
      </c>
      <c r="G17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7" s="110"/>
      <c r="I1777" s="67">
        <v>45819</v>
      </c>
      <c r="J1777" s="67" t="s">
        <v>34</v>
      </c>
      <c r="K1777" s="68">
        <v>45819</v>
      </c>
      <c r="L1777" s="69" t="s">
        <v>1562</v>
      </c>
      <c r="M1777" s="66" t="str">
        <f t="shared" ca="1" si="56"/>
        <v>CLOSED</v>
      </c>
    </row>
    <row r="1778" spans="1:13" ht="45">
      <c r="A1778" s="64" t="s">
        <v>314</v>
      </c>
      <c r="B1778" s="98" t="e">
        <f>VLOOKUP([2]!Table27[[#This Row],[Location 
(drop-down)]],'[2]List source'!D$2:E$59,2,FALSE)</f>
        <v>#VALUE!</v>
      </c>
      <c r="C1778" s="99" t="s">
        <v>5117</v>
      </c>
      <c r="D1778" s="100" t="e">
        <f t="shared" si="55"/>
        <v>#VALUE!</v>
      </c>
      <c r="E1778" s="64" t="s">
        <v>5118</v>
      </c>
      <c r="F1778" s="66" t="s">
        <v>1520</v>
      </c>
      <c r="G17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8" s="110" t="s">
        <v>1962</v>
      </c>
      <c r="I1778" s="67">
        <v>45819</v>
      </c>
      <c r="J1778" s="67" t="s">
        <v>327</v>
      </c>
      <c r="K1778" s="68">
        <v>45973</v>
      </c>
      <c r="L1778" s="69"/>
      <c r="M1778" s="66" t="str">
        <f t="shared" ca="1" si="56"/>
        <v>CLOSED</v>
      </c>
    </row>
    <row r="1779" spans="1:13" ht="45">
      <c r="A1779" s="64" t="s">
        <v>314</v>
      </c>
      <c r="B1779" s="98" t="e">
        <f>VLOOKUP([2]!Table27[[#This Row],[Location 
(drop-down)]],'[2]List source'!D$2:E$59,2,FALSE)</f>
        <v>#VALUE!</v>
      </c>
      <c r="C1779" s="99" t="s">
        <v>5119</v>
      </c>
      <c r="D1779" s="100" t="e">
        <f t="shared" si="55"/>
        <v>#VALUE!</v>
      </c>
      <c r="E1779" s="64" t="s">
        <v>5120</v>
      </c>
      <c r="F1779" s="66" t="s">
        <v>1520</v>
      </c>
      <c r="G17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79" s="110" t="s">
        <v>5121</v>
      </c>
      <c r="I1779" s="67">
        <v>45819</v>
      </c>
      <c r="J1779" s="67" t="s">
        <v>327</v>
      </c>
      <c r="K1779" s="68">
        <v>45916</v>
      </c>
      <c r="L1779" s="69"/>
      <c r="M1779" s="66" t="str">
        <f t="shared" ca="1" si="56"/>
        <v>CLOSED</v>
      </c>
    </row>
    <row r="1780" spans="1:13" ht="30">
      <c r="A1780" s="64" t="s">
        <v>294</v>
      </c>
      <c r="B1780" s="98" t="e">
        <f>VLOOKUP([2]!Table27[[#This Row],[Location 
(drop-down)]],'[2]List source'!D$2:E$59,2,FALSE)</f>
        <v>#VALUE!</v>
      </c>
      <c r="C1780" s="99" t="s">
        <v>5122</v>
      </c>
      <c r="D1780" s="100" t="e">
        <f t="shared" si="55"/>
        <v>#VALUE!</v>
      </c>
      <c r="E1780" s="64" t="s">
        <v>5123</v>
      </c>
      <c r="F1780" s="66" t="s">
        <v>1520</v>
      </c>
      <c r="G17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0" s="110" t="s">
        <v>5124</v>
      </c>
      <c r="I1780" s="67">
        <v>45819</v>
      </c>
      <c r="J1780" s="67"/>
      <c r="K1780" s="68"/>
      <c r="L1780" s="69"/>
      <c r="M1780" s="66">
        <f t="shared" ca="1" si="56"/>
        <v>259</v>
      </c>
    </row>
    <row r="1781" spans="1:13" ht="30">
      <c r="A1781" s="64" t="s">
        <v>294</v>
      </c>
      <c r="B1781" s="98" t="e">
        <f>VLOOKUP([2]!Table27[[#This Row],[Location 
(drop-down)]],'[2]List source'!D$2:E$59,2,FALSE)</f>
        <v>#VALUE!</v>
      </c>
      <c r="C1781" s="99" t="s">
        <v>5125</v>
      </c>
      <c r="D1781" s="100" t="e">
        <f t="shared" si="55"/>
        <v>#VALUE!</v>
      </c>
      <c r="E1781" s="64" t="s">
        <v>5126</v>
      </c>
      <c r="F1781" s="66" t="s">
        <v>1520</v>
      </c>
      <c r="G17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1" s="66">
        <v>83.12</v>
      </c>
      <c r="I1781" s="67">
        <v>45819</v>
      </c>
      <c r="J1781" s="67"/>
      <c r="K1781" s="68"/>
      <c r="L1781" s="69"/>
      <c r="M1781" s="66">
        <f t="shared" ca="1" si="56"/>
        <v>259</v>
      </c>
    </row>
    <row r="1782" spans="1:13" ht="30">
      <c r="A1782" s="64" t="s">
        <v>53</v>
      </c>
      <c r="B1782" s="98" t="e">
        <f>VLOOKUP([2]!Table27[[#This Row],[Location 
(drop-down)]],'[2]List source'!D$2:E$59,2,FALSE)</f>
        <v>#VALUE!</v>
      </c>
      <c r="C1782" s="99" t="s">
        <v>5127</v>
      </c>
      <c r="D1782" s="100" t="e">
        <f t="shared" si="55"/>
        <v>#VALUE!</v>
      </c>
      <c r="E1782" s="64" t="s">
        <v>5128</v>
      </c>
      <c r="F1782" s="66" t="s">
        <v>1520</v>
      </c>
      <c r="G17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2" s="110">
        <v>27.09</v>
      </c>
      <c r="I1782" s="67">
        <v>45819</v>
      </c>
      <c r="J1782" s="67" t="s">
        <v>327</v>
      </c>
      <c r="K1782" s="68">
        <v>45885</v>
      </c>
      <c r="L1782" s="69"/>
      <c r="M1782" s="66" t="str">
        <f t="shared" ca="1" si="56"/>
        <v>CLOSED</v>
      </c>
    </row>
    <row r="1783" spans="1:13" ht="90">
      <c r="A1783" s="64" t="s">
        <v>73</v>
      </c>
      <c r="B1783" s="98" t="e">
        <f>VLOOKUP([2]!Table27[[#This Row],[Location 
(drop-down)]],'[2]List source'!D$2:E$59,2,FALSE)</f>
        <v>#VALUE!</v>
      </c>
      <c r="C1783" s="99" t="s">
        <v>5129</v>
      </c>
      <c r="D1783" s="100" t="e">
        <f t="shared" si="55"/>
        <v>#VALUE!</v>
      </c>
      <c r="E1783" s="64" t="s">
        <v>5130</v>
      </c>
      <c r="F1783" s="66" t="s">
        <v>1520</v>
      </c>
      <c r="G17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3" s="66"/>
      <c r="I1783" s="67">
        <v>45819</v>
      </c>
      <c r="J1783" s="67" t="s">
        <v>34</v>
      </c>
      <c r="K1783" s="68">
        <v>45819</v>
      </c>
      <c r="L1783" s="69" t="s">
        <v>1562</v>
      </c>
      <c r="M1783" s="66" t="str">
        <f t="shared" ca="1" si="56"/>
        <v>CLOSED</v>
      </c>
    </row>
    <row r="1784" spans="1:13" ht="30">
      <c r="A1784" s="64" t="s">
        <v>73</v>
      </c>
      <c r="B1784" s="98" t="e">
        <f>VLOOKUP([2]!Table27[[#This Row],[Location 
(drop-down)]],'[2]List source'!D$2:E$59,2,FALSE)</f>
        <v>#VALUE!</v>
      </c>
      <c r="C1784" s="99" t="s">
        <v>5131</v>
      </c>
      <c r="D1784" s="100" t="e">
        <f t="shared" si="55"/>
        <v>#VALUE!</v>
      </c>
      <c r="E1784" s="64" t="s">
        <v>5132</v>
      </c>
      <c r="F1784" s="66" t="s">
        <v>1520</v>
      </c>
      <c r="G17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4" s="110" t="s">
        <v>1764</v>
      </c>
      <c r="I1784" s="67">
        <v>45819</v>
      </c>
      <c r="J1784" s="67" t="s">
        <v>327</v>
      </c>
      <c r="K1784" s="68">
        <v>45916</v>
      </c>
      <c r="L1784" s="69"/>
      <c r="M1784" s="66" t="str">
        <f t="shared" ca="1" si="56"/>
        <v>CLOSED</v>
      </c>
    </row>
    <row r="1785" spans="1:13" ht="30">
      <c r="A1785" s="64" t="s">
        <v>73</v>
      </c>
      <c r="B1785" s="98" t="e">
        <f>VLOOKUP([2]!Table27[[#This Row],[Location 
(drop-down)]],'[2]List source'!D$2:E$59,2,FALSE)</f>
        <v>#VALUE!</v>
      </c>
      <c r="C1785" s="99" t="s">
        <v>5133</v>
      </c>
      <c r="D1785" s="100" t="e">
        <f t="shared" si="55"/>
        <v>#VALUE!</v>
      </c>
      <c r="E1785" s="64" t="s">
        <v>5134</v>
      </c>
      <c r="F1785" s="66" t="s">
        <v>1520</v>
      </c>
      <c r="G17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5" s="110">
        <v>2.37</v>
      </c>
      <c r="I1785" s="67">
        <v>45819</v>
      </c>
      <c r="J1785" s="67" t="s">
        <v>327</v>
      </c>
      <c r="K1785" s="68">
        <v>45916</v>
      </c>
      <c r="L1785" s="69"/>
      <c r="M1785" s="66" t="str">
        <f t="shared" ca="1" si="56"/>
        <v>CLOSED</v>
      </c>
    </row>
    <row r="1786" spans="1:13" ht="90">
      <c r="A1786" s="64" t="s">
        <v>485</v>
      </c>
      <c r="B1786" s="98" t="e">
        <f>VLOOKUP([2]!Table27[[#This Row],[Location 
(drop-down)]],'[2]List source'!D$2:E$59,2,FALSE)</f>
        <v>#VALUE!</v>
      </c>
      <c r="C1786" s="99" t="s">
        <v>5135</v>
      </c>
      <c r="D1786" s="100" t="e">
        <f t="shared" si="55"/>
        <v>#VALUE!</v>
      </c>
      <c r="E1786" s="64" t="s">
        <v>5136</v>
      </c>
      <c r="F1786" s="66" t="s">
        <v>1520</v>
      </c>
      <c r="G17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6" s="110"/>
      <c r="I1786" s="67">
        <v>45819</v>
      </c>
      <c r="J1786" s="67" t="s">
        <v>34</v>
      </c>
      <c r="K1786" s="68">
        <v>45819</v>
      </c>
      <c r="L1786" s="69" t="s">
        <v>1562</v>
      </c>
      <c r="M1786" s="66" t="str">
        <f t="shared" ca="1" si="56"/>
        <v>CLOSED</v>
      </c>
    </row>
    <row r="1787" spans="1:13" ht="90">
      <c r="A1787" s="64" t="s">
        <v>485</v>
      </c>
      <c r="B1787" s="98" t="e">
        <f>VLOOKUP([2]!Table27[[#This Row],[Location 
(drop-down)]],'[2]List source'!D$2:E$59,2,FALSE)</f>
        <v>#VALUE!</v>
      </c>
      <c r="C1787" s="99" t="s">
        <v>5137</v>
      </c>
      <c r="D1787" s="100" t="e">
        <f t="shared" si="55"/>
        <v>#VALUE!</v>
      </c>
      <c r="E1787" s="64" t="s">
        <v>5138</v>
      </c>
      <c r="F1787" s="66" t="s">
        <v>1520</v>
      </c>
      <c r="G17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7" s="66"/>
      <c r="I1787" s="67">
        <v>45819</v>
      </c>
      <c r="J1787" s="67" t="s">
        <v>34</v>
      </c>
      <c r="K1787" s="68">
        <v>45819</v>
      </c>
      <c r="L1787" s="69" t="s">
        <v>1562</v>
      </c>
      <c r="M1787" s="66" t="str">
        <f t="shared" ca="1" si="56"/>
        <v>CLOSED</v>
      </c>
    </row>
    <row r="1788" spans="1:13" ht="90">
      <c r="A1788" s="64" t="s">
        <v>485</v>
      </c>
      <c r="B1788" s="98" t="e">
        <f>VLOOKUP([2]!Table27[[#This Row],[Location 
(drop-down)]],'[2]List source'!D$2:E$59,2,FALSE)</f>
        <v>#VALUE!</v>
      </c>
      <c r="C1788" s="99" t="s">
        <v>5139</v>
      </c>
      <c r="D1788" s="100" t="e">
        <f t="shared" si="55"/>
        <v>#VALUE!</v>
      </c>
      <c r="E1788" s="161" t="s">
        <v>5140</v>
      </c>
      <c r="F1788" s="66" t="s">
        <v>1520</v>
      </c>
      <c r="G17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8" s="17"/>
      <c r="I1788" s="67">
        <v>45819</v>
      </c>
      <c r="J1788" s="67" t="s">
        <v>34</v>
      </c>
      <c r="K1788" s="68">
        <v>45819</v>
      </c>
      <c r="L1788" s="69" t="s">
        <v>1562</v>
      </c>
      <c r="M1788" s="66" t="str">
        <f t="shared" ca="1" si="56"/>
        <v>CLOSED</v>
      </c>
    </row>
    <row r="1789" spans="1:13" ht="30">
      <c r="A1789" s="64" t="s">
        <v>485</v>
      </c>
      <c r="B1789" s="98" t="e">
        <f>VLOOKUP([2]!Table27[[#This Row],[Location 
(drop-down)]],'[2]List source'!D$2:E$59,2,FALSE)</f>
        <v>#VALUE!</v>
      </c>
      <c r="C1789" s="99" t="s">
        <v>5141</v>
      </c>
      <c r="D1789" s="100" t="e">
        <f t="shared" si="55"/>
        <v>#VALUE!</v>
      </c>
      <c r="E1789" s="161" t="s">
        <v>5142</v>
      </c>
      <c r="F1789" s="66" t="s">
        <v>1520</v>
      </c>
      <c r="G17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89" s="162">
        <v>2.69</v>
      </c>
      <c r="I1789" s="67">
        <v>45819</v>
      </c>
      <c r="J1789" s="67" t="s">
        <v>239</v>
      </c>
      <c r="K1789" s="68">
        <v>45932</v>
      </c>
      <c r="L1789" s="69"/>
      <c r="M1789" s="66" t="str">
        <f t="shared" ca="1" si="56"/>
        <v>CLOSED</v>
      </c>
    </row>
    <row r="1790" spans="1:13" ht="45">
      <c r="A1790" s="64" t="s">
        <v>500</v>
      </c>
      <c r="B1790" s="98" t="e">
        <f>VLOOKUP([2]!Table27[[#This Row],[Location 
(drop-down)]],'[2]List source'!D$2:E$59,2,FALSE)</f>
        <v>#VALUE!</v>
      </c>
      <c r="C1790" s="99" t="s">
        <v>5143</v>
      </c>
      <c r="D1790" s="100" t="e">
        <f t="shared" si="55"/>
        <v>#VALUE!</v>
      </c>
      <c r="E1790" s="161" t="s">
        <v>5144</v>
      </c>
      <c r="F1790" s="66" t="s">
        <v>1520</v>
      </c>
      <c r="G17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0" s="162" t="s">
        <v>5145</v>
      </c>
      <c r="I1790" s="67">
        <v>45819</v>
      </c>
      <c r="J1790" s="67" t="s">
        <v>310</v>
      </c>
      <c r="K1790" s="68">
        <v>45847</v>
      </c>
      <c r="L1790" s="69"/>
      <c r="M1790" s="66" t="str">
        <f t="shared" ca="1" si="56"/>
        <v>CLOSED</v>
      </c>
    </row>
    <row r="1791" spans="1:13" ht="45">
      <c r="A1791" s="64" t="s">
        <v>500</v>
      </c>
      <c r="B1791" s="98" t="e">
        <f>VLOOKUP([2]!Table27[[#This Row],[Location 
(drop-down)]],'[2]List source'!D$2:E$59,2,FALSE)</f>
        <v>#VALUE!</v>
      </c>
      <c r="C1791" s="99" t="s">
        <v>5146</v>
      </c>
      <c r="D1791" s="100" t="e">
        <f t="shared" si="55"/>
        <v>#VALUE!</v>
      </c>
      <c r="E1791" s="161" t="s">
        <v>5147</v>
      </c>
      <c r="F1791" s="66" t="s">
        <v>1520</v>
      </c>
      <c r="G17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1" s="17" t="s">
        <v>5148</v>
      </c>
      <c r="I1791" s="67">
        <v>45819</v>
      </c>
      <c r="J1791" s="67" t="s">
        <v>310</v>
      </c>
      <c r="K1791" s="68">
        <v>46052</v>
      </c>
      <c r="L1791" s="69"/>
      <c r="M1791" s="66" t="str">
        <f t="shared" ca="1" si="56"/>
        <v>CLOSED</v>
      </c>
    </row>
    <row r="1792" spans="1:13" ht="30">
      <c r="A1792" s="64" t="s">
        <v>500</v>
      </c>
      <c r="B1792" s="98" t="e">
        <f>VLOOKUP([2]!Table27[[#This Row],[Location 
(drop-down)]],'[2]List source'!D$2:E$59,2,FALSE)</f>
        <v>#VALUE!</v>
      </c>
      <c r="C1792" s="99" t="s">
        <v>5149</v>
      </c>
      <c r="D1792" s="100" t="e">
        <f t="shared" si="55"/>
        <v>#VALUE!</v>
      </c>
      <c r="E1792" s="161" t="s">
        <v>5150</v>
      </c>
      <c r="F1792" s="66" t="s">
        <v>1520</v>
      </c>
      <c r="G17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2" s="17">
        <v>4.32</v>
      </c>
      <c r="I1792" s="67">
        <v>45819</v>
      </c>
      <c r="J1792" s="67" t="s">
        <v>310</v>
      </c>
      <c r="K1792" s="68">
        <v>45868</v>
      </c>
      <c r="L1792" s="69"/>
      <c r="M1792" s="66" t="str">
        <f t="shared" ca="1" si="56"/>
        <v>CLOSED</v>
      </c>
    </row>
    <row r="1793" spans="1:13" ht="45">
      <c r="A1793" s="64" t="s">
        <v>202</v>
      </c>
      <c r="B1793" s="98" t="e">
        <f>VLOOKUP([2]!Table27[[#This Row],[Location 
(drop-down)]],'[2]List source'!D$2:E$59,2,FALSE)</f>
        <v>#VALUE!</v>
      </c>
      <c r="C1793" s="99" t="s">
        <v>5151</v>
      </c>
      <c r="D1793" s="100" t="e">
        <f t="shared" si="55"/>
        <v>#VALUE!</v>
      </c>
      <c r="E1793" s="64" t="s">
        <v>5152</v>
      </c>
      <c r="F1793" s="66" t="s">
        <v>1520</v>
      </c>
      <c r="G17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3" s="110">
        <v>7.91</v>
      </c>
      <c r="I1793" s="67">
        <v>45819</v>
      </c>
      <c r="J1793" s="67" t="s">
        <v>34</v>
      </c>
      <c r="K1793" s="68">
        <v>45820</v>
      </c>
      <c r="L1793" s="69" t="s">
        <v>1505</v>
      </c>
      <c r="M1793" s="66" t="str">
        <f t="shared" ca="1" si="56"/>
        <v>CLOSED</v>
      </c>
    </row>
    <row r="1794" spans="1:13" ht="45">
      <c r="A1794" s="64" t="s">
        <v>358</v>
      </c>
      <c r="B1794" s="98" t="e">
        <f>VLOOKUP([2]!Table27[[#This Row],[Location 
(drop-down)]],'[2]List source'!D$2:E$59,2,FALSE)</f>
        <v>#VALUE!</v>
      </c>
      <c r="C1794" s="99" t="s">
        <v>5153</v>
      </c>
      <c r="D1794" s="100" t="e">
        <f t="shared" ref="D1794:D1857" si="57">"PTO" &amp; C1794 &amp; "-" &amp; B1794 &amp; "-" &amp; "23"</f>
        <v>#VALUE!</v>
      </c>
      <c r="E1794" s="64" t="s">
        <v>5154</v>
      </c>
      <c r="F1794" s="66" t="s">
        <v>1520</v>
      </c>
      <c r="G17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4" s="66" t="s">
        <v>5155</v>
      </c>
      <c r="I1794" s="67">
        <v>45819</v>
      </c>
      <c r="J1794" s="67" t="s">
        <v>310</v>
      </c>
      <c r="K1794" s="68">
        <v>45853</v>
      </c>
      <c r="L1794" s="69"/>
      <c r="M1794" s="66" t="str">
        <f t="shared" ca="1" si="56"/>
        <v>CLOSED</v>
      </c>
    </row>
    <row r="1795" spans="1:13" ht="45">
      <c r="A1795" s="64" t="s">
        <v>139</v>
      </c>
      <c r="B1795" s="98" t="e">
        <f>VLOOKUP([2]!Table27[[#This Row],[Location 
(drop-down)]],'[2]List source'!D$2:E$59,2,FALSE)</f>
        <v>#VALUE!</v>
      </c>
      <c r="C1795" s="99" t="s">
        <v>5156</v>
      </c>
      <c r="D1795" s="100" t="e">
        <f t="shared" si="57"/>
        <v>#VALUE!</v>
      </c>
      <c r="E1795" s="64" t="s">
        <v>5157</v>
      </c>
      <c r="F1795" s="66" t="s">
        <v>1520</v>
      </c>
      <c r="G17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5" s="66">
        <v>3.39</v>
      </c>
      <c r="I1795" s="67">
        <v>45819</v>
      </c>
      <c r="J1795" s="67" t="s">
        <v>34</v>
      </c>
      <c r="K1795" s="68">
        <v>45834</v>
      </c>
      <c r="L1795" s="69" t="s">
        <v>1505</v>
      </c>
      <c r="M1795" s="66" t="str">
        <f t="shared" ca="1" si="56"/>
        <v>CLOSED</v>
      </c>
    </row>
    <row r="1796" spans="1:13" ht="30">
      <c r="A1796" s="64" t="s">
        <v>139</v>
      </c>
      <c r="B1796" s="98" t="e">
        <f>VLOOKUP([2]!Table27[[#This Row],[Location 
(drop-down)]],'[2]List source'!D$2:E$59,2,FALSE)</f>
        <v>#VALUE!</v>
      </c>
      <c r="C1796" s="99" t="s">
        <v>5158</v>
      </c>
      <c r="D1796" s="100" t="e">
        <f t="shared" si="57"/>
        <v>#VALUE!</v>
      </c>
      <c r="E1796" s="64" t="s">
        <v>5159</v>
      </c>
      <c r="F1796" s="66" t="s">
        <v>1520</v>
      </c>
      <c r="G17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6" s="66" t="s">
        <v>5160</v>
      </c>
      <c r="I1796" s="67">
        <v>45819</v>
      </c>
      <c r="J1796" s="67" t="s">
        <v>310</v>
      </c>
      <c r="K1796" s="68">
        <v>45911</v>
      </c>
      <c r="L1796" s="69"/>
      <c r="M1796" s="66" t="str">
        <f t="shared" ca="1" si="56"/>
        <v>CLOSED</v>
      </c>
    </row>
    <row r="1797" spans="1:13" ht="90">
      <c r="A1797" s="64" t="s">
        <v>15</v>
      </c>
      <c r="B1797" s="98" t="e">
        <f>VLOOKUP([2]!Table27[[#This Row],[Location 
(drop-down)]],'[2]List source'!D$2:E$59,2,FALSE)</f>
        <v>#VALUE!</v>
      </c>
      <c r="C1797" s="99" t="s">
        <v>5161</v>
      </c>
      <c r="D1797" s="100" t="e">
        <f t="shared" si="57"/>
        <v>#VALUE!</v>
      </c>
      <c r="E1797" s="161" t="s">
        <v>5162</v>
      </c>
      <c r="F1797" s="66" t="s">
        <v>1520</v>
      </c>
      <c r="G17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7" s="17"/>
      <c r="I1797" s="67">
        <v>45819</v>
      </c>
      <c r="J1797" s="67" t="s">
        <v>34</v>
      </c>
      <c r="K1797" s="68">
        <v>45819</v>
      </c>
      <c r="L1797" s="69" t="s">
        <v>1562</v>
      </c>
      <c r="M1797" s="66" t="str">
        <f t="shared" ca="1" si="56"/>
        <v>CLOSED</v>
      </c>
    </row>
    <row r="1798" spans="1:13" ht="30">
      <c r="A1798" s="64" t="s">
        <v>15</v>
      </c>
      <c r="B1798" s="98" t="e">
        <f>VLOOKUP([2]!Table27[[#This Row],[Location 
(drop-down)]],'[2]List source'!D$2:E$59,2,FALSE)</f>
        <v>#VALUE!</v>
      </c>
      <c r="C1798" s="99" t="s">
        <v>5163</v>
      </c>
      <c r="D1798" s="100" t="e">
        <f t="shared" si="57"/>
        <v>#VALUE!</v>
      </c>
      <c r="E1798" s="161" t="s">
        <v>5164</v>
      </c>
      <c r="F1798" s="66" t="s">
        <v>1520</v>
      </c>
      <c r="G17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8" s="17">
        <v>2.9</v>
      </c>
      <c r="I1798" s="67">
        <v>45819</v>
      </c>
      <c r="J1798" s="67" t="s">
        <v>69</v>
      </c>
      <c r="K1798" s="68">
        <v>46045</v>
      </c>
      <c r="L1798" s="69"/>
      <c r="M1798" s="66" t="str">
        <f t="shared" ca="1" si="56"/>
        <v>CLOSED</v>
      </c>
    </row>
    <row r="1799" spans="1:13" ht="90">
      <c r="A1799" s="64" t="s">
        <v>15</v>
      </c>
      <c r="B1799" s="98" t="e">
        <f>VLOOKUP([2]!Table27[[#This Row],[Location 
(drop-down)]],'[2]List source'!D$2:E$59,2,FALSE)</f>
        <v>#VALUE!</v>
      </c>
      <c r="C1799" s="99" t="s">
        <v>5165</v>
      </c>
      <c r="D1799" s="100" t="e">
        <f t="shared" si="57"/>
        <v>#VALUE!</v>
      </c>
      <c r="E1799" s="64" t="s">
        <v>5138</v>
      </c>
      <c r="F1799" s="66" t="s">
        <v>1520</v>
      </c>
      <c r="G17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799" s="66"/>
      <c r="I1799" s="67">
        <v>45819</v>
      </c>
      <c r="J1799" s="67" t="s">
        <v>34</v>
      </c>
      <c r="K1799" s="68">
        <v>45819</v>
      </c>
      <c r="L1799" s="69" t="s">
        <v>1562</v>
      </c>
      <c r="M1799" s="66" t="str">
        <f t="shared" ca="1" si="56"/>
        <v>CLOSED</v>
      </c>
    </row>
    <row r="1800" spans="1:13" ht="90">
      <c r="A1800" s="64" t="s">
        <v>43</v>
      </c>
      <c r="B1800" s="98" t="e">
        <f>VLOOKUP([2]!Table27[[#This Row],[Location 
(drop-down)]],'[2]List source'!D$2:E$59,2,FALSE)</f>
        <v>#VALUE!</v>
      </c>
      <c r="C1800" s="99" t="s">
        <v>5166</v>
      </c>
      <c r="D1800" s="100" t="e">
        <f t="shared" si="57"/>
        <v>#VALUE!</v>
      </c>
      <c r="E1800" s="64" t="s">
        <v>5167</v>
      </c>
      <c r="F1800" s="66" t="s">
        <v>1520</v>
      </c>
      <c r="G18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0" s="66"/>
      <c r="I1800" s="67">
        <v>45819</v>
      </c>
      <c r="J1800" s="67" t="s">
        <v>34</v>
      </c>
      <c r="K1800" s="68">
        <v>45819</v>
      </c>
      <c r="L1800" s="69" t="s">
        <v>1562</v>
      </c>
      <c r="M1800" s="66" t="str">
        <f t="shared" ca="1" si="56"/>
        <v>CLOSED</v>
      </c>
    </row>
    <row r="1801" spans="1:13" ht="30">
      <c r="A1801" s="64" t="s">
        <v>43</v>
      </c>
      <c r="B1801" s="98" t="e">
        <f>VLOOKUP([2]!Table27[[#This Row],[Location 
(drop-down)]],'[2]List source'!D$2:E$59,2,FALSE)</f>
        <v>#VALUE!</v>
      </c>
      <c r="C1801" s="99" t="s">
        <v>5168</v>
      </c>
      <c r="D1801" s="100" t="e">
        <f t="shared" si="57"/>
        <v>#VALUE!</v>
      </c>
      <c r="E1801" s="64" t="s">
        <v>5169</v>
      </c>
      <c r="F1801" s="66" t="s">
        <v>1520</v>
      </c>
      <c r="G18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1" s="110" t="s">
        <v>1878</v>
      </c>
      <c r="I1801" s="67">
        <v>45819</v>
      </c>
      <c r="J1801" s="67" t="s">
        <v>29</v>
      </c>
      <c r="K1801" s="68">
        <v>46007</v>
      </c>
      <c r="L1801" s="69"/>
      <c r="M1801" s="66" t="str">
        <f t="shared" ca="1" si="56"/>
        <v>CLOSED</v>
      </c>
    </row>
    <row r="1802" spans="1:13" ht="30">
      <c r="A1802" s="64" t="s">
        <v>119</v>
      </c>
      <c r="B1802" s="98" t="e">
        <f>VLOOKUP([2]!Table27[[#This Row],[Location 
(drop-down)]],'[2]List source'!D$2:E$59,2,FALSE)</f>
        <v>#VALUE!</v>
      </c>
      <c r="C1802" s="99" t="s">
        <v>5170</v>
      </c>
      <c r="D1802" s="100" t="e">
        <f t="shared" si="57"/>
        <v>#VALUE!</v>
      </c>
      <c r="E1802" s="64" t="s">
        <v>5171</v>
      </c>
      <c r="F1802" s="66" t="s">
        <v>2274</v>
      </c>
      <c r="G18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2" s="66">
        <v>4.8600000000000003</v>
      </c>
      <c r="I1802" s="67">
        <v>45820</v>
      </c>
      <c r="J1802" s="67" t="s">
        <v>111</v>
      </c>
      <c r="K1802" s="68">
        <v>45957</v>
      </c>
      <c r="L1802" s="69"/>
      <c r="M1802" s="66" t="str">
        <f t="shared" ca="1" si="56"/>
        <v>CLOSED</v>
      </c>
    </row>
    <row r="1803" spans="1:13" ht="90">
      <c r="A1803" s="64" t="s">
        <v>125</v>
      </c>
      <c r="B1803" s="98" t="e">
        <f>VLOOKUP([2]!Table27[[#This Row],[Location 
(drop-down)]],'[2]List source'!D$2:E$59,2,FALSE)</f>
        <v>#VALUE!</v>
      </c>
      <c r="C1803" s="99" t="s">
        <v>5172</v>
      </c>
      <c r="D1803" s="100" t="e">
        <f t="shared" si="57"/>
        <v>#VALUE!</v>
      </c>
      <c r="E1803" s="64" t="s">
        <v>5173</v>
      </c>
      <c r="F1803" s="66" t="s">
        <v>2274</v>
      </c>
      <c r="G18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3" s="66">
        <v>2.84</v>
      </c>
      <c r="I1803" s="67">
        <v>45820</v>
      </c>
      <c r="J1803" s="67" t="s">
        <v>34</v>
      </c>
      <c r="K1803" s="68">
        <v>45820</v>
      </c>
      <c r="L1803" s="69" t="s">
        <v>1562</v>
      </c>
      <c r="M1803" s="66" t="str">
        <f t="shared" ca="1" si="56"/>
        <v>CLOSED</v>
      </c>
    </row>
    <row r="1804" spans="1:13" ht="90">
      <c r="A1804" s="64" t="s">
        <v>119</v>
      </c>
      <c r="B1804" s="98" t="e">
        <f>VLOOKUP([2]!Table27[[#This Row],[Location 
(drop-down)]],'[2]List source'!D$2:E$59,2,FALSE)</f>
        <v>#VALUE!</v>
      </c>
      <c r="C1804" s="99" t="s">
        <v>5174</v>
      </c>
      <c r="D1804" s="100" t="e">
        <f t="shared" si="57"/>
        <v>#VALUE!</v>
      </c>
      <c r="E1804" s="64" t="s">
        <v>5175</v>
      </c>
      <c r="F1804" s="66" t="s">
        <v>2274</v>
      </c>
      <c r="G18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4" s="66">
        <v>2.1</v>
      </c>
      <c r="I1804" s="67">
        <v>45820</v>
      </c>
      <c r="J1804" s="67" t="s">
        <v>34</v>
      </c>
      <c r="K1804" s="68">
        <v>45820</v>
      </c>
      <c r="L1804" s="69" t="s">
        <v>1562</v>
      </c>
      <c r="M1804" s="66" t="str">
        <f t="shared" ca="1" si="56"/>
        <v>CLOSED</v>
      </c>
    </row>
    <row r="1805" spans="1:13" ht="90">
      <c r="A1805" s="64" t="s">
        <v>30</v>
      </c>
      <c r="B1805" s="98" t="e">
        <f>VLOOKUP([2]!Table27[[#This Row],[Location 
(drop-down)]],'[2]List source'!D$2:E$59,2,FALSE)</f>
        <v>#VALUE!</v>
      </c>
      <c r="C1805" s="99" t="s">
        <v>5176</v>
      </c>
      <c r="D1805" s="100" t="e">
        <f t="shared" si="57"/>
        <v>#VALUE!</v>
      </c>
      <c r="E1805" s="64" t="s">
        <v>5177</v>
      </c>
      <c r="F1805" s="66" t="s">
        <v>2274</v>
      </c>
      <c r="G18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5" s="110" t="s">
        <v>2117</v>
      </c>
      <c r="I1805" s="67">
        <v>45820</v>
      </c>
      <c r="J1805" s="67" t="s">
        <v>34</v>
      </c>
      <c r="K1805" s="68">
        <v>45820</v>
      </c>
      <c r="L1805" s="69" t="s">
        <v>1562</v>
      </c>
      <c r="M1805" s="66" t="str">
        <f t="shared" ca="1" si="56"/>
        <v>CLOSED</v>
      </c>
    </row>
    <row r="1806" spans="1:13" ht="90">
      <c r="A1806" s="64" t="s">
        <v>30</v>
      </c>
      <c r="B1806" s="98" t="e">
        <f>VLOOKUP([2]!Table27[[#This Row],[Location 
(drop-down)]],'[2]List source'!D$2:E$59,2,FALSE)</f>
        <v>#VALUE!</v>
      </c>
      <c r="C1806" s="99" t="s">
        <v>5178</v>
      </c>
      <c r="D1806" s="100" t="e">
        <f t="shared" si="57"/>
        <v>#VALUE!</v>
      </c>
      <c r="E1806" s="64" t="s">
        <v>5179</v>
      </c>
      <c r="F1806" s="66" t="s">
        <v>2274</v>
      </c>
      <c r="G18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6" s="66">
        <v>2.1</v>
      </c>
      <c r="I1806" s="67">
        <v>45820</v>
      </c>
      <c r="J1806" s="67" t="s">
        <v>34</v>
      </c>
      <c r="K1806" s="68">
        <v>45820</v>
      </c>
      <c r="L1806" s="69" t="s">
        <v>1562</v>
      </c>
      <c r="M1806" s="66" t="str">
        <f t="shared" ca="1" si="56"/>
        <v>CLOSED</v>
      </c>
    </row>
    <row r="1807" spans="1:13" ht="90">
      <c r="A1807" s="64" t="s">
        <v>432</v>
      </c>
      <c r="B1807" s="98" t="e">
        <f>VLOOKUP([2]!Table27[[#This Row],[Location 
(drop-down)]],'[2]List source'!D$2:E$59,2,FALSE)</f>
        <v>#VALUE!</v>
      </c>
      <c r="C1807" s="99" t="s">
        <v>5180</v>
      </c>
      <c r="D1807" s="100" t="e">
        <f t="shared" si="57"/>
        <v>#VALUE!</v>
      </c>
      <c r="E1807" s="64" t="s">
        <v>5181</v>
      </c>
      <c r="F1807" s="66" t="e" cm="1" vm="1">
        <f t="array" aca="1" ref="F18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0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7" s="66">
        <v>2.2400000000000002</v>
      </c>
      <c r="I1807" s="67">
        <v>45820</v>
      </c>
      <c r="J1807" s="67" t="s">
        <v>34</v>
      </c>
      <c r="K1807" s="68">
        <v>45820</v>
      </c>
      <c r="L1807" s="69" t="s">
        <v>1562</v>
      </c>
      <c r="M1807" s="66" t="str">
        <f t="shared" ca="1" si="56"/>
        <v>CLOSED</v>
      </c>
    </row>
    <row r="1808" spans="1:13" ht="30">
      <c r="A1808" s="64" t="s">
        <v>125</v>
      </c>
      <c r="B1808" s="98" t="e">
        <f>VLOOKUP([2]!Table27[[#This Row],[Location 
(drop-down)]],'[2]List source'!D$2:E$59,2,FALSE)</f>
        <v>#VALUE!</v>
      </c>
      <c r="C1808" s="99" t="s">
        <v>5182</v>
      </c>
      <c r="D1808" s="100" t="e">
        <f t="shared" si="57"/>
        <v>#VALUE!</v>
      </c>
      <c r="E1808" s="64" t="s">
        <v>5183</v>
      </c>
      <c r="F1808" s="66" t="e" cm="1" vm="1">
        <f t="array" aca="1" ref="F180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0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8" s="66">
        <v>7.21</v>
      </c>
      <c r="I1808" s="67">
        <v>45820</v>
      </c>
      <c r="J1808" s="67" t="s">
        <v>239</v>
      </c>
      <c r="K1808" s="68">
        <v>45897</v>
      </c>
      <c r="L1808" s="69"/>
      <c r="M1808" s="66" t="str">
        <f t="shared" ca="1" si="56"/>
        <v>CLOSED</v>
      </c>
    </row>
    <row r="1809" spans="1:13" ht="90">
      <c r="A1809" s="64" t="s">
        <v>125</v>
      </c>
      <c r="B1809" s="98" t="e">
        <f>VLOOKUP([2]!Table27[[#This Row],[Location 
(drop-down)]],'[2]List source'!D$2:E$59,2,FALSE)</f>
        <v>#VALUE!</v>
      </c>
      <c r="C1809" s="99" t="s">
        <v>5184</v>
      </c>
      <c r="D1809" s="100" t="e">
        <f t="shared" si="57"/>
        <v>#VALUE!</v>
      </c>
      <c r="E1809" s="82" t="s">
        <v>5185</v>
      </c>
      <c r="F1809" s="66" t="e" cm="1" vm="1">
        <f t="array" aca="1" ref="F18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0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09" s="454" t="s">
        <v>2791</v>
      </c>
      <c r="I1809" s="67">
        <v>45820</v>
      </c>
      <c r="J1809" s="67" t="s">
        <v>34</v>
      </c>
      <c r="K1809" s="68">
        <v>45820</v>
      </c>
      <c r="L1809" s="69" t="s">
        <v>1562</v>
      </c>
      <c r="M1809" s="66" t="str">
        <f t="shared" ca="1" si="56"/>
        <v>CLOSED</v>
      </c>
    </row>
    <row r="1810" spans="1:13" ht="90">
      <c r="A1810" s="64" t="s">
        <v>125</v>
      </c>
      <c r="B1810" s="98" t="e">
        <f>VLOOKUP([2]!Table27[[#This Row],[Location 
(drop-down)]],'[2]List source'!D$2:E$59,2,FALSE)</f>
        <v>#VALUE!</v>
      </c>
      <c r="C1810" s="99" t="s">
        <v>5186</v>
      </c>
      <c r="D1810" s="100" t="e">
        <f t="shared" si="57"/>
        <v>#VALUE!</v>
      </c>
      <c r="E1810" s="64" t="s">
        <v>5187</v>
      </c>
      <c r="F1810" s="66" t="e" cm="1" vm="1">
        <f t="array" aca="1" ref="F181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0" s="66">
        <v>2.34</v>
      </c>
      <c r="I1810" s="67">
        <v>45820</v>
      </c>
      <c r="J1810" s="67" t="s">
        <v>34</v>
      </c>
      <c r="K1810" s="68">
        <v>45820</v>
      </c>
      <c r="L1810" s="69" t="s">
        <v>1562</v>
      </c>
      <c r="M1810" s="66" t="str">
        <f t="shared" ca="1" si="56"/>
        <v>CLOSED</v>
      </c>
    </row>
    <row r="1811" spans="1:13" ht="30">
      <c r="A1811" s="64" t="s">
        <v>125</v>
      </c>
      <c r="B1811" s="98" t="e">
        <f>VLOOKUP([2]!Table27[[#This Row],[Location 
(drop-down)]],'[2]List source'!D$2:E$59,2,FALSE)</f>
        <v>#VALUE!</v>
      </c>
      <c r="C1811" s="99" t="s">
        <v>5188</v>
      </c>
      <c r="D1811" s="100" t="e">
        <f t="shared" si="57"/>
        <v>#VALUE!</v>
      </c>
      <c r="E1811" s="64" t="s">
        <v>5189</v>
      </c>
      <c r="F1811" s="66" t="e" cm="1" vm="1">
        <f t="array" aca="1" ref="F181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1" s="66">
        <v>4.1399999999999997</v>
      </c>
      <c r="I1811" s="67">
        <v>45820</v>
      </c>
      <c r="J1811" s="67" t="s">
        <v>239</v>
      </c>
      <c r="K1811" s="68">
        <v>45898</v>
      </c>
      <c r="L1811" s="69"/>
      <c r="M1811" s="66" t="str">
        <f t="shared" ca="1" si="56"/>
        <v>CLOSED</v>
      </c>
    </row>
    <row r="1812" spans="1:13" ht="30">
      <c r="A1812" s="64" t="s">
        <v>119</v>
      </c>
      <c r="B1812" s="98" t="e">
        <f>VLOOKUP([2]!Table27[[#This Row],[Location 
(drop-down)]],'[2]List source'!D$2:E$59,2,FALSE)</f>
        <v>#VALUE!</v>
      </c>
      <c r="C1812" s="99" t="s">
        <v>5190</v>
      </c>
      <c r="D1812" s="100" t="e">
        <f t="shared" si="57"/>
        <v>#VALUE!</v>
      </c>
      <c r="E1812" s="64" t="s">
        <v>5191</v>
      </c>
      <c r="F1812" s="66" t="e" cm="1" vm="1">
        <f t="array" aca="1" ref="F181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2" s="110" t="s">
        <v>5192</v>
      </c>
      <c r="I1812" s="67">
        <v>45820</v>
      </c>
      <c r="J1812" s="67" t="s">
        <v>111</v>
      </c>
      <c r="K1812" s="68">
        <v>45958</v>
      </c>
      <c r="L1812" s="69"/>
      <c r="M1812" s="66" t="str">
        <f t="shared" ca="1" si="56"/>
        <v>CLOSED</v>
      </c>
    </row>
    <row r="1813" spans="1:13" ht="90">
      <c r="A1813" s="64" t="s">
        <v>30</v>
      </c>
      <c r="B1813" s="98" t="e">
        <f>VLOOKUP([2]!Table27[[#This Row],[Location 
(drop-down)]],'[2]List source'!D$2:E$59,2,FALSE)</f>
        <v>#VALUE!</v>
      </c>
      <c r="C1813" s="99" t="s">
        <v>5193</v>
      </c>
      <c r="D1813" s="100" t="e">
        <f t="shared" si="57"/>
        <v>#VALUE!</v>
      </c>
      <c r="E1813" s="64" t="s">
        <v>5194</v>
      </c>
      <c r="F1813" s="66" t="e" cm="1" vm="1">
        <f t="array" aca="1" ref="F181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3" s="110" t="s">
        <v>2134</v>
      </c>
      <c r="I1813" s="67">
        <v>45820</v>
      </c>
      <c r="J1813" s="67" t="s">
        <v>34</v>
      </c>
      <c r="K1813" s="68">
        <v>45820</v>
      </c>
      <c r="L1813" s="69" t="s">
        <v>1562</v>
      </c>
      <c r="M1813" s="66" t="str">
        <f t="shared" ca="1" si="56"/>
        <v>CLOSED</v>
      </c>
    </row>
    <row r="1814" spans="1:13" ht="90">
      <c r="A1814" s="64" t="s">
        <v>314</v>
      </c>
      <c r="B1814" s="98" t="e">
        <f>VLOOKUP([2]!Table27[[#This Row],[Location 
(drop-down)]],'[2]List source'!D$2:E$59,2,FALSE)</f>
        <v>#VALUE!</v>
      </c>
      <c r="C1814" s="99" t="s">
        <v>5195</v>
      </c>
      <c r="D1814" s="100" t="e">
        <f t="shared" si="57"/>
        <v>#VALUE!</v>
      </c>
      <c r="E1814" s="64" t="s">
        <v>5196</v>
      </c>
      <c r="F1814" s="66" t="e" cm="1" vm="1">
        <f t="array" aca="1" ref="F181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4" s="110" t="s">
        <v>1816</v>
      </c>
      <c r="I1814" s="67">
        <v>45820</v>
      </c>
      <c r="J1814" s="67" t="s">
        <v>34</v>
      </c>
      <c r="K1814" s="68">
        <v>45820</v>
      </c>
      <c r="L1814" s="69" t="s">
        <v>1562</v>
      </c>
      <c r="M1814" s="66" t="str">
        <f t="shared" ca="1" si="56"/>
        <v>CLOSED</v>
      </c>
    </row>
    <row r="1815" spans="1:13" ht="90">
      <c r="A1815" s="64" t="s">
        <v>139</v>
      </c>
      <c r="B1815" s="98" t="e">
        <f>VLOOKUP([2]!Table27[[#This Row],[Location 
(drop-down)]],'[2]List source'!D$2:E$59,2,FALSE)</f>
        <v>#VALUE!</v>
      </c>
      <c r="C1815" s="99" t="s">
        <v>5197</v>
      </c>
      <c r="D1815" s="100" t="e">
        <f t="shared" si="57"/>
        <v>#VALUE!</v>
      </c>
      <c r="E1815" s="64" t="s">
        <v>5198</v>
      </c>
      <c r="F1815" s="66" t="e" cm="1" vm="1">
        <f t="array" aca="1" ref="F181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5" s="110">
        <v>2.39</v>
      </c>
      <c r="I1815" s="67">
        <v>45820</v>
      </c>
      <c r="J1815" s="67" t="s">
        <v>34</v>
      </c>
      <c r="K1815" s="68">
        <v>45820</v>
      </c>
      <c r="L1815" s="69" t="s">
        <v>1562</v>
      </c>
      <c r="M1815" s="66" t="str">
        <f t="shared" ca="1" si="56"/>
        <v>CLOSED</v>
      </c>
    </row>
    <row r="1816" spans="1:13" ht="30">
      <c r="A1816" s="64" t="s">
        <v>15</v>
      </c>
      <c r="B1816" s="98" t="e">
        <f>VLOOKUP([2]!Table27[[#This Row],[Location 
(drop-down)]],'[2]List source'!D$2:E$59,2,FALSE)</f>
        <v>#VALUE!</v>
      </c>
      <c r="C1816" s="99" t="s">
        <v>5199</v>
      </c>
      <c r="D1816" s="100" t="e">
        <f t="shared" si="57"/>
        <v>#VALUE!</v>
      </c>
      <c r="E1816" s="64" t="s">
        <v>5200</v>
      </c>
      <c r="F1816" s="66" t="e" cm="1" vm="1">
        <f t="array" aca="1" ref="F181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6" s="110" t="s">
        <v>1683</v>
      </c>
      <c r="I1816" s="67">
        <v>45820</v>
      </c>
      <c r="J1816" s="67"/>
      <c r="K1816" s="68"/>
      <c r="L1816" s="69"/>
      <c r="M1816" s="66">
        <f t="shared" ca="1" si="56"/>
        <v>258</v>
      </c>
    </row>
    <row r="1817" spans="1:13" ht="45">
      <c r="A1817" s="64" t="s">
        <v>399</v>
      </c>
      <c r="B1817" s="98" t="e">
        <f>VLOOKUP([2]!Table27[[#This Row],[Location 
(drop-down)]],'[2]List source'!D$2:E$59,2,FALSE)</f>
        <v>#VALUE!</v>
      </c>
      <c r="C1817" s="99" t="s">
        <v>5201</v>
      </c>
      <c r="D1817" s="100" t="e">
        <f t="shared" si="57"/>
        <v>#VALUE!</v>
      </c>
      <c r="E1817" s="64" t="s">
        <v>5202</v>
      </c>
      <c r="F1817" s="66" t="e" cm="1" vm="1">
        <f t="array" aca="1" ref="F181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7" s="66">
        <v>4.3899999999999997</v>
      </c>
      <c r="I1817" s="67">
        <v>45820</v>
      </c>
      <c r="J1817" s="67" t="s">
        <v>34</v>
      </c>
      <c r="K1817" s="68">
        <v>45821</v>
      </c>
      <c r="L1817" s="69" t="s">
        <v>1505</v>
      </c>
      <c r="M1817" s="66" t="str">
        <f t="shared" ca="1" si="56"/>
        <v>CLOSED</v>
      </c>
    </row>
    <row r="1818" spans="1:13" ht="30">
      <c r="A1818" s="64" t="s">
        <v>432</v>
      </c>
      <c r="B1818" s="98" t="e">
        <f>VLOOKUP([2]!Table27[[#This Row],[Location 
(drop-down)]],'[2]List source'!D$2:E$59,2,FALSE)</f>
        <v>#VALUE!</v>
      </c>
      <c r="C1818" s="99" t="s">
        <v>5203</v>
      </c>
      <c r="D1818" s="100" t="e">
        <f t="shared" si="57"/>
        <v>#VALUE!</v>
      </c>
      <c r="E1818" s="64" t="s">
        <v>5204</v>
      </c>
      <c r="F1818" s="66" t="e" cm="1" vm="1">
        <f t="array" aca="1" ref="F181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8" s="110">
        <v>6.75</v>
      </c>
      <c r="I1818" s="67">
        <v>45825</v>
      </c>
      <c r="J1818" s="67" t="s">
        <v>108</v>
      </c>
      <c r="K1818" s="68">
        <v>45931</v>
      </c>
      <c r="L1818" s="69"/>
      <c r="M1818" s="66" t="str">
        <f t="shared" ca="1" si="56"/>
        <v>CLOSED</v>
      </c>
    </row>
    <row r="1819" spans="1:13" ht="45">
      <c r="A1819" s="64" t="s">
        <v>591</v>
      </c>
      <c r="B1819" s="98" t="e">
        <f>VLOOKUP([2]!Table27[[#This Row],[Location 
(drop-down)]],'[2]List source'!D$2:E$59,2,FALSE)</f>
        <v>#VALUE!</v>
      </c>
      <c r="C1819" s="99" t="s">
        <v>5205</v>
      </c>
      <c r="D1819" s="100" t="e">
        <f t="shared" si="57"/>
        <v>#VALUE!</v>
      </c>
      <c r="E1819" s="64" t="s">
        <v>5206</v>
      </c>
      <c r="F1819" s="66" t="e" cm="1" vm="1">
        <f t="array" aca="1" ref="F181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19" s="66">
        <v>3.28</v>
      </c>
      <c r="I1819" s="67">
        <v>45825</v>
      </c>
      <c r="J1819" s="67" t="s">
        <v>34</v>
      </c>
      <c r="K1819" s="68">
        <v>45825</v>
      </c>
      <c r="L1819" s="69" t="s">
        <v>1505</v>
      </c>
      <c r="M1819" s="66" t="str">
        <f t="shared" ca="1" si="56"/>
        <v>CLOSED</v>
      </c>
    </row>
    <row r="1820" spans="1:13" ht="90">
      <c r="A1820" s="64" t="s">
        <v>314</v>
      </c>
      <c r="B1820" s="98" t="e">
        <f>VLOOKUP([2]!Table27[[#This Row],[Location 
(drop-down)]],'[2]List source'!D$2:E$59,2,FALSE)</f>
        <v>#VALUE!</v>
      </c>
      <c r="C1820" s="99" t="s">
        <v>5207</v>
      </c>
      <c r="D1820" s="100" t="e">
        <f t="shared" si="57"/>
        <v>#VALUE!</v>
      </c>
      <c r="E1820" s="64" t="s">
        <v>5208</v>
      </c>
      <c r="F1820" s="66" t="e" cm="1" vm="1">
        <f t="array" aca="1" ref="F182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0" s="66">
        <v>2.4</v>
      </c>
      <c r="I1820" s="67">
        <v>45825</v>
      </c>
      <c r="J1820" s="67" t="s">
        <v>34</v>
      </c>
      <c r="K1820" s="68">
        <v>45825</v>
      </c>
      <c r="L1820" s="69" t="s">
        <v>1562</v>
      </c>
      <c r="M1820" s="66" t="str">
        <f t="shared" ca="1" si="56"/>
        <v>CLOSED</v>
      </c>
    </row>
    <row r="1821" spans="1:13" ht="30">
      <c r="A1821" s="64" t="s">
        <v>73</v>
      </c>
      <c r="B1821" s="98" t="e">
        <f>VLOOKUP([2]!Table27[[#This Row],[Location 
(drop-down)]],'[2]List source'!D$2:E$59,2,FALSE)</f>
        <v>#VALUE!</v>
      </c>
      <c r="C1821" s="99" t="s">
        <v>5209</v>
      </c>
      <c r="D1821" s="100" t="e">
        <f t="shared" si="57"/>
        <v>#VALUE!</v>
      </c>
      <c r="E1821" s="64" t="s">
        <v>5210</v>
      </c>
      <c r="F1821" s="66" t="e" cm="1" vm="1">
        <f t="array" aca="1" ref="F182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1" s="66">
        <v>3.28</v>
      </c>
      <c r="I1821" s="67">
        <v>45825</v>
      </c>
      <c r="J1821" s="67" t="s">
        <v>327</v>
      </c>
      <c r="K1821" s="68">
        <v>45887</v>
      </c>
      <c r="L1821" s="69"/>
      <c r="M1821" s="66" t="str">
        <f t="shared" ca="1" si="56"/>
        <v>CLOSED</v>
      </c>
    </row>
    <row r="1822" spans="1:13" ht="45">
      <c r="A1822" s="64" t="s">
        <v>43</v>
      </c>
      <c r="B1822" s="98" t="e">
        <f>VLOOKUP([2]!Table27[[#This Row],[Location 
(drop-down)]],'[2]List source'!D$2:E$59,2,FALSE)</f>
        <v>#VALUE!</v>
      </c>
      <c r="C1822" s="99" t="s">
        <v>5211</v>
      </c>
      <c r="D1822" s="100" t="e">
        <f t="shared" si="57"/>
        <v>#VALUE!</v>
      </c>
      <c r="E1822" s="64" t="s">
        <v>5212</v>
      </c>
      <c r="F1822" s="66" t="e" cm="1" vm="1">
        <f t="array" aca="1" ref="F182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2" s="66" t="s">
        <v>5213</v>
      </c>
      <c r="I1822" s="67">
        <v>45825</v>
      </c>
      <c r="J1822" s="67" t="s">
        <v>108</v>
      </c>
      <c r="K1822" s="68">
        <v>45872</v>
      </c>
      <c r="L1822" s="69"/>
      <c r="M1822" s="66" t="str">
        <f t="shared" ca="1" si="56"/>
        <v>CLOSED</v>
      </c>
    </row>
    <row r="1823" spans="1:13" ht="30">
      <c r="A1823" s="64" t="s">
        <v>714</v>
      </c>
      <c r="B1823" s="98" t="e">
        <f>VLOOKUP([2]!Table27[[#This Row],[Location 
(drop-down)]],'[2]List source'!D$2:E$59,2,FALSE)</f>
        <v>#VALUE!</v>
      </c>
      <c r="C1823" s="99" t="s">
        <v>5214</v>
      </c>
      <c r="D1823" s="100" t="e">
        <f t="shared" si="57"/>
        <v>#VALUE!</v>
      </c>
      <c r="E1823" s="64" t="s">
        <v>5215</v>
      </c>
      <c r="F1823" s="66" t="e" cm="1" vm="1">
        <f t="array" aca="1" ref="F182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3" s="110">
        <v>2.25</v>
      </c>
      <c r="I1823" s="67">
        <v>45825</v>
      </c>
      <c r="J1823" s="67" t="s">
        <v>29</v>
      </c>
      <c r="K1823" s="68">
        <v>45873</v>
      </c>
      <c r="L1823" s="69"/>
      <c r="M1823" s="66" t="str">
        <f t="shared" ref="M1823:M1886" ca="1" si="58">IF(ISBLANK(K1823), TODAY()-(I1823), "CLOSED")</f>
        <v>CLOSED</v>
      </c>
    </row>
    <row r="1824" spans="1:13" ht="30">
      <c r="A1824" s="64" t="s">
        <v>39</v>
      </c>
      <c r="B1824" s="98" t="e">
        <f>VLOOKUP([2]!Table27[[#This Row],[Location 
(drop-down)]],'[2]List source'!D$2:E$59,2,FALSE)</f>
        <v>#VALUE!</v>
      </c>
      <c r="C1824" s="99" t="s">
        <v>5216</v>
      </c>
      <c r="D1824" s="100" t="e">
        <f t="shared" si="57"/>
        <v>#VALUE!</v>
      </c>
      <c r="E1824" s="64" t="s">
        <v>5217</v>
      </c>
      <c r="F1824" s="66" t="e" cm="1" vm="1">
        <f t="array" aca="1" ref="F182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4" s="110" t="s">
        <v>3415</v>
      </c>
      <c r="I1824" s="67">
        <v>45826</v>
      </c>
      <c r="J1824" s="67" t="s">
        <v>130</v>
      </c>
      <c r="K1824" s="68">
        <v>45904</v>
      </c>
      <c r="L1824" s="69"/>
      <c r="M1824" s="66" t="str">
        <f t="shared" ca="1" si="58"/>
        <v>CLOSED</v>
      </c>
    </row>
    <row r="1825" spans="1:13" ht="90">
      <c r="A1825" s="64" t="s">
        <v>39</v>
      </c>
      <c r="B1825" s="98" t="e">
        <f>VLOOKUP([2]!Table27[[#This Row],[Location 
(drop-down)]],'[2]List source'!D$2:E$59,2,FALSE)</f>
        <v>#VALUE!</v>
      </c>
      <c r="C1825" s="99" t="s">
        <v>5218</v>
      </c>
      <c r="D1825" s="100" t="e">
        <f t="shared" si="57"/>
        <v>#VALUE!</v>
      </c>
      <c r="E1825" s="64" t="s">
        <v>5219</v>
      </c>
      <c r="F1825" s="66" t="e" cm="1" vm="1">
        <f t="array" aca="1" ref="F182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5" s="110" t="s">
        <v>1754</v>
      </c>
      <c r="I1825" s="67">
        <v>45826</v>
      </c>
      <c r="J1825" s="67" t="s">
        <v>34</v>
      </c>
      <c r="K1825" s="68">
        <v>45826</v>
      </c>
      <c r="L1825" s="69" t="s">
        <v>1562</v>
      </c>
      <c r="M1825" s="66" t="str">
        <f t="shared" ca="1" si="58"/>
        <v>CLOSED</v>
      </c>
    </row>
    <row r="1826" spans="1:13" ht="90">
      <c r="A1826" s="64" t="s">
        <v>39</v>
      </c>
      <c r="B1826" s="98" t="e">
        <f>VLOOKUP([2]!Table27[[#This Row],[Location 
(drop-down)]],'[2]List source'!D$2:E$59,2,FALSE)</f>
        <v>#VALUE!</v>
      </c>
      <c r="C1826" s="99" t="s">
        <v>5220</v>
      </c>
      <c r="D1826" s="100" t="e">
        <f t="shared" si="57"/>
        <v>#VALUE!</v>
      </c>
      <c r="E1826" s="64" t="s">
        <v>5221</v>
      </c>
      <c r="F1826" s="66" t="e" cm="1" vm="1">
        <f t="array" aca="1" ref="F182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6" s="110" t="s">
        <v>1778</v>
      </c>
      <c r="I1826" s="67">
        <v>45826</v>
      </c>
      <c r="J1826" s="67" t="s">
        <v>34</v>
      </c>
      <c r="K1826" s="68">
        <v>45826</v>
      </c>
      <c r="L1826" s="69" t="s">
        <v>1562</v>
      </c>
      <c r="M1826" s="66" t="str">
        <f t="shared" ca="1" si="58"/>
        <v>CLOSED</v>
      </c>
    </row>
    <row r="1827" spans="1:13" ht="30">
      <c r="A1827" s="64" t="s">
        <v>125</v>
      </c>
      <c r="B1827" s="98" t="e">
        <f>VLOOKUP([2]!Table27[[#This Row],[Location 
(drop-down)]],'[2]List source'!D$2:E$59,2,FALSE)</f>
        <v>#VALUE!</v>
      </c>
      <c r="C1827" s="99" t="s">
        <v>5222</v>
      </c>
      <c r="D1827" s="100" t="e">
        <f t="shared" si="57"/>
        <v>#VALUE!</v>
      </c>
      <c r="E1827" s="64" t="s">
        <v>5223</v>
      </c>
      <c r="F1827" s="66" t="e" cm="1" vm="1">
        <f t="array" aca="1" ref="F182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7" s="66">
        <v>4.3</v>
      </c>
      <c r="I1827" s="67">
        <v>45826</v>
      </c>
      <c r="J1827" s="67" t="s">
        <v>239</v>
      </c>
      <c r="K1827" s="68">
        <v>45911</v>
      </c>
      <c r="L1827" s="69"/>
      <c r="M1827" s="66" t="str">
        <f t="shared" ca="1" si="58"/>
        <v>CLOSED</v>
      </c>
    </row>
    <row r="1828" spans="1:13" ht="30">
      <c r="A1828" s="64" t="s">
        <v>125</v>
      </c>
      <c r="B1828" s="98" t="e">
        <f>VLOOKUP([2]!Table27[[#This Row],[Location 
(drop-down)]],'[2]List source'!D$2:E$59,2,FALSE)</f>
        <v>#VALUE!</v>
      </c>
      <c r="C1828" s="99" t="s">
        <v>5224</v>
      </c>
      <c r="D1828" s="100" t="e">
        <f t="shared" si="57"/>
        <v>#VALUE!</v>
      </c>
      <c r="E1828" s="64" t="s">
        <v>5225</v>
      </c>
      <c r="F1828" s="66" t="e" cm="1" vm="1">
        <f t="array" aca="1" ref="F182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8" s="66">
        <v>10.47</v>
      </c>
      <c r="I1828" s="67">
        <v>45826</v>
      </c>
      <c r="J1828" s="67"/>
      <c r="K1828" s="68"/>
      <c r="L1828" s="69"/>
      <c r="M1828" s="66">
        <f t="shared" ca="1" si="58"/>
        <v>252</v>
      </c>
    </row>
    <row r="1829" spans="1:13" ht="30">
      <c r="A1829" s="64" t="s">
        <v>125</v>
      </c>
      <c r="B1829" s="98" t="e">
        <f>VLOOKUP([2]!Table27[[#This Row],[Location 
(drop-down)]],'[2]List source'!D$2:E$59,2,FALSE)</f>
        <v>#VALUE!</v>
      </c>
      <c r="C1829" s="99" t="s">
        <v>5226</v>
      </c>
      <c r="D1829" s="100" t="e">
        <f t="shared" si="57"/>
        <v>#VALUE!</v>
      </c>
      <c r="E1829" s="64" t="s">
        <v>5227</v>
      </c>
      <c r="F1829" s="66" t="e" cm="1" vm="1">
        <f t="array" aca="1" ref="F182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29" s="66">
        <v>13</v>
      </c>
      <c r="I1829" s="67">
        <v>45826</v>
      </c>
      <c r="J1829" s="67" t="s">
        <v>239</v>
      </c>
      <c r="K1829" s="68">
        <v>45904</v>
      </c>
      <c r="L1829" s="69"/>
      <c r="M1829" s="66" t="str">
        <f t="shared" ca="1" si="58"/>
        <v>CLOSED</v>
      </c>
    </row>
    <row r="1830" spans="1:13" ht="30">
      <c r="A1830" s="64" t="s">
        <v>119</v>
      </c>
      <c r="B1830" s="98" t="e">
        <f>VLOOKUP([2]!Table27[[#This Row],[Location 
(drop-down)]],'[2]List source'!D$2:E$59,2,FALSE)</f>
        <v>#VALUE!</v>
      </c>
      <c r="C1830" s="99" t="s">
        <v>5228</v>
      </c>
      <c r="D1830" s="100" t="e">
        <f t="shared" si="57"/>
        <v>#VALUE!</v>
      </c>
      <c r="E1830" s="64" t="s">
        <v>5229</v>
      </c>
      <c r="F1830" s="66" t="e" cm="1" vm="1">
        <f t="array" aca="1" ref="F183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0" s="66">
        <v>8.9</v>
      </c>
      <c r="I1830" s="67">
        <v>45826</v>
      </c>
      <c r="J1830" s="67"/>
      <c r="K1830" s="68"/>
      <c r="L1830" s="69"/>
      <c r="M1830" s="66">
        <f t="shared" ca="1" si="58"/>
        <v>252</v>
      </c>
    </row>
    <row r="1831" spans="1:13" ht="30">
      <c r="A1831" s="64" t="s">
        <v>30</v>
      </c>
      <c r="B1831" s="98" t="e">
        <f>VLOOKUP([2]!Table27[[#This Row],[Location 
(drop-down)]],'[2]List source'!D$2:E$59,2,FALSE)</f>
        <v>#VALUE!</v>
      </c>
      <c r="C1831" s="99" t="s">
        <v>5230</v>
      </c>
      <c r="D1831" s="100" t="e">
        <f t="shared" si="57"/>
        <v>#VALUE!</v>
      </c>
      <c r="E1831" s="64" t="s">
        <v>5231</v>
      </c>
      <c r="F1831" s="66" t="e" cm="1" vm="1">
        <f t="array" aca="1" ref="F183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1" s="66">
        <v>11.22</v>
      </c>
      <c r="I1831" s="67">
        <v>45826</v>
      </c>
      <c r="J1831" s="67"/>
      <c r="K1831" s="68"/>
      <c r="L1831" s="69"/>
      <c r="M1831" s="66">
        <f t="shared" ca="1" si="58"/>
        <v>252</v>
      </c>
    </row>
    <row r="1832" spans="1:13" ht="30">
      <c r="A1832" s="64" t="s">
        <v>30</v>
      </c>
      <c r="B1832" s="98" t="e">
        <f>VLOOKUP([2]!Table27[[#This Row],[Location 
(drop-down)]],'[2]List source'!D$2:E$59,2,FALSE)</f>
        <v>#VALUE!</v>
      </c>
      <c r="C1832" s="99" t="s">
        <v>5232</v>
      </c>
      <c r="D1832" s="100" t="e">
        <f t="shared" si="57"/>
        <v>#VALUE!</v>
      </c>
      <c r="E1832" s="64" t="s">
        <v>5233</v>
      </c>
      <c r="F1832" s="66" t="e" cm="1" vm="1">
        <f t="array" aca="1" ref="F183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2" s="66">
        <v>2.25</v>
      </c>
      <c r="I1832" s="67">
        <v>45826</v>
      </c>
      <c r="J1832" s="67" t="s">
        <v>111</v>
      </c>
      <c r="K1832" s="68">
        <v>45960</v>
      </c>
      <c r="L1832" s="69"/>
      <c r="M1832" s="66" t="str">
        <f t="shared" ca="1" si="58"/>
        <v>CLOSED</v>
      </c>
    </row>
    <row r="1833" spans="1:13" ht="30">
      <c r="A1833" s="64" t="s">
        <v>30</v>
      </c>
      <c r="B1833" s="98" t="e">
        <f>VLOOKUP([2]!Table27[[#This Row],[Location 
(drop-down)]],'[2]List source'!D$2:E$59,2,FALSE)</f>
        <v>#VALUE!</v>
      </c>
      <c r="C1833" s="99" t="s">
        <v>5234</v>
      </c>
      <c r="D1833" s="100" t="e">
        <f t="shared" si="57"/>
        <v>#VALUE!</v>
      </c>
      <c r="E1833" s="64" t="s">
        <v>5235</v>
      </c>
      <c r="F1833" s="66" t="e" cm="1" vm="1">
        <f t="array" aca="1" ref="F183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3" s="66">
        <v>2.0099999999999998</v>
      </c>
      <c r="I1833" s="67">
        <v>45826</v>
      </c>
      <c r="J1833" s="67" t="s">
        <v>111</v>
      </c>
      <c r="K1833" s="68">
        <v>46044</v>
      </c>
      <c r="L1833" s="69"/>
      <c r="M1833" s="66" t="str">
        <f t="shared" ca="1" si="58"/>
        <v>CLOSED</v>
      </c>
    </row>
    <row r="1834" spans="1:13" ht="30">
      <c r="A1834" s="64" t="s">
        <v>294</v>
      </c>
      <c r="B1834" s="98" t="e">
        <f>VLOOKUP([2]!Table27[[#This Row],[Location 
(drop-down)]],'[2]List source'!D$2:E$59,2,FALSE)</f>
        <v>#VALUE!</v>
      </c>
      <c r="C1834" s="99" t="s">
        <v>5236</v>
      </c>
      <c r="D1834" s="100" t="e">
        <f t="shared" si="57"/>
        <v>#VALUE!</v>
      </c>
      <c r="E1834" s="64" t="s">
        <v>5237</v>
      </c>
      <c r="F1834" s="66" t="e" cm="1" vm="1">
        <f t="array" aca="1" ref="F183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4" s="110" t="s">
        <v>5238</v>
      </c>
      <c r="I1834" s="67">
        <v>45826</v>
      </c>
      <c r="J1834" s="67" t="s">
        <v>327</v>
      </c>
      <c r="K1834" s="68">
        <v>45874</v>
      </c>
      <c r="L1834" s="69"/>
      <c r="M1834" s="66" t="str">
        <f t="shared" ca="1" si="58"/>
        <v>CLOSED</v>
      </c>
    </row>
    <row r="1835" spans="1:13" ht="30">
      <c r="A1835" s="64" t="s">
        <v>294</v>
      </c>
      <c r="B1835" s="98" t="e">
        <f>VLOOKUP([2]!Table27[[#This Row],[Location 
(drop-down)]],'[2]List source'!D$2:E$59,2,FALSE)</f>
        <v>#VALUE!</v>
      </c>
      <c r="C1835" s="99" t="s">
        <v>5239</v>
      </c>
      <c r="D1835" s="100" t="e">
        <f t="shared" si="57"/>
        <v>#VALUE!</v>
      </c>
      <c r="E1835" s="64" t="s">
        <v>5240</v>
      </c>
      <c r="F1835" s="66" t="e" cm="1" vm="1">
        <f t="array" aca="1" ref="F183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5" s="66">
        <v>7.48</v>
      </c>
      <c r="I1835" s="67">
        <v>45826</v>
      </c>
      <c r="J1835" s="67" t="s">
        <v>130</v>
      </c>
      <c r="K1835" s="68">
        <v>45882</v>
      </c>
      <c r="L1835" s="69"/>
      <c r="M1835" s="66" t="str">
        <f t="shared" ca="1" si="58"/>
        <v>CLOSED</v>
      </c>
    </row>
    <row r="1836" spans="1:13" ht="30">
      <c r="A1836" s="64" t="s">
        <v>294</v>
      </c>
      <c r="B1836" s="98" t="e">
        <f>VLOOKUP([2]!Table27[[#This Row],[Location 
(drop-down)]],'[2]List source'!D$2:E$59,2,FALSE)</f>
        <v>#VALUE!</v>
      </c>
      <c r="C1836" s="99" t="s">
        <v>5241</v>
      </c>
      <c r="D1836" s="100" t="e">
        <f t="shared" si="57"/>
        <v>#VALUE!</v>
      </c>
      <c r="E1836" s="64" t="s">
        <v>5242</v>
      </c>
      <c r="F1836" s="66" t="e" cm="1" vm="1">
        <f t="array" aca="1" ref="F183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6" s="66">
        <v>2.04</v>
      </c>
      <c r="I1836" s="67">
        <v>45826</v>
      </c>
      <c r="J1836" s="67" t="s">
        <v>327</v>
      </c>
      <c r="K1836" s="68">
        <v>46069</v>
      </c>
      <c r="L1836" s="69"/>
      <c r="M1836" s="66" t="str">
        <f t="shared" ca="1" si="58"/>
        <v>CLOSED</v>
      </c>
    </row>
    <row r="1837" spans="1:13" ht="30">
      <c r="A1837" s="64" t="s">
        <v>73</v>
      </c>
      <c r="B1837" s="98" t="e">
        <f>VLOOKUP([2]!Table27[[#This Row],[Location 
(drop-down)]],'[2]List source'!D$2:E$59,2,FALSE)</f>
        <v>#VALUE!</v>
      </c>
      <c r="C1837" s="99" t="s">
        <v>5243</v>
      </c>
      <c r="D1837" s="100" t="e">
        <f t="shared" si="57"/>
        <v>#VALUE!</v>
      </c>
      <c r="E1837" s="64" t="s">
        <v>5244</v>
      </c>
      <c r="F1837" s="66" t="e" cm="1" vm="1">
        <f t="array" aca="1" ref="F183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7" s="66">
        <v>5.56</v>
      </c>
      <c r="I1837" s="67">
        <v>45826</v>
      </c>
      <c r="J1837" s="67" t="s">
        <v>327</v>
      </c>
      <c r="K1837" s="68">
        <v>46058</v>
      </c>
      <c r="L1837" s="69"/>
      <c r="M1837" s="66" t="str">
        <f t="shared" ca="1" si="58"/>
        <v>CLOSED</v>
      </c>
    </row>
    <row r="1838" spans="1:13" ht="45">
      <c r="A1838" s="64" t="s">
        <v>73</v>
      </c>
      <c r="B1838" s="98" t="e">
        <f>VLOOKUP([2]!Table27[[#This Row],[Location 
(drop-down)]],'[2]List source'!D$2:E$59,2,FALSE)</f>
        <v>#VALUE!</v>
      </c>
      <c r="C1838" s="99" t="s">
        <v>5245</v>
      </c>
      <c r="D1838" s="100" t="e">
        <f t="shared" si="57"/>
        <v>#VALUE!</v>
      </c>
      <c r="E1838" s="64" t="s">
        <v>5246</v>
      </c>
      <c r="F1838" s="66" t="e" cm="1" vm="1">
        <f t="array" aca="1" ref="F183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8" s="110" t="s">
        <v>2132</v>
      </c>
      <c r="I1838" s="67">
        <v>45826</v>
      </c>
      <c r="J1838" s="67" t="s">
        <v>327</v>
      </c>
      <c r="K1838" s="68">
        <v>45883</v>
      </c>
      <c r="L1838" s="69"/>
      <c r="M1838" s="66" t="str">
        <f t="shared" ca="1" si="58"/>
        <v>CLOSED</v>
      </c>
    </row>
    <row r="1839" spans="1:13" ht="30">
      <c r="A1839" s="64" t="s">
        <v>485</v>
      </c>
      <c r="B1839" s="98" t="e">
        <f>VLOOKUP([2]!Table27[[#This Row],[Location 
(drop-down)]],'[2]List source'!D$2:E$59,2,FALSE)</f>
        <v>#VALUE!</v>
      </c>
      <c r="C1839" s="99" t="s">
        <v>5247</v>
      </c>
      <c r="D1839" s="100" t="e">
        <f t="shared" si="57"/>
        <v>#VALUE!</v>
      </c>
      <c r="E1839" s="64" t="s">
        <v>5248</v>
      </c>
      <c r="F1839" s="66" t="e" cm="1" vm="1">
        <f t="array" aca="1" ref="F183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39" s="66">
        <v>5.16</v>
      </c>
      <c r="I1839" s="67">
        <v>45826</v>
      </c>
      <c r="J1839" s="67" t="s">
        <v>239</v>
      </c>
      <c r="K1839" s="68">
        <v>46072</v>
      </c>
      <c r="L1839" s="69"/>
      <c r="M1839" s="66" t="str">
        <f t="shared" ca="1" si="58"/>
        <v>CLOSED</v>
      </c>
    </row>
    <row r="1840" spans="1:13" ht="30">
      <c r="A1840" s="64" t="s">
        <v>500</v>
      </c>
      <c r="B1840" s="98" t="e">
        <f>VLOOKUP([2]!Table27[[#This Row],[Location 
(drop-down)]],'[2]List source'!D$2:E$59,2,FALSE)</f>
        <v>#VALUE!</v>
      </c>
      <c r="C1840" s="99" t="s">
        <v>5249</v>
      </c>
      <c r="D1840" s="100" t="e">
        <f t="shared" si="57"/>
        <v>#VALUE!</v>
      </c>
      <c r="E1840" s="64" t="s">
        <v>5250</v>
      </c>
      <c r="F1840" s="66" t="e" cm="1" vm="1">
        <f t="array" aca="1" ref="F184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0" s="66">
        <v>4.7300000000000004</v>
      </c>
      <c r="I1840" s="67">
        <v>45826</v>
      </c>
      <c r="J1840" s="67" t="s">
        <v>310</v>
      </c>
      <c r="K1840" s="68">
        <v>45869</v>
      </c>
      <c r="L1840" s="69"/>
      <c r="M1840" s="66" t="str">
        <f t="shared" ca="1" si="58"/>
        <v>CLOSED</v>
      </c>
    </row>
    <row r="1841" spans="1:13" ht="45">
      <c r="A1841" s="64" t="s">
        <v>500</v>
      </c>
      <c r="B1841" s="98" t="e">
        <f>VLOOKUP([2]!Table27[[#This Row],[Location 
(drop-down)]],'[2]List source'!D$2:E$59,2,FALSE)</f>
        <v>#VALUE!</v>
      </c>
      <c r="C1841" s="99" t="s">
        <v>5251</v>
      </c>
      <c r="D1841" s="100" t="e">
        <f t="shared" si="57"/>
        <v>#VALUE!</v>
      </c>
      <c r="E1841" s="64" t="s">
        <v>5252</v>
      </c>
      <c r="F1841" s="66" t="e" cm="1" vm="1">
        <f t="array" aca="1" ref="F184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1" s="66">
        <v>5.0599999999999996</v>
      </c>
      <c r="I1841" s="67">
        <v>45826</v>
      </c>
      <c r="J1841" s="67" t="s">
        <v>310</v>
      </c>
      <c r="K1841" s="68">
        <v>45869</v>
      </c>
      <c r="L1841" s="69"/>
      <c r="M1841" s="66" t="str">
        <f t="shared" ca="1" si="58"/>
        <v>CLOSED</v>
      </c>
    </row>
    <row r="1842" spans="1:13" ht="30">
      <c r="A1842" s="64" t="s">
        <v>139</v>
      </c>
      <c r="B1842" s="98" t="e">
        <f>VLOOKUP([2]!Table27[[#This Row],[Location 
(drop-down)]],'[2]List source'!D$2:E$59,2,FALSE)</f>
        <v>#VALUE!</v>
      </c>
      <c r="C1842" s="99" t="s">
        <v>5253</v>
      </c>
      <c r="D1842" s="100" t="e">
        <f t="shared" si="57"/>
        <v>#VALUE!</v>
      </c>
      <c r="E1842" s="64" t="s">
        <v>5254</v>
      </c>
      <c r="F1842" s="66" t="e" cm="1" vm="1">
        <f t="array" aca="1" ref="F184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2" s="110" t="s">
        <v>5255</v>
      </c>
      <c r="I1842" s="67">
        <v>45826</v>
      </c>
      <c r="J1842" s="67" t="s">
        <v>310</v>
      </c>
      <c r="K1842" s="68">
        <v>45943</v>
      </c>
      <c r="L1842" s="69"/>
      <c r="M1842" s="66" t="str">
        <f t="shared" ca="1" si="58"/>
        <v>CLOSED</v>
      </c>
    </row>
    <row r="1843" spans="1:13" ht="30">
      <c r="A1843" s="64" t="s">
        <v>30</v>
      </c>
      <c r="B1843" s="98" t="e">
        <f>VLOOKUP([2]!Table27[[#This Row],[Location 
(drop-down)]],'[2]List source'!D$2:E$59,2,FALSE)</f>
        <v>#VALUE!</v>
      </c>
      <c r="C1843" s="99" t="s">
        <v>5256</v>
      </c>
      <c r="D1843" s="100" t="e">
        <f t="shared" si="57"/>
        <v>#VALUE!</v>
      </c>
      <c r="E1843" s="64" t="s">
        <v>5257</v>
      </c>
      <c r="F1843" s="66" t="s">
        <v>2269</v>
      </c>
      <c r="G18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3" s="66">
        <v>5.45</v>
      </c>
      <c r="I1843" s="67">
        <v>45826</v>
      </c>
      <c r="J1843" s="67" t="s">
        <v>111</v>
      </c>
      <c r="K1843" s="68">
        <v>45861</v>
      </c>
      <c r="L1843" s="69"/>
      <c r="M1843" s="66" t="str">
        <f t="shared" ca="1" si="58"/>
        <v>CLOSED</v>
      </c>
    </row>
    <row r="1844" spans="1:13" ht="90">
      <c r="A1844" s="64" t="s">
        <v>15</v>
      </c>
      <c r="B1844" s="98" t="e">
        <f>VLOOKUP([2]!Table27[[#This Row],[Location 
(drop-down)]],'[2]List source'!D$2:E$59,2,FALSE)</f>
        <v>#VALUE!</v>
      </c>
      <c r="C1844" s="99" t="s">
        <v>5258</v>
      </c>
      <c r="D1844" s="100" t="e">
        <f t="shared" si="57"/>
        <v>#VALUE!</v>
      </c>
      <c r="E1844" s="64" t="s">
        <v>5259</v>
      </c>
      <c r="F1844" s="66" t="s">
        <v>3068</v>
      </c>
      <c r="G18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4" s="110" t="s">
        <v>1778</v>
      </c>
      <c r="I1844" s="67">
        <v>45826</v>
      </c>
      <c r="J1844" s="67" t="s">
        <v>34</v>
      </c>
      <c r="K1844" s="68">
        <v>45826</v>
      </c>
      <c r="L1844" s="69" t="s">
        <v>1562</v>
      </c>
      <c r="M1844" s="66" t="str">
        <f t="shared" ca="1" si="58"/>
        <v>CLOSED</v>
      </c>
    </row>
    <row r="1845" spans="1:13" ht="30">
      <c r="A1845" s="64" t="s">
        <v>15</v>
      </c>
      <c r="B1845" s="98" t="e">
        <f>VLOOKUP([2]!Table27[[#This Row],[Location 
(drop-down)]],'[2]List source'!D$2:E$59,2,FALSE)</f>
        <v>#VALUE!</v>
      </c>
      <c r="C1845" s="99" t="s">
        <v>5260</v>
      </c>
      <c r="D1845" s="100" t="e">
        <f t="shared" si="57"/>
        <v>#VALUE!</v>
      </c>
      <c r="E1845" s="64" t="s">
        <v>5261</v>
      </c>
      <c r="F1845" s="66" t="s">
        <v>3068</v>
      </c>
      <c r="G18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5" s="110" t="s">
        <v>5262</v>
      </c>
      <c r="I1845" s="67">
        <v>45826</v>
      </c>
      <c r="J1845" s="67"/>
      <c r="K1845" s="68"/>
      <c r="L1845" s="69"/>
      <c r="M1845" s="66">
        <f t="shared" ca="1" si="58"/>
        <v>252</v>
      </c>
    </row>
    <row r="1846" spans="1:13" ht="30">
      <c r="A1846" s="64" t="s">
        <v>15</v>
      </c>
      <c r="B1846" s="98" t="e">
        <f>VLOOKUP([2]!Table27[[#This Row],[Location 
(drop-down)]],'[2]List source'!D$2:E$59,2,FALSE)</f>
        <v>#VALUE!</v>
      </c>
      <c r="C1846" s="99" t="s">
        <v>5263</v>
      </c>
      <c r="D1846" s="100" t="e">
        <f t="shared" si="57"/>
        <v>#VALUE!</v>
      </c>
      <c r="E1846" s="64" t="s">
        <v>5264</v>
      </c>
      <c r="F1846" s="66" t="s">
        <v>3068</v>
      </c>
      <c r="G18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6" s="66">
        <v>4.45</v>
      </c>
      <c r="I1846" s="67">
        <v>45826</v>
      </c>
      <c r="J1846" s="67" t="s">
        <v>69</v>
      </c>
      <c r="K1846" s="68">
        <v>46029</v>
      </c>
      <c r="L1846" s="69"/>
      <c r="M1846" s="66" t="str">
        <f t="shared" ca="1" si="58"/>
        <v>CLOSED</v>
      </c>
    </row>
    <row r="1847" spans="1:13" ht="30">
      <c r="A1847" s="64" t="s">
        <v>125</v>
      </c>
      <c r="B1847" s="98" t="e">
        <f>VLOOKUP([2]!Table27[[#This Row],[Location 
(drop-down)]],'[2]List source'!D$2:E$59,2,FALSE)</f>
        <v>#VALUE!</v>
      </c>
      <c r="C1847" s="99" t="s">
        <v>5265</v>
      </c>
      <c r="D1847" s="100" t="e">
        <f t="shared" si="57"/>
        <v>#VALUE!</v>
      </c>
      <c r="E1847" s="64" t="s">
        <v>5266</v>
      </c>
      <c r="F1847" s="66" t="s">
        <v>2274</v>
      </c>
      <c r="G18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7" s="66">
        <v>4.8600000000000003</v>
      </c>
      <c r="I1847" s="67">
        <v>45826</v>
      </c>
      <c r="J1847" s="67" t="s">
        <v>111</v>
      </c>
      <c r="K1847" s="68">
        <v>45908</v>
      </c>
      <c r="L1847" s="69"/>
      <c r="M1847" s="66" t="str">
        <f t="shared" ca="1" si="58"/>
        <v>CLOSED</v>
      </c>
    </row>
    <row r="1848" spans="1:13" ht="90">
      <c r="A1848" s="64" t="s">
        <v>125</v>
      </c>
      <c r="B1848" s="98" t="e">
        <f>VLOOKUP([2]!Table27[[#This Row],[Location 
(drop-down)]],'[2]List source'!D$2:E$59,2,FALSE)</f>
        <v>#VALUE!</v>
      </c>
      <c r="C1848" s="99" t="s">
        <v>5267</v>
      </c>
      <c r="D1848" s="100" t="e">
        <f t="shared" si="57"/>
        <v>#VALUE!</v>
      </c>
      <c r="E1848" s="64" t="s">
        <v>5268</v>
      </c>
      <c r="F1848" s="66" t="s">
        <v>2274</v>
      </c>
      <c r="G18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8" s="66">
        <v>2.1</v>
      </c>
      <c r="I1848" s="67">
        <v>45826</v>
      </c>
      <c r="J1848" s="67" t="s">
        <v>34</v>
      </c>
      <c r="K1848" s="68">
        <v>45826</v>
      </c>
      <c r="L1848" s="69" t="s">
        <v>1562</v>
      </c>
      <c r="M1848" s="66" t="str">
        <f t="shared" ca="1" si="58"/>
        <v>CLOSED</v>
      </c>
    </row>
    <row r="1849" spans="1:13" ht="30">
      <c r="A1849" s="64" t="s">
        <v>15</v>
      </c>
      <c r="B1849" s="98" t="e">
        <f>VLOOKUP([2]!Table27[[#This Row],[Location 
(drop-down)]],'[2]List source'!D$2:E$59,2,FALSE)</f>
        <v>#VALUE!</v>
      </c>
      <c r="C1849" s="99" t="s">
        <v>5269</v>
      </c>
      <c r="D1849" s="100" t="e">
        <f t="shared" si="57"/>
        <v>#VALUE!</v>
      </c>
      <c r="E1849" s="64" t="s">
        <v>5270</v>
      </c>
      <c r="F1849" s="66" t="s">
        <v>2279</v>
      </c>
      <c r="G184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49" s="110" t="s">
        <v>5097</v>
      </c>
      <c r="I1849" s="67">
        <v>45826</v>
      </c>
      <c r="J1849" s="67" t="s">
        <v>21</v>
      </c>
      <c r="K1849" s="68">
        <v>46027</v>
      </c>
      <c r="L1849" s="69"/>
      <c r="M1849" s="66" t="str">
        <f t="shared" ca="1" si="58"/>
        <v>CLOSED</v>
      </c>
    </row>
    <row r="1850" spans="1:13" ht="90">
      <c r="A1850" s="64" t="s">
        <v>15</v>
      </c>
      <c r="B1850" s="98" t="e">
        <f>VLOOKUP([2]!Table27[[#This Row],[Location 
(drop-down)]],'[2]List source'!D$2:E$59,2,FALSE)</f>
        <v>#VALUE!</v>
      </c>
      <c r="C1850" s="99" t="s">
        <v>5271</v>
      </c>
      <c r="D1850" s="100" t="e">
        <f t="shared" si="57"/>
        <v>#VALUE!</v>
      </c>
      <c r="E1850" s="64" t="s">
        <v>5272</v>
      </c>
      <c r="F1850" s="66" t="s">
        <v>2160</v>
      </c>
      <c r="G18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0" s="66" t="s">
        <v>5273</v>
      </c>
      <c r="I1850" s="67">
        <v>45826</v>
      </c>
      <c r="J1850" s="67" t="s">
        <v>34</v>
      </c>
      <c r="K1850" s="68">
        <v>45826</v>
      </c>
      <c r="L1850" s="69" t="s">
        <v>1562</v>
      </c>
      <c r="M1850" s="66" t="str">
        <f t="shared" ca="1" si="58"/>
        <v>CLOSED</v>
      </c>
    </row>
    <row r="1851" spans="1:13" ht="45">
      <c r="A1851" s="64" t="s">
        <v>399</v>
      </c>
      <c r="B1851" s="98" t="e">
        <f>VLOOKUP([2]!Table27[[#This Row],[Location 
(drop-down)]],'[2]List source'!D$2:E$59,2,FALSE)</f>
        <v>#VALUE!</v>
      </c>
      <c r="C1851" s="99" t="s">
        <v>5274</v>
      </c>
      <c r="D1851" s="100" t="e">
        <f t="shared" si="57"/>
        <v>#VALUE!</v>
      </c>
      <c r="E1851" s="64" t="s">
        <v>5275</v>
      </c>
      <c r="F1851" s="66" t="s">
        <v>2160</v>
      </c>
      <c r="G18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1" s="110" t="s">
        <v>5276</v>
      </c>
      <c r="I1851" s="67">
        <v>45826</v>
      </c>
      <c r="J1851" s="67" t="s">
        <v>34</v>
      </c>
      <c r="K1851" s="68">
        <v>45827</v>
      </c>
      <c r="L1851" s="69" t="s">
        <v>1773</v>
      </c>
      <c r="M1851" s="66" t="str">
        <f t="shared" ca="1" si="58"/>
        <v>CLOSED</v>
      </c>
    </row>
    <row r="1852" spans="1:13" ht="90">
      <c r="A1852" s="64" t="s">
        <v>399</v>
      </c>
      <c r="B1852" s="98" t="e">
        <f>VLOOKUP([2]!Table27[[#This Row],[Location 
(drop-down)]],'[2]List source'!D$2:E$59,2,FALSE)</f>
        <v>#VALUE!</v>
      </c>
      <c r="C1852" s="99" t="s">
        <v>5277</v>
      </c>
      <c r="D1852" s="100" t="e">
        <f t="shared" si="57"/>
        <v>#VALUE!</v>
      </c>
      <c r="E1852" s="64" t="s">
        <v>5278</v>
      </c>
      <c r="F1852" s="66" t="s">
        <v>2160</v>
      </c>
      <c r="G18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2" s="110" t="s">
        <v>2549</v>
      </c>
      <c r="I1852" s="67">
        <v>45826</v>
      </c>
      <c r="J1852" s="67" t="s">
        <v>34</v>
      </c>
      <c r="K1852" s="68">
        <v>45826</v>
      </c>
      <c r="L1852" s="69" t="s">
        <v>1562</v>
      </c>
      <c r="M1852" s="66" t="str">
        <f t="shared" ca="1" si="58"/>
        <v>CLOSED</v>
      </c>
    </row>
    <row r="1853" spans="1:13" ht="90">
      <c r="A1853" s="64" t="s">
        <v>125</v>
      </c>
      <c r="B1853" s="98" t="e">
        <f>VLOOKUP([2]!Table27[[#This Row],[Location 
(drop-down)]],'[2]List source'!D$2:E$59,2,FALSE)</f>
        <v>#VALUE!</v>
      </c>
      <c r="C1853" s="99" t="s">
        <v>5279</v>
      </c>
      <c r="D1853" s="100" t="e">
        <f t="shared" si="57"/>
        <v>#VALUE!</v>
      </c>
      <c r="E1853" s="64" t="s">
        <v>5280</v>
      </c>
      <c r="F1853" s="66" t="s">
        <v>2274</v>
      </c>
      <c r="G18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3" s="110" t="s">
        <v>5281</v>
      </c>
      <c r="I1853" s="67">
        <v>45826</v>
      </c>
      <c r="J1853" s="67" t="s">
        <v>34</v>
      </c>
      <c r="K1853" s="68">
        <v>45826</v>
      </c>
      <c r="L1853" s="69" t="s">
        <v>1562</v>
      </c>
      <c r="M1853" s="66" t="str">
        <f t="shared" ca="1" si="58"/>
        <v>CLOSED</v>
      </c>
    </row>
    <row r="1854" spans="1:13" ht="90">
      <c r="A1854" s="64" t="s">
        <v>15</v>
      </c>
      <c r="B1854" s="98" t="e">
        <f>VLOOKUP([2]!Table27[[#This Row],[Location 
(drop-down)]],'[2]List source'!D$2:E$59,2,FALSE)</f>
        <v>#VALUE!</v>
      </c>
      <c r="C1854" s="99" t="s">
        <v>5282</v>
      </c>
      <c r="D1854" s="100" t="e">
        <f t="shared" si="57"/>
        <v>#VALUE!</v>
      </c>
      <c r="E1854" s="64" t="s">
        <v>5283</v>
      </c>
      <c r="F1854" s="66" t="s">
        <v>2279</v>
      </c>
      <c r="G18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4" s="66">
        <v>2.13</v>
      </c>
      <c r="I1854" s="67">
        <v>45826</v>
      </c>
      <c r="J1854" s="67" t="s">
        <v>34</v>
      </c>
      <c r="K1854" s="68">
        <v>45826</v>
      </c>
      <c r="L1854" s="69" t="s">
        <v>1562</v>
      </c>
      <c r="M1854" s="66" t="str">
        <f t="shared" ca="1" si="58"/>
        <v>CLOSED</v>
      </c>
    </row>
    <row r="1855" spans="1:13" ht="90">
      <c r="A1855" s="64" t="s">
        <v>15</v>
      </c>
      <c r="B1855" s="98" t="e">
        <f>VLOOKUP([2]!Table27[[#This Row],[Location 
(drop-down)]],'[2]List source'!D$2:E$59,2,FALSE)</f>
        <v>#VALUE!</v>
      </c>
      <c r="C1855" s="99" t="s">
        <v>5284</v>
      </c>
      <c r="D1855" s="100" t="e">
        <f t="shared" si="57"/>
        <v>#VALUE!</v>
      </c>
      <c r="E1855" s="64" t="s">
        <v>5285</v>
      </c>
      <c r="F1855" s="66" t="s">
        <v>5286</v>
      </c>
      <c r="G18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5" s="110" t="s">
        <v>5287</v>
      </c>
      <c r="I1855" s="67">
        <v>45826</v>
      </c>
      <c r="J1855" s="67" t="s">
        <v>34</v>
      </c>
      <c r="K1855" s="68">
        <v>45826</v>
      </c>
      <c r="L1855" s="69" t="s">
        <v>1562</v>
      </c>
      <c r="M1855" s="66" t="str">
        <f t="shared" ca="1" si="58"/>
        <v>CLOSED</v>
      </c>
    </row>
    <row r="1856" spans="1:13" ht="90">
      <c r="A1856" s="64" t="s">
        <v>156</v>
      </c>
      <c r="B1856" s="98" t="e">
        <f>VLOOKUP([2]!Table27[[#This Row],[Location 
(drop-down)]],'[2]List source'!D$2:E$59,2,FALSE)</f>
        <v>#VALUE!</v>
      </c>
      <c r="C1856" s="99" t="s">
        <v>5288</v>
      </c>
      <c r="D1856" s="100" t="e">
        <f t="shared" si="57"/>
        <v>#VALUE!</v>
      </c>
      <c r="E1856" s="64" t="s">
        <v>5289</v>
      </c>
      <c r="F1856" s="66" t="e" cm="1" vm="1">
        <f t="array" aca="1" ref="F185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6" s="110" t="s">
        <v>2172</v>
      </c>
      <c r="I1856" s="67">
        <v>45827</v>
      </c>
      <c r="J1856" s="67" t="s">
        <v>34</v>
      </c>
      <c r="K1856" s="68">
        <v>45827</v>
      </c>
      <c r="L1856" s="69" t="s">
        <v>1562</v>
      </c>
      <c r="M1856" s="66" t="str">
        <f t="shared" ca="1" si="58"/>
        <v>CLOSED</v>
      </c>
    </row>
    <row r="1857" spans="1:13" ht="90">
      <c r="A1857" s="64" t="s">
        <v>39</v>
      </c>
      <c r="B1857" s="98" t="e">
        <f>VLOOKUP([2]!Table27[[#This Row],[Location 
(drop-down)]],'[2]List source'!D$2:E$59,2,FALSE)</f>
        <v>#VALUE!</v>
      </c>
      <c r="C1857" s="99" t="s">
        <v>5290</v>
      </c>
      <c r="D1857" s="100" t="e">
        <f t="shared" si="57"/>
        <v>#VALUE!</v>
      </c>
      <c r="E1857" s="64" t="s">
        <v>5291</v>
      </c>
      <c r="F1857" s="66" t="e" cm="1" vm="1">
        <f t="array" aca="1" ref="F185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7" s="110" t="s">
        <v>5292</v>
      </c>
      <c r="I1857" s="67">
        <v>45827</v>
      </c>
      <c r="J1857" s="67" t="s">
        <v>34</v>
      </c>
      <c r="K1857" s="68">
        <v>45827</v>
      </c>
      <c r="L1857" s="69" t="s">
        <v>1562</v>
      </c>
      <c r="M1857" s="66" t="str">
        <f t="shared" ca="1" si="58"/>
        <v>CLOSED</v>
      </c>
    </row>
    <row r="1858" spans="1:13" ht="30">
      <c r="A1858" s="64" t="s">
        <v>160</v>
      </c>
      <c r="B1858" s="98" t="e">
        <f>VLOOKUP([2]!Table27[[#This Row],[Location 
(drop-down)]],'[2]List source'!D$2:E$59,2,FALSE)</f>
        <v>#VALUE!</v>
      </c>
      <c r="C1858" s="99" t="s">
        <v>5293</v>
      </c>
      <c r="D1858" s="100" t="e">
        <f t="shared" ref="D1858:D1921" si="59">"PTO" &amp; C1858 &amp; "-" &amp; B1858 &amp; "-" &amp; "23"</f>
        <v>#VALUE!</v>
      </c>
      <c r="E1858" s="64" t="s">
        <v>5294</v>
      </c>
      <c r="F1858" s="66" t="e" cm="1" vm="1">
        <f t="array" aca="1" ref="F185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8" s="110" t="s">
        <v>1816</v>
      </c>
      <c r="I1858" s="67">
        <v>45827</v>
      </c>
      <c r="J1858" s="67" t="s">
        <v>327</v>
      </c>
      <c r="K1858" s="68">
        <v>45895</v>
      </c>
      <c r="L1858" s="69"/>
      <c r="M1858" s="66" t="str">
        <f t="shared" ca="1" si="58"/>
        <v>CLOSED</v>
      </c>
    </row>
    <row r="1859" spans="1:13" ht="45">
      <c r="A1859" s="64" t="s">
        <v>125</v>
      </c>
      <c r="B1859" s="98" t="e">
        <f>VLOOKUP([2]!Table27[[#This Row],[Location 
(drop-down)]],'[2]List source'!D$2:E$59,2,FALSE)</f>
        <v>#VALUE!</v>
      </c>
      <c r="C1859" s="99" t="s">
        <v>5295</v>
      </c>
      <c r="D1859" s="100" t="e">
        <f t="shared" si="59"/>
        <v>#VALUE!</v>
      </c>
      <c r="E1859" s="64" t="s">
        <v>5296</v>
      </c>
      <c r="F1859" s="66" t="e" cm="1" vm="1">
        <f t="array" aca="1" ref="F185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59" s="66" t="s">
        <v>1579</v>
      </c>
      <c r="I1859" s="67">
        <v>45827</v>
      </c>
      <c r="J1859" s="67" t="s">
        <v>34</v>
      </c>
      <c r="K1859" s="68">
        <v>46021</v>
      </c>
      <c r="L1859" s="69" t="s">
        <v>1773</v>
      </c>
      <c r="M1859" s="66" t="str">
        <f t="shared" ca="1" si="58"/>
        <v>CLOSED</v>
      </c>
    </row>
    <row r="1860" spans="1:13" ht="60">
      <c r="A1860" s="64" t="s">
        <v>125</v>
      </c>
      <c r="B1860" s="98" t="e">
        <f>VLOOKUP([2]!Table27[[#This Row],[Location 
(drop-down)]],'[2]List source'!D$2:E$59,2,FALSE)</f>
        <v>#VALUE!</v>
      </c>
      <c r="C1860" s="99" t="s">
        <v>5297</v>
      </c>
      <c r="D1860" s="100" t="e">
        <f t="shared" si="59"/>
        <v>#VALUE!</v>
      </c>
      <c r="E1860" s="64" t="s">
        <v>5298</v>
      </c>
      <c r="F1860" s="66" t="e" cm="1" vm="1">
        <f t="array" aca="1" ref="F18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0" s="110" t="s">
        <v>5299</v>
      </c>
      <c r="I1860" s="67">
        <v>45827</v>
      </c>
      <c r="J1860" s="67" t="s">
        <v>34</v>
      </c>
      <c r="K1860" s="68">
        <v>46008</v>
      </c>
      <c r="L1860" s="69" t="s">
        <v>1773</v>
      </c>
      <c r="M1860" s="66" t="str">
        <f t="shared" ca="1" si="58"/>
        <v>CLOSED</v>
      </c>
    </row>
    <row r="1861" spans="1:13" ht="30">
      <c r="A1861" s="64" t="s">
        <v>30</v>
      </c>
      <c r="B1861" s="98" t="e">
        <f>VLOOKUP([2]!Table27[[#This Row],[Location 
(drop-down)]],'[2]List source'!D$2:E$59,2,FALSE)</f>
        <v>#VALUE!</v>
      </c>
      <c r="C1861" s="99" t="s">
        <v>5300</v>
      </c>
      <c r="D1861" s="100" t="e">
        <f t="shared" si="59"/>
        <v>#VALUE!</v>
      </c>
      <c r="E1861" s="64" t="s">
        <v>5301</v>
      </c>
      <c r="F1861" s="66" t="e" cm="1" vm="1">
        <f t="array" aca="1" ref="F186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1" s="66">
        <v>11.3</v>
      </c>
      <c r="I1861" s="67">
        <v>45827</v>
      </c>
      <c r="J1861" s="67"/>
      <c r="K1861" s="68"/>
      <c r="L1861" s="69"/>
      <c r="M1861" s="66">
        <f t="shared" ca="1" si="58"/>
        <v>251</v>
      </c>
    </row>
    <row r="1862" spans="1:13" ht="30">
      <c r="A1862" s="64" t="s">
        <v>30</v>
      </c>
      <c r="B1862" s="98" t="e">
        <f>VLOOKUP([2]!Table27[[#This Row],[Location 
(drop-down)]],'[2]List source'!D$2:E$59,2,FALSE)</f>
        <v>#VALUE!</v>
      </c>
      <c r="C1862" s="99" t="s">
        <v>5302</v>
      </c>
      <c r="D1862" s="100" t="e">
        <f t="shared" si="59"/>
        <v>#VALUE!</v>
      </c>
      <c r="E1862" s="64" t="s">
        <v>5303</v>
      </c>
      <c r="F1862" s="66" t="e" cm="1" vm="1">
        <f t="array" aca="1" ref="F18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2" s="66">
        <v>10.55</v>
      </c>
      <c r="I1862" s="67">
        <v>45827</v>
      </c>
      <c r="J1862" s="67"/>
      <c r="K1862" s="68"/>
      <c r="L1862" s="69"/>
      <c r="M1862" s="66">
        <f t="shared" ca="1" si="58"/>
        <v>251</v>
      </c>
    </row>
    <row r="1863" spans="1:13" ht="90">
      <c r="A1863" s="64" t="s">
        <v>30</v>
      </c>
      <c r="B1863" s="98" t="e">
        <f>VLOOKUP([2]!Table27[[#This Row],[Location 
(drop-down)]],'[2]List source'!D$2:E$59,2,FALSE)</f>
        <v>#VALUE!</v>
      </c>
      <c r="C1863" s="99" t="s">
        <v>5304</v>
      </c>
      <c r="D1863" s="100" t="e">
        <f t="shared" si="59"/>
        <v>#VALUE!</v>
      </c>
      <c r="E1863" s="64" t="s">
        <v>5305</v>
      </c>
      <c r="F1863" s="66" t="e" cm="1" vm="1">
        <f t="array" aca="1" ref="F186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3" s="110" t="s">
        <v>3000</v>
      </c>
      <c r="I1863" s="67">
        <v>45827</v>
      </c>
      <c r="J1863" s="67" t="s">
        <v>34</v>
      </c>
      <c r="K1863" s="68">
        <v>45827</v>
      </c>
      <c r="L1863" s="69" t="s">
        <v>1562</v>
      </c>
      <c r="M1863" s="66" t="str">
        <f t="shared" ca="1" si="58"/>
        <v>CLOSED</v>
      </c>
    </row>
    <row r="1864" spans="1:13" ht="90">
      <c r="A1864" s="64" t="s">
        <v>167</v>
      </c>
      <c r="B1864" s="98" t="e">
        <f>VLOOKUP([2]!Table27[[#This Row],[Location 
(drop-down)]],'[2]List source'!D$2:E$59,2,FALSE)</f>
        <v>#VALUE!</v>
      </c>
      <c r="C1864" s="99" t="s">
        <v>5306</v>
      </c>
      <c r="D1864" s="100" t="e">
        <f t="shared" si="59"/>
        <v>#VALUE!</v>
      </c>
      <c r="E1864" s="64" t="s">
        <v>5307</v>
      </c>
      <c r="F1864" s="66" t="e" cm="1" vm="1">
        <f t="array" aca="1" ref="F18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4" s="110" t="s">
        <v>2042</v>
      </c>
      <c r="I1864" s="67">
        <v>45827</v>
      </c>
      <c r="J1864" s="67" t="s">
        <v>34</v>
      </c>
      <c r="K1864" s="68">
        <v>45827</v>
      </c>
      <c r="L1864" s="69" t="s">
        <v>1562</v>
      </c>
      <c r="M1864" s="66" t="str">
        <f t="shared" ca="1" si="58"/>
        <v>CLOSED</v>
      </c>
    </row>
    <row r="1865" spans="1:13" ht="30">
      <c r="A1865" s="64" t="s">
        <v>167</v>
      </c>
      <c r="B1865" s="98" t="e">
        <f>VLOOKUP([2]!Table27[[#This Row],[Location 
(drop-down)]],'[2]List source'!D$2:E$59,2,FALSE)</f>
        <v>#VALUE!</v>
      </c>
      <c r="C1865" s="99" t="s">
        <v>5308</v>
      </c>
      <c r="D1865" s="100" t="e">
        <f t="shared" si="59"/>
        <v>#VALUE!</v>
      </c>
      <c r="E1865" s="64" t="s">
        <v>5309</v>
      </c>
      <c r="F1865" s="66" t="e" cm="1" vm="1">
        <f t="array" aca="1" ref="F186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5" s="110" t="s">
        <v>2172</v>
      </c>
      <c r="I1865" s="67">
        <v>45827</v>
      </c>
      <c r="J1865" s="67" t="s">
        <v>310</v>
      </c>
      <c r="K1865" s="68">
        <v>45926</v>
      </c>
      <c r="L1865" s="69"/>
      <c r="M1865" s="66" t="str">
        <f t="shared" ca="1" si="58"/>
        <v>CLOSED</v>
      </c>
    </row>
    <row r="1866" spans="1:13" ht="90">
      <c r="A1866" s="64" t="s">
        <v>314</v>
      </c>
      <c r="B1866" s="98" t="e">
        <f>VLOOKUP([2]!Table27[[#This Row],[Location 
(drop-down)]],'[2]List source'!D$2:E$59,2,FALSE)</f>
        <v>#VALUE!</v>
      </c>
      <c r="C1866" s="99" t="s">
        <v>5310</v>
      </c>
      <c r="D1866" s="100" t="e">
        <f t="shared" si="59"/>
        <v>#VALUE!</v>
      </c>
      <c r="E1866" s="64" t="s">
        <v>5305</v>
      </c>
      <c r="F1866" s="66" t="e" cm="1" vm="1">
        <f t="array" aca="1" ref="F18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6" s="66">
        <v>2.31</v>
      </c>
      <c r="I1866" s="67">
        <v>45827</v>
      </c>
      <c r="J1866" s="67" t="s">
        <v>34</v>
      </c>
      <c r="K1866" s="68">
        <v>45827</v>
      </c>
      <c r="L1866" s="69" t="s">
        <v>1562</v>
      </c>
      <c r="M1866" s="66" t="str">
        <f t="shared" ca="1" si="58"/>
        <v>CLOSED</v>
      </c>
    </row>
    <row r="1867" spans="1:13" ht="45">
      <c r="A1867" s="64" t="s">
        <v>294</v>
      </c>
      <c r="B1867" s="98" t="e">
        <f>VLOOKUP([2]!Table27[[#This Row],[Location 
(drop-down)]],'[2]List source'!D$2:E$59,2,FALSE)</f>
        <v>#VALUE!</v>
      </c>
      <c r="C1867" s="99" t="s">
        <v>5311</v>
      </c>
      <c r="D1867" s="100" t="e">
        <f t="shared" si="59"/>
        <v>#VALUE!</v>
      </c>
      <c r="E1867" s="64" t="s">
        <v>5312</v>
      </c>
      <c r="F1867" s="66" t="e" cm="1" vm="1">
        <f t="array" aca="1" ref="F18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7" s="66" t="s">
        <v>5313</v>
      </c>
      <c r="I1867" s="67">
        <v>45827</v>
      </c>
      <c r="J1867" s="67" t="s">
        <v>327</v>
      </c>
      <c r="K1867" s="68">
        <v>45916</v>
      </c>
      <c r="L1867" s="69"/>
      <c r="M1867" s="66" t="str">
        <f t="shared" ca="1" si="58"/>
        <v>CLOSED</v>
      </c>
    </row>
    <row r="1868" spans="1:13" ht="45">
      <c r="A1868" s="64" t="s">
        <v>294</v>
      </c>
      <c r="B1868" s="98" t="e">
        <f>VLOOKUP([2]!Table27[[#This Row],[Location 
(drop-down)]],'[2]List source'!D$2:E$59,2,FALSE)</f>
        <v>#VALUE!</v>
      </c>
      <c r="C1868" s="99" t="s">
        <v>5314</v>
      </c>
      <c r="D1868" s="100" t="e">
        <f t="shared" si="59"/>
        <v>#VALUE!</v>
      </c>
      <c r="E1868" s="160" t="s">
        <v>5315</v>
      </c>
      <c r="F1868" s="66" t="e" cm="1" vm="1">
        <f t="array" aca="1" ref="F18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8" s="164" t="s">
        <v>5316</v>
      </c>
      <c r="I1868" s="67">
        <v>45827</v>
      </c>
      <c r="J1868" s="67" t="s">
        <v>327</v>
      </c>
      <c r="K1868" s="68">
        <v>45945</v>
      </c>
      <c r="L1868" s="69"/>
      <c r="M1868" s="66" t="str">
        <f t="shared" ca="1" si="58"/>
        <v>CLOSED</v>
      </c>
    </row>
    <row r="1869" spans="1:13" ht="30">
      <c r="A1869" s="64" t="s">
        <v>294</v>
      </c>
      <c r="B1869" s="98" t="e">
        <f>VLOOKUP([2]!Table27[[#This Row],[Location 
(drop-down)]],'[2]List source'!D$2:E$59,2,FALSE)</f>
        <v>#VALUE!</v>
      </c>
      <c r="C1869" s="99" t="s">
        <v>5317</v>
      </c>
      <c r="D1869" s="100" t="e">
        <f t="shared" si="59"/>
        <v>#VALUE!</v>
      </c>
      <c r="E1869" s="64" t="s">
        <v>5318</v>
      </c>
      <c r="F1869" s="66" t="e" cm="1" vm="1">
        <f t="array" aca="1" ref="F186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69" s="66">
        <v>9.09</v>
      </c>
      <c r="I1869" s="67">
        <v>45827</v>
      </c>
      <c r="J1869" s="67" t="s">
        <v>327</v>
      </c>
      <c r="K1869" s="68">
        <v>46069</v>
      </c>
      <c r="L1869" s="69"/>
      <c r="M1869" s="66" t="str">
        <f t="shared" ca="1" si="58"/>
        <v>CLOSED</v>
      </c>
    </row>
    <row r="1870" spans="1:13" ht="45">
      <c r="A1870" s="64" t="s">
        <v>294</v>
      </c>
      <c r="B1870" s="98" t="e">
        <f>VLOOKUP([2]!Table27[[#This Row],[Location 
(drop-down)]],'[2]List source'!D$2:E$59,2,FALSE)</f>
        <v>#VALUE!</v>
      </c>
      <c r="C1870" s="99" t="s">
        <v>5319</v>
      </c>
      <c r="D1870" s="100" t="e">
        <f t="shared" si="59"/>
        <v>#VALUE!</v>
      </c>
      <c r="E1870" s="64" t="s">
        <v>5320</v>
      </c>
      <c r="F1870" s="66" t="e" cm="1" vm="1">
        <f t="array" aca="1" ref="F187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0" s="110" t="s">
        <v>1579</v>
      </c>
      <c r="I1870" s="67">
        <v>45827</v>
      </c>
      <c r="J1870" s="67" t="s">
        <v>34</v>
      </c>
      <c r="K1870" s="68">
        <v>45863</v>
      </c>
      <c r="L1870" s="69" t="s">
        <v>1773</v>
      </c>
      <c r="M1870" s="66" t="str">
        <f t="shared" ca="1" si="58"/>
        <v>CLOSED</v>
      </c>
    </row>
    <row r="1871" spans="1:13" ht="30">
      <c r="A1871" s="64" t="s">
        <v>294</v>
      </c>
      <c r="B1871" s="98" t="e">
        <f>VLOOKUP([2]!Table27[[#This Row],[Location 
(drop-down)]],'[2]List source'!D$2:E$59,2,FALSE)</f>
        <v>#VALUE!</v>
      </c>
      <c r="C1871" s="99" t="s">
        <v>5321</v>
      </c>
      <c r="D1871" s="100" t="e">
        <f t="shared" si="59"/>
        <v>#VALUE!</v>
      </c>
      <c r="E1871" s="64" t="s">
        <v>5322</v>
      </c>
      <c r="F1871" s="66" t="e" cm="1" vm="1">
        <f t="array" aca="1" ref="F187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1" s="110" t="s">
        <v>5323</v>
      </c>
      <c r="I1871" s="67">
        <v>45827</v>
      </c>
      <c r="J1871" s="67" t="s">
        <v>327</v>
      </c>
      <c r="K1871" s="68">
        <v>45929</v>
      </c>
      <c r="L1871" s="69"/>
      <c r="M1871" s="66" t="str">
        <f t="shared" ca="1" si="58"/>
        <v>CLOSED</v>
      </c>
    </row>
    <row r="1872" spans="1:13" ht="30">
      <c r="A1872" s="64" t="s">
        <v>294</v>
      </c>
      <c r="B1872" s="98" t="e">
        <f>VLOOKUP([2]!Table27[[#This Row],[Location 
(drop-down)]],'[2]List source'!D$2:E$59,2,FALSE)</f>
        <v>#VALUE!</v>
      </c>
      <c r="C1872" s="99" t="s">
        <v>5324</v>
      </c>
      <c r="D1872" s="100" t="e">
        <f t="shared" si="59"/>
        <v>#VALUE!</v>
      </c>
      <c r="E1872" s="64" t="s">
        <v>5325</v>
      </c>
      <c r="F1872" s="66" t="e" cm="1" vm="1">
        <f t="array" aca="1" ref="F187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2" s="66">
        <v>9.84</v>
      </c>
      <c r="I1872" s="67">
        <v>45827</v>
      </c>
      <c r="J1872" s="67" t="s">
        <v>34</v>
      </c>
      <c r="K1872" s="68">
        <v>46064</v>
      </c>
      <c r="L1872" s="69"/>
      <c r="M1872" s="66" t="str">
        <f t="shared" ca="1" si="58"/>
        <v>CLOSED</v>
      </c>
    </row>
    <row r="1873" spans="1:13" ht="30">
      <c r="A1873" s="64" t="s">
        <v>344</v>
      </c>
      <c r="B1873" s="98" t="e">
        <f>VLOOKUP([2]!Table27[[#This Row],[Location 
(drop-down)]],'[2]List source'!D$2:E$59,2,FALSE)</f>
        <v>#VALUE!</v>
      </c>
      <c r="C1873" s="99" t="s">
        <v>5326</v>
      </c>
      <c r="D1873" s="100" t="e">
        <f t="shared" si="59"/>
        <v>#VALUE!</v>
      </c>
      <c r="E1873" s="64" t="s">
        <v>5327</v>
      </c>
      <c r="F1873" s="66" t="e" cm="1" vm="1">
        <f t="array" aca="1" ref="F187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3" s="110">
        <v>3.22</v>
      </c>
      <c r="I1873" s="67">
        <v>45827</v>
      </c>
      <c r="J1873" s="67" t="s">
        <v>327</v>
      </c>
      <c r="K1873" s="153">
        <v>45874</v>
      </c>
      <c r="L1873" s="69"/>
      <c r="M1873" s="66" t="str">
        <f t="shared" ca="1" si="58"/>
        <v>CLOSED</v>
      </c>
    </row>
    <row r="1874" spans="1:13" ht="30">
      <c r="A1874" s="64" t="s">
        <v>1082</v>
      </c>
      <c r="B1874" s="98" t="e">
        <f>VLOOKUP([2]!Table27[[#This Row],[Location 
(drop-down)]],'[2]List source'!D$2:E$59,2,FALSE)</f>
        <v>#VALUE!</v>
      </c>
      <c r="C1874" s="99" t="s">
        <v>5328</v>
      </c>
      <c r="D1874" s="100" t="e">
        <f t="shared" si="59"/>
        <v>#VALUE!</v>
      </c>
      <c r="E1874" s="64" t="s">
        <v>5329</v>
      </c>
      <c r="F1874" s="66" t="e" cm="1" vm="1">
        <f t="array" aca="1" ref="F187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4" s="110" t="s">
        <v>5330</v>
      </c>
      <c r="I1874" s="67">
        <v>45827</v>
      </c>
      <c r="J1874" s="67" t="s">
        <v>327</v>
      </c>
      <c r="K1874" s="68">
        <v>45847</v>
      </c>
      <c r="L1874" s="69"/>
      <c r="M1874" s="66" t="str">
        <f t="shared" ca="1" si="58"/>
        <v>CLOSED</v>
      </c>
    </row>
    <row r="1875" spans="1:13" ht="30">
      <c r="A1875" s="64" t="s">
        <v>73</v>
      </c>
      <c r="B1875" s="98" t="e">
        <f>VLOOKUP([2]!Table27[[#This Row],[Location 
(drop-down)]],'[2]List source'!D$2:E$59,2,FALSE)</f>
        <v>#VALUE!</v>
      </c>
      <c r="C1875" s="99" t="s">
        <v>5331</v>
      </c>
      <c r="D1875" s="100" t="e">
        <f t="shared" si="59"/>
        <v>#VALUE!</v>
      </c>
      <c r="E1875" s="80" t="s">
        <v>5332</v>
      </c>
      <c r="F1875" s="66" t="e" cm="1" vm="1">
        <f t="array" aca="1" ref="F187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5" s="66">
        <v>2.6</v>
      </c>
      <c r="I1875" s="67">
        <v>45827</v>
      </c>
      <c r="J1875" s="67" t="s">
        <v>327</v>
      </c>
      <c r="K1875" s="68">
        <v>46057</v>
      </c>
      <c r="L1875" s="88"/>
      <c r="M1875" s="66" t="str">
        <f t="shared" ca="1" si="58"/>
        <v>CLOSED</v>
      </c>
    </row>
    <row r="1876" spans="1:13" ht="30">
      <c r="A1876" s="64" t="s">
        <v>73</v>
      </c>
      <c r="B1876" s="98" t="e">
        <f>VLOOKUP([2]!Table27[[#This Row],[Location 
(drop-down)]],'[2]List source'!D$2:E$59,2,FALSE)</f>
        <v>#VALUE!</v>
      </c>
      <c r="C1876" s="99" t="s">
        <v>5333</v>
      </c>
      <c r="D1876" s="100" t="e">
        <f t="shared" si="59"/>
        <v>#VALUE!</v>
      </c>
      <c r="E1876" s="80" t="s">
        <v>5334</v>
      </c>
      <c r="F1876" s="66" t="e" cm="1" vm="1">
        <f t="array" aca="1" ref="F187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6" s="110" t="s">
        <v>3415</v>
      </c>
      <c r="I1876" s="67">
        <v>45827</v>
      </c>
      <c r="J1876" s="67" t="s">
        <v>239</v>
      </c>
      <c r="K1876" s="68">
        <v>46001</v>
      </c>
      <c r="L1876" s="69"/>
      <c r="M1876" s="66" t="str">
        <f t="shared" ca="1" si="58"/>
        <v>CLOSED</v>
      </c>
    </row>
    <row r="1877" spans="1:13" ht="30">
      <c r="A1877" s="64" t="s">
        <v>73</v>
      </c>
      <c r="B1877" s="98" t="e">
        <f>VLOOKUP([2]!Table27[[#This Row],[Location 
(drop-down)]],'[2]List source'!D$2:E$59,2,FALSE)</f>
        <v>#VALUE!</v>
      </c>
      <c r="C1877" s="99" t="s">
        <v>5335</v>
      </c>
      <c r="D1877" s="100" t="e">
        <f t="shared" si="59"/>
        <v>#VALUE!</v>
      </c>
      <c r="E1877" s="80" t="s">
        <v>5336</v>
      </c>
      <c r="F1877" s="66" t="e" cm="1" vm="1">
        <f t="array" aca="1" ref="F187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7" s="66">
        <v>18.29</v>
      </c>
      <c r="I1877" s="67">
        <v>45827</v>
      </c>
      <c r="J1877" s="67" t="s">
        <v>239</v>
      </c>
      <c r="K1877" s="68">
        <v>45938</v>
      </c>
      <c r="L1877" s="69"/>
      <c r="M1877" s="66" t="str">
        <f t="shared" ca="1" si="58"/>
        <v>CLOSED</v>
      </c>
    </row>
    <row r="1878" spans="1:13" ht="30">
      <c r="A1878" s="64" t="s">
        <v>485</v>
      </c>
      <c r="B1878" s="98" t="e">
        <f>VLOOKUP([2]!Table27[[#This Row],[Location 
(drop-down)]],'[2]List source'!D$2:E$59,2,FALSE)</f>
        <v>#VALUE!</v>
      </c>
      <c r="C1878" s="99" t="s">
        <v>5337</v>
      </c>
      <c r="D1878" s="100" t="e">
        <f t="shared" si="59"/>
        <v>#VALUE!</v>
      </c>
      <c r="E1878" s="80" t="s">
        <v>5338</v>
      </c>
      <c r="F1878" s="66" t="e" cm="1" vm="1">
        <f t="array" aca="1" ref="F187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8" s="110" t="s">
        <v>3581</v>
      </c>
      <c r="I1878" s="67">
        <v>45827</v>
      </c>
      <c r="J1878" s="67"/>
      <c r="K1878" s="68"/>
      <c r="L1878" s="69"/>
      <c r="M1878" s="66">
        <f t="shared" ca="1" si="58"/>
        <v>251</v>
      </c>
    </row>
    <row r="1879" spans="1:13" ht="30">
      <c r="A1879" s="64" t="s">
        <v>485</v>
      </c>
      <c r="B1879" s="98" t="e">
        <f>VLOOKUP([2]!Table27[[#This Row],[Location 
(drop-down)]],'[2]List source'!D$2:E$59,2,FALSE)</f>
        <v>#VALUE!</v>
      </c>
      <c r="C1879" s="99" t="s">
        <v>5339</v>
      </c>
      <c r="D1879" s="100" t="e">
        <f t="shared" si="59"/>
        <v>#VALUE!</v>
      </c>
      <c r="E1879" s="80" t="s">
        <v>5340</v>
      </c>
      <c r="F1879" s="66" t="e" cm="1" vm="1">
        <f t="array" aca="1" ref="F187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79" s="66">
        <v>3.77</v>
      </c>
      <c r="I1879" s="67">
        <v>45827</v>
      </c>
      <c r="J1879" s="67" t="s">
        <v>239</v>
      </c>
      <c r="K1879" s="68">
        <v>45932</v>
      </c>
      <c r="L1879" s="69"/>
      <c r="M1879" s="66" t="str">
        <f t="shared" ca="1" si="58"/>
        <v>CLOSED</v>
      </c>
    </row>
    <row r="1880" spans="1:13" ht="90">
      <c r="A1880" s="64" t="s">
        <v>485</v>
      </c>
      <c r="B1880" s="98" t="e">
        <f>VLOOKUP([2]!Table27[[#This Row],[Location 
(drop-down)]],'[2]List source'!D$2:E$59,2,FALSE)</f>
        <v>#VALUE!</v>
      </c>
      <c r="C1880" s="99" t="s">
        <v>5341</v>
      </c>
      <c r="D1880" s="100" t="e">
        <f t="shared" si="59"/>
        <v>#VALUE!</v>
      </c>
      <c r="E1880" s="80" t="s">
        <v>5342</v>
      </c>
      <c r="F1880" s="66" t="e" cm="1" vm="1">
        <f t="array" aca="1" ref="F188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0" s="110" t="s">
        <v>5255</v>
      </c>
      <c r="I1880" s="67">
        <v>45827</v>
      </c>
      <c r="J1880" s="67" t="s">
        <v>34</v>
      </c>
      <c r="K1880" s="68">
        <v>45827</v>
      </c>
      <c r="L1880" s="69" t="s">
        <v>1562</v>
      </c>
      <c r="M1880" s="66" t="str">
        <f t="shared" ca="1" si="58"/>
        <v>CLOSED</v>
      </c>
    </row>
    <row r="1881" spans="1:13" ht="90">
      <c r="A1881" s="64" t="s">
        <v>500</v>
      </c>
      <c r="B1881" s="98" t="e">
        <f>VLOOKUP([2]!Table27[[#This Row],[Location 
(drop-down)]],'[2]List source'!D$2:E$59,2,FALSE)</f>
        <v>#VALUE!</v>
      </c>
      <c r="C1881" s="99" t="s">
        <v>5343</v>
      </c>
      <c r="D1881" s="100" t="e">
        <f t="shared" si="59"/>
        <v>#VALUE!</v>
      </c>
      <c r="E1881" s="80" t="s">
        <v>5344</v>
      </c>
      <c r="F1881" s="66" t="e" cm="1" vm="1">
        <f t="array" aca="1" ref="F188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1" s="110">
        <v>2.04</v>
      </c>
      <c r="I1881" s="67">
        <v>45827</v>
      </c>
      <c r="J1881" s="67" t="s">
        <v>34</v>
      </c>
      <c r="K1881" s="68">
        <v>45827</v>
      </c>
      <c r="L1881" s="69" t="s">
        <v>1562</v>
      </c>
      <c r="M1881" s="66" t="str">
        <f t="shared" ca="1" si="58"/>
        <v>CLOSED</v>
      </c>
    </row>
    <row r="1882" spans="1:13" ht="90">
      <c r="A1882" s="64" t="s">
        <v>500</v>
      </c>
      <c r="B1882" s="98" t="e">
        <f>VLOOKUP([2]!Table27[[#This Row],[Location 
(drop-down)]],'[2]List source'!D$2:E$59,2,FALSE)</f>
        <v>#VALUE!</v>
      </c>
      <c r="C1882" s="99" t="s">
        <v>5345</v>
      </c>
      <c r="D1882" s="100" t="e">
        <f t="shared" si="59"/>
        <v>#VALUE!</v>
      </c>
      <c r="E1882" s="64" t="s">
        <v>5346</v>
      </c>
      <c r="F1882" s="66" t="e" cm="1" vm="1">
        <f t="array" aca="1" ref="F188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2" s="110" t="s">
        <v>1816</v>
      </c>
      <c r="I1882" s="67">
        <v>45827</v>
      </c>
      <c r="J1882" s="67" t="s">
        <v>34</v>
      </c>
      <c r="K1882" s="68">
        <v>45827</v>
      </c>
      <c r="L1882" s="69" t="s">
        <v>1562</v>
      </c>
      <c r="M1882" s="66" t="str">
        <f t="shared" ca="1" si="58"/>
        <v>CLOSED</v>
      </c>
    </row>
    <row r="1883" spans="1:13" ht="30">
      <c r="A1883" s="64" t="s">
        <v>500</v>
      </c>
      <c r="B1883" s="98" t="e">
        <f>VLOOKUP([2]!Table27[[#This Row],[Location 
(drop-down)]],'[2]List source'!D$2:E$59,2,FALSE)</f>
        <v>#VALUE!</v>
      </c>
      <c r="C1883" s="99" t="s">
        <v>5347</v>
      </c>
      <c r="D1883" s="100" t="e">
        <f t="shared" si="59"/>
        <v>#VALUE!</v>
      </c>
      <c r="E1883" s="64" t="s">
        <v>5348</v>
      </c>
      <c r="F1883" s="66" t="s">
        <v>1507</v>
      </c>
      <c r="G18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3" s="66">
        <v>6.1</v>
      </c>
      <c r="I1883" s="67">
        <v>45827</v>
      </c>
      <c r="J1883" s="67" t="s">
        <v>310</v>
      </c>
      <c r="K1883" s="68">
        <v>45855</v>
      </c>
      <c r="L1883" s="69"/>
      <c r="M1883" s="66" t="str">
        <f t="shared" ca="1" si="58"/>
        <v>CLOSED</v>
      </c>
    </row>
    <row r="1884" spans="1:13" ht="90">
      <c r="A1884" s="64" t="s">
        <v>500</v>
      </c>
      <c r="B1884" s="98" t="e">
        <f>VLOOKUP([2]!Table27[[#This Row],[Location 
(drop-down)]],'[2]List source'!D$2:E$59,2,FALSE)</f>
        <v>#VALUE!</v>
      </c>
      <c r="C1884" s="99" t="s">
        <v>5349</v>
      </c>
      <c r="D1884" s="100" t="e">
        <f t="shared" si="59"/>
        <v>#VALUE!</v>
      </c>
      <c r="E1884" s="64" t="s">
        <v>5350</v>
      </c>
      <c r="F1884" s="66" t="e" cm="1" vm="1">
        <f t="array" aca="1" ref="F188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4" s="110" t="s">
        <v>2650</v>
      </c>
      <c r="I1884" s="67">
        <v>45827</v>
      </c>
      <c r="J1884" s="67" t="s">
        <v>34</v>
      </c>
      <c r="K1884" s="68">
        <v>45827</v>
      </c>
      <c r="L1884" s="69" t="s">
        <v>1562</v>
      </c>
      <c r="M1884" s="66" t="str">
        <f t="shared" ca="1" si="58"/>
        <v>CLOSED</v>
      </c>
    </row>
    <row r="1885" spans="1:13" ht="90">
      <c r="A1885" s="64" t="s">
        <v>621</v>
      </c>
      <c r="B1885" s="98" t="e">
        <f>VLOOKUP([2]!Table27[[#This Row],[Location 
(drop-down)]],'[2]List source'!D$2:E$59,2,FALSE)</f>
        <v>#VALUE!</v>
      </c>
      <c r="C1885" s="99" t="s">
        <v>5351</v>
      </c>
      <c r="D1885" s="100" t="e">
        <f t="shared" si="59"/>
        <v>#VALUE!</v>
      </c>
      <c r="E1885" s="64" t="s">
        <v>5352</v>
      </c>
      <c r="F1885" s="66" t="e" cm="1" vm="1">
        <f t="array" aca="1" ref="F188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5" s="110">
        <v>2.46</v>
      </c>
      <c r="I1885" s="67">
        <v>45827</v>
      </c>
      <c r="J1885" s="67" t="s">
        <v>34</v>
      </c>
      <c r="K1885" s="68">
        <v>45827</v>
      </c>
      <c r="L1885" s="69" t="s">
        <v>1562</v>
      </c>
      <c r="M1885" s="66" t="str">
        <f t="shared" ca="1" si="58"/>
        <v>CLOSED</v>
      </c>
    </row>
    <row r="1886" spans="1:13" ht="45">
      <c r="A1886" s="64" t="s">
        <v>621</v>
      </c>
      <c r="B1886" s="98" t="e">
        <f>VLOOKUP([2]!Table27[[#This Row],[Location 
(drop-down)]],'[2]List source'!D$2:E$59,2,FALSE)</f>
        <v>#VALUE!</v>
      </c>
      <c r="C1886" s="99" t="s">
        <v>5353</v>
      </c>
      <c r="D1886" s="100" t="e">
        <f t="shared" si="59"/>
        <v>#VALUE!</v>
      </c>
      <c r="E1886" s="64" t="s">
        <v>5354</v>
      </c>
      <c r="F1886" s="66" t="e" cm="1" vm="1">
        <f t="array" aca="1" ref="F188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6" s="110">
        <v>29.42</v>
      </c>
      <c r="I1886" s="67">
        <v>45827</v>
      </c>
      <c r="J1886" s="67" t="s">
        <v>34</v>
      </c>
      <c r="K1886" s="67">
        <v>45832</v>
      </c>
      <c r="L1886" s="69" t="s">
        <v>1505</v>
      </c>
      <c r="M1886" s="66" t="str">
        <f t="shared" ca="1" si="58"/>
        <v>CLOSED</v>
      </c>
    </row>
    <row r="1887" spans="1:13" ht="45">
      <c r="A1887" s="64" t="s">
        <v>202</v>
      </c>
      <c r="B1887" s="98" t="e">
        <f>VLOOKUP([2]!Table27[[#This Row],[Location 
(drop-down)]],'[2]List source'!D$2:E$59,2,FALSE)</f>
        <v>#VALUE!</v>
      </c>
      <c r="C1887" s="99" t="s">
        <v>5355</v>
      </c>
      <c r="D1887" s="100" t="e">
        <f t="shared" si="59"/>
        <v>#VALUE!</v>
      </c>
      <c r="E1887" s="64" t="s">
        <v>5296</v>
      </c>
      <c r="F1887" s="66" t="e" cm="1" vm="1">
        <f t="array" aca="1" ref="F188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7" s="66" t="s">
        <v>1579</v>
      </c>
      <c r="I1887" s="67">
        <v>45827</v>
      </c>
      <c r="J1887" s="67" t="s">
        <v>34</v>
      </c>
      <c r="K1887" s="68">
        <v>45833</v>
      </c>
      <c r="L1887" s="69" t="s">
        <v>1773</v>
      </c>
      <c r="M1887" s="66" t="str">
        <f t="shared" ref="M1887:M1950" ca="1" si="60">IF(ISBLANK(K1887), TODAY()-(I1887), "CLOSED")</f>
        <v>CLOSED</v>
      </c>
    </row>
    <row r="1888" spans="1:13" ht="30">
      <c r="A1888" s="64" t="s">
        <v>202</v>
      </c>
      <c r="B1888" s="98" t="e">
        <f>VLOOKUP([2]!Table27[[#This Row],[Location 
(drop-down)]],'[2]List source'!D$2:E$59,2,FALSE)</f>
        <v>#VALUE!</v>
      </c>
      <c r="C1888" s="99" t="s">
        <v>5356</v>
      </c>
      <c r="D1888" s="100" t="e">
        <f t="shared" si="59"/>
        <v>#VALUE!</v>
      </c>
      <c r="E1888" s="64" t="s">
        <v>5357</v>
      </c>
      <c r="F1888" s="66" t="e" cm="1" vm="1">
        <f t="array" aca="1" ref="F188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8" s="110" t="s">
        <v>3726</v>
      </c>
      <c r="I1888" s="67">
        <v>45827</v>
      </c>
      <c r="J1888" s="67" t="s">
        <v>21</v>
      </c>
      <c r="K1888" s="68">
        <v>45930</v>
      </c>
      <c r="L1888" s="69"/>
      <c r="M1888" s="66" t="str">
        <f t="shared" ca="1" si="60"/>
        <v>CLOSED</v>
      </c>
    </row>
    <row r="1889" spans="1:13" ht="45">
      <c r="A1889" s="64" t="s">
        <v>202</v>
      </c>
      <c r="B1889" s="98" t="e">
        <f>VLOOKUP([2]!Table27[[#This Row],[Location 
(drop-down)]],'[2]List source'!D$2:E$59,2,FALSE)</f>
        <v>#VALUE!</v>
      </c>
      <c r="C1889" s="99" t="s">
        <v>5358</v>
      </c>
      <c r="D1889" s="100" t="e">
        <f t="shared" si="59"/>
        <v>#VALUE!</v>
      </c>
      <c r="E1889" s="64" t="s">
        <v>5359</v>
      </c>
      <c r="F1889" s="66" t="e" cm="1" vm="1">
        <f t="array" aca="1" ref="F188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89" s="110" t="s">
        <v>5360</v>
      </c>
      <c r="I1889" s="67">
        <v>45827</v>
      </c>
      <c r="J1889" s="67" t="s">
        <v>34</v>
      </c>
      <c r="K1889" s="68">
        <v>45833</v>
      </c>
      <c r="L1889" s="69" t="s">
        <v>1505</v>
      </c>
      <c r="M1889" s="66" t="str">
        <f t="shared" ca="1" si="60"/>
        <v>CLOSED</v>
      </c>
    </row>
    <row r="1890" spans="1:13" ht="45">
      <c r="A1890" s="64" t="s">
        <v>202</v>
      </c>
      <c r="B1890" s="98" t="e">
        <f>VLOOKUP([2]!Table27[[#This Row],[Location 
(drop-down)]],'[2]List source'!D$2:E$59,2,FALSE)</f>
        <v>#VALUE!</v>
      </c>
      <c r="C1890" s="99" t="s">
        <v>5361</v>
      </c>
      <c r="D1890" s="100" t="e">
        <f t="shared" si="59"/>
        <v>#VALUE!</v>
      </c>
      <c r="E1890" s="77" t="s">
        <v>5362</v>
      </c>
      <c r="F1890" s="66" t="e" cm="1" vm="1">
        <f t="array" aca="1" ref="F189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0" s="9">
        <v>6.48</v>
      </c>
      <c r="I1890" s="67">
        <v>45827</v>
      </c>
      <c r="J1890" s="67" t="s">
        <v>34</v>
      </c>
      <c r="K1890" s="68">
        <v>45833</v>
      </c>
      <c r="L1890" s="69" t="s">
        <v>1505</v>
      </c>
      <c r="M1890" s="66" t="str">
        <f t="shared" ca="1" si="60"/>
        <v>CLOSED</v>
      </c>
    </row>
    <row r="1891" spans="1:13" ht="30">
      <c r="A1891" s="64" t="s">
        <v>853</v>
      </c>
      <c r="B1891" s="98" t="e">
        <f>VLOOKUP([2]!Table27[[#This Row],[Location 
(drop-down)]],'[2]List source'!D$2:E$59,2,FALSE)</f>
        <v>#VALUE!</v>
      </c>
      <c r="C1891" s="99" t="s">
        <v>5363</v>
      </c>
      <c r="D1891" s="100" t="e">
        <f t="shared" si="59"/>
        <v>#VALUE!</v>
      </c>
      <c r="E1891" s="64" t="s">
        <v>5364</v>
      </c>
      <c r="F1891" s="66" t="e" cm="1" vm="1">
        <f t="array" aca="1" ref="F189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1" s="110" t="s">
        <v>1962</v>
      </c>
      <c r="I1891" s="67">
        <v>45827</v>
      </c>
      <c r="J1891" s="67" t="s">
        <v>69</v>
      </c>
      <c r="K1891" s="68">
        <v>46072</v>
      </c>
      <c r="L1891" s="69"/>
      <c r="M1891" s="66" t="str">
        <f t="shared" ca="1" si="60"/>
        <v>CLOSED</v>
      </c>
    </row>
    <row r="1892" spans="1:13" ht="30">
      <c r="A1892" s="64" t="s">
        <v>358</v>
      </c>
      <c r="B1892" s="98" t="e">
        <f>VLOOKUP([2]!Table27[[#This Row],[Location 
(drop-down)]],'[2]List source'!D$2:E$59,2,FALSE)</f>
        <v>#VALUE!</v>
      </c>
      <c r="C1892" s="99" t="s">
        <v>5365</v>
      </c>
      <c r="D1892" s="100" t="e">
        <f t="shared" si="59"/>
        <v>#VALUE!</v>
      </c>
      <c r="E1892" s="64" t="s">
        <v>5366</v>
      </c>
      <c r="F1892" s="66" t="e" cm="1" vm="1">
        <f t="array" aca="1" ref="F189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2" s="110" t="s">
        <v>5367</v>
      </c>
      <c r="I1892" s="67">
        <v>45827</v>
      </c>
      <c r="J1892" s="67" t="s">
        <v>310</v>
      </c>
      <c r="K1892" s="68">
        <v>45860</v>
      </c>
      <c r="L1892" s="69"/>
      <c r="M1892" s="66" t="str">
        <f t="shared" ca="1" si="60"/>
        <v>CLOSED</v>
      </c>
    </row>
    <row r="1893" spans="1:13" ht="30">
      <c r="A1893" s="64" t="s">
        <v>358</v>
      </c>
      <c r="B1893" s="98" t="e">
        <f>VLOOKUP([2]!Table27[[#This Row],[Location 
(drop-down)]],'[2]List source'!D$2:E$59,2,FALSE)</f>
        <v>#VALUE!</v>
      </c>
      <c r="C1893" s="99" t="s">
        <v>5368</v>
      </c>
      <c r="D1893" s="100" t="e">
        <f t="shared" si="59"/>
        <v>#VALUE!</v>
      </c>
      <c r="E1893" s="64" t="s">
        <v>5369</v>
      </c>
      <c r="F1893" s="66" t="e" cm="1" vm="1">
        <f t="array" aca="1" ref="F189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3" s="110">
        <v>2.5099999999999998</v>
      </c>
      <c r="I1893" s="67">
        <v>45827</v>
      </c>
      <c r="J1893" s="67" t="s">
        <v>310</v>
      </c>
      <c r="K1893" s="68">
        <v>45859</v>
      </c>
      <c r="L1893" s="69"/>
      <c r="M1893" s="66" t="str">
        <f t="shared" ca="1" si="60"/>
        <v>CLOSED</v>
      </c>
    </row>
    <row r="1894" spans="1:13" ht="90">
      <c r="A1894" s="64" t="s">
        <v>358</v>
      </c>
      <c r="B1894" s="98" t="e">
        <f>VLOOKUP([2]!Table27[[#This Row],[Location 
(drop-down)]],'[2]List source'!D$2:E$59,2,FALSE)</f>
        <v>#VALUE!</v>
      </c>
      <c r="C1894" s="99" t="s">
        <v>5370</v>
      </c>
      <c r="D1894" s="100" t="e">
        <f t="shared" si="59"/>
        <v>#VALUE!</v>
      </c>
      <c r="E1894" s="64" t="s">
        <v>5371</v>
      </c>
      <c r="F1894" s="66" t="e" cm="1" vm="1">
        <f t="array" aca="1" ref="F189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4" s="110" t="s">
        <v>2042</v>
      </c>
      <c r="I1894" s="67">
        <v>45827</v>
      </c>
      <c r="J1894" s="67" t="s">
        <v>34</v>
      </c>
      <c r="K1894" s="68">
        <v>45827</v>
      </c>
      <c r="L1894" s="69" t="s">
        <v>1562</v>
      </c>
      <c r="M1894" s="66" t="str">
        <f t="shared" ca="1" si="60"/>
        <v>CLOSED</v>
      </c>
    </row>
    <row r="1895" spans="1:13" ht="30">
      <c r="A1895" s="64" t="s">
        <v>119</v>
      </c>
      <c r="B1895" s="98" t="e">
        <f>VLOOKUP([2]!Table27[[#This Row],[Location 
(drop-down)]],'[2]List source'!D$2:E$59,2,FALSE)</f>
        <v>#VALUE!</v>
      </c>
      <c r="C1895" s="99" t="s">
        <v>5372</v>
      </c>
      <c r="D1895" s="100" t="e">
        <f t="shared" si="59"/>
        <v>#VALUE!</v>
      </c>
      <c r="E1895" s="64" t="s">
        <v>5373</v>
      </c>
      <c r="F1895" s="66" t="e" cm="1" vm="1">
        <f t="array" aca="1" ref="F189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5" s="110" t="s">
        <v>5287</v>
      </c>
      <c r="I1895" s="67">
        <v>45831</v>
      </c>
      <c r="J1895" s="67"/>
      <c r="K1895" s="68"/>
      <c r="L1895" s="69"/>
      <c r="M1895" s="66">
        <f t="shared" ca="1" si="60"/>
        <v>247</v>
      </c>
    </row>
    <row r="1896" spans="1:13" ht="30">
      <c r="A1896" s="64" t="s">
        <v>30</v>
      </c>
      <c r="B1896" s="98" t="e">
        <f>VLOOKUP([2]!Table27[[#This Row],[Location 
(drop-down)]],'[2]List source'!D$2:E$59,2,FALSE)</f>
        <v>#VALUE!</v>
      </c>
      <c r="C1896" s="99" t="s">
        <v>5374</v>
      </c>
      <c r="D1896" s="100" t="e">
        <f t="shared" si="59"/>
        <v>#VALUE!</v>
      </c>
      <c r="E1896" s="64" t="s">
        <v>5375</v>
      </c>
      <c r="F1896" s="66" t="e" cm="1" vm="1">
        <f t="array" aca="1" ref="F189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6" s="110" t="s">
        <v>5376</v>
      </c>
      <c r="I1896" s="67">
        <v>45831</v>
      </c>
      <c r="J1896" s="67" t="s">
        <v>47</v>
      </c>
      <c r="K1896" s="68">
        <v>45898</v>
      </c>
      <c r="L1896" s="69"/>
      <c r="M1896" s="66" t="str">
        <f t="shared" ca="1" si="60"/>
        <v>CLOSED</v>
      </c>
    </row>
    <row r="1897" spans="1:13" ht="30">
      <c r="A1897" s="64" t="s">
        <v>30</v>
      </c>
      <c r="B1897" s="98" t="e">
        <f>VLOOKUP([2]!Table27[[#This Row],[Location 
(drop-down)]],'[2]List source'!D$2:E$59,2,FALSE)</f>
        <v>#VALUE!</v>
      </c>
      <c r="C1897" s="99" t="s">
        <v>5377</v>
      </c>
      <c r="D1897" s="100" t="e">
        <f t="shared" si="59"/>
        <v>#VALUE!</v>
      </c>
      <c r="E1897" s="64" t="s">
        <v>5378</v>
      </c>
      <c r="F1897" s="66" t="e" cm="1" vm="1">
        <f t="array" aca="1" ref="F189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7" s="110">
        <v>3.58</v>
      </c>
      <c r="I1897" s="67">
        <v>45831</v>
      </c>
      <c r="J1897" s="67"/>
      <c r="K1897" s="68"/>
      <c r="L1897" s="69"/>
      <c r="M1897" s="66">
        <f t="shared" ca="1" si="60"/>
        <v>247</v>
      </c>
    </row>
    <row r="1898" spans="1:13" ht="30">
      <c r="A1898" s="64" t="s">
        <v>30</v>
      </c>
      <c r="B1898" s="98" t="e">
        <f>VLOOKUP([2]!Table27[[#This Row],[Location 
(drop-down)]],'[2]List source'!D$2:E$59,2,FALSE)</f>
        <v>#VALUE!</v>
      </c>
      <c r="C1898" s="99" t="s">
        <v>5379</v>
      </c>
      <c r="D1898" s="100" t="e">
        <f t="shared" si="59"/>
        <v>#VALUE!</v>
      </c>
      <c r="E1898" s="64" t="s">
        <v>5380</v>
      </c>
      <c r="F1898" s="66" t="e" cm="1" vm="1">
        <f t="array" aca="1" ref="F189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8" s="110">
        <v>5.54</v>
      </c>
      <c r="I1898" s="67">
        <v>45831</v>
      </c>
      <c r="J1898" s="67"/>
      <c r="K1898" s="68"/>
      <c r="L1898" s="69"/>
      <c r="M1898" s="66">
        <f t="shared" ca="1" si="60"/>
        <v>247</v>
      </c>
    </row>
    <row r="1899" spans="1:13" ht="90">
      <c r="A1899" s="64" t="s">
        <v>185</v>
      </c>
      <c r="B1899" s="98" t="e">
        <f>VLOOKUP([2]!Table27[[#This Row],[Location 
(drop-down)]],'[2]List source'!D$2:E$59,2,FALSE)</f>
        <v>#VALUE!</v>
      </c>
      <c r="C1899" s="99" t="s">
        <v>5381</v>
      </c>
      <c r="D1899" s="100" t="e">
        <f t="shared" si="59"/>
        <v>#VALUE!</v>
      </c>
      <c r="E1899" s="64" t="s">
        <v>5382</v>
      </c>
      <c r="F1899" s="66" t="e" cm="1" vm="1">
        <f t="array" aca="1" ref="F189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8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899" s="110" t="s">
        <v>1727</v>
      </c>
      <c r="I1899" s="67">
        <v>45831</v>
      </c>
      <c r="J1899" s="67" t="s">
        <v>34</v>
      </c>
      <c r="K1899" s="68">
        <v>45831</v>
      </c>
      <c r="L1899" s="69" t="s">
        <v>1562</v>
      </c>
      <c r="M1899" s="66" t="str">
        <f t="shared" ca="1" si="60"/>
        <v>CLOSED</v>
      </c>
    </row>
    <row r="1900" spans="1:13" ht="45">
      <c r="A1900" s="64" t="s">
        <v>185</v>
      </c>
      <c r="B1900" s="98" t="e">
        <f>VLOOKUP([2]!Table27[[#This Row],[Location 
(drop-down)]],'[2]List source'!D$2:E$59,2,FALSE)</f>
        <v>#VALUE!</v>
      </c>
      <c r="C1900" s="99" t="s">
        <v>5383</v>
      </c>
      <c r="D1900" s="100" t="e">
        <f t="shared" si="59"/>
        <v>#VALUE!</v>
      </c>
      <c r="E1900" s="64" t="s">
        <v>5384</v>
      </c>
      <c r="F1900" s="66" t="e" cm="1" vm="1">
        <f t="array" aca="1" ref="F190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0" s="110">
        <v>50.14</v>
      </c>
      <c r="I1900" s="67">
        <v>45831</v>
      </c>
      <c r="J1900" s="67" t="s">
        <v>34</v>
      </c>
      <c r="K1900" s="68">
        <v>45834</v>
      </c>
      <c r="L1900" s="69" t="s">
        <v>1505</v>
      </c>
      <c r="M1900" s="66" t="str">
        <f t="shared" ca="1" si="60"/>
        <v>CLOSED</v>
      </c>
    </row>
    <row r="1901" spans="1:13" ht="30">
      <c r="A1901" s="64" t="s">
        <v>167</v>
      </c>
      <c r="B1901" s="98" t="e">
        <f>VLOOKUP([2]!Table27[[#This Row],[Location 
(drop-down)]],'[2]List source'!D$2:E$59,2,FALSE)</f>
        <v>#VALUE!</v>
      </c>
      <c r="C1901" s="99" t="s">
        <v>5385</v>
      </c>
      <c r="D1901" s="100" t="e">
        <f t="shared" si="59"/>
        <v>#VALUE!</v>
      </c>
      <c r="E1901" s="64" t="s">
        <v>5386</v>
      </c>
      <c r="F1901" s="66" t="e" cm="1" vm="1">
        <f t="array" aca="1" ref="F190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1" s="66">
        <v>2.4900000000000002</v>
      </c>
      <c r="I1901" s="67">
        <v>45831</v>
      </c>
      <c r="J1901" s="67" t="s">
        <v>310</v>
      </c>
      <c r="K1901" s="68">
        <v>45943</v>
      </c>
      <c r="L1901" s="69"/>
      <c r="M1901" s="66" t="str">
        <f t="shared" ca="1" si="60"/>
        <v>CLOSED</v>
      </c>
    </row>
    <row r="1902" spans="1:13" ht="45">
      <c r="A1902" s="64" t="s">
        <v>167</v>
      </c>
      <c r="B1902" s="98" t="e">
        <f>VLOOKUP([2]!Table27[[#This Row],[Location 
(drop-down)]],'[2]List source'!D$2:E$59,2,FALSE)</f>
        <v>#VALUE!</v>
      </c>
      <c r="C1902" s="99" t="s">
        <v>5387</v>
      </c>
      <c r="D1902" s="100" t="e">
        <f t="shared" si="59"/>
        <v>#VALUE!</v>
      </c>
      <c r="E1902" s="64" t="s">
        <v>5388</v>
      </c>
      <c r="F1902" s="66" t="e" cm="1" vm="1">
        <f t="array" aca="1" ref="F190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2" s="110">
        <v>574.88</v>
      </c>
      <c r="I1902" s="67">
        <v>45831</v>
      </c>
      <c r="J1902" s="67" t="s">
        <v>34</v>
      </c>
      <c r="K1902" s="68">
        <v>45832</v>
      </c>
      <c r="L1902" s="69" t="s">
        <v>1505</v>
      </c>
      <c r="M1902" s="66" t="str">
        <f t="shared" ca="1" si="60"/>
        <v>CLOSED</v>
      </c>
    </row>
    <row r="1903" spans="1:13" ht="30">
      <c r="A1903" s="64" t="s">
        <v>167</v>
      </c>
      <c r="B1903" s="98" t="e">
        <f>VLOOKUP([2]!Table27[[#This Row],[Location 
(drop-down)]],'[2]List source'!D$2:E$59,2,FALSE)</f>
        <v>#VALUE!</v>
      </c>
      <c r="C1903" s="99" t="s">
        <v>5389</v>
      </c>
      <c r="D1903" s="100" t="e">
        <f t="shared" si="59"/>
        <v>#VALUE!</v>
      </c>
      <c r="E1903" s="64" t="s">
        <v>5390</v>
      </c>
      <c r="F1903" s="66" t="e" cm="1" vm="1">
        <f t="array" aca="1" ref="F190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3" s="110">
        <v>16.170000000000002</v>
      </c>
      <c r="I1903" s="67">
        <v>45831</v>
      </c>
      <c r="J1903" s="67" t="s">
        <v>310</v>
      </c>
      <c r="K1903" s="68">
        <v>46063</v>
      </c>
      <c r="L1903" s="69"/>
      <c r="M1903" s="66" t="str">
        <f t="shared" ca="1" si="60"/>
        <v>CLOSED</v>
      </c>
    </row>
    <row r="1904" spans="1:13" ht="30">
      <c r="A1904" s="64" t="s">
        <v>314</v>
      </c>
      <c r="B1904" s="98" t="e">
        <f>VLOOKUP([2]!Table27[[#This Row],[Location 
(drop-down)]],'[2]List source'!D$2:E$59,2,FALSE)</f>
        <v>#VALUE!</v>
      </c>
      <c r="C1904" s="99" t="s">
        <v>5391</v>
      </c>
      <c r="D1904" s="100" t="e">
        <f t="shared" si="59"/>
        <v>#VALUE!</v>
      </c>
      <c r="E1904" s="64" t="s">
        <v>5392</v>
      </c>
      <c r="F1904" s="66" t="e" cm="1" vm="1">
        <f t="array" aca="1" ref="F190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4" s="110">
        <v>2.21</v>
      </c>
      <c r="I1904" s="67">
        <v>45831</v>
      </c>
      <c r="J1904" s="67" t="s">
        <v>239</v>
      </c>
      <c r="K1904" s="68">
        <v>45978</v>
      </c>
      <c r="L1904" s="69"/>
      <c r="M1904" s="66" t="str">
        <f t="shared" ca="1" si="60"/>
        <v>CLOSED</v>
      </c>
    </row>
    <row r="1905" spans="1:13" ht="30">
      <c r="A1905" s="64" t="s">
        <v>314</v>
      </c>
      <c r="B1905" s="98" t="e">
        <f>VLOOKUP([2]!Table27[[#This Row],[Location 
(drop-down)]],'[2]List source'!D$2:E$59,2,FALSE)</f>
        <v>#VALUE!</v>
      </c>
      <c r="C1905" s="99" t="s">
        <v>5393</v>
      </c>
      <c r="D1905" s="100" t="e">
        <f t="shared" si="59"/>
        <v>#VALUE!</v>
      </c>
      <c r="E1905" s="64" t="s">
        <v>5394</v>
      </c>
      <c r="F1905" s="66" t="e" cm="1" vm="1">
        <f t="array" aca="1" ref="F190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5" s="110">
        <v>2.7</v>
      </c>
      <c r="I1905" s="67">
        <v>45831</v>
      </c>
      <c r="J1905" s="67" t="s">
        <v>327</v>
      </c>
      <c r="K1905" s="68">
        <v>46073</v>
      </c>
      <c r="L1905" s="69"/>
      <c r="M1905" s="66" t="str">
        <f t="shared" ca="1" si="60"/>
        <v>CLOSED</v>
      </c>
    </row>
    <row r="1906" spans="1:13" ht="30">
      <c r="A1906" s="64" t="s">
        <v>314</v>
      </c>
      <c r="B1906" s="98" t="e">
        <f>VLOOKUP([2]!Table27[[#This Row],[Location 
(drop-down)]],'[2]List source'!D$2:E$59,2,FALSE)</f>
        <v>#VALUE!</v>
      </c>
      <c r="C1906" s="99" t="s">
        <v>5395</v>
      </c>
      <c r="D1906" s="100" t="e">
        <f t="shared" si="59"/>
        <v>#VALUE!</v>
      </c>
      <c r="E1906" s="64" t="s">
        <v>5396</v>
      </c>
      <c r="F1906" s="66" t="e" cm="1" vm="1">
        <f t="array" aca="1" ref="F190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6" s="110" t="s">
        <v>5397</v>
      </c>
      <c r="I1906" s="67">
        <v>45831</v>
      </c>
      <c r="J1906" s="67" t="s">
        <v>327</v>
      </c>
      <c r="K1906" s="68">
        <v>45972</v>
      </c>
      <c r="L1906" s="69"/>
      <c r="M1906" s="66" t="str">
        <f t="shared" ca="1" si="60"/>
        <v>CLOSED</v>
      </c>
    </row>
    <row r="1907" spans="1:13" ht="30">
      <c r="A1907" s="64" t="s">
        <v>294</v>
      </c>
      <c r="B1907" s="98" t="e">
        <f>VLOOKUP([2]!Table27[[#This Row],[Location 
(drop-down)]],'[2]List source'!D$2:E$59,2,FALSE)</f>
        <v>#VALUE!</v>
      </c>
      <c r="C1907" s="99" t="s">
        <v>5398</v>
      </c>
      <c r="D1907" s="100" t="e">
        <f t="shared" si="59"/>
        <v>#VALUE!</v>
      </c>
      <c r="E1907" s="64" t="s">
        <v>5399</v>
      </c>
      <c r="F1907" s="66" t="e" cm="1" vm="1">
        <f t="array" aca="1" ref="F19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7" s="66">
        <v>-14.54</v>
      </c>
      <c r="I1907" s="67">
        <v>45831</v>
      </c>
      <c r="J1907" s="67" t="s">
        <v>327</v>
      </c>
      <c r="K1907" s="68">
        <v>46029</v>
      </c>
      <c r="L1907" s="69"/>
      <c r="M1907" s="66" t="str">
        <f t="shared" ca="1" si="60"/>
        <v>CLOSED</v>
      </c>
    </row>
    <row r="1908" spans="1:13" ht="45">
      <c r="A1908" s="64" t="s">
        <v>294</v>
      </c>
      <c r="B1908" s="98" t="e">
        <f>VLOOKUP([2]!Table27[[#This Row],[Location 
(drop-down)]],'[2]List source'!D$2:E$59,2,FALSE)</f>
        <v>#VALUE!</v>
      </c>
      <c r="C1908" s="99" t="s">
        <v>5400</v>
      </c>
      <c r="D1908" s="100" t="e">
        <f t="shared" si="59"/>
        <v>#VALUE!</v>
      </c>
      <c r="E1908" s="64" t="s">
        <v>5401</v>
      </c>
      <c r="F1908" s="66" t="e" cm="1" vm="1">
        <f t="array" aca="1" ref="F190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8" s="66">
        <v>3.62</v>
      </c>
      <c r="I1908" s="67">
        <v>45831</v>
      </c>
      <c r="J1908" s="67" t="s">
        <v>327</v>
      </c>
      <c r="K1908" s="68">
        <v>45871</v>
      </c>
      <c r="L1908" s="69"/>
      <c r="M1908" s="66" t="str">
        <f t="shared" ca="1" si="60"/>
        <v>CLOSED</v>
      </c>
    </row>
    <row r="1909" spans="1:13" ht="30">
      <c r="A1909" s="64" t="s">
        <v>294</v>
      </c>
      <c r="B1909" s="98" t="e">
        <f>VLOOKUP([2]!Table27[[#This Row],[Location 
(drop-down)]],'[2]List source'!D$2:E$59,2,FALSE)</f>
        <v>#VALUE!</v>
      </c>
      <c r="C1909" s="99" t="s">
        <v>5402</v>
      </c>
      <c r="D1909" s="100" t="e">
        <f t="shared" si="59"/>
        <v>#VALUE!</v>
      </c>
      <c r="E1909" s="64" t="s">
        <v>5403</v>
      </c>
      <c r="F1909" s="66" t="e" cm="1" vm="1">
        <f t="array" aca="1" ref="F19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0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09" s="66">
        <v>3.62</v>
      </c>
      <c r="I1909" s="67">
        <v>45831</v>
      </c>
      <c r="J1909" s="67" t="s">
        <v>327</v>
      </c>
      <c r="K1909" s="68">
        <v>45887</v>
      </c>
      <c r="L1909" s="69"/>
      <c r="M1909" s="66" t="str">
        <f t="shared" ca="1" si="60"/>
        <v>CLOSED</v>
      </c>
    </row>
    <row r="1910" spans="1:13" ht="30">
      <c r="A1910" s="64" t="s">
        <v>294</v>
      </c>
      <c r="B1910" s="98" t="e">
        <f>VLOOKUP([2]!Table27[[#This Row],[Location 
(drop-down)]],'[2]List source'!D$2:E$59,2,FALSE)</f>
        <v>#VALUE!</v>
      </c>
      <c r="C1910" s="99" t="s">
        <v>5404</v>
      </c>
      <c r="D1910" s="100" t="e">
        <f t="shared" si="59"/>
        <v>#VALUE!</v>
      </c>
      <c r="E1910" s="64" t="s">
        <v>5405</v>
      </c>
      <c r="F1910" s="66" t="e" cm="1" vm="1">
        <f t="array" aca="1" ref="F191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0" s="110">
        <v>8.1300000000000008</v>
      </c>
      <c r="I1910" s="67">
        <v>45831</v>
      </c>
      <c r="J1910" s="67" t="s">
        <v>327</v>
      </c>
      <c r="K1910" s="68">
        <v>45884</v>
      </c>
      <c r="L1910" s="69"/>
      <c r="M1910" s="66" t="str">
        <f t="shared" ca="1" si="60"/>
        <v>CLOSED</v>
      </c>
    </row>
    <row r="1911" spans="1:13" ht="30">
      <c r="A1911" s="64" t="s">
        <v>294</v>
      </c>
      <c r="B1911" s="98" t="e">
        <f>VLOOKUP([2]!Table27[[#This Row],[Location 
(drop-down)]],'[2]List source'!D$2:E$59,2,FALSE)</f>
        <v>#VALUE!</v>
      </c>
      <c r="C1911" s="99" t="s">
        <v>5406</v>
      </c>
      <c r="D1911" s="100" t="e">
        <f t="shared" si="59"/>
        <v>#VALUE!</v>
      </c>
      <c r="E1911" s="64" t="s">
        <v>5407</v>
      </c>
      <c r="F1911" s="66" t="e" cm="1" vm="1">
        <f t="array" aca="1" ref="F191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1" s="110">
        <v>2.12</v>
      </c>
      <c r="I1911" s="67">
        <v>45831</v>
      </c>
      <c r="J1911" s="67" t="s">
        <v>327</v>
      </c>
      <c r="K1911" s="68">
        <v>45929</v>
      </c>
      <c r="L1911" s="69"/>
      <c r="M1911" s="66" t="str">
        <f t="shared" ca="1" si="60"/>
        <v>CLOSED</v>
      </c>
    </row>
    <row r="1912" spans="1:13" ht="30">
      <c r="A1912" s="64" t="s">
        <v>73</v>
      </c>
      <c r="B1912" s="98" t="e">
        <f>VLOOKUP([2]!Table27[[#This Row],[Location 
(drop-down)]],'[2]List source'!D$2:E$59,2,FALSE)</f>
        <v>#VALUE!</v>
      </c>
      <c r="C1912" s="99" t="s">
        <v>5408</v>
      </c>
      <c r="D1912" s="100" t="e">
        <f t="shared" si="59"/>
        <v>#VALUE!</v>
      </c>
      <c r="E1912" s="64" t="s">
        <v>5409</v>
      </c>
      <c r="F1912" s="66" t="e" cm="1" vm="1">
        <f t="array" aca="1" ref="F191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2" s="66">
        <v>3.51</v>
      </c>
      <c r="I1912" s="67">
        <v>45831</v>
      </c>
      <c r="J1912" s="67" t="s">
        <v>239</v>
      </c>
      <c r="K1912" s="68">
        <v>45905</v>
      </c>
      <c r="L1912" s="69"/>
      <c r="M1912" s="66" t="str">
        <f t="shared" ca="1" si="60"/>
        <v>CLOSED</v>
      </c>
    </row>
    <row r="1913" spans="1:13" ht="90">
      <c r="A1913" s="64" t="s">
        <v>73</v>
      </c>
      <c r="B1913" s="98" t="e">
        <f>VLOOKUP([2]!Table27[[#This Row],[Location 
(drop-down)]],'[2]List source'!D$2:E$59,2,FALSE)</f>
        <v>#VALUE!</v>
      </c>
      <c r="C1913" s="99" t="s">
        <v>5410</v>
      </c>
      <c r="D1913" s="100" t="e">
        <f t="shared" si="59"/>
        <v>#VALUE!</v>
      </c>
      <c r="E1913" s="64" t="s">
        <v>5411</v>
      </c>
      <c r="F1913" s="66" t="e" cm="1" vm="1">
        <f t="array" aca="1" ref="F191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3" s="66">
        <v>2.4500000000000002</v>
      </c>
      <c r="I1913" s="67">
        <v>45831</v>
      </c>
      <c r="J1913" s="67" t="s">
        <v>34</v>
      </c>
      <c r="K1913" s="68">
        <v>45831</v>
      </c>
      <c r="L1913" s="69" t="s">
        <v>1562</v>
      </c>
      <c r="M1913" s="66" t="str">
        <f t="shared" ca="1" si="60"/>
        <v>CLOSED</v>
      </c>
    </row>
    <row r="1914" spans="1:13" ht="30">
      <c r="A1914" s="64" t="s">
        <v>73</v>
      </c>
      <c r="B1914" s="98" t="e">
        <f>VLOOKUP([2]!Table27[[#This Row],[Location 
(drop-down)]],'[2]List source'!D$2:E$59,2,FALSE)</f>
        <v>#VALUE!</v>
      </c>
      <c r="C1914" s="99" t="s">
        <v>5412</v>
      </c>
      <c r="D1914" s="100" t="e">
        <f t="shared" si="59"/>
        <v>#VALUE!</v>
      </c>
      <c r="E1914" s="64" t="s">
        <v>5413</v>
      </c>
      <c r="F1914" s="66" t="e" cm="1" vm="1">
        <f t="array" aca="1" ref="F191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4" s="110" t="s">
        <v>2533</v>
      </c>
      <c r="I1914" s="67">
        <v>45831</v>
      </c>
      <c r="J1914" s="67" t="s">
        <v>327</v>
      </c>
      <c r="K1914" s="68">
        <v>46057</v>
      </c>
      <c r="L1914" s="69"/>
      <c r="M1914" s="66" t="str">
        <f t="shared" ca="1" si="60"/>
        <v>CLOSED</v>
      </c>
    </row>
    <row r="1915" spans="1:13" ht="30">
      <c r="A1915" s="64" t="s">
        <v>73</v>
      </c>
      <c r="B1915" s="98" t="e">
        <f>VLOOKUP([2]!Table27[[#This Row],[Location 
(drop-down)]],'[2]List source'!D$2:E$59,2,FALSE)</f>
        <v>#VALUE!</v>
      </c>
      <c r="C1915" s="99" t="s">
        <v>5414</v>
      </c>
      <c r="D1915" s="100" t="e">
        <f t="shared" si="59"/>
        <v>#VALUE!</v>
      </c>
      <c r="E1915" s="64" t="s">
        <v>5415</v>
      </c>
      <c r="F1915" s="66" t="e" cm="1" vm="1">
        <f t="array" aca="1" ref="F191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5" s="110" t="s">
        <v>3739</v>
      </c>
      <c r="I1915" s="67">
        <v>45831</v>
      </c>
      <c r="J1915" s="67" t="s">
        <v>327</v>
      </c>
      <c r="K1915" s="68">
        <v>46057</v>
      </c>
      <c r="L1915" s="69"/>
      <c r="M1915" s="66" t="str">
        <f t="shared" ca="1" si="60"/>
        <v>CLOSED</v>
      </c>
    </row>
    <row r="1916" spans="1:13" ht="30">
      <c r="A1916" s="64" t="s">
        <v>485</v>
      </c>
      <c r="B1916" s="98" t="e">
        <f>VLOOKUP([2]!Table27[[#This Row],[Location 
(drop-down)]],'[2]List source'!D$2:E$59,2,FALSE)</f>
        <v>#VALUE!</v>
      </c>
      <c r="C1916" s="99" t="s">
        <v>5416</v>
      </c>
      <c r="D1916" s="100" t="e">
        <f t="shared" si="59"/>
        <v>#VALUE!</v>
      </c>
      <c r="E1916" s="64" t="s">
        <v>5417</v>
      </c>
      <c r="F1916" s="66" t="e" cm="1" vm="1">
        <f t="array" aca="1" ref="F191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6" s="110" t="s">
        <v>1759</v>
      </c>
      <c r="I1916" s="67">
        <v>45831</v>
      </c>
      <c r="J1916" s="67" t="s">
        <v>239</v>
      </c>
      <c r="K1916" s="68">
        <v>46072</v>
      </c>
      <c r="L1916" s="69"/>
      <c r="M1916" s="66" t="str">
        <f t="shared" ca="1" si="60"/>
        <v>CLOSED</v>
      </c>
    </row>
    <row r="1917" spans="1:13" ht="45">
      <c r="A1917" s="64" t="s">
        <v>485</v>
      </c>
      <c r="B1917" s="98" t="e">
        <f>VLOOKUP([2]!Table27[[#This Row],[Location 
(drop-down)]],'[2]List source'!D$2:E$59,2,FALSE)</f>
        <v>#VALUE!</v>
      </c>
      <c r="C1917" s="99" t="s">
        <v>5418</v>
      </c>
      <c r="D1917" s="100" t="e">
        <f t="shared" si="59"/>
        <v>#VALUE!</v>
      </c>
      <c r="E1917" s="64" t="s">
        <v>5419</v>
      </c>
      <c r="F1917" s="66" t="e" cm="1" vm="1">
        <f t="array" aca="1" ref="F191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7" s="110" t="s">
        <v>5420</v>
      </c>
      <c r="I1917" s="67">
        <v>45831</v>
      </c>
      <c r="J1917" s="67" t="s">
        <v>327</v>
      </c>
      <c r="K1917" s="68">
        <v>46058</v>
      </c>
      <c r="L1917" s="69"/>
      <c r="M1917" s="66" t="str">
        <f t="shared" ca="1" si="60"/>
        <v>CLOSED</v>
      </c>
    </row>
    <row r="1918" spans="1:13" ht="30">
      <c r="A1918" s="64" t="s">
        <v>485</v>
      </c>
      <c r="B1918" s="98" t="e">
        <f>VLOOKUP([2]!Table27[[#This Row],[Location 
(drop-down)]],'[2]List source'!D$2:E$59,2,FALSE)</f>
        <v>#VALUE!</v>
      </c>
      <c r="C1918" s="99" t="s">
        <v>5421</v>
      </c>
      <c r="D1918" s="100" t="e">
        <f t="shared" si="59"/>
        <v>#VALUE!</v>
      </c>
      <c r="E1918" s="64" t="s">
        <v>5422</v>
      </c>
      <c r="F1918" s="66" t="e" cm="1" vm="1">
        <f t="array" aca="1" ref="F191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8" s="110" t="s">
        <v>5423</v>
      </c>
      <c r="I1918" s="67">
        <v>45831</v>
      </c>
      <c r="J1918" s="67" t="s">
        <v>327</v>
      </c>
      <c r="K1918" s="68">
        <v>46058</v>
      </c>
      <c r="L1918" s="69"/>
      <c r="M1918" s="66" t="str">
        <f t="shared" ca="1" si="60"/>
        <v>CLOSED</v>
      </c>
    </row>
    <row r="1919" spans="1:13" ht="45">
      <c r="A1919" s="64" t="s">
        <v>485</v>
      </c>
      <c r="B1919" s="98" t="e">
        <f>VLOOKUP([2]!Table27[[#This Row],[Location 
(drop-down)]],'[2]List source'!D$2:E$59,2,FALSE)</f>
        <v>#VALUE!</v>
      </c>
      <c r="C1919" s="99" t="s">
        <v>5424</v>
      </c>
      <c r="D1919" s="100" t="e">
        <f t="shared" si="59"/>
        <v>#VALUE!</v>
      </c>
      <c r="E1919" s="64" t="s">
        <v>5425</v>
      </c>
      <c r="F1919" s="66" t="e" cm="1" vm="1">
        <f t="array" aca="1" ref="F191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19" s="110">
        <v>2.2000000000000002</v>
      </c>
      <c r="I1919" s="67">
        <v>45831</v>
      </c>
      <c r="J1919" s="67"/>
      <c r="K1919" s="68"/>
      <c r="L1919" s="69"/>
      <c r="M1919" s="66">
        <f t="shared" ca="1" si="60"/>
        <v>247</v>
      </c>
    </row>
    <row r="1920" spans="1:13" ht="30">
      <c r="A1920" s="64" t="s">
        <v>500</v>
      </c>
      <c r="B1920" s="98" t="e">
        <f>VLOOKUP([2]!Table27[[#This Row],[Location 
(drop-down)]],'[2]List source'!D$2:E$59,2,FALSE)</f>
        <v>#VALUE!</v>
      </c>
      <c r="C1920" s="99" t="s">
        <v>5426</v>
      </c>
      <c r="D1920" s="100" t="e">
        <f t="shared" si="59"/>
        <v>#VALUE!</v>
      </c>
      <c r="E1920" s="64" t="s">
        <v>5427</v>
      </c>
      <c r="F1920" s="66" t="e" cm="1" vm="1">
        <f t="array" aca="1" ref="F192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0" s="66">
        <v>2.2799999999999998</v>
      </c>
      <c r="I1920" s="67">
        <v>45831</v>
      </c>
      <c r="J1920" s="67" t="s">
        <v>310</v>
      </c>
      <c r="K1920" s="68">
        <v>45855</v>
      </c>
      <c r="L1920" s="69"/>
      <c r="M1920" s="66" t="str">
        <f t="shared" ca="1" si="60"/>
        <v>CLOSED</v>
      </c>
    </row>
    <row r="1921" spans="1:13" ht="30">
      <c r="A1921" s="64" t="s">
        <v>500</v>
      </c>
      <c r="B1921" s="98" t="e">
        <f>VLOOKUP([2]!Table27[[#This Row],[Location 
(drop-down)]],'[2]List source'!D$2:E$59,2,FALSE)</f>
        <v>#VALUE!</v>
      </c>
      <c r="C1921" s="99" t="s">
        <v>5428</v>
      </c>
      <c r="D1921" s="100" t="e">
        <f t="shared" si="59"/>
        <v>#VALUE!</v>
      </c>
      <c r="E1921" s="64" t="s">
        <v>5394</v>
      </c>
      <c r="F1921" s="66" t="e" cm="1" vm="1">
        <f t="array" aca="1" ref="F192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1" s="66">
        <v>2.7</v>
      </c>
      <c r="I1921" s="67">
        <v>45831</v>
      </c>
      <c r="J1921" s="67" t="s">
        <v>310</v>
      </c>
      <c r="K1921" s="68">
        <v>45855</v>
      </c>
      <c r="L1921" s="69"/>
      <c r="M1921" s="66" t="str">
        <f t="shared" ca="1" si="60"/>
        <v>CLOSED</v>
      </c>
    </row>
    <row r="1922" spans="1:13" ht="30">
      <c r="A1922" s="64" t="s">
        <v>202</v>
      </c>
      <c r="B1922" s="98" t="e">
        <f>VLOOKUP([2]!Table27[[#This Row],[Location 
(drop-down)]],'[2]List source'!D$2:E$59,2,FALSE)</f>
        <v>#VALUE!</v>
      </c>
      <c r="C1922" s="99" t="s">
        <v>5429</v>
      </c>
      <c r="D1922" s="100" t="e">
        <f t="shared" ref="D1922:D1985" si="61">"PTO" &amp; C1922 &amp; "-" &amp; B1922 &amp; "-" &amp; "23"</f>
        <v>#VALUE!</v>
      </c>
      <c r="E1922" s="64" t="s">
        <v>5430</v>
      </c>
      <c r="F1922" s="66" t="e" cm="1" vm="1">
        <f t="array" aca="1" ref="F192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2" s="66">
        <v>4.1399999999999997</v>
      </c>
      <c r="I1922" s="67">
        <v>45831</v>
      </c>
      <c r="J1922" s="67" t="s">
        <v>21</v>
      </c>
      <c r="K1922" s="68">
        <v>45868</v>
      </c>
      <c r="L1922" s="69"/>
      <c r="M1922" s="66" t="str">
        <f t="shared" ca="1" si="60"/>
        <v>CLOSED</v>
      </c>
    </row>
    <row r="1923" spans="1:13" ht="30">
      <c r="A1923" s="64" t="s">
        <v>202</v>
      </c>
      <c r="B1923" s="98" t="e">
        <f>VLOOKUP([2]!Table27[[#This Row],[Location 
(drop-down)]],'[2]List source'!D$2:E$59,2,FALSE)</f>
        <v>#VALUE!</v>
      </c>
      <c r="C1923" s="99" t="s">
        <v>5431</v>
      </c>
      <c r="D1923" s="100" t="e">
        <f t="shared" si="61"/>
        <v>#VALUE!</v>
      </c>
      <c r="E1923" s="64" t="s">
        <v>5432</v>
      </c>
      <c r="F1923" s="66" t="e" cm="1" vm="1">
        <f t="array" aca="1" ref="F192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3" s="110" t="s">
        <v>5433</v>
      </c>
      <c r="I1923" s="67">
        <v>45831</v>
      </c>
      <c r="J1923" s="67"/>
      <c r="K1923" s="68"/>
      <c r="L1923" s="69"/>
      <c r="M1923" s="66">
        <f t="shared" ca="1" si="60"/>
        <v>247</v>
      </c>
    </row>
    <row r="1924" spans="1:13" ht="45">
      <c r="A1924" s="64" t="s">
        <v>15</v>
      </c>
      <c r="B1924" s="98" t="e">
        <f>VLOOKUP([2]!Table27[[#This Row],[Location 
(drop-down)]],'[2]List source'!D$2:E$59,2,FALSE)</f>
        <v>#VALUE!</v>
      </c>
      <c r="C1924" s="99" t="s">
        <v>5434</v>
      </c>
      <c r="D1924" s="100" t="e">
        <f t="shared" si="61"/>
        <v>#VALUE!</v>
      </c>
      <c r="E1924" s="64" t="s">
        <v>5435</v>
      </c>
      <c r="F1924" s="66" t="e" cm="1" vm="1">
        <f t="array" aca="1" ref="F192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4" s="110">
        <v>3.91</v>
      </c>
      <c r="I1924" s="67">
        <v>45831</v>
      </c>
      <c r="J1924" s="67" t="s">
        <v>34</v>
      </c>
      <c r="K1924" s="68">
        <v>45981</v>
      </c>
      <c r="L1924" s="69" t="s">
        <v>1505</v>
      </c>
      <c r="M1924" s="66" t="str">
        <f t="shared" ca="1" si="60"/>
        <v>CLOSED</v>
      </c>
    </row>
    <row r="1925" spans="1:13" ht="45">
      <c r="A1925" s="64" t="s">
        <v>15</v>
      </c>
      <c r="B1925" s="98" t="e">
        <f>VLOOKUP([2]!Table27[[#This Row],[Location 
(drop-down)]],'[2]List source'!D$2:E$59,2,FALSE)</f>
        <v>#VALUE!</v>
      </c>
      <c r="C1925" s="99" t="s">
        <v>5436</v>
      </c>
      <c r="D1925" s="100" t="e">
        <f t="shared" si="61"/>
        <v>#VALUE!</v>
      </c>
      <c r="E1925" s="64" t="s">
        <v>5437</v>
      </c>
      <c r="F1925" s="66" t="e" cm="1" vm="1">
        <f t="array" aca="1" ref="F192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5" s="66" t="s">
        <v>1579</v>
      </c>
      <c r="I1925" s="67">
        <v>45831</v>
      </c>
      <c r="J1925" s="67"/>
      <c r="K1925" s="68"/>
      <c r="L1925" s="69"/>
      <c r="M1925" s="66">
        <f t="shared" ca="1" si="60"/>
        <v>247</v>
      </c>
    </row>
    <row r="1926" spans="1:13" ht="30">
      <c r="A1926" s="64" t="s">
        <v>15</v>
      </c>
      <c r="B1926" s="98" t="e">
        <f>VLOOKUP([2]!Table27[[#This Row],[Location 
(drop-down)]],'[2]List source'!D$2:E$59,2,FALSE)</f>
        <v>#VALUE!</v>
      </c>
      <c r="C1926" s="99" t="s">
        <v>5438</v>
      </c>
      <c r="D1926" s="100" t="e">
        <f t="shared" si="61"/>
        <v>#VALUE!</v>
      </c>
      <c r="E1926" s="64" t="s">
        <v>5439</v>
      </c>
      <c r="F1926" s="66" t="e" cm="1" vm="1">
        <f t="array" aca="1" ref="F192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6" s="110" t="s">
        <v>5360</v>
      </c>
      <c r="I1926" s="67">
        <v>45831</v>
      </c>
      <c r="J1926" s="67" t="s">
        <v>69</v>
      </c>
      <c r="K1926" s="68">
        <v>45981</v>
      </c>
      <c r="L1926" s="69"/>
      <c r="M1926" s="66" t="str">
        <f t="shared" ca="1" si="60"/>
        <v>CLOSED</v>
      </c>
    </row>
    <row r="1927" spans="1:13" ht="30">
      <c r="A1927" s="64" t="s">
        <v>125</v>
      </c>
      <c r="B1927" s="98" t="e">
        <f>VLOOKUP([2]!Table27[[#This Row],[Location 
(drop-down)]],'[2]List source'!D$2:E$59,2,FALSE)</f>
        <v>#VALUE!</v>
      </c>
      <c r="C1927" s="99" t="s">
        <v>5440</v>
      </c>
      <c r="D1927" s="100" t="e">
        <f t="shared" si="61"/>
        <v>#VALUE!</v>
      </c>
      <c r="E1927" s="124" t="s">
        <v>5441</v>
      </c>
      <c r="F1927" s="66" t="s">
        <v>2269</v>
      </c>
      <c r="G19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7" s="66">
        <v>11.32</v>
      </c>
      <c r="I1927" s="67">
        <v>45831</v>
      </c>
      <c r="J1927" s="67" t="s">
        <v>111</v>
      </c>
      <c r="K1927" s="68">
        <v>45904</v>
      </c>
      <c r="L1927" s="69"/>
      <c r="M1927" s="66" t="str">
        <f t="shared" ca="1" si="60"/>
        <v>CLOSED</v>
      </c>
    </row>
    <row r="1928" spans="1:13" ht="30">
      <c r="A1928" s="64" t="s">
        <v>30</v>
      </c>
      <c r="B1928" s="98" t="e">
        <f>VLOOKUP([2]!Table27[[#This Row],[Location 
(drop-down)]],'[2]List source'!D$2:E$59,2,FALSE)</f>
        <v>#VALUE!</v>
      </c>
      <c r="C1928" s="99" t="s">
        <v>5442</v>
      </c>
      <c r="D1928" s="100" t="e">
        <f t="shared" si="61"/>
        <v>#VALUE!</v>
      </c>
      <c r="E1928" s="124" t="s">
        <v>5443</v>
      </c>
      <c r="F1928" s="66" t="s">
        <v>2269</v>
      </c>
      <c r="G19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8" s="135">
        <v>6.89</v>
      </c>
      <c r="I1928" s="67">
        <v>45831</v>
      </c>
      <c r="J1928" s="67" t="s">
        <v>111</v>
      </c>
      <c r="K1928" s="68">
        <v>46069</v>
      </c>
      <c r="L1928" s="69"/>
      <c r="M1928" s="66" t="str">
        <f t="shared" ca="1" si="60"/>
        <v>CLOSED</v>
      </c>
    </row>
    <row r="1929" spans="1:13" ht="90">
      <c r="A1929" s="64" t="s">
        <v>30</v>
      </c>
      <c r="B1929" s="98" t="e">
        <f>VLOOKUP([2]!Table27[[#This Row],[Location 
(drop-down)]],'[2]List source'!D$2:E$59,2,FALSE)</f>
        <v>#VALUE!</v>
      </c>
      <c r="C1929" s="99" t="s">
        <v>5444</v>
      </c>
      <c r="D1929" s="100" t="e">
        <f t="shared" si="61"/>
        <v>#VALUE!</v>
      </c>
      <c r="E1929" s="166" t="s">
        <v>5445</v>
      </c>
      <c r="F1929" s="66" t="s">
        <v>2269</v>
      </c>
      <c r="G19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29" s="455" t="s">
        <v>1653</v>
      </c>
      <c r="I1929" s="67">
        <v>45831</v>
      </c>
      <c r="J1929" s="67" t="s">
        <v>34</v>
      </c>
      <c r="K1929" s="68">
        <v>45831</v>
      </c>
      <c r="L1929" s="69" t="s">
        <v>1562</v>
      </c>
      <c r="M1929" s="66" t="str">
        <f t="shared" ca="1" si="60"/>
        <v>CLOSED</v>
      </c>
    </row>
    <row r="1930" spans="1:13" ht="30">
      <c r="A1930" s="64" t="s">
        <v>15</v>
      </c>
      <c r="B1930" s="98" t="e">
        <f>VLOOKUP([2]!Table27[[#This Row],[Location 
(drop-down)]],'[2]List source'!D$2:E$59,2,FALSE)</f>
        <v>#VALUE!</v>
      </c>
      <c r="C1930" s="99" t="s">
        <v>5446</v>
      </c>
      <c r="D1930" s="100" t="e">
        <f t="shared" si="61"/>
        <v>#VALUE!</v>
      </c>
      <c r="E1930" s="97" t="s">
        <v>5447</v>
      </c>
      <c r="F1930" s="66" t="s">
        <v>3068</v>
      </c>
      <c r="G19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0" s="106">
        <v>6.07</v>
      </c>
      <c r="I1930" s="67">
        <v>45831</v>
      </c>
      <c r="J1930" s="67" t="s">
        <v>69</v>
      </c>
      <c r="K1930" s="68">
        <v>46045</v>
      </c>
      <c r="L1930" s="69"/>
      <c r="M1930" s="66" t="str">
        <f t="shared" ca="1" si="60"/>
        <v>CLOSED</v>
      </c>
    </row>
    <row r="1931" spans="1:13" ht="90">
      <c r="A1931" s="64" t="s">
        <v>15</v>
      </c>
      <c r="B1931" s="98" t="e">
        <f>VLOOKUP([2]!Table27[[#This Row],[Location 
(drop-down)]],'[2]List source'!D$2:E$59,2,FALSE)</f>
        <v>#VALUE!</v>
      </c>
      <c r="C1931" s="99" t="s">
        <v>5448</v>
      </c>
      <c r="D1931" s="100" t="e">
        <f t="shared" si="61"/>
        <v>#VALUE!</v>
      </c>
      <c r="E1931" s="64" t="s">
        <v>5449</v>
      </c>
      <c r="F1931" s="66" t="s">
        <v>3068</v>
      </c>
      <c r="G19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1" s="110" t="s">
        <v>2318</v>
      </c>
      <c r="I1931" s="67">
        <v>45831</v>
      </c>
      <c r="J1931" s="67" t="s">
        <v>34</v>
      </c>
      <c r="K1931" s="68">
        <v>45831</v>
      </c>
      <c r="L1931" s="69" t="s">
        <v>1562</v>
      </c>
      <c r="M1931" s="66" t="str">
        <f t="shared" ca="1" si="60"/>
        <v>CLOSED</v>
      </c>
    </row>
    <row r="1932" spans="1:13" ht="90">
      <c r="A1932" s="64" t="s">
        <v>30</v>
      </c>
      <c r="B1932" s="98" t="e">
        <f>VLOOKUP([2]!Table27[[#This Row],[Location 
(drop-down)]],'[2]List source'!D$2:E$59,2,FALSE)</f>
        <v>#VALUE!</v>
      </c>
      <c r="C1932" s="99" t="s">
        <v>5450</v>
      </c>
      <c r="D1932" s="100" t="e">
        <f t="shared" si="61"/>
        <v>#VALUE!</v>
      </c>
      <c r="E1932" s="64" t="s">
        <v>5451</v>
      </c>
      <c r="F1932" s="66" t="s">
        <v>2274</v>
      </c>
      <c r="G19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2" s="110" t="s">
        <v>1593</v>
      </c>
      <c r="I1932" s="67">
        <v>45831</v>
      </c>
      <c r="J1932" s="67" t="s">
        <v>34</v>
      </c>
      <c r="K1932" s="68">
        <v>45831</v>
      </c>
      <c r="L1932" s="69" t="s">
        <v>1562</v>
      </c>
      <c r="M1932" s="66" t="str">
        <f t="shared" ca="1" si="60"/>
        <v>CLOSED</v>
      </c>
    </row>
    <row r="1933" spans="1:13" ht="30">
      <c r="A1933" s="64" t="s">
        <v>1334</v>
      </c>
      <c r="B1933" s="98" t="e">
        <f>VLOOKUP([2]!Table27[[#This Row],[Location 
(drop-down)]],'[2]List source'!D$2:E$59,2,FALSE)</f>
        <v>#VALUE!</v>
      </c>
      <c r="C1933" s="99" t="s">
        <v>5452</v>
      </c>
      <c r="D1933" s="100" t="e">
        <f t="shared" si="61"/>
        <v>#VALUE!</v>
      </c>
      <c r="E1933" s="64" t="s">
        <v>5453</v>
      </c>
      <c r="F1933" s="66" t="e" cm="1" vm="1">
        <f t="array" aca="1" ref="F193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3" s="110">
        <v>4.41</v>
      </c>
      <c r="I1933" s="138">
        <v>45831</v>
      </c>
      <c r="J1933" s="67" t="s">
        <v>310</v>
      </c>
      <c r="K1933" s="68">
        <v>45889</v>
      </c>
      <c r="L1933" s="69"/>
      <c r="M1933" s="66" t="str">
        <f t="shared" ca="1" si="60"/>
        <v>CLOSED</v>
      </c>
    </row>
    <row r="1934" spans="1:13" ht="45">
      <c r="A1934" s="64" t="s">
        <v>591</v>
      </c>
      <c r="B1934" s="98" t="e">
        <f>VLOOKUP([2]!Table27[[#This Row],[Location 
(drop-down)]],'[2]List source'!D$2:E$59,2,FALSE)</f>
        <v>#VALUE!</v>
      </c>
      <c r="C1934" s="99" t="s">
        <v>5454</v>
      </c>
      <c r="D1934" s="452" t="e">
        <f t="shared" si="61"/>
        <v>#VALUE!</v>
      </c>
      <c r="E1934" s="64" t="s">
        <v>5455</v>
      </c>
      <c r="F1934" s="66" t="e" cm="1" vm="1">
        <f t="array" aca="1" ref="F193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4" s="110" t="s">
        <v>1816</v>
      </c>
      <c r="I1934" s="138">
        <v>45831</v>
      </c>
      <c r="J1934" s="67" t="s">
        <v>29</v>
      </c>
      <c r="K1934" s="68">
        <v>45832</v>
      </c>
      <c r="L1934" s="453" t="s">
        <v>4890</v>
      </c>
      <c r="M1934" s="66" t="str">
        <f t="shared" ca="1" si="60"/>
        <v>CLOSED</v>
      </c>
    </row>
    <row r="1935" spans="1:13" ht="90">
      <c r="A1935" s="64" t="s">
        <v>125</v>
      </c>
      <c r="B1935" s="98" t="e">
        <f>VLOOKUP([2]!Table27[[#This Row],[Location 
(drop-down)]],'[2]List source'!D$2:E$59,2,FALSE)</f>
        <v>#VALUE!</v>
      </c>
      <c r="C1935" s="99" t="s">
        <v>5456</v>
      </c>
      <c r="D1935" s="100" t="e">
        <f t="shared" si="61"/>
        <v>#VALUE!</v>
      </c>
      <c r="E1935" s="64" t="s">
        <v>5457</v>
      </c>
      <c r="F1935" s="66" t="e" cm="1" vm="1">
        <f t="array" aca="1" ref="F193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3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5" s="110" t="s">
        <v>1778</v>
      </c>
      <c r="I1935" s="138">
        <v>45831</v>
      </c>
      <c r="J1935" s="67" t="s">
        <v>34</v>
      </c>
      <c r="K1935" s="68">
        <v>45831</v>
      </c>
      <c r="L1935" s="69" t="s">
        <v>1562</v>
      </c>
      <c r="M1935" s="66" t="str">
        <f t="shared" ca="1" si="60"/>
        <v>CLOSED</v>
      </c>
    </row>
    <row r="1936" spans="1:13" ht="90">
      <c r="A1936" s="64" t="s">
        <v>119</v>
      </c>
      <c r="B1936" s="98" t="e">
        <f>VLOOKUP([2]!Table27[[#This Row],[Location 
(drop-down)]],'[2]List source'!D$2:E$59,2,FALSE)</f>
        <v>#VALUE!</v>
      </c>
      <c r="C1936" s="99" t="s">
        <v>5458</v>
      </c>
      <c r="D1936" s="100" t="e">
        <f t="shared" si="61"/>
        <v>#VALUE!</v>
      </c>
      <c r="E1936" s="64" t="s">
        <v>5459</v>
      </c>
      <c r="F1936" s="66" t="e" cm="1" vm="1">
        <f t="array" aca="1" ref="F193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6" s="110" t="s">
        <v>5460</v>
      </c>
      <c r="I1936" s="138">
        <v>45831</v>
      </c>
      <c r="J1936" s="67" t="s">
        <v>34</v>
      </c>
      <c r="K1936" s="68">
        <v>45831</v>
      </c>
      <c r="L1936" s="69" t="s">
        <v>1562</v>
      </c>
      <c r="M1936" s="66" t="str">
        <f t="shared" ca="1" si="60"/>
        <v>CLOSED</v>
      </c>
    </row>
    <row r="1937" spans="1:13" ht="45">
      <c r="A1937" s="64" t="s">
        <v>30</v>
      </c>
      <c r="B1937" s="98" t="e">
        <f>VLOOKUP([2]!Table27[[#This Row],[Location 
(drop-down)]],'[2]List source'!D$2:E$59,2,FALSE)</f>
        <v>#VALUE!</v>
      </c>
      <c r="C1937" s="99" t="s">
        <v>5461</v>
      </c>
      <c r="D1937" s="100" t="e">
        <f t="shared" si="61"/>
        <v>#VALUE!</v>
      </c>
      <c r="E1937" s="64" t="s">
        <v>5462</v>
      </c>
      <c r="F1937" s="66" t="e" cm="1" vm="1">
        <f t="array" aca="1" ref="F193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7" s="110" t="s">
        <v>5463</v>
      </c>
      <c r="I1937" s="138">
        <v>45831</v>
      </c>
      <c r="J1937" s="67" t="s">
        <v>47</v>
      </c>
      <c r="K1937" s="68">
        <v>45884</v>
      </c>
      <c r="L1937" s="69"/>
      <c r="M1937" s="66" t="str">
        <f t="shared" ca="1" si="60"/>
        <v>CLOSED</v>
      </c>
    </row>
    <row r="1938" spans="1:13" ht="90">
      <c r="A1938" s="64" t="s">
        <v>213</v>
      </c>
      <c r="B1938" s="98" t="e">
        <f>VLOOKUP([2]!Table27[[#This Row],[Location 
(drop-down)]],'[2]List source'!D$2:E$59,2,FALSE)</f>
        <v>#VALUE!</v>
      </c>
      <c r="C1938" s="99" t="s">
        <v>5464</v>
      </c>
      <c r="D1938" s="100" t="e">
        <f t="shared" si="61"/>
        <v>#VALUE!</v>
      </c>
      <c r="E1938" s="97" t="s">
        <v>5465</v>
      </c>
      <c r="F1938" s="66" t="e" cm="1" vm="1">
        <f t="array" aca="1" ref="F193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8" s="102" t="s">
        <v>5466</v>
      </c>
      <c r="I1938" s="138">
        <v>45831</v>
      </c>
      <c r="J1938" s="67" t="s">
        <v>34</v>
      </c>
      <c r="K1938" s="68">
        <v>45831</v>
      </c>
      <c r="L1938" s="69" t="s">
        <v>1562</v>
      </c>
      <c r="M1938" s="66" t="str">
        <f t="shared" ca="1" si="60"/>
        <v>CLOSED</v>
      </c>
    </row>
    <row r="1939" spans="1:13" ht="90">
      <c r="A1939" s="64" t="s">
        <v>80</v>
      </c>
      <c r="B1939" s="98" t="e">
        <f>VLOOKUP([2]!Table27[[#This Row],[Location 
(drop-down)]],'[2]List source'!D$2:E$59,2,FALSE)</f>
        <v>#VALUE!</v>
      </c>
      <c r="C1939" s="99" t="s">
        <v>5467</v>
      </c>
      <c r="D1939" s="100" t="e">
        <f t="shared" si="61"/>
        <v>#VALUE!</v>
      </c>
      <c r="E1939" s="64" t="s">
        <v>5468</v>
      </c>
      <c r="F1939" s="66" t="e" cm="1" vm="1">
        <f t="array" aca="1" ref="F193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39" s="110">
        <v>2.19</v>
      </c>
      <c r="I1939" s="138">
        <v>45831</v>
      </c>
      <c r="J1939" s="67" t="s">
        <v>34</v>
      </c>
      <c r="K1939" s="68">
        <v>45831</v>
      </c>
      <c r="L1939" s="69" t="s">
        <v>1562</v>
      </c>
      <c r="M1939" s="66" t="str">
        <f t="shared" ca="1" si="60"/>
        <v>CLOSED</v>
      </c>
    </row>
    <row r="1940" spans="1:13" ht="30">
      <c r="A1940" s="64" t="s">
        <v>264</v>
      </c>
      <c r="B1940" s="98" t="e">
        <f>VLOOKUP([2]!Table27[[#This Row],[Location 
(drop-down)]],'[2]List source'!D$2:E$59,2,FALSE)</f>
        <v>#VALUE!</v>
      </c>
      <c r="C1940" s="99" t="s">
        <v>5469</v>
      </c>
      <c r="D1940" s="100" t="e">
        <f t="shared" si="61"/>
        <v>#VALUE!</v>
      </c>
      <c r="E1940" s="64" t="s">
        <v>5470</v>
      </c>
      <c r="F1940" s="66" t="e" cm="1" vm="1">
        <f t="array" aca="1" ref="F194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0" s="66">
        <v>2.13</v>
      </c>
      <c r="I1940" s="138">
        <v>45831</v>
      </c>
      <c r="J1940" s="67"/>
      <c r="K1940" s="68"/>
      <c r="L1940" s="69"/>
      <c r="M1940" s="66">
        <f t="shared" ca="1" si="60"/>
        <v>247</v>
      </c>
    </row>
    <row r="1941" spans="1:13" ht="90">
      <c r="A1941" s="64" t="s">
        <v>264</v>
      </c>
      <c r="B1941" s="98" t="e">
        <f>VLOOKUP([2]!Table27[[#This Row],[Location 
(drop-down)]],'[2]List source'!D$2:E$59,2,FALSE)</f>
        <v>#VALUE!</v>
      </c>
      <c r="C1941" s="99" t="s">
        <v>5471</v>
      </c>
      <c r="D1941" s="100" t="e">
        <f t="shared" si="61"/>
        <v>#VALUE!</v>
      </c>
      <c r="E1941" s="64" t="s">
        <v>5472</v>
      </c>
      <c r="F1941" s="66" t="e" cm="1" vm="1">
        <f t="array" aca="1" ref="F194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1" s="66">
        <v>2.5099999999999998</v>
      </c>
      <c r="I1941" s="138">
        <v>45831</v>
      </c>
      <c r="J1941" s="67" t="s">
        <v>34</v>
      </c>
      <c r="K1941" s="68">
        <v>45831</v>
      </c>
      <c r="L1941" s="69" t="s">
        <v>1562</v>
      </c>
      <c r="M1941" s="66" t="str">
        <f t="shared" ca="1" si="60"/>
        <v>CLOSED</v>
      </c>
    </row>
    <row r="1942" spans="1:13" ht="90">
      <c r="A1942" s="64" t="s">
        <v>185</v>
      </c>
      <c r="B1942" s="98" t="e">
        <f>VLOOKUP([2]!Table27[[#This Row],[Location 
(drop-down)]],'[2]List source'!D$2:E$59,2,FALSE)</f>
        <v>#VALUE!</v>
      </c>
      <c r="C1942" s="99" t="s">
        <v>5473</v>
      </c>
      <c r="D1942" s="100" t="e">
        <f t="shared" si="61"/>
        <v>#VALUE!</v>
      </c>
      <c r="E1942" s="64" t="s">
        <v>5474</v>
      </c>
      <c r="F1942" s="66" t="e" cm="1" vm="1">
        <f t="array" aca="1" ref="F194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2" s="66">
        <v>2.23</v>
      </c>
      <c r="I1942" s="138">
        <v>45831</v>
      </c>
      <c r="J1942" s="67" t="s">
        <v>34</v>
      </c>
      <c r="K1942" s="68">
        <v>45831</v>
      </c>
      <c r="L1942" s="69" t="s">
        <v>1562</v>
      </c>
      <c r="M1942" s="66" t="str">
        <f t="shared" ca="1" si="60"/>
        <v>CLOSED</v>
      </c>
    </row>
    <row r="1943" spans="1:13" ht="90">
      <c r="A1943" s="64" t="s">
        <v>167</v>
      </c>
      <c r="B1943" s="98" t="e">
        <f>VLOOKUP([2]!Table27[[#This Row],[Location 
(drop-down)]],'[2]List source'!D$2:E$59,2,FALSE)</f>
        <v>#VALUE!</v>
      </c>
      <c r="C1943" s="99" t="s">
        <v>5475</v>
      </c>
      <c r="D1943" s="100" t="e">
        <f t="shared" si="61"/>
        <v>#VALUE!</v>
      </c>
      <c r="E1943" s="64" t="s">
        <v>5476</v>
      </c>
      <c r="F1943" s="66" t="e" cm="1" vm="1">
        <f t="array" aca="1" ref="F194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3" s="110" t="s">
        <v>1653</v>
      </c>
      <c r="I1943" s="138">
        <v>45831</v>
      </c>
      <c r="J1943" s="67" t="s">
        <v>34</v>
      </c>
      <c r="K1943" s="68">
        <v>45831</v>
      </c>
      <c r="L1943" s="69" t="s">
        <v>1562</v>
      </c>
      <c r="M1943" s="66" t="str">
        <f t="shared" ca="1" si="60"/>
        <v>CLOSED</v>
      </c>
    </row>
    <row r="1944" spans="1:13" ht="90">
      <c r="A1944" s="64" t="s">
        <v>314</v>
      </c>
      <c r="B1944" s="98" t="e">
        <f>VLOOKUP([2]!Table27[[#This Row],[Location 
(drop-down)]],'[2]List source'!D$2:E$59,2,FALSE)</f>
        <v>#VALUE!</v>
      </c>
      <c r="C1944" s="99" t="s">
        <v>5477</v>
      </c>
      <c r="D1944" s="100" t="e">
        <f t="shared" si="61"/>
        <v>#VALUE!</v>
      </c>
      <c r="E1944" s="64" t="s">
        <v>5478</v>
      </c>
      <c r="F1944" s="66" t="e" cm="1" vm="1">
        <f t="array" aca="1" ref="F194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4" s="66">
        <v>2.33</v>
      </c>
      <c r="I1944" s="138">
        <v>45831</v>
      </c>
      <c r="J1944" s="67" t="s">
        <v>34</v>
      </c>
      <c r="K1944" s="68">
        <v>45831</v>
      </c>
      <c r="L1944" s="69" t="s">
        <v>1562</v>
      </c>
      <c r="M1944" s="66" t="str">
        <f t="shared" ca="1" si="60"/>
        <v>CLOSED</v>
      </c>
    </row>
    <row r="1945" spans="1:13" ht="30">
      <c r="A1945" s="64" t="s">
        <v>294</v>
      </c>
      <c r="B1945" s="98" t="e">
        <f>VLOOKUP([2]!Table27[[#This Row],[Location 
(drop-down)]],'[2]List source'!D$2:E$59,2,FALSE)</f>
        <v>#VALUE!</v>
      </c>
      <c r="C1945" s="99" t="s">
        <v>5479</v>
      </c>
      <c r="D1945" s="100" t="e">
        <f t="shared" si="61"/>
        <v>#VALUE!</v>
      </c>
      <c r="E1945" s="64" t="s">
        <v>5480</v>
      </c>
      <c r="F1945" s="66" t="e" cm="1" vm="1">
        <f t="array" aca="1" ref="F194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5" s="110" t="s">
        <v>4205</v>
      </c>
      <c r="I1945" s="138">
        <v>45831</v>
      </c>
      <c r="J1945" s="67"/>
      <c r="K1945" s="68"/>
      <c r="L1945" s="69"/>
      <c r="M1945" s="66">
        <f t="shared" ca="1" si="60"/>
        <v>247</v>
      </c>
    </row>
    <row r="1946" spans="1:13" ht="45">
      <c r="A1946" s="64" t="s">
        <v>294</v>
      </c>
      <c r="B1946" s="98" t="e">
        <f>VLOOKUP([2]!Table27[[#This Row],[Location 
(drop-down)]],'[2]List source'!D$2:E$59,2,FALSE)</f>
        <v>#VALUE!</v>
      </c>
      <c r="C1946" s="99" t="s">
        <v>5481</v>
      </c>
      <c r="D1946" s="452" t="e">
        <f t="shared" si="61"/>
        <v>#VALUE!</v>
      </c>
      <c r="E1946" s="64" t="s">
        <v>5482</v>
      </c>
      <c r="F1946" s="66" t="e" cm="1" vm="1">
        <f t="array" aca="1" ref="F194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6" s="110">
        <v>4.2699999999999996</v>
      </c>
      <c r="I1946" s="138">
        <v>45831</v>
      </c>
      <c r="J1946" s="67" t="s">
        <v>327</v>
      </c>
      <c r="K1946" s="67">
        <v>45867</v>
      </c>
      <c r="L1946" s="453" t="s">
        <v>4890</v>
      </c>
      <c r="M1946" s="66" t="str">
        <f t="shared" ca="1" si="60"/>
        <v>CLOSED</v>
      </c>
    </row>
    <row r="1947" spans="1:13" ht="90">
      <c r="A1947" s="64" t="s">
        <v>73</v>
      </c>
      <c r="B1947" s="98" t="e">
        <f>VLOOKUP([2]!Table27[[#This Row],[Location 
(drop-down)]],'[2]List source'!D$2:E$59,2,FALSE)</f>
        <v>#VALUE!</v>
      </c>
      <c r="C1947" s="99" t="s">
        <v>5483</v>
      </c>
      <c r="D1947" s="100" t="e">
        <f t="shared" si="61"/>
        <v>#VALUE!</v>
      </c>
      <c r="E1947" s="64" t="s">
        <v>5484</v>
      </c>
      <c r="F1947" s="66" t="e" cm="1" vm="1">
        <f t="array" aca="1" ref="F194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7" s="66">
        <v>-2.4500000000000002</v>
      </c>
      <c r="I1947" s="138">
        <v>45831</v>
      </c>
      <c r="J1947" s="67" t="s">
        <v>34</v>
      </c>
      <c r="K1947" s="68">
        <v>45831</v>
      </c>
      <c r="L1947" s="69" t="s">
        <v>1562</v>
      </c>
      <c r="M1947" s="66" t="str">
        <f t="shared" ca="1" si="60"/>
        <v>CLOSED</v>
      </c>
    </row>
    <row r="1948" spans="1:13" ht="90">
      <c r="A1948" s="64" t="s">
        <v>73</v>
      </c>
      <c r="B1948" s="98" t="e">
        <f>VLOOKUP([2]!Table27[[#This Row],[Location 
(drop-down)]],'[2]List source'!D$2:E$59,2,FALSE)</f>
        <v>#VALUE!</v>
      </c>
      <c r="C1948" s="99" t="s">
        <v>5485</v>
      </c>
      <c r="D1948" s="100" t="e">
        <f t="shared" si="61"/>
        <v>#VALUE!</v>
      </c>
      <c r="E1948" s="64" t="s">
        <v>5486</v>
      </c>
      <c r="F1948" s="66" t="e" cm="1" vm="1">
        <f t="array" aca="1" ref="F194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8" s="110">
        <v>2.82</v>
      </c>
      <c r="I1948" s="138">
        <v>45831</v>
      </c>
      <c r="J1948" s="67" t="s">
        <v>34</v>
      </c>
      <c r="K1948" s="68">
        <v>45831</v>
      </c>
      <c r="L1948" s="69" t="s">
        <v>1562</v>
      </c>
      <c r="M1948" s="66" t="str">
        <f t="shared" ca="1" si="60"/>
        <v>CLOSED</v>
      </c>
    </row>
    <row r="1949" spans="1:13" ht="90">
      <c r="A1949" s="64" t="s">
        <v>73</v>
      </c>
      <c r="B1949" s="98" t="e">
        <f>VLOOKUP([2]!Table27[[#This Row],[Location 
(drop-down)]],'[2]List source'!D$2:E$59,2,FALSE)</f>
        <v>#VALUE!</v>
      </c>
      <c r="C1949" s="99" t="s">
        <v>5487</v>
      </c>
      <c r="D1949" s="100" t="e">
        <f t="shared" si="61"/>
        <v>#VALUE!</v>
      </c>
      <c r="E1949" s="64" t="s">
        <v>5478</v>
      </c>
      <c r="F1949" s="66" t="e" cm="1" vm="1">
        <f t="array" aca="1" ref="F194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4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49" s="66">
        <v>2.19</v>
      </c>
      <c r="I1949" s="138">
        <v>45831</v>
      </c>
      <c r="J1949" s="67" t="s">
        <v>34</v>
      </c>
      <c r="K1949" s="68">
        <v>45831</v>
      </c>
      <c r="L1949" s="69" t="s">
        <v>1562</v>
      </c>
      <c r="M1949" s="66" t="str">
        <f t="shared" ca="1" si="60"/>
        <v>CLOSED</v>
      </c>
    </row>
    <row r="1950" spans="1:13" ht="90">
      <c r="A1950" s="64" t="s">
        <v>485</v>
      </c>
      <c r="B1950" s="98" t="e">
        <f>VLOOKUP([2]!Table27[[#This Row],[Location 
(drop-down)]],'[2]List source'!D$2:E$59,2,FALSE)</f>
        <v>#VALUE!</v>
      </c>
      <c r="C1950" s="99" t="s">
        <v>5488</v>
      </c>
      <c r="D1950" s="100" t="e">
        <f t="shared" si="61"/>
        <v>#VALUE!</v>
      </c>
      <c r="E1950" s="64" t="s">
        <v>5478</v>
      </c>
      <c r="F1950" s="66" t="e" cm="1" vm="1">
        <f t="array" aca="1" ref="F195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0" s="66">
        <v>2.19</v>
      </c>
      <c r="I1950" s="138">
        <v>45831</v>
      </c>
      <c r="J1950" s="67" t="s">
        <v>34</v>
      </c>
      <c r="K1950" s="68">
        <v>45831</v>
      </c>
      <c r="L1950" s="69" t="s">
        <v>1562</v>
      </c>
      <c r="M1950" s="66" t="str">
        <f t="shared" ca="1" si="60"/>
        <v>CLOSED</v>
      </c>
    </row>
    <row r="1951" spans="1:13" ht="30">
      <c r="A1951" s="64" t="s">
        <v>485</v>
      </c>
      <c r="B1951" s="98" t="e">
        <f>VLOOKUP([2]!Table27[[#This Row],[Location 
(drop-down)]],'[2]List source'!D$2:E$59,2,FALSE)</f>
        <v>#VALUE!</v>
      </c>
      <c r="C1951" s="99" t="s">
        <v>5489</v>
      </c>
      <c r="D1951" s="100" t="e">
        <f t="shared" si="61"/>
        <v>#VALUE!</v>
      </c>
      <c r="E1951" s="64" t="s">
        <v>5490</v>
      </c>
      <c r="F1951" s="66" t="e" cm="1" vm="1">
        <f t="array" aca="1" ref="F195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1" s="66">
        <v>4.12</v>
      </c>
      <c r="I1951" s="138">
        <v>45831</v>
      </c>
      <c r="J1951" s="67" t="s">
        <v>239</v>
      </c>
      <c r="K1951" s="68">
        <v>46063</v>
      </c>
      <c r="L1951" s="69"/>
      <c r="M1951" s="66" t="str">
        <f t="shared" ref="M1951:M2014" ca="1" si="62">IF(ISBLANK(K1951), TODAY()-(I1951), "CLOSED")</f>
        <v>CLOSED</v>
      </c>
    </row>
    <row r="1952" spans="1:13" ht="90">
      <c r="A1952" s="64" t="s">
        <v>500</v>
      </c>
      <c r="B1952" s="98" t="e">
        <f>VLOOKUP([2]!Table27[[#This Row],[Location 
(drop-down)]],'[2]List source'!D$2:E$59,2,FALSE)</f>
        <v>#VALUE!</v>
      </c>
      <c r="C1952" s="99" t="s">
        <v>5491</v>
      </c>
      <c r="D1952" s="100" t="e">
        <f t="shared" si="61"/>
        <v>#VALUE!</v>
      </c>
      <c r="E1952" s="64" t="s">
        <v>5478</v>
      </c>
      <c r="F1952" s="66" t="e" cm="1" vm="1">
        <f t="array" aca="1" ref="F195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2" s="66">
        <v>2.04</v>
      </c>
      <c r="I1952" s="138">
        <v>45831</v>
      </c>
      <c r="J1952" s="67" t="s">
        <v>34</v>
      </c>
      <c r="K1952" s="68">
        <v>45831</v>
      </c>
      <c r="L1952" s="69" t="s">
        <v>1562</v>
      </c>
      <c r="M1952" s="66" t="str">
        <f t="shared" ca="1" si="62"/>
        <v>CLOSED</v>
      </c>
    </row>
    <row r="1953" spans="1:13" ht="45">
      <c r="A1953" s="64" t="s">
        <v>500</v>
      </c>
      <c r="B1953" s="98" t="e">
        <f>VLOOKUP([2]!Table27[[#This Row],[Location 
(drop-down)]],'[2]List source'!D$2:E$59,2,FALSE)</f>
        <v>#VALUE!</v>
      </c>
      <c r="C1953" s="99" t="s">
        <v>5492</v>
      </c>
      <c r="D1953" s="100" t="e">
        <f t="shared" si="61"/>
        <v>#VALUE!</v>
      </c>
      <c r="E1953" s="64" t="s">
        <v>5493</v>
      </c>
      <c r="F1953" s="66" t="e" cm="1" vm="1">
        <f t="array" aca="1" ref="F195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3" s="66" t="s">
        <v>1579</v>
      </c>
      <c r="I1953" s="138">
        <v>45831</v>
      </c>
      <c r="J1953" s="67" t="s">
        <v>310</v>
      </c>
      <c r="K1953" s="68">
        <v>45867</v>
      </c>
      <c r="L1953" s="69"/>
      <c r="M1953" s="66" t="str">
        <f t="shared" ca="1" si="62"/>
        <v>CLOSED</v>
      </c>
    </row>
    <row r="1954" spans="1:13" ht="90">
      <c r="A1954" s="64" t="s">
        <v>518</v>
      </c>
      <c r="B1954" s="98" t="e">
        <f>VLOOKUP([2]!Table27[[#This Row],[Location 
(drop-down)]],'[2]List source'!D$2:E$59,2,FALSE)</f>
        <v>#VALUE!</v>
      </c>
      <c r="C1954" s="99" t="s">
        <v>5494</v>
      </c>
      <c r="D1954" s="100" t="e">
        <f t="shared" si="61"/>
        <v>#VALUE!</v>
      </c>
      <c r="E1954" s="64" t="s">
        <v>5495</v>
      </c>
      <c r="F1954" s="66" t="e" cm="1" vm="1">
        <f t="array" aca="1" ref="F195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4" s="110" t="s">
        <v>5496</v>
      </c>
      <c r="I1954" s="138">
        <v>45831</v>
      </c>
      <c r="J1954" s="67" t="s">
        <v>34</v>
      </c>
      <c r="K1954" s="68">
        <v>45831</v>
      </c>
      <c r="L1954" s="69" t="s">
        <v>1562</v>
      </c>
      <c r="M1954" s="66" t="str">
        <f t="shared" ca="1" si="62"/>
        <v>CLOSED</v>
      </c>
    </row>
    <row r="1955" spans="1:13" ht="30">
      <c r="A1955" s="64" t="s">
        <v>518</v>
      </c>
      <c r="B1955" s="98" t="e">
        <f>VLOOKUP([2]!Table27[[#This Row],[Location 
(drop-down)]],'[2]List source'!D$2:E$59,2,FALSE)</f>
        <v>#VALUE!</v>
      </c>
      <c r="C1955" s="99" t="s">
        <v>5497</v>
      </c>
      <c r="D1955" s="100" t="e">
        <f t="shared" si="61"/>
        <v>#VALUE!</v>
      </c>
      <c r="E1955" s="64" t="s">
        <v>5498</v>
      </c>
      <c r="F1955" s="66" t="e" cm="1" vm="1">
        <f t="array" aca="1" ref="F195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5" s="110">
        <v>2.23</v>
      </c>
      <c r="I1955" s="138">
        <v>45831</v>
      </c>
      <c r="J1955" s="67" t="s">
        <v>108</v>
      </c>
      <c r="K1955" s="68">
        <v>45859</v>
      </c>
      <c r="L1955" s="69"/>
      <c r="M1955" s="66" t="str">
        <f t="shared" ca="1" si="62"/>
        <v>CLOSED</v>
      </c>
    </row>
    <row r="1956" spans="1:13" ht="90">
      <c r="A1956" s="64" t="s">
        <v>518</v>
      </c>
      <c r="B1956" s="98" t="e">
        <f>VLOOKUP([2]!Table27[[#This Row],[Location 
(drop-down)]],'[2]List source'!D$2:E$59,2,FALSE)</f>
        <v>#VALUE!</v>
      </c>
      <c r="C1956" s="99" t="s">
        <v>5499</v>
      </c>
      <c r="D1956" s="100" t="e">
        <f t="shared" si="61"/>
        <v>#VALUE!</v>
      </c>
      <c r="E1956" s="64" t="s">
        <v>5476</v>
      </c>
      <c r="F1956" s="66" t="e" cm="1" vm="1">
        <f t="array" aca="1" ref="F195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6" s="110" t="s">
        <v>5500</v>
      </c>
      <c r="I1956" s="138">
        <v>45831</v>
      </c>
      <c r="J1956" s="67" t="s">
        <v>34</v>
      </c>
      <c r="K1956" s="68">
        <v>45831</v>
      </c>
      <c r="L1956" s="69" t="s">
        <v>1562</v>
      </c>
      <c r="M1956" s="66" t="str">
        <f t="shared" ca="1" si="62"/>
        <v>CLOSED</v>
      </c>
    </row>
    <row r="1957" spans="1:13" ht="90">
      <c r="A1957" s="64" t="s">
        <v>518</v>
      </c>
      <c r="B1957" s="98" t="e">
        <f>VLOOKUP([2]!Table27[[#This Row],[Location 
(drop-down)]],'[2]List source'!D$2:E$59,2,FALSE)</f>
        <v>#VALUE!</v>
      </c>
      <c r="C1957" s="99" t="s">
        <v>5501</v>
      </c>
      <c r="D1957" s="100" t="e">
        <f t="shared" si="61"/>
        <v>#VALUE!</v>
      </c>
      <c r="E1957" s="64" t="s">
        <v>5502</v>
      </c>
      <c r="F1957" s="66" t="e" cm="1" vm="1">
        <f t="array" aca="1" ref="F195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7" s="66">
        <v>2.2400000000000002</v>
      </c>
      <c r="I1957" s="138">
        <v>45831</v>
      </c>
      <c r="J1957" s="67" t="s">
        <v>34</v>
      </c>
      <c r="K1957" s="68">
        <v>45831</v>
      </c>
      <c r="L1957" s="69" t="s">
        <v>1562</v>
      </c>
      <c r="M1957" s="66" t="str">
        <f t="shared" ca="1" si="62"/>
        <v>CLOSED</v>
      </c>
    </row>
    <row r="1958" spans="1:13" ht="45">
      <c r="A1958" s="64" t="s">
        <v>139</v>
      </c>
      <c r="B1958" s="98" t="e">
        <f>VLOOKUP([2]!Table27[[#This Row],[Location 
(drop-down)]],'[2]List source'!D$2:E$59,2,FALSE)</f>
        <v>#VALUE!</v>
      </c>
      <c r="C1958" s="99" t="s">
        <v>5503</v>
      </c>
      <c r="D1958" s="452" t="e">
        <f t="shared" si="61"/>
        <v>#VALUE!</v>
      </c>
      <c r="E1958" s="64" t="s">
        <v>5504</v>
      </c>
      <c r="F1958" s="66" t="e" cm="1" vm="1">
        <f t="array" aca="1" ref="F195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8" s="110" t="s">
        <v>3418</v>
      </c>
      <c r="I1958" s="138">
        <v>45831</v>
      </c>
      <c r="J1958" s="67" t="s">
        <v>310</v>
      </c>
      <c r="K1958" s="68">
        <v>45911</v>
      </c>
      <c r="L1958" s="453" t="s">
        <v>4890</v>
      </c>
      <c r="M1958" s="66" t="str">
        <f t="shared" ca="1" si="62"/>
        <v>CLOSED</v>
      </c>
    </row>
    <row r="1959" spans="1:13" ht="90">
      <c r="A1959" s="64" t="s">
        <v>43</v>
      </c>
      <c r="B1959" s="98" t="e">
        <f>VLOOKUP([2]!Table27[[#This Row],[Location 
(drop-down)]],'[2]List source'!D$2:E$59,2,FALSE)</f>
        <v>#VALUE!</v>
      </c>
      <c r="C1959" s="99" t="s">
        <v>5505</v>
      </c>
      <c r="D1959" s="100" t="e">
        <f t="shared" si="61"/>
        <v>#VALUE!</v>
      </c>
      <c r="E1959" s="64" t="s">
        <v>5506</v>
      </c>
      <c r="F1959" s="66" t="e" cm="1" vm="1">
        <f t="array" aca="1" ref="F195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59" s="66" t="s">
        <v>5507</v>
      </c>
      <c r="I1959" s="138">
        <v>45831</v>
      </c>
      <c r="J1959" s="67" t="s">
        <v>34</v>
      </c>
      <c r="K1959" s="68">
        <v>45831</v>
      </c>
      <c r="L1959" s="69" t="s">
        <v>1562</v>
      </c>
      <c r="M1959" s="66" t="str">
        <f t="shared" ca="1" si="62"/>
        <v>CLOSED</v>
      </c>
    </row>
    <row r="1960" spans="1:13" ht="45">
      <c r="A1960" s="64" t="s">
        <v>714</v>
      </c>
      <c r="B1960" s="98" t="e">
        <f>VLOOKUP([2]!Table27[[#This Row],[Location 
(drop-down)]],'[2]List source'!D$2:E$59,2,FALSE)</f>
        <v>#VALUE!</v>
      </c>
      <c r="C1960" s="99" t="s">
        <v>5508</v>
      </c>
      <c r="D1960" s="452" t="e">
        <f t="shared" si="61"/>
        <v>#VALUE!</v>
      </c>
      <c r="E1960" s="64" t="s">
        <v>5509</v>
      </c>
      <c r="F1960" s="66" t="e" cm="1" vm="1">
        <f t="array" aca="1" ref="F19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0" s="110" t="s">
        <v>5510</v>
      </c>
      <c r="I1960" s="138">
        <v>45831</v>
      </c>
      <c r="J1960" s="67" t="s">
        <v>29</v>
      </c>
      <c r="K1960" s="68">
        <v>45845</v>
      </c>
      <c r="L1960" s="453" t="s">
        <v>4890</v>
      </c>
      <c r="M1960" s="66" t="str">
        <f t="shared" ca="1" si="62"/>
        <v>CLOSED</v>
      </c>
    </row>
    <row r="1961" spans="1:13" ht="45">
      <c r="A1961" s="64" t="s">
        <v>714</v>
      </c>
      <c r="B1961" s="98" t="e">
        <f>VLOOKUP([2]!Table27[[#This Row],[Location 
(drop-down)]],'[2]List source'!D$2:E$59,2,FALSE)</f>
        <v>#VALUE!</v>
      </c>
      <c r="C1961" s="99" t="s">
        <v>5511</v>
      </c>
      <c r="D1961" s="452" t="e">
        <f t="shared" si="61"/>
        <v>#VALUE!</v>
      </c>
      <c r="E1961" s="64" t="s">
        <v>5512</v>
      </c>
      <c r="F1961" s="66" t="e" cm="1" vm="1">
        <f t="array" aca="1" ref="F196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1" s="110">
        <v>4.8899999999999997</v>
      </c>
      <c r="I1961" s="138">
        <v>45831</v>
      </c>
      <c r="J1961" s="67" t="s">
        <v>29</v>
      </c>
      <c r="K1961" s="68">
        <v>45845</v>
      </c>
      <c r="L1961" s="453" t="s">
        <v>4890</v>
      </c>
      <c r="M1961" s="66" t="str">
        <f t="shared" ca="1" si="62"/>
        <v>CLOSED</v>
      </c>
    </row>
    <row r="1962" spans="1:13" ht="45">
      <c r="A1962" s="64" t="s">
        <v>714</v>
      </c>
      <c r="B1962" s="98" t="e">
        <f>VLOOKUP([2]!Table27[[#This Row],[Location 
(drop-down)]],'[2]List source'!D$2:E$59,2,FALSE)</f>
        <v>#VALUE!</v>
      </c>
      <c r="C1962" s="99" t="s">
        <v>5513</v>
      </c>
      <c r="D1962" s="452" t="e">
        <f t="shared" si="61"/>
        <v>#VALUE!</v>
      </c>
      <c r="E1962" s="64" t="s">
        <v>5514</v>
      </c>
      <c r="F1962" s="66" t="e" cm="1" vm="1">
        <f t="array" aca="1" ref="F19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2" s="110">
        <v>6.5</v>
      </c>
      <c r="I1962" s="138">
        <v>45831</v>
      </c>
      <c r="J1962" s="67" t="s">
        <v>29</v>
      </c>
      <c r="K1962" s="68">
        <v>45845</v>
      </c>
      <c r="L1962" s="453" t="s">
        <v>4890</v>
      </c>
      <c r="M1962" s="66" t="str">
        <f t="shared" ca="1" si="62"/>
        <v>CLOSED</v>
      </c>
    </row>
    <row r="1963" spans="1:13" ht="30">
      <c r="A1963" s="64" t="s">
        <v>30</v>
      </c>
      <c r="B1963" s="98" t="e">
        <f>VLOOKUP([2]!Table27[[#This Row],[Location 
(drop-down)]],'[2]List source'!D$2:E$59,2,FALSE)</f>
        <v>#VALUE!</v>
      </c>
      <c r="C1963" s="99" t="s">
        <v>5515</v>
      </c>
      <c r="D1963" s="100" t="e">
        <f t="shared" si="61"/>
        <v>#VALUE!</v>
      </c>
      <c r="E1963" s="64" t="s">
        <v>5516</v>
      </c>
      <c r="F1963" s="66" t="s">
        <v>2269</v>
      </c>
      <c r="G19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3" s="66">
        <v>2.5299999999999998</v>
      </c>
      <c r="I1963" s="138">
        <v>45832</v>
      </c>
      <c r="J1963" s="67" t="s">
        <v>111</v>
      </c>
      <c r="K1963" s="68">
        <v>46069</v>
      </c>
      <c r="L1963" s="69"/>
      <c r="M1963" s="66" t="str">
        <f t="shared" ca="1" si="62"/>
        <v>CLOSED</v>
      </c>
    </row>
    <row r="1964" spans="1:13" ht="30">
      <c r="A1964" s="64" t="s">
        <v>15</v>
      </c>
      <c r="B1964" s="98" t="e">
        <f>VLOOKUP([2]!Table27[[#This Row],[Location 
(drop-down)]],'[2]List source'!D$2:E$59,2,FALSE)</f>
        <v>#VALUE!</v>
      </c>
      <c r="C1964" s="99" t="s">
        <v>5517</v>
      </c>
      <c r="D1964" s="100" t="e">
        <f t="shared" si="61"/>
        <v>#VALUE!</v>
      </c>
      <c r="E1964" s="64" t="s">
        <v>5518</v>
      </c>
      <c r="F1964" s="66" t="s">
        <v>2279</v>
      </c>
      <c r="G19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4" s="66">
        <v>2.48</v>
      </c>
      <c r="I1964" s="138">
        <v>45832</v>
      </c>
      <c r="J1964" s="67" t="s">
        <v>21</v>
      </c>
      <c r="K1964" s="68">
        <v>46055</v>
      </c>
      <c r="L1964" s="69"/>
      <c r="M1964" s="66" t="str">
        <f t="shared" ca="1" si="62"/>
        <v>CLOSED</v>
      </c>
    </row>
    <row r="1965" spans="1:13" ht="45">
      <c r="A1965" s="64" t="s">
        <v>399</v>
      </c>
      <c r="B1965" s="98" t="e">
        <f>VLOOKUP([2]!Table27[[#This Row],[Location 
(drop-down)]],'[2]List source'!D$2:E$59,2,FALSE)</f>
        <v>#VALUE!</v>
      </c>
      <c r="C1965" s="99" t="s">
        <v>5519</v>
      </c>
      <c r="D1965" s="100" t="e">
        <f t="shared" si="61"/>
        <v>#VALUE!</v>
      </c>
      <c r="E1965" s="64" t="s">
        <v>5520</v>
      </c>
      <c r="F1965" s="66" t="s">
        <v>2279</v>
      </c>
      <c r="G19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5" s="110" t="s">
        <v>5521</v>
      </c>
      <c r="I1965" s="138">
        <v>45832</v>
      </c>
      <c r="J1965" s="67" t="s">
        <v>21</v>
      </c>
      <c r="K1965" s="68">
        <v>45866</v>
      </c>
      <c r="L1965" s="69"/>
      <c r="M1965" s="66" t="str">
        <f t="shared" ca="1" si="62"/>
        <v>CLOSED</v>
      </c>
    </row>
    <row r="1966" spans="1:13" ht="30">
      <c r="A1966" s="64" t="s">
        <v>432</v>
      </c>
      <c r="B1966" s="98" t="e">
        <f>VLOOKUP([2]!Table27[[#This Row],[Location 
(drop-down)]],'[2]List source'!D$2:E$59,2,FALSE)</f>
        <v>#VALUE!</v>
      </c>
      <c r="C1966" s="99" t="s">
        <v>5522</v>
      </c>
      <c r="D1966" s="100" t="e">
        <f t="shared" si="61"/>
        <v>#VALUE!</v>
      </c>
      <c r="E1966" s="64" t="s">
        <v>5523</v>
      </c>
      <c r="F1966" s="66" t="s">
        <v>5524</v>
      </c>
      <c r="G19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6" s="66">
        <v>2.2000000000000002</v>
      </c>
      <c r="I1966" s="138">
        <v>45840</v>
      </c>
      <c r="J1966" s="67" t="s">
        <v>108</v>
      </c>
      <c r="K1966" s="68">
        <v>45931</v>
      </c>
      <c r="L1966" s="69"/>
      <c r="M1966" s="66" t="str">
        <f t="shared" ca="1" si="62"/>
        <v>CLOSED</v>
      </c>
    </row>
    <row r="1967" spans="1:13" ht="90">
      <c r="A1967" s="64" t="s">
        <v>432</v>
      </c>
      <c r="B1967" s="98" t="e">
        <f>VLOOKUP([2]!Table27[[#This Row],[Location 
(drop-down)]],'[2]List source'!D$2:E$59,2,FALSE)</f>
        <v>#VALUE!</v>
      </c>
      <c r="C1967" s="99" t="s">
        <v>5525</v>
      </c>
      <c r="D1967" s="100" t="e">
        <f t="shared" si="61"/>
        <v>#VALUE!</v>
      </c>
      <c r="E1967" s="64" t="s">
        <v>5526</v>
      </c>
      <c r="F1967" s="66" t="s">
        <v>5524</v>
      </c>
      <c r="G19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7" s="66">
        <v>2.21</v>
      </c>
      <c r="I1967" s="138">
        <v>45840</v>
      </c>
      <c r="J1967" s="67" t="s">
        <v>34</v>
      </c>
      <c r="K1967" s="68">
        <v>45840</v>
      </c>
      <c r="L1967" s="69" t="s">
        <v>1671</v>
      </c>
      <c r="M1967" s="66" t="str">
        <f t="shared" ca="1" si="62"/>
        <v>CLOSED</v>
      </c>
    </row>
    <row r="1968" spans="1:13" ht="90">
      <c r="A1968" s="64" t="s">
        <v>432</v>
      </c>
      <c r="B1968" s="98" t="e">
        <f>VLOOKUP([2]!Table27[[#This Row],[Location 
(drop-down)]],'[2]List source'!D$2:E$59,2,FALSE)</f>
        <v>#VALUE!</v>
      </c>
      <c r="C1968" s="99" t="s">
        <v>5527</v>
      </c>
      <c r="D1968" s="100" t="e">
        <f t="shared" si="61"/>
        <v>#VALUE!</v>
      </c>
      <c r="E1968" s="64" t="s">
        <v>5528</v>
      </c>
      <c r="F1968" s="66" t="s">
        <v>5524</v>
      </c>
      <c r="G19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8" s="110" t="s">
        <v>5529</v>
      </c>
      <c r="I1968" s="138">
        <v>45840</v>
      </c>
      <c r="J1968" s="67" t="s">
        <v>34</v>
      </c>
      <c r="K1968" s="68">
        <v>45840</v>
      </c>
      <c r="L1968" s="69" t="s">
        <v>1671</v>
      </c>
      <c r="M1968" s="66" t="str">
        <f t="shared" ca="1" si="62"/>
        <v>CLOSED</v>
      </c>
    </row>
    <row r="1969" spans="1:13" ht="30">
      <c r="A1969" s="64" t="s">
        <v>432</v>
      </c>
      <c r="B1969" s="98" t="e">
        <f>VLOOKUP([2]!Table27[[#This Row],[Location 
(drop-down)]],'[2]List source'!D$2:E$59,2,FALSE)</f>
        <v>#VALUE!</v>
      </c>
      <c r="C1969" s="99" t="s">
        <v>5530</v>
      </c>
      <c r="D1969" s="100" t="e">
        <f t="shared" si="61"/>
        <v>#VALUE!</v>
      </c>
      <c r="E1969" s="64" t="s">
        <v>5531</v>
      </c>
      <c r="F1969" s="66" t="s">
        <v>5524</v>
      </c>
      <c r="G19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69" s="110" t="s">
        <v>2308</v>
      </c>
      <c r="I1969" s="67">
        <v>45840</v>
      </c>
      <c r="J1969" s="67"/>
      <c r="K1969" s="68"/>
      <c r="L1969" s="69"/>
      <c r="M1969" s="66">
        <f t="shared" ca="1" si="62"/>
        <v>238</v>
      </c>
    </row>
    <row r="1970" spans="1:13" ht="90">
      <c r="A1970" s="64" t="s">
        <v>591</v>
      </c>
      <c r="B1970" s="98" t="e">
        <f>VLOOKUP([2]!Table27[[#This Row],[Location 
(drop-down)]],'[2]List source'!D$2:E$59,2,FALSE)</f>
        <v>#VALUE!</v>
      </c>
      <c r="C1970" s="99" t="s">
        <v>5532</v>
      </c>
      <c r="D1970" s="100" t="e">
        <f t="shared" si="61"/>
        <v>#VALUE!</v>
      </c>
      <c r="E1970" s="64" t="s">
        <v>5526</v>
      </c>
      <c r="F1970" s="66" t="s">
        <v>5524</v>
      </c>
      <c r="G19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0" s="66">
        <v>2.21</v>
      </c>
      <c r="I1970" s="67">
        <v>45840</v>
      </c>
      <c r="J1970" s="67" t="s">
        <v>34</v>
      </c>
      <c r="K1970" s="68">
        <v>45840</v>
      </c>
      <c r="L1970" s="69" t="s">
        <v>1671</v>
      </c>
      <c r="M1970" s="66" t="str">
        <f t="shared" ca="1" si="62"/>
        <v>CLOSED</v>
      </c>
    </row>
    <row r="1971" spans="1:13" ht="90">
      <c r="A1971" s="64" t="s">
        <v>103</v>
      </c>
      <c r="B1971" s="98" t="e">
        <f>VLOOKUP([2]!Table27[[#This Row],[Location 
(drop-down)]],'[2]List source'!D$2:E$59,2,FALSE)</f>
        <v>#VALUE!</v>
      </c>
      <c r="C1971" s="99" t="s">
        <v>5533</v>
      </c>
      <c r="D1971" s="100" t="e">
        <f t="shared" si="61"/>
        <v>#VALUE!</v>
      </c>
      <c r="E1971" s="64" t="s">
        <v>5526</v>
      </c>
      <c r="F1971" s="66" t="s">
        <v>5524</v>
      </c>
      <c r="G19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1" s="66">
        <v>2.21</v>
      </c>
      <c r="I1971" s="67">
        <v>45840</v>
      </c>
      <c r="J1971" s="67" t="s">
        <v>34</v>
      </c>
      <c r="K1971" s="68">
        <v>45840</v>
      </c>
      <c r="L1971" s="69" t="s">
        <v>1671</v>
      </c>
      <c r="M1971" s="66" t="str">
        <f t="shared" ca="1" si="62"/>
        <v>CLOSED</v>
      </c>
    </row>
    <row r="1972" spans="1:13" ht="30">
      <c r="A1972" s="64" t="s">
        <v>185</v>
      </c>
      <c r="B1972" s="98" t="e">
        <f>VLOOKUP([2]!Table27[[#This Row],[Location 
(drop-down)]],'[2]List source'!D$2:E$59,2,FALSE)</f>
        <v>#VALUE!</v>
      </c>
      <c r="C1972" s="99" t="s">
        <v>5534</v>
      </c>
      <c r="D1972" s="100" t="e">
        <f t="shared" si="61"/>
        <v>#VALUE!</v>
      </c>
      <c r="E1972" s="64" t="s">
        <v>5523</v>
      </c>
      <c r="F1972" s="66" t="s">
        <v>5524</v>
      </c>
      <c r="G19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2" s="66">
        <v>2.2000000000000002</v>
      </c>
      <c r="I1972" s="67">
        <v>45840</v>
      </c>
      <c r="J1972" s="67"/>
      <c r="K1972" s="68"/>
      <c r="L1972" s="69"/>
      <c r="M1972" s="66">
        <f t="shared" ca="1" si="62"/>
        <v>238</v>
      </c>
    </row>
    <row r="1973" spans="1:13" ht="45">
      <c r="A1973" s="64" t="s">
        <v>185</v>
      </c>
      <c r="B1973" s="98" t="e">
        <f>VLOOKUP([2]!Table27[[#This Row],[Location 
(drop-down)]],'[2]List source'!D$2:E$59,2,FALSE)</f>
        <v>#VALUE!</v>
      </c>
      <c r="C1973" s="99" t="s">
        <v>5535</v>
      </c>
      <c r="D1973" s="100" t="e">
        <f t="shared" si="61"/>
        <v>#VALUE!</v>
      </c>
      <c r="E1973" s="64" t="s">
        <v>5536</v>
      </c>
      <c r="F1973" s="66" t="s">
        <v>5524</v>
      </c>
      <c r="G19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3" s="110" t="s">
        <v>5537</v>
      </c>
      <c r="I1973" s="67">
        <v>45840</v>
      </c>
      <c r="J1973" s="67" t="s">
        <v>34</v>
      </c>
      <c r="K1973" s="68">
        <v>45848</v>
      </c>
      <c r="L1973" s="69" t="s">
        <v>1505</v>
      </c>
      <c r="M1973" s="66" t="str">
        <f t="shared" ca="1" si="62"/>
        <v>CLOSED</v>
      </c>
    </row>
    <row r="1974" spans="1:13" ht="30">
      <c r="A1974" s="64" t="s">
        <v>64</v>
      </c>
      <c r="B1974" s="98" t="e">
        <f>VLOOKUP([2]!Table27[[#This Row],[Location 
(drop-down)]],'[2]List source'!D$2:E$59,2,FALSE)</f>
        <v>#VALUE!</v>
      </c>
      <c r="C1974" s="99" t="s">
        <v>5538</v>
      </c>
      <c r="D1974" s="100" t="e">
        <f t="shared" si="61"/>
        <v>#VALUE!</v>
      </c>
      <c r="E1974" s="64" t="s">
        <v>5539</v>
      </c>
      <c r="F1974" s="66" t="s">
        <v>5524</v>
      </c>
      <c r="G19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4" s="110" t="s">
        <v>5540</v>
      </c>
      <c r="I1974" s="67">
        <v>45840</v>
      </c>
      <c r="J1974" s="67" t="s">
        <v>239</v>
      </c>
      <c r="K1974" s="68">
        <v>45898</v>
      </c>
      <c r="L1974" s="69"/>
      <c r="M1974" s="66" t="str">
        <f t="shared" ca="1" si="62"/>
        <v>CLOSED</v>
      </c>
    </row>
    <row r="1975" spans="1:13" ht="30">
      <c r="A1975" s="64" t="s">
        <v>500</v>
      </c>
      <c r="B1975" s="98" t="e">
        <f>VLOOKUP([2]!Table27[[#This Row],[Location 
(drop-down)]],'[2]List source'!D$2:E$59,2,FALSE)</f>
        <v>#VALUE!</v>
      </c>
      <c r="C1975" s="99" t="s">
        <v>5541</v>
      </c>
      <c r="D1975" s="100" t="e">
        <f t="shared" si="61"/>
        <v>#VALUE!</v>
      </c>
      <c r="E1975" s="64" t="s">
        <v>5542</v>
      </c>
      <c r="F1975" s="66" t="s">
        <v>5524</v>
      </c>
      <c r="G19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5" s="110" t="s">
        <v>5543</v>
      </c>
      <c r="I1975" s="67">
        <v>45840</v>
      </c>
      <c r="J1975" s="67" t="s">
        <v>310</v>
      </c>
      <c r="K1975" s="68">
        <v>45868</v>
      </c>
      <c r="L1975" s="69"/>
      <c r="M1975" s="66" t="str">
        <f t="shared" ca="1" si="62"/>
        <v>CLOSED</v>
      </c>
    </row>
    <row r="1976" spans="1:13" ht="90">
      <c r="A1976" s="64" t="s">
        <v>518</v>
      </c>
      <c r="B1976" s="98" t="e">
        <f>VLOOKUP([2]!Table27[[#This Row],[Location 
(drop-down)]],'[2]List source'!D$2:E$59,2,FALSE)</f>
        <v>#VALUE!</v>
      </c>
      <c r="C1976" s="99" t="s">
        <v>5544</v>
      </c>
      <c r="D1976" s="100" t="e">
        <f t="shared" si="61"/>
        <v>#VALUE!</v>
      </c>
      <c r="E1976" s="64" t="s">
        <v>5526</v>
      </c>
      <c r="F1976" s="66" t="s">
        <v>5524</v>
      </c>
      <c r="G19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6" s="110" t="s">
        <v>1679</v>
      </c>
      <c r="I1976" s="67">
        <v>45840</v>
      </c>
      <c r="J1976" s="67" t="s">
        <v>34</v>
      </c>
      <c r="K1976" s="68">
        <v>45840</v>
      </c>
      <c r="L1976" s="69" t="s">
        <v>1671</v>
      </c>
      <c r="M1976" s="66" t="str">
        <f t="shared" ca="1" si="62"/>
        <v>CLOSED</v>
      </c>
    </row>
    <row r="1977" spans="1:13" ht="90">
      <c r="A1977" s="64" t="s">
        <v>518</v>
      </c>
      <c r="B1977" s="98" t="e">
        <f>VLOOKUP([2]!Table27[[#This Row],[Location 
(drop-down)]],'[2]List source'!D$2:E$59,2,FALSE)</f>
        <v>#VALUE!</v>
      </c>
      <c r="C1977" s="99" t="s">
        <v>5545</v>
      </c>
      <c r="D1977" s="100" t="e">
        <f t="shared" si="61"/>
        <v>#VALUE!</v>
      </c>
      <c r="E1977" s="64" t="s">
        <v>5546</v>
      </c>
      <c r="F1977" s="66" t="s">
        <v>5524</v>
      </c>
      <c r="G19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7" s="66">
        <v>2.12</v>
      </c>
      <c r="I1977" s="67">
        <v>45840</v>
      </c>
      <c r="J1977" s="67" t="s">
        <v>34</v>
      </c>
      <c r="K1977" s="68">
        <v>45840</v>
      </c>
      <c r="L1977" s="69" t="s">
        <v>1671</v>
      </c>
      <c r="M1977" s="66" t="str">
        <f t="shared" ca="1" si="62"/>
        <v>CLOSED</v>
      </c>
    </row>
    <row r="1978" spans="1:13" ht="45">
      <c r="A1978" s="64" t="s">
        <v>139</v>
      </c>
      <c r="B1978" s="98" t="e">
        <f>VLOOKUP([2]!Table27[[#This Row],[Location 
(drop-down)]],'[2]List source'!D$2:E$59,2,FALSE)</f>
        <v>#VALUE!</v>
      </c>
      <c r="C1978" s="99" t="s">
        <v>5547</v>
      </c>
      <c r="D1978" s="100" t="e">
        <f t="shared" si="61"/>
        <v>#VALUE!</v>
      </c>
      <c r="E1978" s="64" t="s">
        <v>5548</v>
      </c>
      <c r="F1978" s="66" t="s">
        <v>5524</v>
      </c>
      <c r="G19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8" s="110" t="s">
        <v>5549</v>
      </c>
      <c r="I1978" s="67">
        <v>45840</v>
      </c>
      <c r="J1978" s="67" t="s">
        <v>34</v>
      </c>
      <c r="K1978" s="68">
        <v>45877</v>
      </c>
      <c r="L1978" s="69" t="s">
        <v>5550</v>
      </c>
      <c r="M1978" s="66" t="str">
        <f t="shared" ca="1" si="62"/>
        <v>CLOSED</v>
      </c>
    </row>
    <row r="1979" spans="1:13" ht="90">
      <c r="A1979" s="64" t="s">
        <v>139</v>
      </c>
      <c r="B1979" s="98" t="e">
        <f>VLOOKUP([2]!Table27[[#This Row],[Location 
(drop-down)]],'[2]List source'!D$2:E$59,2,FALSE)</f>
        <v>#VALUE!</v>
      </c>
      <c r="C1979" s="99" t="s">
        <v>5551</v>
      </c>
      <c r="D1979" s="100" t="e">
        <f t="shared" si="61"/>
        <v>#VALUE!</v>
      </c>
      <c r="E1979" s="64" t="s">
        <v>5526</v>
      </c>
      <c r="F1979" s="66" t="s">
        <v>5524</v>
      </c>
      <c r="G19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79" s="66">
        <v>2.21</v>
      </c>
      <c r="I1979" s="67">
        <v>45840</v>
      </c>
      <c r="J1979" s="67" t="s">
        <v>34</v>
      </c>
      <c r="K1979" s="68">
        <v>45840</v>
      </c>
      <c r="L1979" s="69" t="s">
        <v>1671</v>
      </c>
      <c r="M1979" s="66" t="str">
        <f t="shared" ca="1" si="62"/>
        <v>CLOSED</v>
      </c>
    </row>
    <row r="1980" spans="1:13" ht="90">
      <c r="A1980" s="64" t="s">
        <v>139</v>
      </c>
      <c r="B1980" s="98" t="e">
        <f>VLOOKUP([2]!Table27[[#This Row],[Location 
(drop-down)]],'[2]List source'!D$2:E$59,2,FALSE)</f>
        <v>#VALUE!</v>
      </c>
      <c r="C1980" s="99" t="s">
        <v>5552</v>
      </c>
      <c r="D1980" s="100" t="e">
        <f t="shared" si="61"/>
        <v>#VALUE!</v>
      </c>
      <c r="E1980" s="64" t="s">
        <v>5553</v>
      </c>
      <c r="F1980" s="66" t="s">
        <v>5524</v>
      </c>
      <c r="G19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0" s="66">
        <v>2.35</v>
      </c>
      <c r="I1980" s="67">
        <v>45840</v>
      </c>
      <c r="J1980" s="67" t="s">
        <v>34</v>
      </c>
      <c r="K1980" s="68">
        <v>45840</v>
      </c>
      <c r="L1980" s="69" t="s">
        <v>1671</v>
      </c>
      <c r="M1980" s="66" t="str">
        <f t="shared" ca="1" si="62"/>
        <v>CLOSED</v>
      </c>
    </row>
    <row r="1981" spans="1:13" ht="30">
      <c r="A1981" s="64" t="s">
        <v>156</v>
      </c>
      <c r="B1981" s="98" t="e">
        <f>VLOOKUP([2]!Table27[[#This Row],[Location 
(drop-down)]],'[2]List source'!D$2:E$59,2,FALSE)</f>
        <v>#VALUE!</v>
      </c>
      <c r="C1981" s="99" t="s">
        <v>5554</v>
      </c>
      <c r="D1981" s="100" t="e">
        <f t="shared" si="61"/>
        <v>#VALUE!</v>
      </c>
      <c r="E1981" s="64" t="s">
        <v>5555</v>
      </c>
      <c r="F1981" s="66" t="s">
        <v>5524</v>
      </c>
      <c r="G19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1" s="110" t="s">
        <v>2862</v>
      </c>
      <c r="I1981" s="67">
        <v>45840</v>
      </c>
      <c r="J1981" s="67" t="s">
        <v>29</v>
      </c>
      <c r="K1981" s="68">
        <v>45960</v>
      </c>
      <c r="L1981" s="69"/>
      <c r="M1981" s="66" t="str">
        <f t="shared" ca="1" si="62"/>
        <v>CLOSED</v>
      </c>
    </row>
    <row r="1982" spans="1:13" ht="30">
      <c r="A1982" s="64" t="s">
        <v>30</v>
      </c>
      <c r="B1982" s="98" t="e">
        <f>VLOOKUP([2]!Table27[[#This Row],[Location 
(drop-down)]],'[2]List source'!D$2:E$59,2,FALSE)</f>
        <v>#VALUE!</v>
      </c>
      <c r="C1982" s="99" t="s">
        <v>5556</v>
      </c>
      <c r="D1982" s="100" t="e">
        <f t="shared" si="61"/>
        <v>#VALUE!</v>
      </c>
      <c r="E1982" s="64" t="s">
        <v>5557</v>
      </c>
      <c r="F1982" s="66" t="s">
        <v>5558</v>
      </c>
      <c r="G19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2" s="66">
        <v>10.97</v>
      </c>
      <c r="I1982" s="67">
        <v>45841</v>
      </c>
      <c r="J1982" s="67" t="s">
        <v>111</v>
      </c>
      <c r="K1982" s="68">
        <v>46070</v>
      </c>
      <c r="L1982" s="69"/>
      <c r="M1982" s="66" t="str">
        <f t="shared" ca="1" si="62"/>
        <v>CLOSED</v>
      </c>
    </row>
    <row r="1983" spans="1:13" ht="30">
      <c r="A1983" s="64" t="s">
        <v>114</v>
      </c>
      <c r="B1983" s="98" t="e">
        <f>VLOOKUP([2]!Table27[[#This Row],[Location 
(drop-down)]],'[2]List source'!D$2:E$59,2,FALSE)</f>
        <v>#VALUE!</v>
      </c>
      <c r="C1983" s="99" t="s">
        <v>5559</v>
      </c>
      <c r="D1983" s="100" t="e">
        <f t="shared" si="61"/>
        <v>#VALUE!</v>
      </c>
      <c r="E1983" s="64" t="s">
        <v>5560</v>
      </c>
      <c r="F1983" s="66" t="s">
        <v>3068</v>
      </c>
      <c r="G19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3" s="66">
        <v>3.08</v>
      </c>
      <c r="I1983" s="67">
        <v>45841</v>
      </c>
      <c r="J1983" s="67"/>
      <c r="K1983" s="68"/>
      <c r="L1983" s="69"/>
      <c r="M1983" s="66">
        <f t="shared" ca="1" si="62"/>
        <v>237</v>
      </c>
    </row>
    <row r="1984" spans="1:13" ht="90">
      <c r="A1984" s="64" t="s">
        <v>495</v>
      </c>
      <c r="B1984" s="98" t="e">
        <f>VLOOKUP([2]!Table27[[#This Row],[Location 
(drop-down)]],'[2]List source'!D$2:E$59,2,FALSE)</f>
        <v>#VALUE!</v>
      </c>
      <c r="C1984" s="99" t="s">
        <v>5561</v>
      </c>
      <c r="D1984" s="100" t="e">
        <f t="shared" si="61"/>
        <v>#VALUE!</v>
      </c>
      <c r="E1984" s="64" t="s">
        <v>5562</v>
      </c>
      <c r="F1984" s="66" t="s">
        <v>3068</v>
      </c>
      <c r="G19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4" s="66">
        <v>2.59</v>
      </c>
      <c r="I1984" s="67">
        <v>45841</v>
      </c>
      <c r="J1984" s="67" t="s">
        <v>34</v>
      </c>
      <c r="K1984" s="68">
        <v>45841</v>
      </c>
      <c r="L1984" s="69" t="s">
        <v>1671</v>
      </c>
      <c r="M1984" s="66" t="str">
        <f t="shared" ca="1" si="62"/>
        <v>CLOSED</v>
      </c>
    </row>
    <row r="1985" spans="1:13" ht="90">
      <c r="A1985" s="64" t="s">
        <v>15</v>
      </c>
      <c r="B1985" s="98" t="e">
        <f>VLOOKUP([2]!Table27[[#This Row],[Location 
(drop-down)]],'[2]List source'!D$2:E$59,2,FALSE)</f>
        <v>#VALUE!</v>
      </c>
      <c r="C1985" s="99" t="s">
        <v>5563</v>
      </c>
      <c r="D1985" s="100" t="e">
        <f t="shared" si="61"/>
        <v>#VALUE!</v>
      </c>
      <c r="E1985" s="64" t="s">
        <v>5564</v>
      </c>
      <c r="F1985" s="66" t="s">
        <v>3068</v>
      </c>
      <c r="G19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5" s="110" t="s">
        <v>1762</v>
      </c>
      <c r="I1985" s="67">
        <v>45841</v>
      </c>
      <c r="J1985" s="67" t="s">
        <v>34</v>
      </c>
      <c r="K1985" s="68">
        <v>45841</v>
      </c>
      <c r="L1985" s="69" t="s">
        <v>1671</v>
      </c>
      <c r="M1985" s="66" t="str">
        <f t="shared" ca="1" si="62"/>
        <v>CLOSED</v>
      </c>
    </row>
    <row r="1986" spans="1:13" ht="90">
      <c r="A1986" s="64" t="s">
        <v>399</v>
      </c>
      <c r="B1986" s="98" t="e">
        <f>VLOOKUP([2]!Table27[[#This Row],[Location 
(drop-down)]],'[2]List source'!D$2:E$59,2,FALSE)</f>
        <v>#VALUE!</v>
      </c>
      <c r="C1986" s="99" t="s">
        <v>5565</v>
      </c>
      <c r="D1986" s="100" t="e">
        <f t="shared" ref="D1986:D2049" si="63">"PTO" &amp; C1986 &amp; "-" &amp; B1986 &amp; "-" &amp; "23"</f>
        <v>#VALUE!</v>
      </c>
      <c r="E1986" s="64" t="s">
        <v>5566</v>
      </c>
      <c r="F1986" s="66" t="s">
        <v>3068</v>
      </c>
      <c r="G19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6" s="66">
        <v>2.08</v>
      </c>
      <c r="I1986" s="67">
        <v>45841</v>
      </c>
      <c r="J1986" s="67" t="s">
        <v>34</v>
      </c>
      <c r="K1986" s="68">
        <v>45841</v>
      </c>
      <c r="L1986" s="69" t="s">
        <v>1671</v>
      </c>
      <c r="M1986" s="66" t="str">
        <f t="shared" ca="1" si="62"/>
        <v>CLOSED</v>
      </c>
    </row>
    <row r="1987" spans="1:13" ht="30">
      <c r="A1987" s="64" t="s">
        <v>399</v>
      </c>
      <c r="B1987" s="98" t="e">
        <f>VLOOKUP([2]!Table27[[#This Row],[Location 
(drop-down)]],'[2]List source'!D$2:E$59,2,FALSE)</f>
        <v>#VALUE!</v>
      </c>
      <c r="C1987" s="99" t="s">
        <v>5567</v>
      </c>
      <c r="D1987" s="100" t="e">
        <f t="shared" si="63"/>
        <v>#VALUE!</v>
      </c>
      <c r="E1987" s="64" t="s">
        <v>5568</v>
      </c>
      <c r="F1987" s="66" t="s">
        <v>3068</v>
      </c>
      <c r="G19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7" s="110" t="s">
        <v>5569</v>
      </c>
      <c r="I1987" s="67">
        <v>45841</v>
      </c>
      <c r="J1987" s="67"/>
      <c r="K1987" s="68"/>
      <c r="L1987" s="69"/>
      <c r="M1987" s="66">
        <f t="shared" ca="1" si="62"/>
        <v>237</v>
      </c>
    </row>
    <row r="1988" spans="1:13" ht="45">
      <c r="A1988" s="64" t="s">
        <v>399</v>
      </c>
      <c r="B1988" s="98" t="e">
        <f>VLOOKUP([2]!Table27[[#This Row],[Location 
(drop-down)]],'[2]List source'!D$2:E$59,2,FALSE)</f>
        <v>#VALUE!</v>
      </c>
      <c r="C1988" s="99" t="s">
        <v>5570</v>
      </c>
      <c r="D1988" s="100" t="e">
        <f t="shared" si="63"/>
        <v>#VALUE!</v>
      </c>
      <c r="E1988" s="64" t="s">
        <v>5571</v>
      </c>
      <c r="F1988" s="66" t="s">
        <v>3068</v>
      </c>
      <c r="G19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8" s="110" t="s">
        <v>5572</v>
      </c>
      <c r="I1988" s="67">
        <v>45841</v>
      </c>
      <c r="J1988" s="67"/>
      <c r="K1988" s="68"/>
      <c r="L1988" s="69"/>
      <c r="M1988" s="66">
        <f t="shared" ca="1" si="62"/>
        <v>237</v>
      </c>
    </row>
    <row r="1989" spans="1:13" ht="45">
      <c r="A1989" s="64" t="s">
        <v>125</v>
      </c>
      <c r="B1989" s="98" t="e">
        <f>VLOOKUP([2]!Table27[[#This Row],[Location 
(drop-down)]],'[2]List source'!D$2:E$59,2,FALSE)</f>
        <v>#VALUE!</v>
      </c>
      <c r="C1989" s="99" t="s">
        <v>5573</v>
      </c>
      <c r="D1989" s="100" t="e">
        <f t="shared" si="63"/>
        <v>#VALUE!</v>
      </c>
      <c r="E1989" s="64" t="s">
        <v>5574</v>
      </c>
      <c r="F1989" s="66" t="s">
        <v>2274</v>
      </c>
      <c r="G19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89" s="110" t="s">
        <v>5575</v>
      </c>
      <c r="I1989" s="67">
        <v>45841</v>
      </c>
      <c r="J1989" s="67" t="s">
        <v>34</v>
      </c>
      <c r="K1989" s="68">
        <v>45903</v>
      </c>
      <c r="L1989" s="69" t="s">
        <v>1505</v>
      </c>
      <c r="M1989" s="66" t="str">
        <f t="shared" ca="1" si="62"/>
        <v>CLOSED</v>
      </c>
    </row>
    <row r="1990" spans="1:13" ht="90">
      <c r="A1990" s="64" t="s">
        <v>125</v>
      </c>
      <c r="B1990" s="98" t="e">
        <f>VLOOKUP([2]!Table27[[#This Row],[Location 
(drop-down)]],'[2]List source'!D$2:E$59,2,FALSE)</f>
        <v>#VALUE!</v>
      </c>
      <c r="C1990" s="99" t="s">
        <v>5576</v>
      </c>
      <c r="D1990" s="100" t="e">
        <f t="shared" si="63"/>
        <v>#VALUE!</v>
      </c>
      <c r="E1990" s="64" t="s">
        <v>5577</v>
      </c>
      <c r="F1990" s="66" t="s">
        <v>2274</v>
      </c>
      <c r="G19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0" s="110" t="s">
        <v>2315</v>
      </c>
      <c r="I1990" s="67">
        <v>45841</v>
      </c>
      <c r="J1990" s="67" t="s">
        <v>34</v>
      </c>
      <c r="K1990" s="68">
        <v>45841</v>
      </c>
      <c r="L1990" s="69" t="s">
        <v>1671</v>
      </c>
      <c r="M1990" s="66" t="str">
        <f t="shared" ca="1" si="62"/>
        <v>CLOSED</v>
      </c>
    </row>
    <row r="1991" spans="1:13" ht="90">
      <c r="A1991" s="64" t="s">
        <v>156</v>
      </c>
      <c r="B1991" s="98" t="e">
        <f>VLOOKUP([2]!Table27[[#This Row],[Location 
(drop-down)]],'[2]List source'!D$2:E$59,2,FALSE)</f>
        <v>#VALUE!</v>
      </c>
      <c r="C1991" s="99" t="s">
        <v>5578</v>
      </c>
      <c r="D1991" s="100" t="e">
        <f t="shared" si="63"/>
        <v>#VALUE!</v>
      </c>
      <c r="E1991" s="64" t="s">
        <v>5579</v>
      </c>
      <c r="F1991" s="66" t="e" cm="1" vm="1">
        <f t="array" aca="1" ref="F199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1" s="110" t="s">
        <v>5580</v>
      </c>
      <c r="I1991" s="67">
        <v>45845</v>
      </c>
      <c r="J1991" s="67" t="s">
        <v>34</v>
      </c>
      <c r="K1991" s="68">
        <v>45845</v>
      </c>
      <c r="L1991" s="69" t="s">
        <v>1671</v>
      </c>
      <c r="M1991" s="66" t="str">
        <f t="shared" ca="1" si="62"/>
        <v>CLOSED</v>
      </c>
    </row>
    <row r="1992" spans="1:13" ht="90">
      <c r="A1992" s="64" t="s">
        <v>39</v>
      </c>
      <c r="B1992" s="98" t="e">
        <f>VLOOKUP([2]!Table27[[#This Row],[Location 
(drop-down)]],'[2]List source'!D$2:E$59,2,FALSE)</f>
        <v>#VALUE!</v>
      </c>
      <c r="C1992" s="99" t="s">
        <v>5581</v>
      </c>
      <c r="D1992" s="100" t="e">
        <f t="shared" si="63"/>
        <v>#VALUE!</v>
      </c>
      <c r="E1992" s="64" t="s">
        <v>5582</v>
      </c>
      <c r="F1992" s="66" t="e" cm="1" vm="1">
        <f t="array" aca="1" ref="F199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2" s="66">
        <v>2.08</v>
      </c>
      <c r="I1992" s="67">
        <v>45845</v>
      </c>
      <c r="J1992" s="67" t="s">
        <v>34</v>
      </c>
      <c r="K1992" s="68">
        <v>45845</v>
      </c>
      <c r="L1992" s="69" t="s">
        <v>1671</v>
      </c>
      <c r="M1992" s="66" t="str">
        <f t="shared" ca="1" si="62"/>
        <v>CLOSED</v>
      </c>
    </row>
    <row r="1993" spans="1:13" ht="60">
      <c r="A1993" s="64" t="s">
        <v>39</v>
      </c>
      <c r="B1993" s="98" t="e">
        <f>VLOOKUP([2]!Table27[[#This Row],[Location 
(drop-down)]],'[2]List source'!D$2:E$59,2,FALSE)</f>
        <v>#VALUE!</v>
      </c>
      <c r="C1993" s="99" t="s">
        <v>5583</v>
      </c>
      <c r="D1993" s="100" t="e">
        <f t="shared" si="63"/>
        <v>#VALUE!</v>
      </c>
      <c r="E1993" s="64" t="s">
        <v>5584</v>
      </c>
      <c r="F1993" s="66" t="e" cm="1" vm="1">
        <f t="array" aca="1" ref="F199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3" s="66">
        <v>18.809999999999999</v>
      </c>
      <c r="I1993" s="67">
        <v>45845</v>
      </c>
      <c r="J1993" s="67"/>
      <c r="K1993" s="68"/>
      <c r="L1993" s="69"/>
      <c r="M1993" s="66">
        <f t="shared" ca="1" si="62"/>
        <v>233</v>
      </c>
    </row>
    <row r="1994" spans="1:13" ht="45">
      <c r="A1994" s="64" t="s">
        <v>432</v>
      </c>
      <c r="B1994" s="98" t="e">
        <f>VLOOKUP([2]!Table27[[#This Row],[Location 
(drop-down)]],'[2]List source'!D$2:E$59,2,FALSE)</f>
        <v>#VALUE!</v>
      </c>
      <c r="C1994" s="99" t="s">
        <v>5585</v>
      </c>
      <c r="D1994" s="100" t="e">
        <f t="shared" si="63"/>
        <v>#VALUE!</v>
      </c>
      <c r="E1994" s="64" t="s">
        <v>5586</v>
      </c>
      <c r="F1994" s="66" t="e" cm="1" vm="1">
        <f t="array" aca="1" ref="F199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4" s="66">
        <v>11.63</v>
      </c>
      <c r="I1994" s="67">
        <v>45845</v>
      </c>
      <c r="J1994" s="67" t="s">
        <v>34</v>
      </c>
      <c r="K1994" s="68">
        <v>45846</v>
      </c>
      <c r="L1994" s="69" t="s">
        <v>1505</v>
      </c>
      <c r="M1994" s="66" t="str">
        <f t="shared" ca="1" si="62"/>
        <v>CLOSED</v>
      </c>
    </row>
    <row r="1995" spans="1:13" ht="30">
      <c r="A1995" s="64" t="s">
        <v>432</v>
      </c>
      <c r="B1995" s="98" t="e">
        <f>VLOOKUP([2]!Table27[[#This Row],[Location 
(drop-down)]],'[2]List source'!D$2:E$59,2,FALSE)</f>
        <v>#VALUE!</v>
      </c>
      <c r="C1995" s="99" t="s">
        <v>5587</v>
      </c>
      <c r="D1995" s="100" t="e">
        <f t="shared" si="63"/>
        <v>#VALUE!</v>
      </c>
      <c r="E1995" s="64" t="s">
        <v>5588</v>
      </c>
      <c r="F1995" s="66" t="e" cm="1" vm="1">
        <f t="array" aca="1" ref="F199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5" s="66">
        <v>3.38</v>
      </c>
      <c r="I1995" s="67">
        <v>45845</v>
      </c>
      <c r="J1995" s="67"/>
      <c r="K1995" s="68"/>
      <c r="L1995" s="69"/>
      <c r="M1995" s="66">
        <f t="shared" ca="1" si="62"/>
        <v>233</v>
      </c>
    </row>
    <row r="1996" spans="1:13" ht="30">
      <c r="A1996" s="64" t="s">
        <v>125</v>
      </c>
      <c r="B1996" s="98" t="e">
        <f>VLOOKUP([2]!Table27[[#This Row],[Location 
(drop-down)]],'[2]List source'!D$2:E$59,2,FALSE)</f>
        <v>#VALUE!</v>
      </c>
      <c r="C1996" s="99" t="s">
        <v>5589</v>
      </c>
      <c r="D1996" s="100" t="e">
        <f t="shared" si="63"/>
        <v>#VALUE!</v>
      </c>
      <c r="E1996" s="64" t="s">
        <v>5588</v>
      </c>
      <c r="F1996" s="66" t="e" cm="1" vm="1">
        <f t="array" aca="1" ref="F199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6" s="66">
        <v>3.38</v>
      </c>
      <c r="I1996" s="67">
        <v>45845</v>
      </c>
      <c r="J1996" s="67" t="s">
        <v>34</v>
      </c>
      <c r="K1996" s="68">
        <v>45910</v>
      </c>
      <c r="L1996" s="69"/>
      <c r="M1996" s="66" t="str">
        <f t="shared" ca="1" si="62"/>
        <v>CLOSED</v>
      </c>
    </row>
    <row r="1997" spans="1:13" ht="30">
      <c r="A1997" s="64" t="s">
        <v>119</v>
      </c>
      <c r="B1997" s="98" t="e">
        <f>VLOOKUP([2]!Table27[[#This Row],[Location 
(drop-down)]],'[2]List source'!D$2:E$59,2,FALSE)</f>
        <v>#VALUE!</v>
      </c>
      <c r="C1997" s="99" t="s">
        <v>5590</v>
      </c>
      <c r="D1997" s="100" t="e">
        <f t="shared" si="63"/>
        <v>#VALUE!</v>
      </c>
      <c r="E1997" s="64" t="s">
        <v>5591</v>
      </c>
      <c r="F1997" s="66" t="e" cm="1" vm="1">
        <f t="array" aca="1" ref="F199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7" s="66">
        <v>4.0599999999999996</v>
      </c>
      <c r="I1997" s="67">
        <v>45845</v>
      </c>
      <c r="J1997" s="67" t="s">
        <v>111</v>
      </c>
      <c r="K1997" s="68">
        <v>46006</v>
      </c>
      <c r="L1997" s="69"/>
      <c r="M1997" s="66" t="str">
        <f t="shared" ca="1" si="62"/>
        <v>CLOSED</v>
      </c>
    </row>
    <row r="1998" spans="1:13" ht="45">
      <c r="A1998" s="64" t="s">
        <v>30</v>
      </c>
      <c r="B1998" s="98" t="e">
        <f>VLOOKUP([2]!Table27[[#This Row],[Location 
(drop-down)]],'[2]List source'!D$2:E$59,2,FALSE)</f>
        <v>#VALUE!</v>
      </c>
      <c r="C1998" s="99" t="s">
        <v>5592</v>
      </c>
      <c r="D1998" s="100" t="e">
        <f t="shared" si="63"/>
        <v>#VALUE!</v>
      </c>
      <c r="E1998" s="64" t="s">
        <v>5593</v>
      </c>
      <c r="F1998" s="66" t="e" cm="1" vm="1">
        <f t="array" aca="1" ref="F199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8" s="110" t="s">
        <v>5594</v>
      </c>
      <c r="I1998" s="67">
        <v>45845</v>
      </c>
      <c r="J1998" s="67"/>
      <c r="K1998" s="68">
        <v>45898</v>
      </c>
      <c r="L1998" s="69"/>
      <c r="M1998" s="66" t="str">
        <f t="shared" ca="1" si="62"/>
        <v>CLOSED</v>
      </c>
    </row>
    <row r="1999" spans="1:13" ht="30">
      <c r="A1999" s="64" t="s">
        <v>30</v>
      </c>
      <c r="B1999" s="98" t="e">
        <f>VLOOKUP([2]!Table27[[#This Row],[Location 
(drop-down)]],'[2]List source'!D$2:E$59,2,FALSE)</f>
        <v>#VALUE!</v>
      </c>
      <c r="C1999" s="99" t="s">
        <v>5595</v>
      </c>
      <c r="D1999" s="100" t="e">
        <f t="shared" si="63"/>
        <v>#VALUE!</v>
      </c>
      <c r="E1999" s="124" t="s">
        <v>5596</v>
      </c>
      <c r="F1999" s="66" t="e" cm="1" vm="1">
        <f t="array" aca="1" ref="F199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19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1999" s="167" t="s">
        <v>5597</v>
      </c>
      <c r="I1999" s="67">
        <v>45845</v>
      </c>
      <c r="J1999" s="67" t="s">
        <v>111</v>
      </c>
      <c r="K1999" s="68">
        <v>45922</v>
      </c>
      <c r="L1999" s="69"/>
      <c r="M1999" s="66" t="str">
        <f t="shared" ca="1" si="62"/>
        <v>CLOSED</v>
      </c>
    </row>
    <row r="2000" spans="1:13" ht="90">
      <c r="A2000" s="64" t="s">
        <v>185</v>
      </c>
      <c r="B2000" s="98" t="e">
        <f>VLOOKUP([2]!Table27[[#This Row],[Location 
(drop-down)]],'[2]List source'!D$2:E$59,2,FALSE)</f>
        <v>#VALUE!</v>
      </c>
      <c r="C2000" s="99" t="s">
        <v>5598</v>
      </c>
      <c r="D2000" s="100" t="e">
        <f t="shared" si="63"/>
        <v>#VALUE!</v>
      </c>
      <c r="E2000" s="168" t="s">
        <v>5599</v>
      </c>
      <c r="F2000" s="66" t="e" cm="1" vm="1">
        <f t="array" aca="1" ref="F200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0" s="169" t="s">
        <v>1653</v>
      </c>
      <c r="I2000" s="67">
        <v>45845</v>
      </c>
      <c r="J2000" s="67" t="s">
        <v>34</v>
      </c>
      <c r="K2000" s="68">
        <v>45845</v>
      </c>
      <c r="L2000" s="69" t="s">
        <v>1671</v>
      </c>
      <c r="M2000" s="66" t="str">
        <f t="shared" ca="1" si="62"/>
        <v>CLOSED</v>
      </c>
    </row>
    <row r="2001" spans="1:13" ht="30">
      <c r="A2001" s="64" t="s">
        <v>314</v>
      </c>
      <c r="B2001" s="98" t="e">
        <f>VLOOKUP([2]!Table27[[#This Row],[Location 
(drop-down)]],'[2]List source'!D$2:E$59,2,FALSE)</f>
        <v>#VALUE!</v>
      </c>
      <c r="C2001" s="99" t="s">
        <v>5600</v>
      </c>
      <c r="D2001" s="100" t="e">
        <f t="shared" si="63"/>
        <v>#VALUE!</v>
      </c>
      <c r="E2001" s="97" t="s">
        <v>5601</v>
      </c>
      <c r="F2001" s="66" t="e" cm="1" vm="1">
        <f t="array" aca="1" ref="F200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1" s="102" t="s">
        <v>3000</v>
      </c>
      <c r="I2001" s="67">
        <v>45845</v>
      </c>
      <c r="J2001" s="67" t="s">
        <v>327</v>
      </c>
      <c r="K2001" s="68">
        <v>46049</v>
      </c>
      <c r="L2001" s="69"/>
      <c r="M2001" s="66" t="str">
        <f t="shared" ca="1" si="62"/>
        <v>CLOSED</v>
      </c>
    </row>
    <row r="2002" spans="1:13" ht="45">
      <c r="A2002" s="176" t="s">
        <v>294</v>
      </c>
      <c r="B2002" s="98" t="e">
        <f>VLOOKUP([2]!Table27[[#This Row],[Location 
(drop-down)]],'[2]List source'!D$2:E$59,2,FALSE)</f>
        <v>#VALUE!</v>
      </c>
      <c r="C2002" s="99" t="s">
        <v>5602</v>
      </c>
      <c r="D2002" s="100" t="e">
        <f t="shared" si="63"/>
        <v>#VALUE!</v>
      </c>
      <c r="E2002" s="64" t="s">
        <v>5603</v>
      </c>
      <c r="F2002" s="66" t="e" cm="1" vm="1">
        <f t="array" aca="1" ref="F200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2" s="110" t="s">
        <v>5604</v>
      </c>
      <c r="I2002" s="67">
        <v>45845</v>
      </c>
      <c r="J2002" s="67" t="s">
        <v>327</v>
      </c>
      <c r="K2002" s="68">
        <v>45885</v>
      </c>
      <c r="L2002" s="69"/>
      <c r="M2002" s="66" t="str">
        <f t="shared" ca="1" si="62"/>
        <v>CLOSED</v>
      </c>
    </row>
    <row r="2003" spans="1:13" ht="30">
      <c r="A2003" s="176" t="s">
        <v>294</v>
      </c>
      <c r="B2003" s="98" t="e">
        <f>VLOOKUP([2]!Table27[[#This Row],[Location 
(drop-down)]],'[2]List source'!D$2:E$59,2,FALSE)</f>
        <v>#VALUE!</v>
      </c>
      <c r="C2003" s="99" t="s">
        <v>5605</v>
      </c>
      <c r="D2003" s="100" t="e">
        <f t="shared" si="63"/>
        <v>#VALUE!</v>
      </c>
      <c r="E2003" s="64" t="s">
        <v>5606</v>
      </c>
      <c r="F2003" s="66" t="e" cm="1" vm="1">
        <f t="array" aca="1" ref="F200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3" s="66" t="s">
        <v>1579</v>
      </c>
      <c r="I2003" s="67">
        <v>45845</v>
      </c>
      <c r="J2003" s="67" t="s">
        <v>327</v>
      </c>
      <c r="K2003" s="68">
        <v>46069</v>
      </c>
      <c r="L2003" s="69"/>
      <c r="M2003" s="66" t="str">
        <f t="shared" ca="1" si="62"/>
        <v>CLOSED</v>
      </c>
    </row>
    <row r="2004" spans="1:13" ht="90">
      <c r="A2004" s="64" t="s">
        <v>53</v>
      </c>
      <c r="B2004" s="98" t="e">
        <f>VLOOKUP([2]!Table27[[#This Row],[Location 
(drop-down)]],'[2]List source'!D$2:E$59,2,FALSE)</f>
        <v>#VALUE!</v>
      </c>
      <c r="C2004" s="99" t="s">
        <v>5607</v>
      </c>
      <c r="D2004" s="100" t="e">
        <f t="shared" si="63"/>
        <v>#VALUE!</v>
      </c>
      <c r="E2004" s="64" t="s">
        <v>5608</v>
      </c>
      <c r="F2004" s="66" t="e" cm="1" vm="1">
        <f t="array" aca="1" ref="F200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4" s="66">
        <v>2.5499999999999998</v>
      </c>
      <c r="I2004" s="67">
        <v>45845</v>
      </c>
      <c r="J2004" s="67" t="s">
        <v>34</v>
      </c>
      <c r="K2004" s="68">
        <v>45845</v>
      </c>
      <c r="L2004" s="69" t="s">
        <v>1671</v>
      </c>
      <c r="M2004" s="66" t="str">
        <f t="shared" ca="1" si="62"/>
        <v>CLOSED</v>
      </c>
    </row>
    <row r="2005" spans="1:13" ht="90">
      <c r="A2005" s="64" t="s">
        <v>500</v>
      </c>
      <c r="B2005" s="98" t="e">
        <f>VLOOKUP([2]!Table27[[#This Row],[Location 
(drop-down)]],'[2]List source'!D$2:E$59,2,FALSE)</f>
        <v>#VALUE!</v>
      </c>
      <c r="C2005" s="99" t="s">
        <v>5609</v>
      </c>
      <c r="D2005" s="100" t="e">
        <f t="shared" si="63"/>
        <v>#VALUE!</v>
      </c>
      <c r="E2005" s="64" t="s">
        <v>5610</v>
      </c>
      <c r="F2005" s="66" t="e" cm="1" vm="1">
        <f t="array" aca="1" ref="F200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5" s="110">
        <v>2.61</v>
      </c>
      <c r="I2005" s="67">
        <v>45845</v>
      </c>
      <c r="J2005" s="67" t="s">
        <v>34</v>
      </c>
      <c r="K2005" s="68">
        <v>45845</v>
      </c>
      <c r="L2005" s="69" t="s">
        <v>1671</v>
      </c>
      <c r="M2005" s="66" t="str">
        <f t="shared" ca="1" si="62"/>
        <v>CLOSED</v>
      </c>
    </row>
    <row r="2006" spans="1:13" ht="30">
      <c r="A2006" s="64" t="s">
        <v>202</v>
      </c>
      <c r="B2006" s="98" t="e">
        <f>VLOOKUP([2]!Table27[[#This Row],[Location 
(drop-down)]],'[2]List source'!D$2:E$59,2,FALSE)</f>
        <v>#VALUE!</v>
      </c>
      <c r="C2006" s="99" t="s">
        <v>5611</v>
      </c>
      <c r="D2006" s="100" t="e">
        <f t="shared" si="63"/>
        <v>#VALUE!</v>
      </c>
      <c r="E2006" s="64" t="s">
        <v>5612</v>
      </c>
      <c r="F2006" s="66" t="e" cm="1" vm="1">
        <f t="array" aca="1" ref="F200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6" s="66">
        <v>4.2</v>
      </c>
      <c r="I2006" s="67">
        <v>45845</v>
      </c>
      <c r="J2006" s="67"/>
      <c r="K2006" s="68"/>
      <c r="L2006" s="69"/>
      <c r="M2006" s="66">
        <f t="shared" ca="1" si="62"/>
        <v>233</v>
      </c>
    </row>
    <row r="2007" spans="1:13" ht="30">
      <c r="A2007" s="64" t="s">
        <v>202</v>
      </c>
      <c r="B2007" s="98" t="e">
        <f>VLOOKUP([2]!Table27[[#This Row],[Location 
(drop-down)]],'[2]List source'!D$2:E$59,2,FALSE)</f>
        <v>#VALUE!</v>
      </c>
      <c r="C2007" s="99" t="s">
        <v>5613</v>
      </c>
      <c r="D2007" s="100" t="e">
        <f t="shared" si="63"/>
        <v>#VALUE!</v>
      </c>
      <c r="E2007" s="64" t="s">
        <v>5614</v>
      </c>
      <c r="F2007" s="66" t="e" cm="1" vm="1">
        <f t="array" aca="1" ref="F20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7" s="66">
        <v>2.25</v>
      </c>
      <c r="I2007" s="67">
        <v>45845</v>
      </c>
      <c r="J2007" s="67"/>
      <c r="K2007" s="68"/>
      <c r="L2007" s="69"/>
      <c r="M2007" s="66">
        <f t="shared" ca="1" si="62"/>
        <v>233</v>
      </c>
    </row>
    <row r="2008" spans="1:13" ht="30">
      <c r="A2008" s="64" t="s">
        <v>15</v>
      </c>
      <c r="B2008" s="98" t="e">
        <f>VLOOKUP([2]!Table27[[#This Row],[Location 
(drop-down)]],'[2]List source'!D$2:E$59,2,FALSE)</f>
        <v>#VALUE!</v>
      </c>
      <c r="C2008" s="99" t="s">
        <v>5615</v>
      </c>
      <c r="D2008" s="100" t="e">
        <f t="shared" si="63"/>
        <v>#VALUE!</v>
      </c>
      <c r="E2008" s="64" t="s">
        <v>5616</v>
      </c>
      <c r="F2008" s="66" t="e" cm="1" vm="1">
        <f t="array" aca="1" ref="F200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8" s="110" t="s">
        <v>5617</v>
      </c>
      <c r="I2008" s="67">
        <v>45845</v>
      </c>
      <c r="J2008" s="67" t="s">
        <v>21</v>
      </c>
      <c r="K2008" s="68">
        <v>46043</v>
      </c>
      <c r="L2008" s="69"/>
      <c r="M2008" s="66" t="str">
        <f t="shared" ca="1" si="62"/>
        <v>CLOSED</v>
      </c>
    </row>
    <row r="2009" spans="1:13" ht="30">
      <c r="A2009" s="64" t="s">
        <v>15</v>
      </c>
      <c r="B2009" s="98" t="e">
        <f>VLOOKUP([2]!Table27[[#This Row],[Location 
(drop-down)]],'[2]List source'!D$2:E$59,2,FALSE)</f>
        <v>#VALUE!</v>
      </c>
      <c r="C2009" s="99" t="s">
        <v>5618</v>
      </c>
      <c r="D2009" s="100" t="e">
        <f t="shared" si="63"/>
        <v>#VALUE!</v>
      </c>
      <c r="E2009" s="64" t="s">
        <v>5619</v>
      </c>
      <c r="F2009" s="66" t="e" cm="1" vm="1">
        <f t="array" aca="1" ref="F20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0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09" s="110" t="s">
        <v>5620</v>
      </c>
      <c r="I2009" s="67">
        <v>45845</v>
      </c>
      <c r="J2009" s="67" t="s">
        <v>21</v>
      </c>
      <c r="K2009" s="68">
        <v>45957</v>
      </c>
      <c r="L2009" s="69"/>
      <c r="M2009" s="66" t="str">
        <f t="shared" ca="1" si="62"/>
        <v>CLOSED</v>
      </c>
    </row>
    <row r="2010" spans="1:13" ht="90">
      <c r="A2010" s="64" t="s">
        <v>714</v>
      </c>
      <c r="B2010" s="98" t="e">
        <f>VLOOKUP([2]!Table27[[#This Row],[Location 
(drop-down)]],'[2]List source'!D$2:E$59,2,FALSE)</f>
        <v>#VALUE!</v>
      </c>
      <c r="C2010" s="99" t="s">
        <v>5621</v>
      </c>
      <c r="D2010" s="100" t="e">
        <f t="shared" si="63"/>
        <v>#VALUE!</v>
      </c>
      <c r="E2010" s="64" t="s">
        <v>5622</v>
      </c>
      <c r="F2010" s="66" t="e" cm="1" vm="1">
        <f t="array" aca="1" ref="F201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10" s="110" t="s">
        <v>4017</v>
      </c>
      <c r="I2010" s="67">
        <v>45845</v>
      </c>
      <c r="J2010" s="67" t="s">
        <v>34</v>
      </c>
      <c r="K2010" s="68">
        <v>45845</v>
      </c>
      <c r="L2010" s="69" t="s">
        <v>1671</v>
      </c>
      <c r="M2010" s="66" t="str">
        <f t="shared" ca="1" si="62"/>
        <v>CLOSED</v>
      </c>
    </row>
    <row r="2011" spans="1:13" ht="90">
      <c r="A2011" s="64" t="s">
        <v>125</v>
      </c>
      <c r="B2011" s="98" t="e">
        <f>VLOOKUP([2]!Table27[[#This Row],[Location 
(drop-down)]],'[2]List source'!D$2:E$59,2,FALSE)</f>
        <v>#VALUE!</v>
      </c>
      <c r="C2011" s="99" t="s">
        <v>5623</v>
      </c>
      <c r="D2011" s="100" t="e">
        <f t="shared" si="63"/>
        <v>#VALUE!</v>
      </c>
      <c r="E2011" s="64" t="s">
        <v>5624</v>
      </c>
      <c r="F2011" s="66" t="s">
        <v>2269</v>
      </c>
      <c r="G20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11" s="66">
        <v>2.16</v>
      </c>
      <c r="I2011" s="67">
        <v>45846</v>
      </c>
      <c r="J2011" s="67" t="s">
        <v>34</v>
      </c>
      <c r="K2011" s="68">
        <v>45846</v>
      </c>
      <c r="L2011" s="69" t="s">
        <v>1671</v>
      </c>
      <c r="M2011" s="66" t="str">
        <f t="shared" ca="1" si="62"/>
        <v>CLOSED</v>
      </c>
    </row>
    <row r="2012" spans="1:13" ht="105">
      <c r="A2012" s="64" t="s">
        <v>30</v>
      </c>
      <c r="B2012" s="98" t="e">
        <f>VLOOKUP([2]!Table27[[#This Row],[Location 
(drop-down)]],'[2]List source'!D$2:E$59,2,FALSE)</f>
        <v>#VALUE!</v>
      </c>
      <c r="C2012" s="99" t="s">
        <v>5625</v>
      </c>
      <c r="D2012" s="100" t="e">
        <f t="shared" si="63"/>
        <v>#VALUE!</v>
      </c>
      <c r="E2012" s="64" t="s">
        <v>5626</v>
      </c>
      <c r="F2012" s="66" t="s">
        <v>2269</v>
      </c>
      <c r="G20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12" s="110" t="s">
        <v>2596</v>
      </c>
      <c r="I2012" s="67">
        <v>45846</v>
      </c>
      <c r="J2012" s="67" t="s">
        <v>111</v>
      </c>
      <c r="K2012" s="68">
        <v>46070</v>
      </c>
      <c r="L2012" s="69" t="s">
        <v>5627</v>
      </c>
      <c r="M2012" s="66" t="str">
        <f t="shared" ca="1" si="62"/>
        <v>CLOSED</v>
      </c>
    </row>
    <row r="2013" spans="1:13" ht="90">
      <c r="A2013" s="64" t="s">
        <v>15</v>
      </c>
      <c r="B2013" s="98" t="e">
        <f>VLOOKUP([2]!Table27[[#This Row],[Location 
(drop-down)]],'[2]List source'!D$2:E$59,2,FALSE)</f>
        <v>#VALUE!</v>
      </c>
      <c r="C2013" s="99" t="s">
        <v>5628</v>
      </c>
      <c r="D2013" s="100" t="e">
        <f t="shared" si="63"/>
        <v>#VALUE!</v>
      </c>
      <c r="E2013" s="64" t="s">
        <v>5629</v>
      </c>
      <c r="F2013" s="66" t="s">
        <v>3068</v>
      </c>
      <c r="G2013" s="64" t="s">
        <v>5630</v>
      </c>
      <c r="H2013" s="66">
        <v>2.16</v>
      </c>
      <c r="I2013" s="67">
        <v>45846</v>
      </c>
      <c r="J2013" s="67" t="s">
        <v>34</v>
      </c>
      <c r="K2013" s="68">
        <v>45846</v>
      </c>
      <c r="L2013" s="69" t="s">
        <v>1671</v>
      </c>
      <c r="M2013" s="66" t="str">
        <f t="shared" ca="1" si="62"/>
        <v>CLOSED</v>
      </c>
    </row>
    <row r="2014" spans="1:13" ht="45">
      <c r="A2014" s="64" t="s">
        <v>399</v>
      </c>
      <c r="B2014" s="98" t="e">
        <f>VLOOKUP([2]!Table27[[#This Row],[Location 
(drop-down)]],'[2]List source'!D$2:E$59,2,FALSE)</f>
        <v>#VALUE!</v>
      </c>
      <c r="C2014" s="99" t="s">
        <v>5631</v>
      </c>
      <c r="D2014" s="100" t="e">
        <f t="shared" si="63"/>
        <v>#VALUE!</v>
      </c>
      <c r="E2014" s="64" t="s">
        <v>5632</v>
      </c>
      <c r="F2014" s="66" t="s">
        <v>3068</v>
      </c>
      <c r="G201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14" s="110" t="s">
        <v>5633</v>
      </c>
      <c r="I2014" s="67">
        <v>45846</v>
      </c>
      <c r="J2014" s="67" t="s">
        <v>34</v>
      </c>
      <c r="K2014" s="68">
        <v>45846</v>
      </c>
      <c r="L2014" s="69" t="s">
        <v>1837</v>
      </c>
      <c r="M2014" s="66" t="str">
        <f t="shared" ca="1" si="62"/>
        <v>CLOSED</v>
      </c>
    </row>
    <row r="2015" spans="1:13" ht="90">
      <c r="A2015" s="64" t="s">
        <v>15</v>
      </c>
      <c r="B2015" s="98" t="e">
        <f>VLOOKUP([2]!Table27[[#This Row],[Location 
(drop-down)]],'[2]List source'!D$2:E$59,2,FALSE)</f>
        <v>#VALUE!</v>
      </c>
      <c r="C2015" s="99" t="s">
        <v>5634</v>
      </c>
      <c r="D2015" s="100" t="e">
        <f t="shared" si="63"/>
        <v>#VALUE!</v>
      </c>
      <c r="E2015" s="64" t="s">
        <v>5635</v>
      </c>
      <c r="F2015" s="66" t="s">
        <v>2160</v>
      </c>
      <c r="G20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15" s="66">
        <v>2.04</v>
      </c>
      <c r="I2015" s="67">
        <v>45846</v>
      </c>
      <c r="J2015" s="67" t="s">
        <v>34</v>
      </c>
      <c r="K2015" s="68">
        <v>45846</v>
      </c>
      <c r="L2015" s="69" t="s">
        <v>1671</v>
      </c>
      <c r="M2015" s="66" t="str">
        <f t="shared" ref="M2015:M2078" ca="1" si="64">IF(ISBLANK(K2015), TODAY()-(I2015), "CLOSED")</f>
        <v>CLOSED</v>
      </c>
    </row>
    <row r="2016" spans="1:13" ht="90">
      <c r="A2016" s="64" t="s">
        <v>30</v>
      </c>
      <c r="B2016" s="98" t="e">
        <f>VLOOKUP([2]!Table27[[#This Row],[Location 
(drop-down)]],'[2]List source'!D$2:E$59,2,FALSE)</f>
        <v>#VALUE!</v>
      </c>
      <c r="C2016" s="99" t="s">
        <v>5636</v>
      </c>
      <c r="D2016" s="100" t="e">
        <f t="shared" si="63"/>
        <v>#VALUE!</v>
      </c>
      <c r="E2016" s="64" t="s">
        <v>5637</v>
      </c>
      <c r="F2016" s="66" t="s">
        <v>2269</v>
      </c>
      <c r="G20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16" s="66">
        <v>2.21</v>
      </c>
      <c r="I2016" s="67">
        <v>45846</v>
      </c>
      <c r="J2016" s="67" t="s">
        <v>34</v>
      </c>
      <c r="K2016" s="68">
        <v>45846</v>
      </c>
      <c r="L2016" s="69" t="s">
        <v>1671</v>
      </c>
      <c r="M2016" s="66" t="str">
        <f t="shared" ca="1" si="64"/>
        <v>CLOSED</v>
      </c>
    </row>
    <row r="2017" spans="1:13" ht="90">
      <c r="A2017" s="64" t="s">
        <v>1334</v>
      </c>
      <c r="B2017" s="98" t="e">
        <f>VLOOKUP([2]!Table27[[#This Row],[Location 
(drop-down)]],'[2]List source'!D$2:E$59,2,FALSE)</f>
        <v>#VALUE!</v>
      </c>
      <c r="C2017" s="99" t="s">
        <v>5638</v>
      </c>
      <c r="D2017" s="100" t="e">
        <f t="shared" si="63"/>
        <v>#VALUE!</v>
      </c>
      <c r="E2017" s="64" t="s">
        <v>5639</v>
      </c>
      <c r="F2017" s="66" t="e" cm="1" vm="1">
        <f t="array" aca="1" ref="F201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17" s="110" t="s">
        <v>5640</v>
      </c>
      <c r="I2017" s="67">
        <v>45847</v>
      </c>
      <c r="J2017" s="67" t="s">
        <v>34</v>
      </c>
      <c r="K2017" s="68">
        <v>45847</v>
      </c>
      <c r="L2017" s="69" t="s">
        <v>1671</v>
      </c>
      <c r="M2017" s="66" t="str">
        <f t="shared" ca="1" si="64"/>
        <v>CLOSED</v>
      </c>
    </row>
    <row r="2018" spans="1:13" ht="60">
      <c r="A2018" s="64" t="s">
        <v>39</v>
      </c>
      <c r="B2018" s="98" t="e">
        <f>VLOOKUP([2]!Table27[[#This Row],[Location 
(drop-down)]],'[2]List source'!D$2:E$59,2,FALSE)</f>
        <v>#VALUE!</v>
      </c>
      <c r="C2018" s="99" t="s">
        <v>5641</v>
      </c>
      <c r="D2018" s="100" t="e">
        <f t="shared" si="63"/>
        <v>#VALUE!</v>
      </c>
      <c r="E2018" s="124" t="s">
        <v>5642</v>
      </c>
      <c r="F2018" s="66" t="e" cm="1" vm="1">
        <f t="array" aca="1" ref="F201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18" s="167" t="s">
        <v>5643</v>
      </c>
      <c r="I2018" s="67">
        <v>45847</v>
      </c>
      <c r="J2018" s="67" t="s">
        <v>130</v>
      </c>
      <c r="K2018" s="170">
        <v>45880</v>
      </c>
      <c r="L2018" s="446"/>
      <c r="M2018" s="66" t="str">
        <f t="shared" ca="1" si="64"/>
        <v>CLOSED</v>
      </c>
    </row>
    <row r="2019" spans="1:13" ht="90">
      <c r="A2019" s="64" t="s">
        <v>39</v>
      </c>
      <c r="B2019" s="98" t="e">
        <f>VLOOKUP([2]!Table27[[#This Row],[Location 
(drop-down)]],'[2]List source'!D$2:E$59,2,FALSE)</f>
        <v>#VALUE!</v>
      </c>
      <c r="C2019" s="99" t="s">
        <v>5644</v>
      </c>
      <c r="D2019" s="100" t="e">
        <f t="shared" si="63"/>
        <v>#VALUE!</v>
      </c>
      <c r="E2019" s="64" t="s">
        <v>5645</v>
      </c>
      <c r="F2019" s="66" t="e" cm="1" vm="1">
        <f t="array" aca="1" ref="F201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19" s="110" t="s">
        <v>2857</v>
      </c>
      <c r="I2019" s="67">
        <v>45847</v>
      </c>
      <c r="J2019" s="67" t="s">
        <v>34</v>
      </c>
      <c r="K2019" s="68">
        <v>45847</v>
      </c>
      <c r="L2019" s="69" t="s">
        <v>1671</v>
      </c>
      <c r="M2019" s="66" t="str">
        <f t="shared" ca="1" si="64"/>
        <v>CLOSED</v>
      </c>
    </row>
    <row r="2020" spans="1:13" ht="45">
      <c r="A2020" s="64" t="s">
        <v>462</v>
      </c>
      <c r="B2020" s="98" t="e">
        <f>VLOOKUP([2]!Table27[[#This Row],[Location 
(drop-down)]],'[2]List source'!D$2:E$59,2,FALSE)</f>
        <v>#VALUE!</v>
      </c>
      <c r="C2020" s="99" t="s">
        <v>5646</v>
      </c>
      <c r="D2020" s="100" t="e">
        <f t="shared" si="63"/>
        <v>#VALUE!</v>
      </c>
      <c r="E2020" s="64" t="s">
        <v>5647</v>
      </c>
      <c r="F2020" s="66" t="e" cm="1" vm="1">
        <f t="array" aca="1" ref="F202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0" s="110" t="s">
        <v>4171</v>
      </c>
      <c r="I2020" s="67">
        <v>45847</v>
      </c>
      <c r="J2020" s="67" t="s">
        <v>34</v>
      </c>
      <c r="K2020" s="68">
        <v>45867</v>
      </c>
      <c r="L2020" s="69" t="s">
        <v>1505</v>
      </c>
      <c r="M2020" s="66" t="str">
        <f t="shared" ca="1" si="64"/>
        <v>CLOSED</v>
      </c>
    </row>
    <row r="2021" spans="1:13" ht="45">
      <c r="A2021" s="64" t="s">
        <v>462</v>
      </c>
      <c r="B2021" s="98" t="e">
        <f>VLOOKUP([2]!Table27[[#This Row],[Location 
(drop-down)]],'[2]List source'!D$2:E$59,2,FALSE)</f>
        <v>#VALUE!</v>
      </c>
      <c r="C2021" s="99" t="s">
        <v>5648</v>
      </c>
      <c r="D2021" s="100" t="e">
        <f t="shared" si="63"/>
        <v>#VALUE!</v>
      </c>
      <c r="E2021" s="64" t="s">
        <v>5649</v>
      </c>
      <c r="F2021" s="66" t="e" cm="1" vm="1">
        <f t="array" aca="1" ref="F202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1" s="110" t="s">
        <v>5650</v>
      </c>
      <c r="I2021" s="67">
        <v>45847</v>
      </c>
      <c r="J2021" s="67" t="s">
        <v>34</v>
      </c>
      <c r="K2021" s="68">
        <v>45867</v>
      </c>
      <c r="L2021" s="69" t="s">
        <v>1505</v>
      </c>
      <c r="M2021" s="66" t="str">
        <f t="shared" ca="1" si="64"/>
        <v>CLOSED</v>
      </c>
    </row>
    <row r="2022" spans="1:13" ht="45">
      <c r="A2022" s="64" t="s">
        <v>462</v>
      </c>
      <c r="B2022" s="98" t="e">
        <f>VLOOKUP([2]!Table27[[#This Row],[Location 
(drop-down)]],'[2]List source'!D$2:E$59,2,FALSE)</f>
        <v>#VALUE!</v>
      </c>
      <c r="C2022" s="99" t="s">
        <v>5651</v>
      </c>
      <c r="D2022" s="100" t="e">
        <f t="shared" si="63"/>
        <v>#VALUE!</v>
      </c>
      <c r="E2022" s="64" t="s">
        <v>5652</v>
      </c>
      <c r="F2022" s="66" t="e" cm="1" vm="1">
        <f t="array" aca="1" ref="F202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2" s="110" t="s">
        <v>5653</v>
      </c>
      <c r="I2022" s="67">
        <v>45847</v>
      </c>
      <c r="J2022" s="67" t="s">
        <v>34</v>
      </c>
      <c r="K2022" s="68">
        <v>45867</v>
      </c>
      <c r="L2022" s="69" t="s">
        <v>1505</v>
      </c>
      <c r="M2022" s="66" t="str">
        <f t="shared" ca="1" si="64"/>
        <v>CLOSED</v>
      </c>
    </row>
    <row r="2023" spans="1:13" ht="30">
      <c r="A2023" s="64" t="s">
        <v>462</v>
      </c>
      <c r="B2023" s="98" t="e">
        <f>VLOOKUP([2]!Table27[[#This Row],[Location 
(drop-down)]],'[2]List source'!D$2:E$59,2,FALSE)</f>
        <v>#VALUE!</v>
      </c>
      <c r="C2023" s="99" t="s">
        <v>5654</v>
      </c>
      <c r="D2023" s="100" t="e">
        <f t="shared" si="63"/>
        <v>#VALUE!</v>
      </c>
      <c r="E2023" s="64" t="s">
        <v>5655</v>
      </c>
      <c r="F2023" s="66" t="e" cm="1" vm="1">
        <f t="array" aca="1" ref="F202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3" s="66">
        <v>4.1900000000000004</v>
      </c>
      <c r="I2023" s="67">
        <v>45847</v>
      </c>
      <c r="J2023" s="67" t="s">
        <v>108</v>
      </c>
      <c r="K2023" s="68">
        <v>45931</v>
      </c>
      <c r="L2023" s="69"/>
      <c r="M2023" s="66" t="str">
        <f t="shared" ca="1" si="64"/>
        <v>CLOSED</v>
      </c>
    </row>
    <row r="2024" spans="1:13" ht="90">
      <c r="A2024" s="64" t="s">
        <v>125</v>
      </c>
      <c r="B2024" s="98" t="e">
        <f>VLOOKUP([2]!Table27[[#This Row],[Location 
(drop-down)]],'[2]List source'!D$2:E$59,2,FALSE)</f>
        <v>#VALUE!</v>
      </c>
      <c r="C2024" s="99" t="s">
        <v>5656</v>
      </c>
      <c r="D2024" s="100" t="e">
        <f t="shared" si="63"/>
        <v>#VALUE!</v>
      </c>
      <c r="E2024" s="64" t="s">
        <v>5657</v>
      </c>
      <c r="F2024" s="66" t="e" cm="1" vm="1">
        <f t="array" aca="1" ref="F202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4" s="110">
        <v>2.59</v>
      </c>
      <c r="I2024" s="67">
        <v>45847</v>
      </c>
      <c r="J2024" s="67" t="s">
        <v>34</v>
      </c>
      <c r="K2024" s="68">
        <v>45847</v>
      </c>
      <c r="L2024" s="69" t="s">
        <v>1671</v>
      </c>
      <c r="M2024" s="66" t="str">
        <f t="shared" ca="1" si="64"/>
        <v>CLOSED</v>
      </c>
    </row>
    <row r="2025" spans="1:13" ht="90">
      <c r="A2025" s="64" t="s">
        <v>119</v>
      </c>
      <c r="B2025" s="98" t="e">
        <f>VLOOKUP([2]!Table27[[#This Row],[Location 
(drop-down)]],'[2]List source'!D$2:E$59,2,FALSE)</f>
        <v>#VALUE!</v>
      </c>
      <c r="C2025" s="99" t="s">
        <v>5658</v>
      </c>
      <c r="D2025" s="100" t="e">
        <f t="shared" si="63"/>
        <v>#VALUE!</v>
      </c>
      <c r="E2025" s="64" t="s">
        <v>5659</v>
      </c>
      <c r="F2025" s="66" t="e" cm="1" vm="1">
        <f t="array" aca="1" ref="F202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5" s="66" t="s">
        <v>5660</v>
      </c>
      <c r="I2025" s="67">
        <v>45847</v>
      </c>
      <c r="J2025" s="67" t="s">
        <v>34</v>
      </c>
      <c r="K2025" s="68">
        <v>45847</v>
      </c>
      <c r="L2025" s="69" t="s">
        <v>1671</v>
      </c>
      <c r="M2025" s="66" t="str">
        <f t="shared" ca="1" si="64"/>
        <v>CLOSED</v>
      </c>
    </row>
    <row r="2026" spans="1:13" ht="30">
      <c r="A2026" s="64" t="s">
        <v>119</v>
      </c>
      <c r="B2026" s="98" t="e">
        <f>VLOOKUP([2]!Table27[[#This Row],[Location 
(drop-down)]],'[2]List source'!D$2:E$59,2,FALSE)</f>
        <v>#VALUE!</v>
      </c>
      <c r="C2026" s="99" t="s">
        <v>5661</v>
      </c>
      <c r="D2026" s="100" t="e">
        <f t="shared" si="63"/>
        <v>#VALUE!</v>
      </c>
      <c r="E2026" s="64" t="s">
        <v>5662</v>
      </c>
      <c r="F2026" s="66" t="e" cm="1" vm="1">
        <f t="array" aca="1" ref="F202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6" s="66">
        <v>9.1199999999999992</v>
      </c>
      <c r="I2026" s="67">
        <v>45847</v>
      </c>
      <c r="J2026" s="67" t="s">
        <v>111</v>
      </c>
      <c r="K2026" s="68">
        <v>45971</v>
      </c>
      <c r="L2026" s="69"/>
      <c r="M2026" s="66" t="str">
        <f t="shared" ca="1" si="64"/>
        <v>CLOSED</v>
      </c>
    </row>
    <row r="2027" spans="1:13" ht="30">
      <c r="A2027" s="64" t="s">
        <v>30</v>
      </c>
      <c r="B2027" s="98" t="e">
        <f>VLOOKUP([2]!Table27[[#This Row],[Location 
(drop-down)]],'[2]List source'!D$2:E$59,2,FALSE)</f>
        <v>#VALUE!</v>
      </c>
      <c r="C2027" s="99" t="s">
        <v>5663</v>
      </c>
      <c r="D2027" s="100" t="e">
        <f t="shared" si="63"/>
        <v>#VALUE!</v>
      </c>
      <c r="E2027" s="124" t="s">
        <v>5664</v>
      </c>
      <c r="F2027" s="66" t="e" cm="1" vm="1">
        <f t="array" aca="1" ref="F202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7" s="135">
        <v>2.48</v>
      </c>
      <c r="I2027" s="67">
        <v>45847</v>
      </c>
      <c r="J2027" s="67"/>
      <c r="K2027" s="68"/>
      <c r="L2027" s="69"/>
      <c r="M2027" s="66">
        <f t="shared" ca="1" si="64"/>
        <v>231</v>
      </c>
    </row>
    <row r="2028" spans="1:13" ht="30">
      <c r="A2028" s="64" t="s">
        <v>30</v>
      </c>
      <c r="B2028" s="98" t="e">
        <f>VLOOKUP([2]!Table27[[#This Row],[Location 
(drop-down)]],'[2]List source'!D$2:E$59,2,FALSE)</f>
        <v>#VALUE!</v>
      </c>
      <c r="C2028" s="99" t="s">
        <v>5665</v>
      </c>
      <c r="D2028" s="100" t="e">
        <f t="shared" si="63"/>
        <v>#VALUE!</v>
      </c>
      <c r="E2028" s="171" t="s">
        <v>5666</v>
      </c>
      <c r="F2028" s="66" t="e" cm="1" vm="1">
        <f t="array" aca="1" ref="F202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8" s="172">
        <v>2.13</v>
      </c>
      <c r="I2028" s="67">
        <v>45847</v>
      </c>
      <c r="J2028" s="67"/>
      <c r="K2028" s="68"/>
      <c r="L2028" s="69"/>
      <c r="M2028" s="66">
        <f t="shared" ca="1" si="64"/>
        <v>231</v>
      </c>
    </row>
    <row r="2029" spans="1:13" ht="30">
      <c r="A2029" s="64" t="s">
        <v>103</v>
      </c>
      <c r="B2029" s="98" t="e">
        <f>VLOOKUP([2]!Table27[[#This Row],[Location 
(drop-down)]],'[2]List source'!D$2:E$59,2,FALSE)</f>
        <v>#VALUE!</v>
      </c>
      <c r="C2029" s="99" t="s">
        <v>5667</v>
      </c>
      <c r="D2029" s="100" t="e">
        <f t="shared" si="63"/>
        <v>#VALUE!</v>
      </c>
      <c r="E2029" s="97" t="s">
        <v>5668</v>
      </c>
      <c r="F2029" s="66" t="e" cm="1" vm="1">
        <f t="array" aca="1" ref="F202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29" s="102" t="s">
        <v>2042</v>
      </c>
      <c r="I2029" s="67">
        <v>45847</v>
      </c>
      <c r="J2029" s="67" t="s">
        <v>310</v>
      </c>
      <c r="K2029" s="68">
        <v>45931</v>
      </c>
      <c r="L2029" s="69"/>
      <c r="M2029" s="66" t="str">
        <f t="shared" ca="1" si="64"/>
        <v>CLOSED</v>
      </c>
    </row>
    <row r="2030" spans="1:13" ht="30">
      <c r="A2030" s="64" t="s">
        <v>80</v>
      </c>
      <c r="B2030" s="98" t="e">
        <f>VLOOKUP([2]!Table27[[#This Row],[Location 
(drop-down)]],'[2]List source'!D$2:E$59,2,FALSE)</f>
        <v>#VALUE!</v>
      </c>
      <c r="C2030" s="99" t="s">
        <v>5669</v>
      </c>
      <c r="D2030" s="100" t="e">
        <f t="shared" si="63"/>
        <v>#VALUE!</v>
      </c>
      <c r="E2030" s="64" t="s">
        <v>5670</v>
      </c>
      <c r="F2030" s="66" t="e" cm="1" vm="1">
        <f t="array" aca="1" ref="F203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0" s="110">
        <v>2.67</v>
      </c>
      <c r="I2030" s="67">
        <v>45847</v>
      </c>
      <c r="J2030" s="67"/>
      <c r="K2030" s="68"/>
      <c r="L2030" s="69"/>
      <c r="M2030" s="66">
        <f t="shared" ca="1" si="64"/>
        <v>231</v>
      </c>
    </row>
    <row r="2031" spans="1:13" ht="45">
      <c r="A2031" s="64" t="s">
        <v>80</v>
      </c>
      <c r="B2031" s="98" t="e">
        <f>VLOOKUP([2]!Table27[[#This Row],[Location 
(drop-down)]],'[2]List source'!D$2:E$59,2,FALSE)</f>
        <v>#VALUE!</v>
      </c>
      <c r="C2031" s="99" t="s">
        <v>5671</v>
      </c>
      <c r="D2031" s="100" t="e">
        <f t="shared" si="63"/>
        <v>#VALUE!</v>
      </c>
      <c r="E2031" s="64" t="s">
        <v>5672</v>
      </c>
      <c r="F2031" s="66" t="e" cm="1" vm="1">
        <f t="array" aca="1" ref="F203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1" s="110" t="s">
        <v>5673</v>
      </c>
      <c r="I2031" s="67">
        <v>45847</v>
      </c>
      <c r="J2031" s="67" t="s">
        <v>34</v>
      </c>
      <c r="K2031" s="68">
        <v>45940</v>
      </c>
      <c r="L2031" s="69" t="s">
        <v>1505</v>
      </c>
      <c r="M2031" s="66" t="str">
        <f t="shared" ca="1" si="64"/>
        <v>CLOSED</v>
      </c>
    </row>
    <row r="2032" spans="1:13" ht="90">
      <c r="A2032" s="64" t="s">
        <v>264</v>
      </c>
      <c r="B2032" s="98" t="e">
        <f>VLOOKUP([2]!Table27[[#This Row],[Location 
(drop-down)]],'[2]List source'!D$2:E$59,2,FALSE)</f>
        <v>#VALUE!</v>
      </c>
      <c r="C2032" s="99" t="s">
        <v>5674</v>
      </c>
      <c r="D2032" s="100" t="e">
        <f t="shared" si="63"/>
        <v>#VALUE!</v>
      </c>
      <c r="E2032" s="64" t="s">
        <v>5675</v>
      </c>
      <c r="F2032" s="66" t="e" cm="1" vm="1">
        <f t="array" aca="1" ref="F203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2" s="66">
        <v>2.14</v>
      </c>
      <c r="I2032" s="67">
        <v>45847</v>
      </c>
      <c r="J2032" s="67" t="s">
        <v>34</v>
      </c>
      <c r="K2032" s="68">
        <v>45847</v>
      </c>
      <c r="L2032" s="69" t="s">
        <v>1671</v>
      </c>
      <c r="M2032" s="66" t="str">
        <f t="shared" ca="1" si="64"/>
        <v>CLOSED</v>
      </c>
    </row>
    <row r="2033" spans="1:13" ht="30">
      <c r="A2033" s="64" t="s">
        <v>264</v>
      </c>
      <c r="B2033" s="98" t="e">
        <f>VLOOKUP([2]!Table27[[#This Row],[Location 
(drop-down)]],'[2]List source'!D$2:E$59,2,FALSE)</f>
        <v>#VALUE!</v>
      </c>
      <c r="C2033" s="99" t="s">
        <v>5676</v>
      </c>
      <c r="D2033" s="100" t="e">
        <f t="shared" si="63"/>
        <v>#VALUE!</v>
      </c>
      <c r="E2033" s="64" t="s">
        <v>5672</v>
      </c>
      <c r="F2033" s="66" t="e" cm="1" vm="1">
        <f t="array" aca="1" ref="F203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3" s="110" t="s">
        <v>5677</v>
      </c>
      <c r="I2033" s="67">
        <v>45847</v>
      </c>
      <c r="J2033" s="67"/>
      <c r="K2033" s="68"/>
      <c r="L2033" s="69"/>
      <c r="M2033" s="66">
        <f t="shared" ca="1" si="64"/>
        <v>231</v>
      </c>
    </row>
    <row r="2034" spans="1:13" ht="30">
      <c r="A2034" s="64" t="s">
        <v>185</v>
      </c>
      <c r="B2034" s="98" t="e">
        <f>VLOOKUP([2]!Table27[[#This Row],[Location 
(drop-down)]],'[2]List source'!D$2:E$59,2,FALSE)</f>
        <v>#VALUE!</v>
      </c>
      <c r="C2034" s="99" t="s">
        <v>5678</v>
      </c>
      <c r="D2034" s="100" t="e">
        <f t="shared" si="63"/>
        <v>#VALUE!</v>
      </c>
      <c r="E2034" s="64" t="s">
        <v>5679</v>
      </c>
      <c r="F2034" s="66" t="e" cm="1" vm="1">
        <f t="array" aca="1" ref="F203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4" s="66">
        <v>3.09</v>
      </c>
      <c r="I2034" s="67">
        <v>45847</v>
      </c>
      <c r="J2034" s="67"/>
      <c r="K2034" s="68"/>
      <c r="L2034" s="69"/>
      <c r="M2034" s="66">
        <f t="shared" ca="1" si="64"/>
        <v>231</v>
      </c>
    </row>
    <row r="2035" spans="1:13" ht="45">
      <c r="A2035" s="64" t="s">
        <v>64</v>
      </c>
      <c r="B2035" s="98" t="e">
        <f>VLOOKUP([2]!Table27[[#This Row],[Location 
(drop-down)]],'[2]List source'!D$2:E$59,2,FALSE)</f>
        <v>#VALUE!</v>
      </c>
      <c r="C2035" s="99" t="s">
        <v>5680</v>
      </c>
      <c r="D2035" s="100" t="e">
        <f t="shared" si="63"/>
        <v>#VALUE!</v>
      </c>
      <c r="E2035" s="64" t="s">
        <v>5681</v>
      </c>
      <c r="F2035" s="66" t="e" cm="1" vm="1">
        <f t="array" aca="1" ref="F203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5" s="110">
        <v>2.4</v>
      </c>
      <c r="I2035" s="67">
        <v>45847</v>
      </c>
      <c r="J2035" s="67" t="s">
        <v>34</v>
      </c>
      <c r="K2035" s="68">
        <v>45866</v>
      </c>
      <c r="L2035" s="69" t="s">
        <v>1837</v>
      </c>
      <c r="M2035" s="66" t="str">
        <f t="shared" ca="1" si="64"/>
        <v>CLOSED</v>
      </c>
    </row>
    <row r="2036" spans="1:13" ht="30">
      <c r="A2036" s="64" t="s">
        <v>167</v>
      </c>
      <c r="B2036" s="98" t="e">
        <f>VLOOKUP([2]!Table27[[#This Row],[Location 
(drop-down)]],'[2]List source'!D$2:E$59,2,FALSE)</f>
        <v>#VALUE!</v>
      </c>
      <c r="C2036" s="99" t="s">
        <v>5682</v>
      </c>
      <c r="D2036" s="100" t="e">
        <f t="shared" si="63"/>
        <v>#VALUE!</v>
      </c>
      <c r="E2036" s="64" t="s">
        <v>5683</v>
      </c>
      <c r="F2036" s="66" t="e" cm="1" vm="1">
        <f t="array" aca="1" ref="F203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6" s="110" t="s">
        <v>2507</v>
      </c>
      <c r="I2036" s="67">
        <v>45847</v>
      </c>
      <c r="J2036" s="67" t="s">
        <v>310</v>
      </c>
      <c r="K2036" s="68">
        <v>46063</v>
      </c>
      <c r="L2036" s="69"/>
      <c r="M2036" s="66" t="str">
        <f t="shared" ca="1" si="64"/>
        <v>CLOSED</v>
      </c>
    </row>
    <row r="2037" spans="1:13" ht="90">
      <c r="A2037" s="64" t="s">
        <v>314</v>
      </c>
      <c r="B2037" s="98" t="e">
        <f>VLOOKUP([2]!Table27[[#This Row],[Location 
(drop-down)]],'[2]List source'!D$2:E$59,2,FALSE)</f>
        <v>#VALUE!</v>
      </c>
      <c r="C2037" s="99" t="s">
        <v>5684</v>
      </c>
      <c r="D2037" s="100" t="e">
        <f t="shared" si="63"/>
        <v>#VALUE!</v>
      </c>
      <c r="E2037" s="64" t="s">
        <v>5685</v>
      </c>
      <c r="F2037" s="66" t="e" cm="1" vm="1">
        <f t="array" aca="1" ref="F203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7" s="66">
        <v>2.02</v>
      </c>
      <c r="I2037" s="67">
        <v>45847</v>
      </c>
      <c r="J2037" s="67" t="s">
        <v>34</v>
      </c>
      <c r="K2037" s="68">
        <v>45847</v>
      </c>
      <c r="L2037" s="69" t="s">
        <v>1671</v>
      </c>
      <c r="M2037" s="66" t="str">
        <f t="shared" ca="1" si="64"/>
        <v>CLOSED</v>
      </c>
    </row>
    <row r="2038" spans="1:13" ht="30">
      <c r="A2038" s="64" t="s">
        <v>294</v>
      </c>
      <c r="B2038" s="98" t="e">
        <f>VLOOKUP([2]!Table27[[#This Row],[Location 
(drop-down)]],'[2]List source'!D$2:E$59,2,FALSE)</f>
        <v>#VALUE!</v>
      </c>
      <c r="C2038" s="99" t="s">
        <v>5686</v>
      </c>
      <c r="D2038" s="100" t="e">
        <f t="shared" si="63"/>
        <v>#VALUE!</v>
      </c>
      <c r="E2038" s="64" t="s">
        <v>5687</v>
      </c>
      <c r="F2038" s="66" t="e" cm="1" vm="1">
        <f t="array" aca="1" ref="F203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8" s="110" t="s">
        <v>4205</v>
      </c>
      <c r="I2038" s="67">
        <v>45847</v>
      </c>
      <c r="J2038" s="67"/>
      <c r="K2038" s="68"/>
      <c r="L2038" s="69"/>
      <c r="M2038" s="66">
        <f t="shared" ca="1" si="64"/>
        <v>231</v>
      </c>
    </row>
    <row r="2039" spans="1:13" ht="30">
      <c r="A2039" s="64" t="s">
        <v>294</v>
      </c>
      <c r="B2039" s="98" t="e">
        <f>VLOOKUP([2]!Table27[[#This Row],[Location 
(drop-down)]],'[2]List source'!D$2:E$59,2,FALSE)</f>
        <v>#VALUE!</v>
      </c>
      <c r="C2039" s="99" t="s">
        <v>5688</v>
      </c>
      <c r="D2039" s="100" t="e">
        <f t="shared" si="63"/>
        <v>#VALUE!</v>
      </c>
      <c r="E2039" s="64" t="s">
        <v>5689</v>
      </c>
      <c r="F2039" s="66" t="e" cm="1" vm="1">
        <f t="array" aca="1" ref="F203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39" s="66">
        <v>2.98</v>
      </c>
      <c r="I2039" s="67">
        <v>45847</v>
      </c>
      <c r="J2039" s="67" t="s">
        <v>239</v>
      </c>
      <c r="K2039" s="68">
        <v>45880</v>
      </c>
      <c r="L2039" s="69"/>
      <c r="M2039" s="66" t="str">
        <f t="shared" ca="1" si="64"/>
        <v>CLOSED</v>
      </c>
    </row>
    <row r="2040" spans="1:13" ht="45">
      <c r="A2040" s="64" t="s">
        <v>294</v>
      </c>
      <c r="B2040" s="98" t="e">
        <f>VLOOKUP([2]!Table27[[#This Row],[Location 
(drop-down)]],'[2]List source'!D$2:E$59,2,FALSE)</f>
        <v>#VALUE!</v>
      </c>
      <c r="C2040" s="99" t="s">
        <v>5690</v>
      </c>
      <c r="D2040" s="100" t="e">
        <f t="shared" si="63"/>
        <v>#VALUE!</v>
      </c>
      <c r="E2040" s="64" t="s">
        <v>5691</v>
      </c>
      <c r="F2040" s="66" t="e" cm="1" vm="1">
        <f t="array" aca="1" ref="F204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0" s="110" t="s">
        <v>5692</v>
      </c>
      <c r="I2040" s="67">
        <v>45847</v>
      </c>
      <c r="J2040" s="67" t="s">
        <v>327</v>
      </c>
      <c r="K2040" s="68">
        <v>45885</v>
      </c>
      <c r="L2040" s="69"/>
      <c r="M2040" s="66" t="str">
        <f t="shared" ca="1" si="64"/>
        <v>CLOSED</v>
      </c>
    </row>
    <row r="2041" spans="1:13" ht="30">
      <c r="A2041" s="64" t="s">
        <v>294</v>
      </c>
      <c r="B2041" s="98" t="e">
        <f>VLOOKUP([2]!Table27[[#This Row],[Location 
(drop-down)]],'[2]List source'!D$2:E$59,2,FALSE)</f>
        <v>#VALUE!</v>
      </c>
      <c r="C2041" s="99" t="s">
        <v>5693</v>
      </c>
      <c r="D2041" s="100" t="e">
        <f t="shared" si="63"/>
        <v>#VALUE!</v>
      </c>
      <c r="E2041" s="64" t="s">
        <v>5694</v>
      </c>
      <c r="F2041" s="66" t="e" cm="1" vm="1">
        <f t="array" aca="1" ref="F204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1" s="110" t="s">
        <v>3557</v>
      </c>
      <c r="I2041" s="67">
        <v>45847</v>
      </c>
      <c r="J2041" s="67" t="s">
        <v>327</v>
      </c>
      <c r="K2041" s="68">
        <v>46065</v>
      </c>
      <c r="L2041" s="69"/>
      <c r="M2041" s="66" t="str">
        <f t="shared" ca="1" si="64"/>
        <v>CLOSED</v>
      </c>
    </row>
    <row r="2042" spans="1:13" ht="30">
      <c r="A2042" s="64" t="s">
        <v>73</v>
      </c>
      <c r="B2042" s="98" t="e">
        <f>VLOOKUP([2]!Table27[[#This Row],[Location 
(drop-down)]],'[2]List source'!D$2:E$59,2,FALSE)</f>
        <v>#VALUE!</v>
      </c>
      <c r="C2042" s="99" t="s">
        <v>5695</v>
      </c>
      <c r="D2042" s="100" t="e">
        <f t="shared" si="63"/>
        <v>#VALUE!</v>
      </c>
      <c r="E2042" s="64" t="s">
        <v>5681</v>
      </c>
      <c r="F2042" s="66" t="e" cm="1" vm="1">
        <f t="array" aca="1" ref="F204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2" s="66">
        <v>2.4</v>
      </c>
      <c r="I2042" s="67">
        <v>45847</v>
      </c>
      <c r="J2042" s="67" t="s">
        <v>327</v>
      </c>
      <c r="K2042" s="68">
        <v>46057</v>
      </c>
      <c r="L2042" s="69"/>
      <c r="M2042" s="66" t="str">
        <f t="shared" ca="1" si="64"/>
        <v>CLOSED</v>
      </c>
    </row>
    <row r="2043" spans="1:13" ht="30">
      <c r="A2043" s="64" t="s">
        <v>73</v>
      </c>
      <c r="B2043" s="98" t="e">
        <f>VLOOKUP([2]!Table27[[#This Row],[Location 
(drop-down)]],'[2]List source'!D$2:E$59,2,FALSE)</f>
        <v>#VALUE!</v>
      </c>
      <c r="C2043" s="99" t="s">
        <v>5696</v>
      </c>
      <c r="D2043" s="100" t="e">
        <f t="shared" si="63"/>
        <v>#VALUE!</v>
      </c>
      <c r="E2043" s="64" t="s">
        <v>5697</v>
      </c>
      <c r="F2043" s="66" t="e" cm="1" vm="1">
        <f t="array" aca="1" ref="F204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3" s="110" t="s">
        <v>4053</v>
      </c>
      <c r="I2043" s="67">
        <v>45847</v>
      </c>
      <c r="J2043" s="67" t="s">
        <v>239</v>
      </c>
      <c r="K2043" s="68">
        <v>45902</v>
      </c>
      <c r="L2043" s="69"/>
      <c r="M2043" s="66" t="str">
        <f t="shared" ca="1" si="64"/>
        <v>CLOSED</v>
      </c>
    </row>
    <row r="2044" spans="1:13" ht="30">
      <c r="A2044" s="64" t="s">
        <v>73</v>
      </c>
      <c r="B2044" s="98" t="e">
        <f>VLOOKUP([2]!Table27[[#This Row],[Location 
(drop-down)]],'[2]List source'!D$2:E$59,2,FALSE)</f>
        <v>#VALUE!</v>
      </c>
      <c r="C2044" s="99" t="s">
        <v>5698</v>
      </c>
      <c r="D2044" s="100" t="e">
        <f t="shared" si="63"/>
        <v>#VALUE!</v>
      </c>
      <c r="E2044" s="64" t="s">
        <v>5699</v>
      </c>
      <c r="F2044" s="66" t="e" cm="1" vm="1">
        <f t="array" aca="1" ref="F204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4" s="110" t="s">
        <v>1754</v>
      </c>
      <c r="I2044" s="67">
        <v>45847</v>
      </c>
      <c r="J2044" s="67"/>
      <c r="K2044" s="68"/>
      <c r="L2044" s="69"/>
      <c r="M2044" s="66">
        <f t="shared" ca="1" si="64"/>
        <v>231</v>
      </c>
    </row>
    <row r="2045" spans="1:13" ht="90">
      <c r="A2045" s="64" t="s">
        <v>73</v>
      </c>
      <c r="B2045" s="98" t="e">
        <f>VLOOKUP([2]!Table27[[#This Row],[Location 
(drop-down)]],'[2]List source'!D$2:E$59,2,FALSE)</f>
        <v>#VALUE!</v>
      </c>
      <c r="C2045" s="99" t="s">
        <v>5700</v>
      </c>
      <c r="D2045" s="100" t="e">
        <f t="shared" si="63"/>
        <v>#VALUE!</v>
      </c>
      <c r="E2045" s="64" t="s">
        <v>5685</v>
      </c>
      <c r="F2045" s="66" t="e" cm="1" vm="1">
        <f t="array" aca="1" ref="F204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5" s="66">
        <v>2.02</v>
      </c>
      <c r="I2045" s="67">
        <v>45847</v>
      </c>
      <c r="J2045" s="67" t="s">
        <v>34</v>
      </c>
      <c r="K2045" s="68">
        <v>45847</v>
      </c>
      <c r="L2045" s="69" t="s">
        <v>1671</v>
      </c>
      <c r="M2045" s="66" t="str">
        <f t="shared" ca="1" si="64"/>
        <v>CLOSED</v>
      </c>
    </row>
    <row r="2046" spans="1:13" ht="30">
      <c r="A2046" s="64" t="s">
        <v>73</v>
      </c>
      <c r="B2046" s="98" t="e">
        <f>VLOOKUP([2]!Table27[[#This Row],[Location 
(drop-down)]],'[2]List source'!D$2:E$59,2,FALSE)</f>
        <v>#VALUE!</v>
      </c>
      <c r="C2046" s="99" t="s">
        <v>5701</v>
      </c>
      <c r="D2046" s="100" t="e">
        <f t="shared" si="63"/>
        <v>#VALUE!</v>
      </c>
      <c r="E2046" s="64" t="s">
        <v>5702</v>
      </c>
      <c r="F2046" s="66" t="e" cm="1" vm="1">
        <f t="array" aca="1" ref="F204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6" s="110">
        <v>4.42</v>
      </c>
      <c r="I2046" s="67">
        <v>45847</v>
      </c>
      <c r="J2046" s="67" t="s">
        <v>239</v>
      </c>
      <c r="K2046" s="68">
        <v>45980</v>
      </c>
      <c r="L2046" s="69"/>
      <c r="M2046" s="66" t="str">
        <f t="shared" ca="1" si="64"/>
        <v>CLOSED</v>
      </c>
    </row>
    <row r="2047" spans="1:13" ht="30">
      <c r="A2047" s="64" t="s">
        <v>73</v>
      </c>
      <c r="B2047" s="98" t="e">
        <f>VLOOKUP([2]!Table27[[#This Row],[Location 
(drop-down)]],'[2]List source'!D$2:E$59,2,FALSE)</f>
        <v>#VALUE!</v>
      </c>
      <c r="C2047" s="99" t="s">
        <v>5703</v>
      </c>
      <c r="D2047" s="100" t="e">
        <f t="shared" si="63"/>
        <v>#VALUE!</v>
      </c>
      <c r="E2047" s="64" t="s">
        <v>5704</v>
      </c>
      <c r="F2047" s="66" t="e" cm="1" vm="1">
        <f t="array" aca="1" ref="F204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7" s="66">
        <v>3.79</v>
      </c>
      <c r="I2047" s="67">
        <v>45847</v>
      </c>
      <c r="J2047" s="67"/>
      <c r="K2047" s="68"/>
      <c r="L2047" s="69"/>
      <c r="M2047" s="66">
        <f t="shared" ca="1" si="64"/>
        <v>231</v>
      </c>
    </row>
    <row r="2048" spans="1:13" ht="30">
      <c r="A2048" s="64" t="s">
        <v>73</v>
      </c>
      <c r="B2048" s="98" t="e">
        <f>VLOOKUP([2]!Table27[[#This Row],[Location 
(drop-down)]],'[2]List source'!D$2:E$59,2,FALSE)</f>
        <v>#VALUE!</v>
      </c>
      <c r="C2048" s="99" t="s">
        <v>5705</v>
      </c>
      <c r="D2048" s="100" t="e">
        <f t="shared" si="63"/>
        <v>#VALUE!</v>
      </c>
      <c r="E2048" s="64" t="s">
        <v>5706</v>
      </c>
      <c r="F2048" s="66" t="e" cm="1" vm="1">
        <f t="array" aca="1" ref="F204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8" s="110" t="s">
        <v>5707</v>
      </c>
      <c r="I2048" s="67">
        <v>45847</v>
      </c>
      <c r="J2048" s="67" t="s">
        <v>327</v>
      </c>
      <c r="K2048" s="68">
        <v>46057</v>
      </c>
      <c r="L2048" s="69"/>
      <c r="M2048" s="66" t="str">
        <f t="shared" ca="1" si="64"/>
        <v>CLOSED</v>
      </c>
    </row>
    <row r="2049" spans="1:13" ht="30">
      <c r="A2049" s="64" t="s">
        <v>73</v>
      </c>
      <c r="B2049" s="98" t="e">
        <f>VLOOKUP([2]!Table27[[#This Row],[Location 
(drop-down)]],'[2]List source'!D$2:E$59,2,FALSE)</f>
        <v>#VALUE!</v>
      </c>
      <c r="C2049" s="99" t="s">
        <v>5708</v>
      </c>
      <c r="D2049" s="100" t="e">
        <f t="shared" si="63"/>
        <v>#VALUE!</v>
      </c>
      <c r="E2049" s="64" t="s">
        <v>5709</v>
      </c>
      <c r="F2049" s="66" t="e" cm="1" vm="1">
        <f t="array" aca="1" ref="F204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4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49" s="110" t="s">
        <v>1806</v>
      </c>
      <c r="I2049" s="67">
        <v>45847</v>
      </c>
      <c r="J2049" s="67" t="s">
        <v>239</v>
      </c>
      <c r="K2049" s="68">
        <v>46021</v>
      </c>
      <c r="L2049" s="69"/>
      <c r="M2049" s="66" t="str">
        <f t="shared" ca="1" si="64"/>
        <v>CLOSED</v>
      </c>
    </row>
    <row r="2050" spans="1:13" ht="45">
      <c r="A2050" s="64" t="s">
        <v>73</v>
      </c>
      <c r="B2050" s="98" t="e">
        <f>VLOOKUP([2]!Table27[[#This Row],[Location 
(drop-down)]],'[2]List source'!D$2:E$59,2,FALSE)</f>
        <v>#VALUE!</v>
      </c>
      <c r="C2050" s="99" t="s">
        <v>5710</v>
      </c>
      <c r="D2050" s="100" t="e">
        <f t="shared" ref="D2050:D2113" si="65">"PTO" &amp; C2050 &amp; "-" &amp; B2050 &amp; "-" &amp; "23"</f>
        <v>#VALUE!</v>
      </c>
      <c r="E2050" s="64" t="s">
        <v>5711</v>
      </c>
      <c r="F2050" s="66" t="e" cm="1" vm="1">
        <f t="array" aca="1" ref="F205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0" s="110">
        <v>2.8</v>
      </c>
      <c r="I2050" s="67">
        <v>45847</v>
      </c>
      <c r="J2050" s="67"/>
      <c r="K2050" s="68"/>
      <c r="L2050" s="69"/>
      <c r="M2050" s="66">
        <f t="shared" ca="1" si="64"/>
        <v>231</v>
      </c>
    </row>
    <row r="2051" spans="1:13" ht="30">
      <c r="A2051" s="64" t="s">
        <v>73</v>
      </c>
      <c r="B2051" s="98" t="e">
        <f>VLOOKUP([2]!Table27[[#This Row],[Location 
(drop-down)]],'[2]List source'!D$2:E$59,2,FALSE)</f>
        <v>#VALUE!</v>
      </c>
      <c r="C2051" s="99" t="s">
        <v>5712</v>
      </c>
      <c r="D2051" s="100" t="e">
        <f t="shared" si="65"/>
        <v>#VALUE!</v>
      </c>
      <c r="E2051" s="64" t="s">
        <v>5713</v>
      </c>
      <c r="F2051" s="66" t="e" cm="1" vm="1">
        <f t="array" aca="1" ref="F205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1" s="110" t="s">
        <v>5714</v>
      </c>
      <c r="I2051" s="67">
        <v>45847</v>
      </c>
      <c r="J2051" s="67" t="s">
        <v>239</v>
      </c>
      <c r="K2051" s="68">
        <v>45938</v>
      </c>
      <c r="L2051" s="69"/>
      <c r="M2051" s="66" t="str">
        <f t="shared" ca="1" si="64"/>
        <v>CLOSED</v>
      </c>
    </row>
    <row r="2052" spans="1:13" ht="45">
      <c r="A2052" s="64" t="s">
        <v>73</v>
      </c>
      <c r="B2052" s="98" t="e">
        <f>VLOOKUP([2]!Table27[[#This Row],[Location 
(drop-down)]],'[2]List source'!D$2:E$59,2,FALSE)</f>
        <v>#VALUE!</v>
      </c>
      <c r="C2052" s="99" t="s">
        <v>5715</v>
      </c>
      <c r="D2052" s="100" t="e">
        <f t="shared" si="65"/>
        <v>#VALUE!</v>
      </c>
      <c r="E2052" s="64" t="s">
        <v>5716</v>
      </c>
      <c r="F2052" s="66" t="e" cm="1" vm="1">
        <f t="array" aca="1" ref="F205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2" s="66">
        <v>3.4</v>
      </c>
      <c r="I2052" s="67">
        <v>45847</v>
      </c>
      <c r="J2052" s="67"/>
      <c r="K2052" s="68"/>
      <c r="L2052" s="69"/>
      <c r="M2052" s="66">
        <f t="shared" ca="1" si="64"/>
        <v>231</v>
      </c>
    </row>
    <row r="2053" spans="1:13" ht="30">
      <c r="A2053" s="64" t="s">
        <v>485</v>
      </c>
      <c r="B2053" s="98" t="e">
        <f>VLOOKUP([2]!Table27[[#This Row],[Location 
(drop-down)]],'[2]List source'!D$2:E$59,2,FALSE)</f>
        <v>#VALUE!</v>
      </c>
      <c r="C2053" s="99" t="s">
        <v>5717</v>
      </c>
      <c r="D2053" s="100" t="e">
        <f t="shared" si="65"/>
        <v>#VALUE!</v>
      </c>
      <c r="E2053" s="64" t="s">
        <v>5718</v>
      </c>
      <c r="F2053" s="66" t="e" cm="1" vm="1">
        <f t="array" aca="1" ref="F205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3" s="110" t="s">
        <v>3739</v>
      </c>
      <c r="I2053" s="67">
        <v>45847</v>
      </c>
      <c r="J2053" s="67" t="s">
        <v>327</v>
      </c>
      <c r="K2053" s="68">
        <v>46064</v>
      </c>
      <c r="L2053" s="69"/>
      <c r="M2053" s="66" t="str">
        <f t="shared" ca="1" si="64"/>
        <v>CLOSED</v>
      </c>
    </row>
    <row r="2054" spans="1:13" ht="45">
      <c r="A2054" s="64" t="s">
        <v>485</v>
      </c>
      <c r="B2054" s="98" t="e">
        <f>VLOOKUP([2]!Table27[[#This Row],[Location 
(drop-down)]],'[2]List source'!D$2:E$59,2,FALSE)</f>
        <v>#VALUE!</v>
      </c>
      <c r="C2054" s="99" t="s">
        <v>5719</v>
      </c>
      <c r="D2054" s="100" t="e">
        <f t="shared" si="65"/>
        <v>#VALUE!</v>
      </c>
      <c r="E2054" s="64" t="s">
        <v>5720</v>
      </c>
      <c r="F2054" s="66" t="e" cm="1" vm="1">
        <f t="array" aca="1" ref="F205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4" s="66" t="s">
        <v>5721</v>
      </c>
      <c r="I2054" s="67">
        <v>45847</v>
      </c>
      <c r="J2054" s="67"/>
      <c r="K2054" s="68"/>
      <c r="L2054" s="69"/>
      <c r="M2054" s="66">
        <f t="shared" ca="1" si="64"/>
        <v>231</v>
      </c>
    </row>
    <row r="2055" spans="1:13" ht="30">
      <c r="A2055" s="64" t="s">
        <v>485</v>
      </c>
      <c r="B2055" s="98" t="e">
        <f>VLOOKUP([2]!Table27[[#This Row],[Location 
(drop-down)]],'[2]List source'!D$2:E$59,2,FALSE)</f>
        <v>#VALUE!</v>
      </c>
      <c r="C2055" s="99" t="s">
        <v>5722</v>
      </c>
      <c r="D2055" s="100" t="e">
        <f t="shared" si="65"/>
        <v>#VALUE!</v>
      </c>
      <c r="E2055" s="64" t="s">
        <v>5723</v>
      </c>
      <c r="F2055" s="66" t="e" cm="1" vm="1">
        <f t="array" aca="1" ref="F205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5" s="66">
        <v>2.61</v>
      </c>
      <c r="I2055" s="67">
        <v>45847</v>
      </c>
      <c r="J2055" s="67"/>
      <c r="K2055" s="68"/>
      <c r="L2055" s="69"/>
      <c r="M2055" s="66">
        <f t="shared" ca="1" si="64"/>
        <v>231</v>
      </c>
    </row>
    <row r="2056" spans="1:13" ht="30">
      <c r="A2056" s="64" t="s">
        <v>485</v>
      </c>
      <c r="B2056" s="98" t="e">
        <f>VLOOKUP([2]!Table27[[#This Row],[Location 
(drop-down)]],'[2]List source'!D$2:E$59,2,FALSE)</f>
        <v>#VALUE!</v>
      </c>
      <c r="C2056" s="99" t="s">
        <v>5724</v>
      </c>
      <c r="D2056" s="100" t="e">
        <f t="shared" si="65"/>
        <v>#VALUE!</v>
      </c>
      <c r="E2056" s="64" t="s">
        <v>5725</v>
      </c>
      <c r="F2056" s="66" t="e" cm="1" vm="1">
        <f t="array" aca="1" ref="F205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6" s="110" t="s">
        <v>5726</v>
      </c>
      <c r="I2056" s="67">
        <v>45847</v>
      </c>
      <c r="J2056" s="67"/>
      <c r="K2056" s="68"/>
      <c r="L2056" s="69"/>
      <c r="M2056" s="66">
        <f t="shared" ca="1" si="64"/>
        <v>231</v>
      </c>
    </row>
    <row r="2057" spans="1:13" ht="30">
      <c r="A2057" s="64" t="s">
        <v>485</v>
      </c>
      <c r="B2057" s="98" t="e">
        <f>VLOOKUP([2]!Table27[[#This Row],[Location 
(drop-down)]],'[2]List source'!D$2:E$59,2,FALSE)</f>
        <v>#VALUE!</v>
      </c>
      <c r="C2057" s="99" t="s">
        <v>5727</v>
      </c>
      <c r="D2057" s="100" t="e">
        <f t="shared" si="65"/>
        <v>#VALUE!</v>
      </c>
      <c r="E2057" s="64" t="s">
        <v>5728</v>
      </c>
      <c r="F2057" s="66" t="e" cm="1" vm="1">
        <f t="array" aca="1" ref="F205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7" s="110" t="s">
        <v>2117</v>
      </c>
      <c r="I2057" s="67">
        <v>45847</v>
      </c>
      <c r="J2057" s="67"/>
      <c r="K2057" s="68"/>
      <c r="L2057" s="69"/>
      <c r="M2057" s="66">
        <f t="shared" ca="1" si="64"/>
        <v>231</v>
      </c>
    </row>
    <row r="2058" spans="1:13" ht="90">
      <c r="A2058" s="64" t="s">
        <v>500</v>
      </c>
      <c r="B2058" s="98" t="e">
        <f>VLOOKUP([2]!Table27[[#This Row],[Location 
(drop-down)]],'[2]List source'!D$2:E$59,2,FALSE)</f>
        <v>#VALUE!</v>
      </c>
      <c r="C2058" s="99" t="s">
        <v>5729</v>
      </c>
      <c r="D2058" s="100" t="e">
        <f t="shared" si="65"/>
        <v>#VALUE!</v>
      </c>
      <c r="E2058" s="64" t="s">
        <v>5730</v>
      </c>
      <c r="F2058" s="66" t="e" cm="1" vm="1">
        <f t="array" aca="1" ref="F205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8" s="110">
        <v>2.2799999999999998</v>
      </c>
      <c r="I2058" s="67">
        <v>45847</v>
      </c>
      <c r="J2058" s="67" t="s">
        <v>34</v>
      </c>
      <c r="K2058" s="68">
        <v>45847</v>
      </c>
      <c r="L2058" s="69" t="s">
        <v>1671</v>
      </c>
      <c r="M2058" s="66" t="str">
        <f t="shared" ca="1" si="64"/>
        <v>CLOSED</v>
      </c>
    </row>
    <row r="2059" spans="1:13" ht="30">
      <c r="A2059" s="64" t="s">
        <v>500</v>
      </c>
      <c r="B2059" s="98" t="e">
        <f>VLOOKUP([2]!Table27[[#This Row],[Location 
(drop-down)]],'[2]List source'!D$2:E$59,2,FALSE)</f>
        <v>#VALUE!</v>
      </c>
      <c r="C2059" s="99" t="s">
        <v>5731</v>
      </c>
      <c r="D2059" s="100" t="e">
        <f t="shared" si="65"/>
        <v>#VALUE!</v>
      </c>
      <c r="E2059" s="64" t="s">
        <v>5732</v>
      </c>
      <c r="F2059" s="66" t="e" cm="1" vm="1">
        <f t="array" aca="1" ref="F205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59" s="66">
        <v>2.19</v>
      </c>
      <c r="I2059" s="67">
        <v>45847</v>
      </c>
      <c r="J2059" s="67" t="s">
        <v>310</v>
      </c>
      <c r="K2059" s="68">
        <v>45870</v>
      </c>
      <c r="L2059" s="69"/>
      <c r="M2059" s="66" t="str">
        <f t="shared" ca="1" si="64"/>
        <v>CLOSED</v>
      </c>
    </row>
    <row r="2060" spans="1:13" ht="30">
      <c r="A2060" s="64" t="s">
        <v>500</v>
      </c>
      <c r="B2060" s="98" t="e">
        <f>VLOOKUP([2]!Table27[[#This Row],[Location 
(drop-down)]],'[2]List source'!D$2:E$59,2,FALSE)</f>
        <v>#VALUE!</v>
      </c>
      <c r="C2060" s="99" t="s">
        <v>5733</v>
      </c>
      <c r="D2060" s="100" t="e">
        <f t="shared" si="65"/>
        <v>#VALUE!</v>
      </c>
      <c r="E2060" s="64" t="s">
        <v>5666</v>
      </c>
      <c r="F2060" s="66" t="e" cm="1" vm="1">
        <f t="array" aca="1" ref="F20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0" s="66">
        <v>2.13</v>
      </c>
      <c r="I2060" s="67">
        <v>45847</v>
      </c>
      <c r="J2060" s="67" t="s">
        <v>310</v>
      </c>
      <c r="K2060" s="68">
        <v>45890</v>
      </c>
      <c r="L2060" s="69"/>
      <c r="M2060" s="66" t="str">
        <f t="shared" ca="1" si="64"/>
        <v>CLOSED</v>
      </c>
    </row>
    <row r="2061" spans="1:13" ht="30">
      <c r="A2061" s="64" t="s">
        <v>202</v>
      </c>
      <c r="B2061" s="98" t="e">
        <f>VLOOKUP([2]!Table27[[#This Row],[Location 
(drop-down)]],'[2]List source'!D$2:E$59,2,FALSE)</f>
        <v>#VALUE!</v>
      </c>
      <c r="C2061" s="99" t="s">
        <v>5734</v>
      </c>
      <c r="D2061" s="100" t="e">
        <f t="shared" si="65"/>
        <v>#VALUE!</v>
      </c>
      <c r="E2061" s="64" t="s">
        <v>5681</v>
      </c>
      <c r="F2061" s="66" t="e" cm="1" vm="1">
        <f t="array" aca="1" ref="F206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1" s="66">
        <v>2.4</v>
      </c>
      <c r="I2061" s="67">
        <v>45847</v>
      </c>
      <c r="J2061" s="67" t="s">
        <v>21</v>
      </c>
      <c r="K2061" s="68">
        <v>45876</v>
      </c>
      <c r="L2061" s="69"/>
      <c r="M2061" s="66" t="str">
        <f t="shared" ca="1" si="64"/>
        <v>CLOSED</v>
      </c>
    </row>
    <row r="2062" spans="1:13" ht="30">
      <c r="A2062" s="64" t="s">
        <v>202</v>
      </c>
      <c r="B2062" s="98" t="e">
        <f>VLOOKUP([2]!Table27[[#This Row],[Location 
(drop-down)]],'[2]List source'!D$2:E$59,2,FALSE)</f>
        <v>#VALUE!</v>
      </c>
      <c r="C2062" s="99" t="s">
        <v>5735</v>
      </c>
      <c r="D2062" s="100" t="e">
        <f t="shared" si="65"/>
        <v>#VALUE!</v>
      </c>
      <c r="E2062" s="64" t="s">
        <v>5736</v>
      </c>
      <c r="F2062" s="66" t="e" cm="1" vm="1">
        <f t="array" aca="1" ref="F20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2" s="66">
        <v>21.9</v>
      </c>
      <c r="I2062" s="67">
        <v>45847</v>
      </c>
      <c r="J2062" s="67"/>
      <c r="K2062" s="68"/>
      <c r="L2062" s="69"/>
      <c r="M2062" s="66">
        <f t="shared" ca="1" si="64"/>
        <v>231</v>
      </c>
    </row>
    <row r="2063" spans="1:13" ht="45">
      <c r="A2063" s="64" t="s">
        <v>202</v>
      </c>
      <c r="B2063" s="98" t="e">
        <f>VLOOKUP([2]!Table27[[#This Row],[Location 
(drop-down)]],'[2]List source'!D$2:E$59,2,FALSE)</f>
        <v>#VALUE!</v>
      </c>
      <c r="C2063" s="99" t="s">
        <v>5737</v>
      </c>
      <c r="D2063" s="100" t="e">
        <f t="shared" si="65"/>
        <v>#VALUE!</v>
      </c>
      <c r="E2063" s="64" t="s">
        <v>5738</v>
      </c>
      <c r="F2063" s="66" t="e" cm="1" vm="1">
        <f t="array" aca="1" ref="F206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3" s="110">
        <v>100.5</v>
      </c>
      <c r="I2063" s="67">
        <v>45847</v>
      </c>
      <c r="J2063" s="67" t="s">
        <v>34</v>
      </c>
      <c r="K2063" s="68">
        <v>45869</v>
      </c>
      <c r="L2063" s="69" t="s">
        <v>1505</v>
      </c>
      <c r="M2063" s="66" t="str">
        <f t="shared" ca="1" si="64"/>
        <v>CLOSED</v>
      </c>
    </row>
    <row r="2064" spans="1:13" ht="30">
      <c r="A2064" s="64" t="s">
        <v>202</v>
      </c>
      <c r="B2064" s="98" t="e">
        <f>VLOOKUP([2]!Table27[[#This Row],[Location 
(drop-down)]],'[2]List source'!D$2:E$59,2,FALSE)</f>
        <v>#VALUE!</v>
      </c>
      <c r="C2064" s="99" t="s">
        <v>5739</v>
      </c>
      <c r="D2064" s="100" t="e">
        <f t="shared" si="65"/>
        <v>#VALUE!</v>
      </c>
      <c r="E2064" s="64" t="s">
        <v>5740</v>
      </c>
      <c r="F2064" s="66" t="e" cm="1" vm="1">
        <f t="array" aca="1" ref="F20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4" s="110" t="s">
        <v>1915</v>
      </c>
      <c r="I2064" s="67">
        <v>45847</v>
      </c>
      <c r="J2064" s="67" t="s">
        <v>21</v>
      </c>
      <c r="K2064" s="68">
        <v>45876</v>
      </c>
      <c r="L2064" s="69"/>
      <c r="M2064" s="66" t="str">
        <f t="shared" ca="1" si="64"/>
        <v>CLOSED</v>
      </c>
    </row>
    <row r="2065" spans="1:13" ht="30">
      <c r="A2065" s="64" t="s">
        <v>139</v>
      </c>
      <c r="B2065" s="98" t="e">
        <f>VLOOKUP([2]!Table27[[#This Row],[Location 
(drop-down)]],'[2]List source'!D$2:E$59,2,FALSE)</f>
        <v>#VALUE!</v>
      </c>
      <c r="C2065" s="99" t="s">
        <v>5741</v>
      </c>
      <c r="D2065" s="100" t="e">
        <f t="shared" si="65"/>
        <v>#VALUE!</v>
      </c>
      <c r="E2065" s="64" t="s">
        <v>5742</v>
      </c>
      <c r="F2065" s="66" t="e" cm="1" vm="1">
        <f t="array" aca="1" ref="F206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5" s="66">
        <v>3.14</v>
      </c>
      <c r="I2065" s="67">
        <v>45847</v>
      </c>
      <c r="J2065" s="67" t="s">
        <v>310</v>
      </c>
      <c r="K2065" s="68">
        <v>45939</v>
      </c>
      <c r="L2065" s="69"/>
      <c r="M2065" s="66" t="str">
        <f t="shared" ca="1" si="64"/>
        <v>CLOSED</v>
      </c>
    </row>
    <row r="2066" spans="1:13" ht="30">
      <c r="A2066" s="64" t="s">
        <v>139</v>
      </c>
      <c r="B2066" s="98" t="e">
        <f>VLOOKUP([2]!Table27[[#This Row],[Location 
(drop-down)]],'[2]List source'!D$2:E$59,2,FALSE)</f>
        <v>#VALUE!</v>
      </c>
      <c r="C2066" s="99" t="s">
        <v>5743</v>
      </c>
      <c r="D2066" s="100" t="e">
        <f t="shared" si="65"/>
        <v>#VALUE!</v>
      </c>
      <c r="E2066" s="64" t="s">
        <v>5666</v>
      </c>
      <c r="F2066" s="66" t="e" cm="1" vm="1">
        <f t="array" aca="1" ref="F20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6" s="110">
        <v>2.13</v>
      </c>
      <c r="I2066" s="67">
        <v>45847</v>
      </c>
      <c r="J2066" s="67" t="s">
        <v>310</v>
      </c>
      <c r="K2066" s="68">
        <v>45939</v>
      </c>
      <c r="L2066" s="69"/>
      <c r="M2066" s="66" t="str">
        <f t="shared" ca="1" si="64"/>
        <v>CLOSED</v>
      </c>
    </row>
    <row r="2067" spans="1:13" ht="30">
      <c r="A2067" s="64" t="s">
        <v>15</v>
      </c>
      <c r="B2067" s="98" t="e">
        <f>VLOOKUP([2]!Table27[[#This Row],[Location 
(drop-down)]],'[2]List source'!D$2:E$59,2,FALSE)</f>
        <v>#VALUE!</v>
      </c>
      <c r="C2067" s="99" t="s">
        <v>5744</v>
      </c>
      <c r="D2067" s="100" t="e">
        <f t="shared" si="65"/>
        <v>#VALUE!</v>
      </c>
      <c r="E2067" s="64" t="s">
        <v>5745</v>
      </c>
      <c r="F2067" s="66" t="e" cm="1" vm="1">
        <f t="array" aca="1" ref="F20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7" s="66">
        <v>3.4</v>
      </c>
      <c r="I2067" s="67">
        <v>45847</v>
      </c>
      <c r="J2067" s="67" t="s">
        <v>69</v>
      </c>
      <c r="K2067" s="68">
        <v>45981</v>
      </c>
      <c r="L2067" s="69"/>
      <c r="M2067" s="66" t="str">
        <f t="shared" ca="1" si="64"/>
        <v>CLOSED</v>
      </c>
    </row>
    <row r="2068" spans="1:13" ht="90">
      <c r="A2068" s="64" t="s">
        <v>15</v>
      </c>
      <c r="B2068" s="98" t="e">
        <f>VLOOKUP([2]!Table27[[#This Row],[Location 
(drop-down)]],'[2]List source'!D$2:E$59,2,FALSE)</f>
        <v>#VALUE!</v>
      </c>
      <c r="C2068" s="99" t="s">
        <v>5746</v>
      </c>
      <c r="D2068" s="100" t="e">
        <f t="shared" si="65"/>
        <v>#VALUE!</v>
      </c>
      <c r="E2068" s="64" t="s">
        <v>5645</v>
      </c>
      <c r="F2068" s="66" t="e" cm="1" vm="1">
        <f t="array" aca="1" ref="F20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8" s="110">
        <v>2.14</v>
      </c>
      <c r="I2068" s="67">
        <v>45847</v>
      </c>
      <c r="J2068" s="67" t="s">
        <v>34</v>
      </c>
      <c r="K2068" s="68">
        <v>45847</v>
      </c>
      <c r="L2068" s="69" t="s">
        <v>1671</v>
      </c>
      <c r="M2068" s="66" t="str">
        <f t="shared" ca="1" si="64"/>
        <v>CLOSED</v>
      </c>
    </row>
    <row r="2069" spans="1:13" ht="30">
      <c r="A2069" s="64" t="s">
        <v>43</v>
      </c>
      <c r="B2069" s="98" t="e">
        <f>VLOOKUP([2]!Table27[[#This Row],[Location 
(drop-down)]],'[2]List source'!D$2:E$59,2,FALSE)</f>
        <v>#VALUE!</v>
      </c>
      <c r="C2069" s="99" t="s">
        <v>5747</v>
      </c>
      <c r="D2069" s="100" t="e">
        <f t="shared" si="65"/>
        <v>#VALUE!</v>
      </c>
      <c r="E2069" s="64" t="s">
        <v>5670</v>
      </c>
      <c r="F2069" s="66" t="e" cm="1" vm="1">
        <f t="array" aca="1" ref="F206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69" s="110">
        <v>2.67</v>
      </c>
      <c r="I2069" s="67">
        <v>45847</v>
      </c>
      <c r="J2069" s="67" t="s">
        <v>29</v>
      </c>
      <c r="K2069" s="68">
        <v>45940</v>
      </c>
      <c r="L2069" s="69"/>
      <c r="M2069" s="66" t="str">
        <f t="shared" ca="1" si="64"/>
        <v>CLOSED</v>
      </c>
    </row>
    <row r="2070" spans="1:13" ht="30">
      <c r="A2070" s="64" t="s">
        <v>43</v>
      </c>
      <c r="B2070" s="98" t="e">
        <f>VLOOKUP([2]!Table27[[#This Row],[Location 
(drop-down)]],'[2]List source'!D$2:E$59,2,FALSE)</f>
        <v>#VALUE!</v>
      </c>
      <c r="C2070" s="99" t="s">
        <v>5748</v>
      </c>
      <c r="D2070" s="100" t="e">
        <f t="shared" si="65"/>
        <v>#VALUE!</v>
      </c>
      <c r="E2070" s="64" t="s">
        <v>5666</v>
      </c>
      <c r="F2070" s="66" t="e" cm="1" vm="1">
        <f t="array" aca="1" ref="F207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0" s="66">
        <v>2.13</v>
      </c>
      <c r="I2070" s="67">
        <v>45847</v>
      </c>
      <c r="J2070" s="67" t="s">
        <v>29</v>
      </c>
      <c r="K2070" s="68">
        <v>46006</v>
      </c>
      <c r="L2070" s="69"/>
      <c r="M2070" s="66" t="str">
        <f t="shared" ca="1" si="64"/>
        <v>CLOSED</v>
      </c>
    </row>
    <row r="2071" spans="1:13" ht="30">
      <c r="A2071" s="64" t="s">
        <v>714</v>
      </c>
      <c r="B2071" s="98" t="e">
        <f>VLOOKUP([2]!Table27[[#This Row],[Location 
(drop-down)]],'[2]List source'!D$2:E$59,2,FALSE)</f>
        <v>#VALUE!</v>
      </c>
      <c r="C2071" s="99" t="s">
        <v>5749</v>
      </c>
      <c r="D2071" s="100" t="e">
        <f t="shared" si="65"/>
        <v>#VALUE!</v>
      </c>
      <c r="E2071" s="64" t="s">
        <v>5681</v>
      </c>
      <c r="F2071" s="66" t="e" cm="1" vm="1">
        <f t="array" aca="1" ref="F207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1" s="66">
        <v>2.4</v>
      </c>
      <c r="I2071" s="67">
        <v>45847</v>
      </c>
      <c r="J2071" s="67" t="s">
        <v>29</v>
      </c>
      <c r="K2071" s="68">
        <v>46009</v>
      </c>
      <c r="L2071" s="69"/>
      <c r="M2071" s="66" t="str">
        <f t="shared" ca="1" si="64"/>
        <v>CLOSED</v>
      </c>
    </row>
    <row r="2072" spans="1:13" ht="30">
      <c r="A2072" s="64" t="s">
        <v>714</v>
      </c>
      <c r="B2072" s="98" t="e">
        <f>VLOOKUP([2]!Table27[[#This Row],[Location 
(drop-down)]],'[2]List source'!D$2:E$59,2,FALSE)</f>
        <v>#VALUE!</v>
      </c>
      <c r="C2072" s="99" t="s">
        <v>5750</v>
      </c>
      <c r="D2072" s="100" t="e">
        <f t="shared" si="65"/>
        <v>#VALUE!</v>
      </c>
      <c r="E2072" s="64" t="s">
        <v>5751</v>
      </c>
      <c r="F2072" s="66" t="e" cm="1" vm="1">
        <f t="array" aca="1" ref="F207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2" s="66">
        <v>5.07</v>
      </c>
      <c r="I2072" s="67">
        <v>45847</v>
      </c>
      <c r="J2072" s="67" t="s">
        <v>29</v>
      </c>
      <c r="K2072" s="68">
        <v>45938</v>
      </c>
      <c r="L2072" s="69"/>
      <c r="M2072" s="66" t="str">
        <f t="shared" ca="1" si="64"/>
        <v>CLOSED</v>
      </c>
    </row>
    <row r="2073" spans="1:13" ht="90">
      <c r="A2073" s="64" t="s">
        <v>714</v>
      </c>
      <c r="B2073" s="98" t="e">
        <f>VLOOKUP([2]!Table27[[#This Row],[Location 
(drop-down)]],'[2]List source'!D$2:E$59,2,FALSE)</f>
        <v>#VALUE!</v>
      </c>
      <c r="C2073" s="99" t="s">
        <v>5752</v>
      </c>
      <c r="D2073" s="100" t="e">
        <f t="shared" si="65"/>
        <v>#VALUE!</v>
      </c>
      <c r="E2073" s="64" t="s">
        <v>5753</v>
      </c>
      <c r="F2073" s="66" t="e" cm="1" vm="1">
        <f t="array" aca="1" ref="F207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3" s="110" t="s">
        <v>1579</v>
      </c>
      <c r="I2073" s="67">
        <v>45847</v>
      </c>
      <c r="J2073" s="67" t="s">
        <v>34</v>
      </c>
      <c r="K2073" s="68">
        <v>45847</v>
      </c>
      <c r="L2073" s="69" t="s">
        <v>1671</v>
      </c>
      <c r="M2073" s="66" t="str">
        <f t="shared" ca="1" si="64"/>
        <v>CLOSED</v>
      </c>
    </row>
    <row r="2074" spans="1:13" ht="30">
      <c r="A2074" s="64" t="s">
        <v>714</v>
      </c>
      <c r="B2074" s="98" t="e">
        <f>VLOOKUP([2]!Table27[[#This Row],[Location 
(drop-down)]],'[2]List source'!D$2:E$59,2,FALSE)</f>
        <v>#VALUE!</v>
      </c>
      <c r="C2074" s="99" t="s">
        <v>5754</v>
      </c>
      <c r="D2074" s="100" t="e">
        <f t="shared" si="65"/>
        <v>#VALUE!</v>
      </c>
      <c r="E2074" s="64" t="s">
        <v>5755</v>
      </c>
      <c r="F2074" s="66" t="e" cm="1" vm="1">
        <f t="array" aca="1" ref="F207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4" s="66">
        <v>7.27</v>
      </c>
      <c r="I2074" s="67">
        <v>45847</v>
      </c>
      <c r="J2074" s="67" t="s">
        <v>29</v>
      </c>
      <c r="K2074" s="68">
        <v>45889</v>
      </c>
      <c r="L2074" s="69"/>
      <c r="M2074" s="66" t="str">
        <f t="shared" ca="1" si="64"/>
        <v>CLOSED</v>
      </c>
    </row>
    <row r="2075" spans="1:13" ht="45">
      <c r="A2075" s="64" t="s">
        <v>714</v>
      </c>
      <c r="B2075" s="98" t="e">
        <f>VLOOKUP([2]!Table27[[#This Row],[Location 
(drop-down)]],'[2]List source'!D$2:E$59,2,FALSE)</f>
        <v>#VALUE!</v>
      </c>
      <c r="C2075" s="99" t="s">
        <v>5756</v>
      </c>
      <c r="D2075" s="100" t="e">
        <f t="shared" si="65"/>
        <v>#VALUE!</v>
      </c>
      <c r="E2075" s="64" t="s">
        <v>5757</v>
      </c>
      <c r="F2075" s="66" t="e" cm="1" vm="1">
        <f t="array" aca="1" ref="F207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5" s="110" t="s">
        <v>5758</v>
      </c>
      <c r="I2075" s="67">
        <v>45847</v>
      </c>
      <c r="J2075" s="67" t="s">
        <v>29</v>
      </c>
      <c r="K2075" s="68">
        <v>46035</v>
      </c>
      <c r="L2075" s="69"/>
      <c r="M2075" s="66" t="str">
        <f t="shared" ca="1" si="64"/>
        <v>CLOSED</v>
      </c>
    </row>
    <row r="2076" spans="1:13" ht="30">
      <c r="A2076" s="64" t="s">
        <v>714</v>
      </c>
      <c r="B2076" s="98" t="e">
        <f>VLOOKUP([2]!Table27[[#This Row],[Location 
(drop-down)]],'[2]List source'!D$2:E$59,2,FALSE)</f>
        <v>#VALUE!</v>
      </c>
      <c r="C2076" s="99" t="s">
        <v>5759</v>
      </c>
      <c r="D2076" s="100" t="e">
        <f t="shared" si="65"/>
        <v>#VALUE!</v>
      </c>
      <c r="E2076" s="64" t="s">
        <v>5760</v>
      </c>
      <c r="F2076" s="66" t="e" cm="1" vm="1">
        <f t="array" aca="1" ref="F207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6" s="110">
        <v>47473.05</v>
      </c>
      <c r="I2076" s="67">
        <v>45847</v>
      </c>
      <c r="J2076" s="67" t="s">
        <v>29</v>
      </c>
      <c r="K2076" s="68">
        <v>45975</v>
      </c>
      <c r="L2076" s="69"/>
      <c r="M2076" s="66" t="str">
        <f t="shared" ca="1" si="64"/>
        <v>CLOSED</v>
      </c>
    </row>
    <row r="2077" spans="1:13" ht="30">
      <c r="A2077" s="64" t="s">
        <v>714</v>
      </c>
      <c r="B2077" s="98" t="e">
        <f>VLOOKUP([2]!Table27[[#This Row],[Location 
(drop-down)]],'[2]List source'!D$2:E$59,2,FALSE)</f>
        <v>#VALUE!</v>
      </c>
      <c r="C2077" s="99" t="s">
        <v>5761</v>
      </c>
      <c r="D2077" s="100" t="e">
        <f t="shared" si="65"/>
        <v>#VALUE!</v>
      </c>
      <c r="E2077" s="64" t="s">
        <v>5762</v>
      </c>
      <c r="F2077" s="66" t="e" cm="1" vm="1">
        <f t="array" aca="1" ref="F207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7" s="66">
        <v>19.38</v>
      </c>
      <c r="I2077" s="67">
        <v>45847</v>
      </c>
      <c r="J2077" s="67" t="s">
        <v>29</v>
      </c>
      <c r="K2077" s="68">
        <v>46031</v>
      </c>
      <c r="L2077" s="69"/>
      <c r="M2077" s="66" t="str">
        <f t="shared" ca="1" si="64"/>
        <v>CLOSED</v>
      </c>
    </row>
    <row r="2078" spans="1:13" ht="30">
      <c r="A2078" s="64" t="s">
        <v>714</v>
      </c>
      <c r="B2078" s="98" t="e">
        <f>VLOOKUP([2]!Table27[[#This Row],[Location 
(drop-down)]],'[2]List source'!D$2:E$59,2,FALSE)</f>
        <v>#VALUE!</v>
      </c>
      <c r="C2078" s="99" t="s">
        <v>5763</v>
      </c>
      <c r="D2078" s="100" t="e">
        <f t="shared" si="65"/>
        <v>#VALUE!</v>
      </c>
      <c r="E2078" s="64" t="s">
        <v>5764</v>
      </c>
      <c r="F2078" s="66" t="e" cm="1" vm="1">
        <f t="array" aca="1" ref="F207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8" s="110" t="s">
        <v>5765</v>
      </c>
      <c r="I2078" s="67">
        <v>45847</v>
      </c>
      <c r="J2078" s="67" t="s">
        <v>29</v>
      </c>
      <c r="K2078" s="68">
        <v>45930</v>
      </c>
      <c r="L2078" s="69"/>
      <c r="M2078" s="66" t="str">
        <f t="shared" ca="1" si="64"/>
        <v>CLOSED</v>
      </c>
    </row>
    <row r="2079" spans="1:13" ht="30">
      <c r="A2079" s="64" t="s">
        <v>714</v>
      </c>
      <c r="B2079" s="98" t="e">
        <f>VLOOKUP([2]!Table27[[#This Row],[Location 
(drop-down)]],'[2]List source'!D$2:E$59,2,FALSE)</f>
        <v>#VALUE!</v>
      </c>
      <c r="C2079" s="99" t="s">
        <v>5766</v>
      </c>
      <c r="D2079" s="100" t="e">
        <f t="shared" si="65"/>
        <v>#VALUE!</v>
      </c>
      <c r="E2079" s="64" t="s">
        <v>5672</v>
      </c>
      <c r="F2079" s="66" t="e" cm="1" vm="1">
        <f t="array" aca="1" ref="F207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79" s="110" t="s">
        <v>5677</v>
      </c>
      <c r="I2079" s="67">
        <v>45847</v>
      </c>
      <c r="J2079" s="67" t="s">
        <v>29</v>
      </c>
      <c r="K2079" s="68">
        <v>45911</v>
      </c>
      <c r="L2079" s="69"/>
      <c r="M2079" s="66" t="str">
        <f t="shared" ref="M2079:M2142" ca="1" si="66">IF(ISBLANK(K2079), TODAY()-(I2079), "CLOSED")</f>
        <v>CLOSED</v>
      </c>
    </row>
    <row r="2080" spans="1:13" ht="30">
      <c r="A2080" s="64" t="s">
        <v>714</v>
      </c>
      <c r="B2080" s="98" t="e">
        <f>VLOOKUP([2]!Table27[[#This Row],[Location 
(drop-down)]],'[2]List source'!D$2:E$59,2,FALSE)</f>
        <v>#VALUE!</v>
      </c>
      <c r="C2080" s="99" t="s">
        <v>5767</v>
      </c>
      <c r="D2080" s="100" t="e">
        <f t="shared" si="65"/>
        <v>#VALUE!</v>
      </c>
      <c r="E2080" s="64" t="s">
        <v>5768</v>
      </c>
      <c r="F2080" s="66" t="e" cm="1" vm="1">
        <f t="array" aca="1" ref="F208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0" s="66">
        <v>2.5</v>
      </c>
      <c r="I2080" s="67">
        <v>45847</v>
      </c>
      <c r="J2080" s="67" t="s">
        <v>29</v>
      </c>
      <c r="K2080" s="68">
        <v>46031</v>
      </c>
      <c r="L2080" s="69"/>
      <c r="M2080" s="66" t="str">
        <f t="shared" ca="1" si="66"/>
        <v>CLOSED</v>
      </c>
    </row>
    <row r="2081" spans="1:13" ht="45">
      <c r="A2081" s="64" t="s">
        <v>714</v>
      </c>
      <c r="B2081" s="98" t="e">
        <f>VLOOKUP([2]!Table27[[#This Row],[Location 
(drop-down)]],'[2]List source'!D$2:E$59,2,FALSE)</f>
        <v>#VALUE!</v>
      </c>
      <c r="C2081" s="99" t="s">
        <v>5769</v>
      </c>
      <c r="D2081" s="100" t="e">
        <f t="shared" si="65"/>
        <v>#VALUE!</v>
      </c>
      <c r="E2081" s="64" t="s">
        <v>5770</v>
      </c>
      <c r="F2081" s="66" t="e" cm="1" vm="1">
        <f t="array" aca="1" ref="F208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1" s="110" t="s">
        <v>5771</v>
      </c>
      <c r="I2081" s="67">
        <v>45847</v>
      </c>
      <c r="J2081" s="67" t="s">
        <v>29</v>
      </c>
      <c r="K2081" s="68">
        <v>45911</v>
      </c>
      <c r="L2081" s="69"/>
      <c r="M2081" s="66" t="str">
        <f t="shared" ca="1" si="66"/>
        <v>CLOSED</v>
      </c>
    </row>
    <row r="2082" spans="1:13" ht="30">
      <c r="A2082" s="64" t="s">
        <v>53</v>
      </c>
      <c r="B2082" s="98" t="e">
        <f>VLOOKUP([2]!Table27[[#This Row],[Location 
(drop-down)]],'[2]List source'!D$2:E$59,2,FALSE)</f>
        <v>#VALUE!</v>
      </c>
      <c r="C2082" s="99" t="s">
        <v>5772</v>
      </c>
      <c r="D2082" s="100" t="e">
        <f t="shared" si="65"/>
        <v>#VALUE!</v>
      </c>
      <c r="E2082" s="64" t="s">
        <v>5773</v>
      </c>
      <c r="F2082" s="66" t="s">
        <v>1524</v>
      </c>
      <c r="G20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2" s="110" t="s">
        <v>3672</v>
      </c>
      <c r="I2082" s="67">
        <v>45848</v>
      </c>
      <c r="J2082" s="67" t="s">
        <v>327</v>
      </c>
      <c r="K2082" s="68">
        <v>45958</v>
      </c>
      <c r="L2082" s="69"/>
      <c r="M2082" s="66" t="str">
        <f t="shared" ca="1" si="66"/>
        <v>CLOSED</v>
      </c>
    </row>
    <row r="2083" spans="1:13" ht="90">
      <c r="A2083" s="64" t="s">
        <v>73</v>
      </c>
      <c r="B2083" s="98" t="e">
        <f>VLOOKUP([2]!Table27[[#This Row],[Location 
(drop-down)]],'[2]List source'!D$2:E$59,2,FALSE)</f>
        <v>#VALUE!</v>
      </c>
      <c r="C2083" s="99" t="s">
        <v>5774</v>
      </c>
      <c r="D2083" s="100" t="e">
        <f t="shared" si="65"/>
        <v>#VALUE!</v>
      </c>
      <c r="E2083" s="64" t="s">
        <v>5775</v>
      </c>
      <c r="F2083" s="66" t="s">
        <v>1524</v>
      </c>
      <c r="G20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3" s="110">
        <v>2</v>
      </c>
      <c r="I2083" s="67">
        <v>45848</v>
      </c>
      <c r="J2083" s="67" t="s">
        <v>34</v>
      </c>
      <c r="K2083" s="68">
        <v>45848</v>
      </c>
      <c r="L2083" s="69" t="s">
        <v>1671</v>
      </c>
      <c r="M2083" s="66" t="str">
        <f t="shared" ca="1" si="66"/>
        <v>CLOSED</v>
      </c>
    </row>
    <row r="2084" spans="1:13" ht="30">
      <c r="A2084" s="64" t="s">
        <v>119</v>
      </c>
      <c r="B2084" s="98" t="e">
        <f>VLOOKUP([2]!Table27[[#This Row],[Location 
(drop-down)]],'[2]List source'!D$2:E$59,2,FALSE)</f>
        <v>#VALUE!</v>
      </c>
      <c r="C2084" s="99" t="s">
        <v>5776</v>
      </c>
      <c r="D2084" s="100" t="e">
        <f t="shared" si="65"/>
        <v>#VALUE!</v>
      </c>
      <c r="E2084" s="64" t="s">
        <v>5777</v>
      </c>
      <c r="F2084" s="66" t="e" cm="1" vm="1">
        <f t="array" aca="1" ref="F208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4" s="66" t="s">
        <v>5778</v>
      </c>
      <c r="I2084" s="67">
        <v>45849</v>
      </c>
      <c r="J2084" s="67" t="s">
        <v>111</v>
      </c>
      <c r="K2084" s="68">
        <v>45957</v>
      </c>
      <c r="L2084" s="69"/>
      <c r="M2084" s="66" t="str">
        <f t="shared" ca="1" si="66"/>
        <v>CLOSED</v>
      </c>
    </row>
    <row r="2085" spans="1:13" ht="30">
      <c r="A2085" s="64" t="s">
        <v>125</v>
      </c>
      <c r="B2085" s="98" t="e">
        <f>VLOOKUP([2]!Table27[[#This Row],[Location 
(drop-down)]],'[2]List source'!D$2:E$59,2,FALSE)</f>
        <v>#VALUE!</v>
      </c>
      <c r="C2085" s="99" t="s">
        <v>5779</v>
      </c>
      <c r="D2085" s="100" t="e">
        <f t="shared" si="65"/>
        <v>#VALUE!</v>
      </c>
      <c r="E2085" s="64" t="s">
        <v>5780</v>
      </c>
      <c r="F2085" s="66" t="s">
        <v>2274</v>
      </c>
      <c r="G20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5" s="110">
        <v>2.23</v>
      </c>
      <c r="I2085" s="67">
        <v>45849</v>
      </c>
      <c r="J2085" s="67" t="s">
        <v>111</v>
      </c>
      <c r="K2085" s="68">
        <v>45924</v>
      </c>
      <c r="L2085" s="69"/>
      <c r="M2085" s="66" t="str">
        <f t="shared" ca="1" si="66"/>
        <v>CLOSED</v>
      </c>
    </row>
    <row r="2086" spans="1:13" ht="90">
      <c r="A2086" s="64" t="s">
        <v>125</v>
      </c>
      <c r="B2086" s="98" t="e">
        <f>VLOOKUP([2]!Table27[[#This Row],[Location 
(drop-down)]],'[2]List source'!D$2:E$59,2,FALSE)</f>
        <v>#VALUE!</v>
      </c>
      <c r="C2086" s="99" t="s">
        <v>5781</v>
      </c>
      <c r="D2086" s="100" t="e">
        <f t="shared" si="65"/>
        <v>#VALUE!</v>
      </c>
      <c r="E2086" s="64" t="s">
        <v>5782</v>
      </c>
      <c r="F2086" s="66" t="s">
        <v>2274</v>
      </c>
      <c r="G20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6" s="110">
        <v>2.13</v>
      </c>
      <c r="I2086" s="67">
        <v>45849</v>
      </c>
      <c r="J2086" s="67" t="s">
        <v>34</v>
      </c>
      <c r="K2086" s="68">
        <v>45972</v>
      </c>
      <c r="L2086" s="69" t="s">
        <v>1671</v>
      </c>
      <c r="M2086" s="66" t="str">
        <f t="shared" ca="1" si="66"/>
        <v>CLOSED</v>
      </c>
    </row>
    <row r="2087" spans="1:13" ht="90">
      <c r="A2087" s="64" t="s">
        <v>30</v>
      </c>
      <c r="B2087" s="98" t="e">
        <f>VLOOKUP([2]!Table27[[#This Row],[Location 
(drop-down)]],'[2]List source'!D$2:E$59,2,FALSE)</f>
        <v>#VALUE!</v>
      </c>
      <c r="C2087" s="99" t="s">
        <v>5783</v>
      </c>
      <c r="D2087" s="100" t="e">
        <f t="shared" si="65"/>
        <v>#VALUE!</v>
      </c>
      <c r="E2087" s="64" t="s">
        <v>5784</v>
      </c>
      <c r="F2087" s="66" t="s">
        <v>2274</v>
      </c>
      <c r="G20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7" s="110" t="s">
        <v>5785</v>
      </c>
      <c r="I2087" s="67">
        <v>45849</v>
      </c>
      <c r="J2087" s="67" t="s">
        <v>34</v>
      </c>
      <c r="K2087" s="68">
        <v>45849</v>
      </c>
      <c r="L2087" s="69" t="s">
        <v>1671</v>
      </c>
      <c r="M2087" s="66" t="str">
        <f t="shared" ca="1" si="66"/>
        <v>CLOSED</v>
      </c>
    </row>
    <row r="2088" spans="1:13" ht="90">
      <c r="A2088" s="64" t="s">
        <v>114</v>
      </c>
      <c r="B2088" s="98" t="e">
        <f>VLOOKUP([2]!Table27[[#This Row],[Location 
(drop-down)]],'[2]List source'!D$2:E$59,2,FALSE)</f>
        <v>#VALUE!</v>
      </c>
      <c r="C2088" s="99" t="s">
        <v>5786</v>
      </c>
      <c r="D2088" s="100" t="e">
        <f t="shared" si="65"/>
        <v>#VALUE!</v>
      </c>
      <c r="E2088" s="64" t="s">
        <v>5787</v>
      </c>
      <c r="F2088" s="66" t="s">
        <v>3068</v>
      </c>
      <c r="G20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8" s="110" t="s">
        <v>1593</v>
      </c>
      <c r="I2088" s="67">
        <v>45849</v>
      </c>
      <c r="J2088" s="67" t="s">
        <v>34</v>
      </c>
      <c r="K2088" s="68">
        <v>45849</v>
      </c>
      <c r="L2088" s="69" t="s">
        <v>1671</v>
      </c>
      <c r="M2088" s="66" t="str">
        <f t="shared" ca="1" si="66"/>
        <v>CLOSED</v>
      </c>
    </row>
    <row r="2089" spans="1:13" ht="30">
      <c r="A2089" s="64" t="s">
        <v>114</v>
      </c>
      <c r="B2089" s="98" t="e">
        <f>VLOOKUP([2]!Table27[[#This Row],[Location 
(drop-down)]],'[2]List source'!D$2:E$59,2,FALSE)</f>
        <v>#VALUE!</v>
      </c>
      <c r="C2089" s="99" t="s">
        <v>5788</v>
      </c>
      <c r="D2089" s="100" t="e">
        <f t="shared" si="65"/>
        <v>#VALUE!</v>
      </c>
      <c r="E2089" s="64" t="s">
        <v>5789</v>
      </c>
      <c r="F2089" s="66" t="s">
        <v>3068</v>
      </c>
      <c r="G20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89" s="110" t="s">
        <v>5790</v>
      </c>
      <c r="I2089" s="67">
        <v>45849</v>
      </c>
      <c r="J2089" s="67"/>
      <c r="K2089" s="68"/>
      <c r="L2089" s="69"/>
      <c r="M2089" s="66">
        <f t="shared" ca="1" si="66"/>
        <v>229</v>
      </c>
    </row>
    <row r="2090" spans="1:13" ht="90">
      <c r="A2090" s="64" t="s">
        <v>495</v>
      </c>
      <c r="B2090" s="98" t="e">
        <f>VLOOKUP([2]!Table27[[#This Row],[Location 
(drop-down)]],'[2]List source'!D$2:E$59,2,FALSE)</f>
        <v>#VALUE!</v>
      </c>
      <c r="C2090" s="99" t="s">
        <v>5791</v>
      </c>
      <c r="D2090" s="100" t="e">
        <f t="shared" si="65"/>
        <v>#VALUE!</v>
      </c>
      <c r="E2090" s="64" t="s">
        <v>5787</v>
      </c>
      <c r="F2090" s="66" t="s">
        <v>3068</v>
      </c>
      <c r="G20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0" s="110" t="s">
        <v>5792</v>
      </c>
      <c r="I2090" s="67">
        <v>45849</v>
      </c>
      <c r="J2090" s="67" t="s">
        <v>34</v>
      </c>
      <c r="K2090" s="68">
        <v>45849</v>
      </c>
      <c r="L2090" s="69" t="s">
        <v>1671</v>
      </c>
      <c r="M2090" s="66" t="str">
        <f t="shared" ca="1" si="66"/>
        <v>CLOSED</v>
      </c>
    </row>
    <row r="2091" spans="1:13" ht="45">
      <c r="A2091" s="64" t="s">
        <v>15</v>
      </c>
      <c r="B2091" s="98" t="e">
        <f>VLOOKUP([2]!Table27[[#This Row],[Location 
(drop-down)]],'[2]List source'!D$2:E$59,2,FALSE)</f>
        <v>#VALUE!</v>
      </c>
      <c r="C2091" s="99" t="s">
        <v>5793</v>
      </c>
      <c r="D2091" s="100" t="e">
        <f t="shared" si="65"/>
        <v>#VALUE!</v>
      </c>
      <c r="E2091" s="64" t="s">
        <v>5794</v>
      </c>
      <c r="F2091" s="66" t="s">
        <v>3068</v>
      </c>
      <c r="G20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1" s="110" t="s">
        <v>5795</v>
      </c>
      <c r="I2091" s="67">
        <v>45849</v>
      </c>
      <c r="J2091" s="67" t="s">
        <v>69</v>
      </c>
      <c r="K2091" s="68">
        <v>46037</v>
      </c>
      <c r="L2091" s="69"/>
      <c r="M2091" s="66" t="str">
        <f t="shared" ca="1" si="66"/>
        <v>CLOSED</v>
      </c>
    </row>
    <row r="2092" spans="1:13" ht="30">
      <c r="A2092" s="64" t="s">
        <v>15</v>
      </c>
      <c r="B2092" s="98" t="e">
        <f>VLOOKUP([2]!Table27[[#This Row],[Location 
(drop-down)]],'[2]List source'!D$2:E$59,2,FALSE)</f>
        <v>#VALUE!</v>
      </c>
      <c r="C2092" s="99" t="s">
        <v>5796</v>
      </c>
      <c r="D2092" s="100" t="e">
        <f t="shared" si="65"/>
        <v>#VALUE!</v>
      </c>
      <c r="E2092" s="64" t="s">
        <v>5797</v>
      </c>
      <c r="F2092" s="66" t="s">
        <v>2279</v>
      </c>
      <c r="G20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2" s="66">
        <v>2.71</v>
      </c>
      <c r="I2092" s="67">
        <v>45849</v>
      </c>
      <c r="J2092" s="67"/>
      <c r="K2092" s="68"/>
      <c r="L2092" s="147"/>
      <c r="M2092" s="66">
        <f t="shared" ca="1" si="66"/>
        <v>229</v>
      </c>
    </row>
    <row r="2093" spans="1:13" ht="30">
      <c r="A2093" s="64" t="s">
        <v>15</v>
      </c>
      <c r="B2093" s="98" t="e">
        <f>VLOOKUP([2]!Table27[[#This Row],[Location 
(drop-down)]],'[2]List source'!D$2:E$59,2,FALSE)</f>
        <v>#VALUE!</v>
      </c>
      <c r="C2093" s="99" t="s">
        <v>5798</v>
      </c>
      <c r="D2093" s="100" t="e">
        <f t="shared" si="65"/>
        <v>#VALUE!</v>
      </c>
      <c r="E2093" s="64" t="s">
        <v>5799</v>
      </c>
      <c r="F2093" s="66" t="s">
        <v>2279</v>
      </c>
      <c r="G20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3" s="66">
        <v>5.18</v>
      </c>
      <c r="I2093" s="67">
        <v>45849</v>
      </c>
      <c r="J2093" s="67" t="s">
        <v>69</v>
      </c>
      <c r="K2093" s="68">
        <v>45964</v>
      </c>
      <c r="L2093" s="147"/>
      <c r="M2093" s="66" t="str">
        <f t="shared" ca="1" si="66"/>
        <v>CLOSED</v>
      </c>
    </row>
    <row r="2094" spans="1:13" ht="90">
      <c r="A2094" s="64" t="s">
        <v>15</v>
      </c>
      <c r="B2094" s="98" t="e">
        <f>VLOOKUP([2]!Table27[[#This Row],[Location 
(drop-down)]],'[2]List source'!D$2:E$59,2,FALSE)</f>
        <v>#VALUE!</v>
      </c>
      <c r="C2094" s="99" t="s">
        <v>5800</v>
      </c>
      <c r="D2094" s="100" t="e">
        <f t="shared" si="65"/>
        <v>#VALUE!</v>
      </c>
      <c r="E2094" s="64" t="s">
        <v>5801</v>
      </c>
      <c r="F2094" s="66" t="s">
        <v>2279</v>
      </c>
      <c r="G20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4" s="110" t="s">
        <v>2172</v>
      </c>
      <c r="I2094" s="67">
        <v>45849</v>
      </c>
      <c r="J2094" s="67" t="s">
        <v>34</v>
      </c>
      <c r="K2094" s="68">
        <v>45849</v>
      </c>
      <c r="L2094" s="69" t="s">
        <v>1671</v>
      </c>
      <c r="M2094" s="66" t="str">
        <f t="shared" ca="1" si="66"/>
        <v>CLOSED</v>
      </c>
    </row>
    <row r="2095" spans="1:13" ht="90">
      <c r="A2095" s="64" t="s">
        <v>399</v>
      </c>
      <c r="B2095" s="98" t="e">
        <f>VLOOKUP([2]!Table27[[#This Row],[Location 
(drop-down)]],'[2]List source'!D$2:E$59,2,FALSE)</f>
        <v>#VALUE!</v>
      </c>
      <c r="C2095" s="99" t="s">
        <v>5802</v>
      </c>
      <c r="D2095" s="100" t="e">
        <f t="shared" si="65"/>
        <v>#VALUE!</v>
      </c>
      <c r="E2095" s="64" t="s">
        <v>5803</v>
      </c>
      <c r="F2095" s="66" t="s">
        <v>2279</v>
      </c>
      <c r="G20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5" s="66" t="s">
        <v>5804</v>
      </c>
      <c r="I2095" s="67">
        <v>45849</v>
      </c>
      <c r="J2095" s="67" t="s">
        <v>34</v>
      </c>
      <c r="K2095" s="68">
        <v>45849</v>
      </c>
      <c r="L2095" s="69" t="s">
        <v>1671</v>
      </c>
      <c r="M2095" s="66" t="str">
        <f t="shared" ca="1" si="66"/>
        <v>CLOSED</v>
      </c>
    </row>
    <row r="2096" spans="1:13" ht="30">
      <c r="A2096" s="64" t="s">
        <v>399</v>
      </c>
      <c r="B2096" s="98" t="e">
        <f>VLOOKUP([2]!Table27[[#This Row],[Location 
(drop-down)]],'[2]List source'!D$2:E$59,2,FALSE)</f>
        <v>#VALUE!</v>
      </c>
      <c r="C2096" s="99" t="s">
        <v>5805</v>
      </c>
      <c r="D2096" s="100" t="e">
        <f t="shared" si="65"/>
        <v>#VALUE!</v>
      </c>
      <c r="E2096" s="64" t="s">
        <v>5806</v>
      </c>
      <c r="F2096" s="66" t="s">
        <v>2279</v>
      </c>
      <c r="G20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6" s="66">
        <v>29</v>
      </c>
      <c r="I2096" s="67">
        <v>45849</v>
      </c>
      <c r="J2096" s="67" t="s">
        <v>21</v>
      </c>
      <c r="K2096" s="68">
        <v>46053</v>
      </c>
      <c r="L2096" s="69"/>
      <c r="M2096" s="66" t="str">
        <f t="shared" ca="1" si="66"/>
        <v>CLOSED</v>
      </c>
    </row>
    <row r="2097" spans="1:13" ht="30">
      <c r="A2097" s="64" t="s">
        <v>39</v>
      </c>
      <c r="B2097" s="98" t="e">
        <f>VLOOKUP([2]!Table27[[#This Row],[Location 
(drop-down)]],'[2]List source'!D$2:E$59,2,FALSE)</f>
        <v>#VALUE!</v>
      </c>
      <c r="C2097" s="99" t="s">
        <v>5807</v>
      </c>
      <c r="D2097" s="100" t="e">
        <f t="shared" si="65"/>
        <v>#VALUE!</v>
      </c>
      <c r="E2097" s="64" t="s">
        <v>5808</v>
      </c>
      <c r="F2097" s="66" t="e" cm="1" vm="1">
        <f t="array" aca="1" ref="F209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7" s="66">
        <v>3.07</v>
      </c>
      <c r="I2097" s="67">
        <v>45849</v>
      </c>
      <c r="J2097" s="67" t="s">
        <v>239</v>
      </c>
      <c r="K2097" s="68">
        <v>45904</v>
      </c>
      <c r="L2097" s="147"/>
      <c r="M2097" s="66" t="str">
        <f t="shared" ca="1" si="66"/>
        <v>CLOSED</v>
      </c>
    </row>
    <row r="2098" spans="1:13" ht="90">
      <c r="A2098" s="64" t="s">
        <v>591</v>
      </c>
      <c r="B2098" s="98" t="e">
        <f>VLOOKUP([2]!Table27[[#This Row],[Location 
(drop-down)]],'[2]List source'!D$2:E$59,2,FALSE)</f>
        <v>#VALUE!</v>
      </c>
      <c r="C2098" s="99" t="s">
        <v>5809</v>
      </c>
      <c r="D2098" s="100" t="e">
        <f t="shared" si="65"/>
        <v>#VALUE!</v>
      </c>
      <c r="E2098" s="64" t="s">
        <v>5810</v>
      </c>
      <c r="F2098" s="66" t="e" cm="1" vm="1">
        <f t="array" aca="1" ref="F209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8" s="66">
        <v>2.38</v>
      </c>
      <c r="I2098" s="67">
        <v>45849</v>
      </c>
      <c r="J2098" s="67" t="s">
        <v>34</v>
      </c>
      <c r="K2098" s="68">
        <v>45849</v>
      </c>
      <c r="L2098" s="69" t="s">
        <v>1671</v>
      </c>
      <c r="M2098" s="66" t="str">
        <f t="shared" ca="1" si="66"/>
        <v>CLOSED</v>
      </c>
    </row>
    <row r="2099" spans="1:13" ht="30">
      <c r="A2099" s="64" t="s">
        <v>125</v>
      </c>
      <c r="B2099" s="98" t="e">
        <f>VLOOKUP([2]!Table27[[#This Row],[Location 
(drop-down)]],'[2]List source'!D$2:E$59,2,FALSE)</f>
        <v>#VALUE!</v>
      </c>
      <c r="C2099" s="99" t="s">
        <v>5811</v>
      </c>
      <c r="D2099" s="100" t="e">
        <f t="shared" si="65"/>
        <v>#VALUE!</v>
      </c>
      <c r="E2099" s="64" t="s">
        <v>5812</v>
      </c>
      <c r="F2099" s="66" t="e" cm="1" vm="1">
        <f t="array" aca="1" ref="F209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0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099" s="66">
        <v>2.06</v>
      </c>
      <c r="I2099" s="67">
        <v>45849</v>
      </c>
      <c r="J2099" s="67" t="s">
        <v>111</v>
      </c>
      <c r="K2099" s="68">
        <v>45912</v>
      </c>
      <c r="L2099" s="69"/>
      <c r="M2099" s="66" t="str">
        <f t="shared" ca="1" si="66"/>
        <v>CLOSED</v>
      </c>
    </row>
    <row r="2100" spans="1:13" ht="45">
      <c r="A2100" s="64" t="s">
        <v>311</v>
      </c>
      <c r="B2100" s="98" t="e">
        <f>VLOOKUP([2]!Table27[[#This Row],[Location 
(drop-down)]],'[2]List source'!D$2:E$59,2,FALSE)</f>
        <v>#VALUE!</v>
      </c>
      <c r="C2100" s="99" t="s">
        <v>5813</v>
      </c>
      <c r="D2100" s="100" t="e">
        <f t="shared" si="65"/>
        <v>#VALUE!</v>
      </c>
      <c r="E2100" s="64" t="s">
        <v>5814</v>
      </c>
      <c r="F2100" s="66" t="e" cm="1" vm="1">
        <f t="array" aca="1" ref="F210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0" s="110">
        <v>8.27</v>
      </c>
      <c r="I2100" s="67">
        <v>45849</v>
      </c>
      <c r="J2100" s="67" t="s">
        <v>34</v>
      </c>
      <c r="K2100" s="68">
        <v>45916</v>
      </c>
      <c r="L2100" s="69" t="s">
        <v>1505</v>
      </c>
      <c r="M2100" s="66" t="str">
        <f t="shared" ca="1" si="66"/>
        <v>CLOSED</v>
      </c>
    </row>
    <row r="2101" spans="1:13" ht="30">
      <c r="A2101" s="64" t="s">
        <v>311</v>
      </c>
      <c r="B2101" s="98" t="e">
        <f>VLOOKUP([2]!Table27[[#This Row],[Location 
(drop-down)]],'[2]List source'!D$2:E$59,2,FALSE)</f>
        <v>#VALUE!</v>
      </c>
      <c r="C2101" s="99" t="s">
        <v>5815</v>
      </c>
      <c r="D2101" s="100" t="e">
        <f t="shared" si="65"/>
        <v>#VALUE!</v>
      </c>
      <c r="E2101" s="64" t="s">
        <v>5816</v>
      </c>
      <c r="F2101" s="66" t="e" cm="1" vm="1">
        <f t="array" aca="1" ref="F210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1" s="66">
        <v>3.59</v>
      </c>
      <c r="I2101" s="67">
        <v>45849</v>
      </c>
      <c r="J2101" s="67" t="s">
        <v>310</v>
      </c>
      <c r="K2101" s="68">
        <v>45882</v>
      </c>
      <c r="L2101" s="69"/>
      <c r="M2101" s="66" t="str">
        <f t="shared" ca="1" si="66"/>
        <v>CLOSED</v>
      </c>
    </row>
    <row r="2102" spans="1:13" ht="30">
      <c r="A2102" s="64" t="s">
        <v>15</v>
      </c>
      <c r="B2102" s="98" t="e">
        <f>VLOOKUP([2]!Table27[[#This Row],[Location 
(drop-down)]],'[2]List source'!D$2:E$59,2,FALSE)</f>
        <v>#VALUE!</v>
      </c>
      <c r="C2102" s="99" t="s">
        <v>5817</v>
      </c>
      <c r="D2102" s="100" t="e">
        <f t="shared" si="65"/>
        <v>#VALUE!</v>
      </c>
      <c r="E2102" s="64" t="s">
        <v>5818</v>
      </c>
      <c r="F2102" s="66" t="e" cm="1" vm="1">
        <f t="array" aca="1" ref="F210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2" s="66">
        <v>2.88</v>
      </c>
      <c r="I2102" s="67">
        <v>45849</v>
      </c>
      <c r="J2102" s="67" t="s">
        <v>21</v>
      </c>
      <c r="K2102" s="68">
        <v>45957</v>
      </c>
      <c r="L2102" s="69"/>
      <c r="M2102" s="66" t="str">
        <f t="shared" ca="1" si="66"/>
        <v>CLOSED</v>
      </c>
    </row>
    <row r="2103" spans="1:13" ht="90">
      <c r="A2103" s="64" t="s">
        <v>125</v>
      </c>
      <c r="B2103" s="98" t="e">
        <f>VLOOKUP([2]!Table27[[#This Row],[Location 
(drop-down)]],'[2]List source'!D$2:E$59,2,FALSE)</f>
        <v>#VALUE!</v>
      </c>
      <c r="C2103" s="99" t="s">
        <v>5819</v>
      </c>
      <c r="D2103" s="100" t="e">
        <f t="shared" si="65"/>
        <v>#VALUE!</v>
      </c>
      <c r="E2103" s="64" t="s">
        <v>5820</v>
      </c>
      <c r="F2103" s="66" t="s">
        <v>2274</v>
      </c>
      <c r="G21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3" s="110" t="s">
        <v>1799</v>
      </c>
      <c r="I2103" s="67">
        <v>45849</v>
      </c>
      <c r="J2103" s="67" t="s">
        <v>34</v>
      </c>
      <c r="K2103" s="68">
        <v>45849</v>
      </c>
      <c r="L2103" s="69" t="s">
        <v>1671</v>
      </c>
      <c r="M2103" s="66" t="str">
        <f t="shared" ca="1" si="66"/>
        <v>CLOSED</v>
      </c>
    </row>
    <row r="2104" spans="1:13" ht="90">
      <c r="A2104" s="64" t="s">
        <v>202</v>
      </c>
      <c r="B2104" s="98" t="e">
        <f>VLOOKUP([2]!Table27[[#This Row],[Location 
(drop-down)]],'[2]List source'!D$2:E$59,2,FALSE)</f>
        <v>#VALUE!</v>
      </c>
      <c r="C2104" s="99" t="s">
        <v>5821</v>
      </c>
      <c r="D2104" s="100" t="e">
        <f t="shared" si="65"/>
        <v>#VALUE!</v>
      </c>
      <c r="E2104" s="64" t="s">
        <v>5822</v>
      </c>
      <c r="F2104" s="66" t="s">
        <v>2274</v>
      </c>
      <c r="G21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4" s="66">
        <v>2.69</v>
      </c>
      <c r="I2104" s="67">
        <v>45849</v>
      </c>
      <c r="J2104" s="67" t="s">
        <v>34</v>
      </c>
      <c r="K2104" s="68">
        <v>45849</v>
      </c>
      <c r="L2104" s="69" t="s">
        <v>1671</v>
      </c>
      <c r="M2104" s="66" t="str">
        <f t="shared" ca="1" si="66"/>
        <v>CLOSED</v>
      </c>
    </row>
    <row r="2105" spans="1:13" ht="90">
      <c r="A2105" s="64" t="s">
        <v>202</v>
      </c>
      <c r="B2105" s="98" t="e">
        <f>VLOOKUP([2]!Table27[[#This Row],[Location 
(drop-down)]],'[2]List source'!D$2:E$59,2,FALSE)</f>
        <v>#VALUE!</v>
      </c>
      <c r="C2105" s="99" t="s">
        <v>5823</v>
      </c>
      <c r="D2105" s="100" t="e">
        <f t="shared" si="65"/>
        <v>#VALUE!</v>
      </c>
      <c r="E2105" s="64" t="s">
        <v>5824</v>
      </c>
      <c r="F2105" s="66" t="s">
        <v>2274</v>
      </c>
      <c r="G21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5" s="110" t="s">
        <v>2549</v>
      </c>
      <c r="I2105" s="67">
        <v>45849</v>
      </c>
      <c r="J2105" s="67" t="s">
        <v>34</v>
      </c>
      <c r="K2105" s="68">
        <v>45849</v>
      </c>
      <c r="L2105" s="69" t="s">
        <v>1671</v>
      </c>
      <c r="M2105" s="66" t="str">
        <f t="shared" ca="1" si="66"/>
        <v>CLOSED</v>
      </c>
    </row>
    <row r="2106" spans="1:13" ht="90">
      <c r="A2106" s="64" t="s">
        <v>202</v>
      </c>
      <c r="B2106" s="98" t="e">
        <f>VLOOKUP([2]!Table27[[#This Row],[Location 
(drop-down)]],'[2]List source'!D$2:E$59,2,FALSE)</f>
        <v>#VALUE!</v>
      </c>
      <c r="C2106" s="99" t="s">
        <v>5825</v>
      </c>
      <c r="D2106" s="100" t="e">
        <f t="shared" si="65"/>
        <v>#VALUE!</v>
      </c>
      <c r="E2106" s="64" t="s">
        <v>5826</v>
      </c>
      <c r="F2106" s="66" t="s">
        <v>2274</v>
      </c>
      <c r="G21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6" s="66">
        <v>2.56</v>
      </c>
      <c r="I2106" s="67">
        <v>45849</v>
      </c>
      <c r="J2106" s="67" t="s">
        <v>34</v>
      </c>
      <c r="K2106" s="68">
        <v>45849</v>
      </c>
      <c r="L2106" s="69" t="s">
        <v>1671</v>
      </c>
      <c r="M2106" s="66" t="str">
        <f t="shared" ca="1" si="66"/>
        <v>CLOSED</v>
      </c>
    </row>
    <row r="2107" spans="1:13" ht="90">
      <c r="A2107" s="64" t="s">
        <v>314</v>
      </c>
      <c r="B2107" s="98" t="e">
        <f>VLOOKUP([2]!Table27[[#This Row],[Location 
(drop-down)]],'[2]List source'!D$2:E$59,2,FALSE)</f>
        <v>#VALUE!</v>
      </c>
      <c r="C2107" s="99" t="s">
        <v>5827</v>
      </c>
      <c r="D2107" s="100" t="e">
        <f t="shared" si="65"/>
        <v>#VALUE!</v>
      </c>
      <c r="E2107" s="64" t="s">
        <v>5828</v>
      </c>
      <c r="F2107" s="66" t="e" cm="1" vm="1">
        <f t="array" aca="1" ref="F21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0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7" s="110" t="s">
        <v>1799</v>
      </c>
      <c r="I2107" s="67">
        <v>45852</v>
      </c>
      <c r="J2107" s="67" t="s">
        <v>34</v>
      </c>
      <c r="K2107" s="68">
        <v>45852</v>
      </c>
      <c r="L2107" s="69" t="s">
        <v>1671</v>
      </c>
      <c r="M2107" s="66" t="str">
        <f t="shared" ca="1" si="66"/>
        <v>CLOSED</v>
      </c>
    </row>
    <row r="2108" spans="1:13" ht="30">
      <c r="A2108" s="64" t="s">
        <v>294</v>
      </c>
      <c r="B2108" s="98" t="e">
        <f>VLOOKUP([2]!Table27[[#This Row],[Location 
(drop-down)]],'[2]List source'!D$2:E$59,2,FALSE)</f>
        <v>#VALUE!</v>
      </c>
      <c r="C2108" s="99" t="s">
        <v>5829</v>
      </c>
      <c r="D2108" s="100" t="e">
        <f t="shared" si="65"/>
        <v>#VALUE!</v>
      </c>
      <c r="E2108" s="64" t="s">
        <v>5830</v>
      </c>
      <c r="F2108" s="66" t="e" cm="1" vm="1">
        <f t="array" aca="1" ref="F210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0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8" s="110" t="s">
        <v>5831</v>
      </c>
      <c r="I2108" s="67">
        <v>45852</v>
      </c>
      <c r="J2108" s="67" t="s">
        <v>327</v>
      </c>
      <c r="K2108" s="68">
        <v>45916</v>
      </c>
      <c r="L2108" s="69"/>
      <c r="M2108" s="66" t="str">
        <f t="shared" ca="1" si="66"/>
        <v>CLOSED</v>
      </c>
    </row>
    <row r="2109" spans="1:13" ht="90">
      <c r="A2109" s="64" t="s">
        <v>23</v>
      </c>
      <c r="B2109" s="98" t="e">
        <f>VLOOKUP([2]!Table27[[#This Row],[Location 
(drop-down)]],'[2]List source'!D$2:E$59,2,FALSE)</f>
        <v>#VALUE!</v>
      </c>
      <c r="C2109" s="99" t="s">
        <v>5832</v>
      </c>
      <c r="D2109" s="100" t="e">
        <f t="shared" si="65"/>
        <v>#VALUE!</v>
      </c>
      <c r="E2109" s="64" t="s">
        <v>5833</v>
      </c>
      <c r="F2109" s="66" t="e" cm="1" vm="1">
        <f t="array" aca="1" ref="F21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0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09" s="110">
        <v>2.61</v>
      </c>
      <c r="I2109" s="67">
        <v>45852</v>
      </c>
      <c r="J2109" s="67" t="s">
        <v>34</v>
      </c>
      <c r="K2109" s="68">
        <v>45852</v>
      </c>
      <c r="L2109" s="69" t="s">
        <v>1671</v>
      </c>
      <c r="M2109" s="66" t="str">
        <f t="shared" ca="1" si="66"/>
        <v>CLOSED</v>
      </c>
    </row>
    <row r="2110" spans="1:13" ht="45">
      <c r="A2110" s="64" t="s">
        <v>15</v>
      </c>
      <c r="B2110" s="98" t="e">
        <f>VLOOKUP([2]!Table27[[#This Row],[Location 
(drop-down)]],'[2]List source'!D$2:E$59,2,FALSE)</f>
        <v>#VALUE!</v>
      </c>
      <c r="C2110" s="99" t="s">
        <v>5834</v>
      </c>
      <c r="D2110" s="100" t="e">
        <f t="shared" si="65"/>
        <v>#VALUE!</v>
      </c>
      <c r="E2110" s="64" t="s">
        <v>5835</v>
      </c>
      <c r="F2110" s="66" t="e" cm="1" vm="1">
        <f t="array" aca="1" ref="F211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0" s="110" t="s">
        <v>5836</v>
      </c>
      <c r="I2110" s="67">
        <v>45852</v>
      </c>
      <c r="J2110" s="67" t="s">
        <v>34</v>
      </c>
      <c r="K2110" s="68">
        <v>45859</v>
      </c>
      <c r="L2110" s="69" t="s">
        <v>1773</v>
      </c>
      <c r="M2110" s="66" t="str">
        <f t="shared" ca="1" si="66"/>
        <v>CLOSED</v>
      </c>
    </row>
    <row r="2111" spans="1:13" ht="45">
      <c r="A2111" s="64" t="s">
        <v>399</v>
      </c>
      <c r="B2111" s="98" t="e">
        <f>VLOOKUP([2]!Table27[[#This Row],[Location 
(drop-down)]],'[2]List source'!D$2:E$59,2,FALSE)</f>
        <v>#VALUE!</v>
      </c>
      <c r="C2111" s="99" t="s">
        <v>5837</v>
      </c>
      <c r="D2111" s="100" t="e">
        <f t="shared" si="65"/>
        <v>#VALUE!</v>
      </c>
      <c r="E2111" s="64" t="s">
        <v>5838</v>
      </c>
      <c r="F2111" s="66" t="e" cm="1" vm="1">
        <f t="array" aca="1" ref="F211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1" s="110" t="s">
        <v>5839</v>
      </c>
      <c r="I2111" s="67">
        <v>45852</v>
      </c>
      <c r="J2111" s="67" t="s">
        <v>34</v>
      </c>
      <c r="K2111" s="68">
        <v>45862</v>
      </c>
      <c r="L2111" s="69" t="s">
        <v>1773</v>
      </c>
      <c r="M2111" s="66" t="str">
        <f t="shared" ca="1" si="66"/>
        <v>CLOSED</v>
      </c>
    </row>
    <row r="2112" spans="1:13" ht="45">
      <c r="A2112" s="64" t="s">
        <v>399</v>
      </c>
      <c r="B2112" s="98" t="e">
        <f>VLOOKUP([2]!Table27[[#This Row],[Location 
(drop-down)]],'[2]List source'!D$2:E$59,2,FALSE)</f>
        <v>#VALUE!</v>
      </c>
      <c r="C2112" s="99" t="s">
        <v>5840</v>
      </c>
      <c r="D2112" s="100" t="e">
        <f t="shared" si="65"/>
        <v>#VALUE!</v>
      </c>
      <c r="E2112" s="64" t="s">
        <v>5841</v>
      </c>
      <c r="F2112" s="66" t="e" cm="1" vm="1">
        <f t="array" aca="1" ref="F211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2" s="66" t="s">
        <v>5842</v>
      </c>
      <c r="I2112" s="67">
        <v>45852</v>
      </c>
      <c r="J2112" s="67" t="s">
        <v>34</v>
      </c>
      <c r="K2112" s="68">
        <v>45862</v>
      </c>
      <c r="L2112" s="69" t="s">
        <v>1773</v>
      </c>
      <c r="M2112" s="66" t="str">
        <f t="shared" ca="1" si="66"/>
        <v>CLOSED</v>
      </c>
    </row>
    <row r="2113" spans="1:13" ht="45">
      <c r="A2113" s="64" t="s">
        <v>43</v>
      </c>
      <c r="B2113" s="98" t="e">
        <f>VLOOKUP([2]!Table27[[#This Row],[Location 
(drop-down)]],'[2]List source'!D$2:E$59,2,FALSE)</f>
        <v>#VALUE!</v>
      </c>
      <c r="C2113" s="99" t="s">
        <v>5843</v>
      </c>
      <c r="D2113" s="100" t="e">
        <f t="shared" si="65"/>
        <v>#VALUE!</v>
      </c>
      <c r="E2113" s="64" t="s">
        <v>5844</v>
      </c>
      <c r="F2113" s="66" t="e" cm="1" vm="1">
        <f t="array" aca="1" ref="F211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3" s="66" t="s">
        <v>5845</v>
      </c>
      <c r="I2113" s="67">
        <v>45852</v>
      </c>
      <c r="J2113" s="67" t="s">
        <v>34</v>
      </c>
      <c r="K2113" s="68">
        <v>45863</v>
      </c>
      <c r="L2113" s="69" t="s">
        <v>1773</v>
      </c>
      <c r="M2113" s="66" t="str">
        <f t="shared" ca="1" si="66"/>
        <v>CLOSED</v>
      </c>
    </row>
    <row r="2114" spans="1:13" ht="45">
      <c r="A2114" s="64" t="s">
        <v>43</v>
      </c>
      <c r="B2114" s="98" t="e">
        <f>VLOOKUP([2]!Table27[[#This Row],[Location 
(drop-down)]],'[2]List source'!D$2:E$59,2,FALSE)</f>
        <v>#VALUE!</v>
      </c>
      <c r="C2114" s="99" t="s">
        <v>5846</v>
      </c>
      <c r="D2114" s="100" t="e">
        <f t="shared" ref="D2114:D2177" si="67">"PTO" &amp; C2114 &amp; "-" &amp; B2114 &amp; "-" &amp; "23"</f>
        <v>#VALUE!</v>
      </c>
      <c r="E2114" s="64" t="s">
        <v>5847</v>
      </c>
      <c r="F2114" s="66" t="e" cm="1" vm="1">
        <f t="array" aca="1" ref="F211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1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4" s="110" t="s">
        <v>5848</v>
      </c>
      <c r="I2114" s="67">
        <v>45852</v>
      </c>
      <c r="J2114" s="67" t="s">
        <v>108</v>
      </c>
      <c r="K2114" s="68">
        <v>45872</v>
      </c>
      <c r="L2114" s="69"/>
      <c r="M2114" s="66" t="str">
        <f t="shared" ca="1" si="66"/>
        <v>CLOSED</v>
      </c>
    </row>
    <row r="2115" spans="1:13" ht="45">
      <c r="A2115" s="64" t="s">
        <v>43</v>
      </c>
      <c r="B2115" s="98" t="e">
        <f>VLOOKUP([2]!Table27[[#This Row],[Location 
(drop-down)]],'[2]List source'!D$2:E$59,2,FALSE)</f>
        <v>#VALUE!</v>
      </c>
      <c r="C2115" s="99" t="s">
        <v>5849</v>
      </c>
      <c r="D2115" s="100" t="e">
        <f t="shared" si="67"/>
        <v>#VALUE!</v>
      </c>
      <c r="E2115" s="64" t="s">
        <v>5850</v>
      </c>
      <c r="F2115" s="66" t="e" cm="1" vm="1">
        <f t="array" aca="1" ref="F211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5" s="110" t="s">
        <v>5851</v>
      </c>
      <c r="I2115" s="67">
        <v>45852</v>
      </c>
      <c r="J2115" s="67" t="s">
        <v>108</v>
      </c>
      <c r="K2115" s="68">
        <v>45872</v>
      </c>
      <c r="L2115" s="69"/>
      <c r="M2115" s="66" t="str">
        <f t="shared" ca="1" si="66"/>
        <v>CLOSED</v>
      </c>
    </row>
    <row r="2116" spans="1:13" ht="90">
      <c r="A2116" s="64" t="s">
        <v>156</v>
      </c>
      <c r="B2116" s="98" t="e">
        <f>VLOOKUP([2]!Table27[[#This Row],[Location 
(drop-down)]],'[2]List source'!D$2:E$59,2,FALSE)</f>
        <v>#VALUE!</v>
      </c>
      <c r="C2116" s="99" t="s">
        <v>5852</v>
      </c>
      <c r="D2116" s="100" t="e">
        <f t="shared" si="67"/>
        <v>#VALUE!</v>
      </c>
      <c r="E2116" s="64" t="s">
        <v>5853</v>
      </c>
      <c r="F2116" s="66" t="s">
        <v>1520</v>
      </c>
      <c r="G21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6" s="110" t="s">
        <v>1962</v>
      </c>
      <c r="I2116" s="67">
        <v>45854</v>
      </c>
      <c r="J2116" s="67" t="s">
        <v>34</v>
      </c>
      <c r="K2116" s="68">
        <v>45854</v>
      </c>
      <c r="L2116" s="69" t="s">
        <v>1671</v>
      </c>
      <c r="M2116" s="66" t="str">
        <f t="shared" ca="1" si="66"/>
        <v>CLOSED</v>
      </c>
    </row>
    <row r="2117" spans="1:13" ht="30">
      <c r="A2117" s="64" t="s">
        <v>432</v>
      </c>
      <c r="B2117" s="98" t="e">
        <f>VLOOKUP([2]!Table27[[#This Row],[Location 
(drop-down)]],'[2]List source'!D$2:E$59,2,FALSE)</f>
        <v>#VALUE!</v>
      </c>
      <c r="C2117" s="99" t="s">
        <v>5854</v>
      </c>
      <c r="D2117" s="100" t="e">
        <f t="shared" si="67"/>
        <v>#VALUE!</v>
      </c>
      <c r="E2117" s="64" t="s">
        <v>5855</v>
      </c>
      <c r="F2117" s="66" t="s">
        <v>1520</v>
      </c>
      <c r="G21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7" s="110" t="s">
        <v>5856</v>
      </c>
      <c r="I2117" s="67">
        <v>45854</v>
      </c>
      <c r="J2117" s="67" t="s">
        <v>108</v>
      </c>
      <c r="K2117" s="68">
        <v>45931</v>
      </c>
      <c r="L2117" s="69"/>
      <c r="M2117" s="66" t="str">
        <f t="shared" ca="1" si="66"/>
        <v>CLOSED</v>
      </c>
    </row>
    <row r="2118" spans="1:13" ht="30">
      <c r="A2118" s="64" t="s">
        <v>432</v>
      </c>
      <c r="B2118" s="98" t="e">
        <f>VLOOKUP([2]!Table27[[#This Row],[Location 
(drop-down)]],'[2]List source'!D$2:E$59,2,FALSE)</f>
        <v>#VALUE!</v>
      </c>
      <c r="C2118" s="99" t="s">
        <v>5857</v>
      </c>
      <c r="D2118" s="100" t="e">
        <f t="shared" si="67"/>
        <v>#VALUE!</v>
      </c>
      <c r="E2118" s="64" t="s">
        <v>5858</v>
      </c>
      <c r="F2118" s="66" t="s">
        <v>1520</v>
      </c>
      <c r="G21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8" s="110" t="s">
        <v>1808</v>
      </c>
      <c r="I2118" s="67">
        <v>45854</v>
      </c>
      <c r="J2118" s="67"/>
      <c r="K2118" s="68"/>
      <c r="L2118" s="69"/>
      <c r="M2118" s="66">
        <f t="shared" ca="1" si="66"/>
        <v>224</v>
      </c>
    </row>
    <row r="2119" spans="1:13" ht="90">
      <c r="A2119" s="64" t="s">
        <v>432</v>
      </c>
      <c r="B2119" s="98" t="e">
        <f>VLOOKUP([2]!Table27[[#This Row],[Location 
(drop-down)]],'[2]List source'!D$2:E$59,2,FALSE)</f>
        <v>#VALUE!</v>
      </c>
      <c r="C2119" s="99" t="s">
        <v>5859</v>
      </c>
      <c r="D2119" s="100" t="e">
        <f t="shared" si="67"/>
        <v>#VALUE!</v>
      </c>
      <c r="E2119" s="64" t="s">
        <v>5860</v>
      </c>
      <c r="F2119" s="66" t="s">
        <v>1520</v>
      </c>
      <c r="G21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19" s="66">
        <v>2.0299999999999998</v>
      </c>
      <c r="I2119" s="67">
        <v>45854</v>
      </c>
      <c r="J2119" s="67" t="s">
        <v>34</v>
      </c>
      <c r="K2119" s="68">
        <v>45854</v>
      </c>
      <c r="L2119" s="69" t="s">
        <v>1671</v>
      </c>
      <c r="M2119" s="66" t="str">
        <f t="shared" ca="1" si="66"/>
        <v>CLOSED</v>
      </c>
    </row>
    <row r="2120" spans="1:13" ht="30">
      <c r="A2120" s="64" t="s">
        <v>432</v>
      </c>
      <c r="B2120" s="98" t="e">
        <f>VLOOKUP([2]!Table27[[#This Row],[Location 
(drop-down)]],'[2]List source'!D$2:E$59,2,FALSE)</f>
        <v>#VALUE!</v>
      </c>
      <c r="C2120" s="99" t="s">
        <v>5861</v>
      </c>
      <c r="D2120" s="100" t="e">
        <f t="shared" si="67"/>
        <v>#VALUE!</v>
      </c>
      <c r="E2120" s="64" t="s">
        <v>5862</v>
      </c>
      <c r="F2120" s="66" t="s">
        <v>1520</v>
      </c>
      <c r="G21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0" s="110" t="s">
        <v>5863</v>
      </c>
      <c r="I2120" s="67">
        <v>45854</v>
      </c>
      <c r="J2120" s="67" t="s">
        <v>108</v>
      </c>
      <c r="K2120" s="68">
        <v>45931</v>
      </c>
      <c r="L2120" s="69"/>
      <c r="M2120" s="66" t="str">
        <f t="shared" ca="1" si="66"/>
        <v>CLOSED</v>
      </c>
    </row>
    <row r="2121" spans="1:13" ht="60">
      <c r="A2121" s="64" t="s">
        <v>432</v>
      </c>
      <c r="B2121" s="98" t="e">
        <f>VLOOKUP([2]!Table27[[#This Row],[Location 
(drop-down)]],'[2]List source'!D$2:E$59,2,FALSE)</f>
        <v>#VALUE!</v>
      </c>
      <c r="C2121" s="99" t="s">
        <v>5864</v>
      </c>
      <c r="D2121" s="100" t="e">
        <f t="shared" si="67"/>
        <v>#VALUE!</v>
      </c>
      <c r="E2121" s="64" t="s">
        <v>5865</v>
      </c>
      <c r="F2121" s="66" t="s">
        <v>1520</v>
      </c>
      <c r="G21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1" s="110" t="s">
        <v>1808</v>
      </c>
      <c r="I2121" s="67">
        <v>45854</v>
      </c>
      <c r="J2121" s="67"/>
      <c r="K2121" s="68"/>
      <c r="L2121" s="69"/>
      <c r="M2121" s="66">
        <f t="shared" ca="1" si="66"/>
        <v>224</v>
      </c>
    </row>
    <row r="2122" spans="1:13" ht="30">
      <c r="A2122" s="64" t="s">
        <v>432</v>
      </c>
      <c r="B2122" s="98" t="e">
        <f>VLOOKUP([2]!Table27[[#This Row],[Location 
(drop-down)]],'[2]List source'!D$2:E$59,2,FALSE)</f>
        <v>#VALUE!</v>
      </c>
      <c r="C2122" s="99" t="s">
        <v>5866</v>
      </c>
      <c r="D2122" s="100" t="e">
        <f t="shared" si="67"/>
        <v>#VALUE!</v>
      </c>
      <c r="E2122" s="64" t="s">
        <v>5867</v>
      </c>
      <c r="F2122" s="66" t="s">
        <v>1520</v>
      </c>
      <c r="G21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2" s="110" t="s">
        <v>3180</v>
      </c>
      <c r="I2122" s="67">
        <v>45854</v>
      </c>
      <c r="J2122" s="67"/>
      <c r="K2122" s="68"/>
      <c r="L2122" s="69"/>
      <c r="M2122" s="66">
        <f t="shared" ca="1" si="66"/>
        <v>224</v>
      </c>
    </row>
    <row r="2123" spans="1:13" ht="45">
      <c r="A2123" s="64" t="s">
        <v>462</v>
      </c>
      <c r="B2123" s="98" t="e">
        <f>VLOOKUP([2]!Table27[[#This Row],[Location 
(drop-down)]],'[2]List source'!D$2:E$59,2,FALSE)</f>
        <v>#VALUE!</v>
      </c>
      <c r="C2123" s="99" t="s">
        <v>5868</v>
      </c>
      <c r="D2123" s="100" t="e">
        <f t="shared" si="67"/>
        <v>#VALUE!</v>
      </c>
      <c r="E2123" s="64" t="s">
        <v>5869</v>
      </c>
      <c r="F2123" s="66" t="s">
        <v>1520</v>
      </c>
      <c r="G21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3" s="66">
        <v>9.7799999999999994</v>
      </c>
      <c r="I2123" s="67">
        <v>45854</v>
      </c>
      <c r="J2123" s="67" t="s">
        <v>34</v>
      </c>
      <c r="K2123" s="68">
        <v>45869</v>
      </c>
      <c r="L2123" s="69" t="s">
        <v>1505</v>
      </c>
      <c r="M2123" s="66" t="str">
        <f t="shared" ca="1" si="66"/>
        <v>CLOSED</v>
      </c>
    </row>
    <row r="2124" spans="1:13" ht="30">
      <c r="A2124" s="64" t="s">
        <v>591</v>
      </c>
      <c r="B2124" s="98" t="e">
        <f>VLOOKUP([2]!Table27[[#This Row],[Location 
(drop-down)]],'[2]List source'!D$2:E$59,2,FALSE)</f>
        <v>#VALUE!</v>
      </c>
      <c r="C2124" s="99" t="s">
        <v>5870</v>
      </c>
      <c r="D2124" s="100" t="e">
        <f t="shared" si="67"/>
        <v>#VALUE!</v>
      </c>
      <c r="E2124" s="64" t="s">
        <v>5858</v>
      </c>
      <c r="F2124" s="66" t="s">
        <v>1520</v>
      </c>
      <c r="G21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4" s="110" t="s">
        <v>1808</v>
      </c>
      <c r="I2124" s="67">
        <v>45854</v>
      </c>
      <c r="J2124" s="67" t="s">
        <v>29</v>
      </c>
      <c r="K2124" s="68">
        <v>45881</v>
      </c>
      <c r="L2124" s="69"/>
      <c r="M2124" s="66" t="str">
        <f t="shared" ca="1" si="66"/>
        <v>CLOSED</v>
      </c>
    </row>
    <row r="2125" spans="1:13" ht="45">
      <c r="A2125" s="64" t="s">
        <v>125</v>
      </c>
      <c r="B2125" s="98" t="e">
        <f>VLOOKUP([2]!Table27[[#This Row],[Location 
(drop-down)]],'[2]List source'!D$2:E$59,2,FALSE)</f>
        <v>#VALUE!</v>
      </c>
      <c r="C2125" s="99" t="s">
        <v>5871</v>
      </c>
      <c r="D2125" s="100" t="e">
        <f t="shared" si="67"/>
        <v>#VALUE!</v>
      </c>
      <c r="E2125" s="64" t="s">
        <v>5872</v>
      </c>
      <c r="F2125" s="66" t="s">
        <v>1520</v>
      </c>
      <c r="G21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5" s="66" t="s">
        <v>1579</v>
      </c>
      <c r="I2125" s="67">
        <v>45854</v>
      </c>
      <c r="J2125" s="67" t="s">
        <v>111</v>
      </c>
      <c r="K2125" s="68">
        <v>46004</v>
      </c>
      <c r="L2125" s="69"/>
      <c r="M2125" s="66" t="str">
        <f t="shared" ca="1" si="66"/>
        <v>CLOSED</v>
      </c>
    </row>
    <row r="2126" spans="1:13" ht="45">
      <c r="A2126" s="64" t="s">
        <v>125</v>
      </c>
      <c r="B2126" s="98" t="e">
        <f>VLOOKUP([2]!Table27[[#This Row],[Location 
(drop-down)]],'[2]List source'!D$2:E$59,2,FALSE)</f>
        <v>#VALUE!</v>
      </c>
      <c r="C2126" s="99" t="s">
        <v>5873</v>
      </c>
      <c r="D2126" s="100" t="e">
        <f t="shared" si="67"/>
        <v>#VALUE!</v>
      </c>
      <c r="E2126" s="64" t="s">
        <v>5874</v>
      </c>
      <c r="F2126" s="66" t="s">
        <v>1520</v>
      </c>
      <c r="G21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6" s="110" t="s">
        <v>5875</v>
      </c>
      <c r="I2126" s="67">
        <v>45854</v>
      </c>
      <c r="J2126" s="67" t="s">
        <v>111</v>
      </c>
      <c r="K2126" s="68">
        <v>45964</v>
      </c>
      <c r="L2126" s="69"/>
      <c r="M2126" s="66" t="str">
        <f t="shared" ca="1" si="66"/>
        <v>CLOSED</v>
      </c>
    </row>
    <row r="2127" spans="1:13" ht="90">
      <c r="A2127" s="64" t="s">
        <v>119</v>
      </c>
      <c r="B2127" s="98" t="e">
        <f>VLOOKUP([2]!Table27[[#This Row],[Location 
(drop-down)]],'[2]List source'!D$2:E$59,2,FALSE)</f>
        <v>#VALUE!</v>
      </c>
      <c r="C2127" s="99" t="s">
        <v>5876</v>
      </c>
      <c r="D2127" s="100" t="e">
        <f t="shared" si="67"/>
        <v>#VALUE!</v>
      </c>
      <c r="E2127" s="64" t="s">
        <v>5877</v>
      </c>
      <c r="F2127" s="66" t="s">
        <v>1520</v>
      </c>
      <c r="G21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7" s="110" t="s">
        <v>2650</v>
      </c>
      <c r="I2127" s="67">
        <v>45854</v>
      </c>
      <c r="J2127" s="67" t="s">
        <v>34</v>
      </c>
      <c r="K2127" s="68">
        <v>45854</v>
      </c>
      <c r="L2127" s="69" t="s">
        <v>1671</v>
      </c>
      <c r="M2127" s="66" t="str">
        <f t="shared" ca="1" si="66"/>
        <v>CLOSED</v>
      </c>
    </row>
    <row r="2128" spans="1:13" ht="30">
      <c r="A2128" s="64" t="s">
        <v>119</v>
      </c>
      <c r="B2128" s="98" t="e">
        <f>VLOOKUP([2]!Table27[[#This Row],[Location 
(drop-down)]],'[2]List source'!D$2:E$59,2,FALSE)</f>
        <v>#VALUE!</v>
      </c>
      <c r="C2128" s="99" t="s">
        <v>5878</v>
      </c>
      <c r="D2128" s="100" t="e">
        <f t="shared" si="67"/>
        <v>#VALUE!</v>
      </c>
      <c r="E2128" s="64" t="s">
        <v>5879</v>
      </c>
      <c r="F2128" s="66" t="s">
        <v>1520</v>
      </c>
      <c r="G21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8" s="110" t="s">
        <v>5880</v>
      </c>
      <c r="I2128" s="67">
        <v>45854</v>
      </c>
      <c r="J2128" s="67" t="s">
        <v>111</v>
      </c>
      <c r="K2128" s="68">
        <v>45986</v>
      </c>
      <c r="L2128" s="69"/>
      <c r="M2128" s="66" t="str">
        <f t="shared" ca="1" si="66"/>
        <v>CLOSED</v>
      </c>
    </row>
    <row r="2129" spans="1:13" ht="30">
      <c r="A2129" s="64" t="s">
        <v>119</v>
      </c>
      <c r="B2129" s="98" t="e">
        <f>VLOOKUP([2]!Table27[[#This Row],[Location 
(drop-down)]],'[2]List source'!D$2:E$59,2,FALSE)</f>
        <v>#VALUE!</v>
      </c>
      <c r="C2129" s="99" t="s">
        <v>5881</v>
      </c>
      <c r="D2129" s="100" t="e">
        <f t="shared" si="67"/>
        <v>#VALUE!</v>
      </c>
      <c r="E2129" s="64" t="s">
        <v>5882</v>
      </c>
      <c r="F2129" s="66" t="s">
        <v>1520</v>
      </c>
      <c r="G21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29" s="66">
        <v>2.0099999999999998</v>
      </c>
      <c r="I2129" s="67">
        <v>45854</v>
      </c>
      <c r="J2129" s="67" t="s">
        <v>111</v>
      </c>
      <c r="K2129" s="68">
        <v>46004</v>
      </c>
      <c r="L2129" s="69"/>
      <c r="M2129" s="66" t="str">
        <f t="shared" ca="1" si="66"/>
        <v>CLOSED</v>
      </c>
    </row>
    <row r="2130" spans="1:13" ht="30">
      <c r="A2130" s="64" t="s">
        <v>30</v>
      </c>
      <c r="B2130" s="98" t="e">
        <f>VLOOKUP([2]!Table27[[#This Row],[Location 
(drop-down)]],'[2]List source'!D$2:E$59,2,FALSE)</f>
        <v>#VALUE!</v>
      </c>
      <c r="C2130" s="99" t="s">
        <v>5883</v>
      </c>
      <c r="D2130" s="100" t="e">
        <f t="shared" si="67"/>
        <v>#VALUE!</v>
      </c>
      <c r="E2130" s="64" t="s">
        <v>5884</v>
      </c>
      <c r="F2130" s="66" t="s">
        <v>1520</v>
      </c>
      <c r="G21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0" s="110" t="s">
        <v>2857</v>
      </c>
      <c r="I2130" s="67">
        <v>45854</v>
      </c>
      <c r="J2130" s="67" t="s">
        <v>111</v>
      </c>
      <c r="K2130" s="68">
        <v>45919</v>
      </c>
      <c r="L2130" s="69"/>
      <c r="M2130" s="66" t="str">
        <f t="shared" ca="1" si="66"/>
        <v>CLOSED</v>
      </c>
    </row>
    <row r="2131" spans="1:13" ht="30">
      <c r="A2131" s="64" t="s">
        <v>30</v>
      </c>
      <c r="B2131" s="98" t="e">
        <f>VLOOKUP([2]!Table27[[#This Row],[Location 
(drop-down)]],'[2]List source'!D$2:E$59,2,FALSE)</f>
        <v>#VALUE!</v>
      </c>
      <c r="C2131" s="99" t="s">
        <v>5885</v>
      </c>
      <c r="D2131" s="100" t="e">
        <f t="shared" si="67"/>
        <v>#VALUE!</v>
      </c>
      <c r="E2131" s="64" t="s">
        <v>5886</v>
      </c>
      <c r="F2131" s="66" t="s">
        <v>1520</v>
      </c>
      <c r="G21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1" s="110" t="s">
        <v>2134</v>
      </c>
      <c r="I2131" s="67">
        <v>45854</v>
      </c>
      <c r="J2131" s="67" t="s">
        <v>47</v>
      </c>
      <c r="K2131" s="68">
        <v>45898</v>
      </c>
      <c r="L2131" s="69"/>
      <c r="M2131" s="66" t="str">
        <f t="shared" ca="1" si="66"/>
        <v>CLOSED</v>
      </c>
    </row>
    <row r="2132" spans="1:13" ht="45">
      <c r="A2132" s="64" t="s">
        <v>30</v>
      </c>
      <c r="B2132" s="98" t="e">
        <f>VLOOKUP([2]!Table27[[#This Row],[Location 
(drop-down)]],'[2]List source'!D$2:E$59,2,FALSE)</f>
        <v>#VALUE!</v>
      </c>
      <c r="C2132" s="99" t="s">
        <v>5887</v>
      </c>
      <c r="D2132" s="100" t="e">
        <f t="shared" si="67"/>
        <v>#VALUE!</v>
      </c>
      <c r="E2132" s="64" t="s">
        <v>5888</v>
      </c>
      <c r="F2132" s="66" t="s">
        <v>1520</v>
      </c>
      <c r="G21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2" s="110" t="s">
        <v>5889</v>
      </c>
      <c r="I2132" s="67">
        <v>45854</v>
      </c>
      <c r="J2132" s="67"/>
      <c r="K2132" s="68"/>
      <c r="L2132" s="69"/>
      <c r="M2132" s="66">
        <f t="shared" ca="1" si="66"/>
        <v>224</v>
      </c>
    </row>
    <row r="2133" spans="1:13" ht="30">
      <c r="A2133" s="64" t="s">
        <v>30</v>
      </c>
      <c r="B2133" s="98" t="e">
        <f>VLOOKUP([2]!Table27[[#This Row],[Location 
(drop-down)]],'[2]List source'!D$2:E$59,2,FALSE)</f>
        <v>#VALUE!</v>
      </c>
      <c r="C2133" s="99" t="s">
        <v>5890</v>
      </c>
      <c r="D2133" s="100" t="e">
        <f t="shared" si="67"/>
        <v>#VALUE!</v>
      </c>
      <c r="E2133" s="64" t="s">
        <v>5891</v>
      </c>
      <c r="F2133" s="66" t="s">
        <v>1520</v>
      </c>
      <c r="G21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3" s="110" t="s">
        <v>5892</v>
      </c>
      <c r="I2133" s="67">
        <v>45854</v>
      </c>
      <c r="J2133" s="67" t="s">
        <v>111</v>
      </c>
      <c r="K2133" s="68">
        <v>45961</v>
      </c>
      <c r="L2133" s="69"/>
      <c r="M2133" s="66" t="str">
        <f t="shared" ca="1" si="66"/>
        <v>CLOSED</v>
      </c>
    </row>
    <row r="2134" spans="1:13" ht="30">
      <c r="A2134" s="64" t="s">
        <v>30</v>
      </c>
      <c r="B2134" s="98" t="e">
        <f>VLOOKUP([2]!Table27[[#This Row],[Location 
(drop-down)]],'[2]List source'!D$2:E$59,2,FALSE)</f>
        <v>#VALUE!</v>
      </c>
      <c r="C2134" s="99" t="s">
        <v>5893</v>
      </c>
      <c r="D2134" s="100" t="e">
        <f t="shared" si="67"/>
        <v>#VALUE!</v>
      </c>
      <c r="E2134" s="64" t="s">
        <v>5894</v>
      </c>
      <c r="F2134" s="66" t="s">
        <v>1520</v>
      </c>
      <c r="G21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4" s="110">
        <v>7.45</v>
      </c>
      <c r="I2134" s="67">
        <v>45854</v>
      </c>
      <c r="J2134" s="67" t="s">
        <v>111</v>
      </c>
      <c r="K2134" s="68">
        <v>46070</v>
      </c>
      <c r="L2134" s="69"/>
      <c r="M2134" s="66" t="str">
        <f t="shared" ca="1" si="66"/>
        <v>CLOSED</v>
      </c>
    </row>
    <row r="2135" spans="1:13" ht="45">
      <c r="A2135" s="64" t="s">
        <v>103</v>
      </c>
      <c r="B2135" s="98" t="e">
        <f>VLOOKUP([2]!Table27[[#This Row],[Location 
(drop-down)]],'[2]List source'!D$2:E$59,2,FALSE)</f>
        <v>#VALUE!</v>
      </c>
      <c r="C2135" s="99" t="s">
        <v>5895</v>
      </c>
      <c r="D2135" s="100" t="e">
        <f t="shared" si="67"/>
        <v>#VALUE!</v>
      </c>
      <c r="E2135" s="64" t="s">
        <v>5896</v>
      </c>
      <c r="F2135" s="66" t="s">
        <v>1520</v>
      </c>
      <c r="G213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5" s="110" t="s">
        <v>1962</v>
      </c>
      <c r="I2135" s="67">
        <v>45854</v>
      </c>
      <c r="J2135" s="67" t="s">
        <v>310</v>
      </c>
      <c r="K2135" s="68">
        <v>45897</v>
      </c>
      <c r="L2135" s="69"/>
      <c r="M2135" s="66" t="str">
        <f t="shared" ca="1" si="66"/>
        <v>CLOSED</v>
      </c>
    </row>
    <row r="2136" spans="1:13" ht="30">
      <c r="A2136" s="64" t="s">
        <v>185</v>
      </c>
      <c r="B2136" s="98" t="e">
        <f>VLOOKUP([2]!Table27[[#This Row],[Location 
(drop-down)]],'[2]List source'!D$2:E$59,2,FALSE)</f>
        <v>#VALUE!</v>
      </c>
      <c r="C2136" s="99" t="s">
        <v>5897</v>
      </c>
      <c r="D2136" s="100" t="e">
        <f t="shared" si="67"/>
        <v>#VALUE!</v>
      </c>
      <c r="E2136" s="64" t="s">
        <v>5898</v>
      </c>
      <c r="F2136" s="66" t="s">
        <v>1520</v>
      </c>
      <c r="G21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6" s="110" t="s">
        <v>5899</v>
      </c>
      <c r="I2136" s="67">
        <v>45854</v>
      </c>
      <c r="J2136" s="67"/>
      <c r="K2136" s="68"/>
      <c r="L2136" s="69"/>
      <c r="M2136" s="66">
        <f t="shared" ca="1" si="66"/>
        <v>224</v>
      </c>
    </row>
    <row r="2137" spans="1:13" ht="30">
      <c r="A2137" s="64" t="s">
        <v>314</v>
      </c>
      <c r="B2137" s="98" t="e">
        <f>VLOOKUP([2]!Table27[[#This Row],[Location 
(drop-down)]],'[2]List source'!D$2:E$59,2,FALSE)</f>
        <v>#VALUE!</v>
      </c>
      <c r="C2137" s="99" t="s">
        <v>5900</v>
      </c>
      <c r="D2137" s="100" t="e">
        <f t="shared" si="67"/>
        <v>#VALUE!</v>
      </c>
      <c r="E2137" s="64" t="s">
        <v>5901</v>
      </c>
      <c r="F2137" s="66" t="s">
        <v>1520</v>
      </c>
      <c r="G21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7" s="66">
        <v>2.13</v>
      </c>
      <c r="I2137" s="67">
        <v>45854</v>
      </c>
      <c r="J2137" s="67" t="s">
        <v>327</v>
      </c>
      <c r="K2137" s="68">
        <v>46073</v>
      </c>
      <c r="L2137" s="69"/>
      <c r="M2137" s="66" t="str">
        <f t="shared" ca="1" si="66"/>
        <v>CLOSED</v>
      </c>
    </row>
    <row r="2138" spans="1:13" ht="45">
      <c r="A2138" s="124" t="s">
        <v>294</v>
      </c>
      <c r="B2138" s="98" t="e">
        <f>VLOOKUP([2]!Table27[[#This Row],[Location 
(drop-down)]],'[2]List source'!D$2:E$59,2,FALSE)</f>
        <v>#VALUE!</v>
      </c>
      <c r="C2138" s="99" t="s">
        <v>5902</v>
      </c>
      <c r="D2138" s="100" t="e">
        <f t="shared" si="67"/>
        <v>#VALUE!</v>
      </c>
      <c r="E2138" s="64" t="s">
        <v>5903</v>
      </c>
      <c r="F2138" s="66" t="s">
        <v>1520</v>
      </c>
      <c r="G21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8" s="173">
        <v>960.6</v>
      </c>
      <c r="I2138" s="67">
        <v>45854</v>
      </c>
      <c r="J2138" s="67" t="s">
        <v>34</v>
      </c>
      <c r="K2138" s="170">
        <v>45862</v>
      </c>
      <c r="L2138" s="446" t="s">
        <v>1505</v>
      </c>
      <c r="M2138" s="66" t="str">
        <f t="shared" ca="1" si="66"/>
        <v>CLOSED</v>
      </c>
    </row>
    <row r="2139" spans="1:13" ht="30">
      <c r="A2139" s="64" t="s">
        <v>294</v>
      </c>
      <c r="B2139" s="98" t="e">
        <f>VLOOKUP([2]!Table27[[#This Row],[Location 
(drop-down)]],'[2]List source'!D$2:E$59,2,FALSE)</f>
        <v>#VALUE!</v>
      </c>
      <c r="C2139" s="99" t="s">
        <v>5904</v>
      </c>
      <c r="D2139" s="100" t="e">
        <f t="shared" si="67"/>
        <v>#VALUE!</v>
      </c>
      <c r="E2139" s="64" t="s">
        <v>5905</v>
      </c>
      <c r="F2139" s="66" t="s">
        <v>1520</v>
      </c>
      <c r="G21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39" s="66">
        <v>4.43</v>
      </c>
      <c r="I2139" s="67">
        <v>45854</v>
      </c>
      <c r="J2139" s="67" t="s">
        <v>327</v>
      </c>
      <c r="K2139" s="68">
        <v>45916</v>
      </c>
      <c r="L2139" s="69"/>
      <c r="M2139" s="66" t="str">
        <f t="shared" ca="1" si="66"/>
        <v>CLOSED</v>
      </c>
    </row>
    <row r="2140" spans="1:13" ht="30">
      <c r="A2140" s="64" t="s">
        <v>294</v>
      </c>
      <c r="B2140" s="98" t="e">
        <f>VLOOKUP([2]!Table27[[#This Row],[Location 
(drop-down)]],'[2]List source'!D$2:E$59,2,FALSE)</f>
        <v>#VALUE!</v>
      </c>
      <c r="C2140" s="99" t="s">
        <v>5906</v>
      </c>
      <c r="D2140" s="100" t="e">
        <f t="shared" si="67"/>
        <v>#VALUE!</v>
      </c>
      <c r="E2140" s="64" t="s">
        <v>5907</v>
      </c>
      <c r="F2140" s="66" t="s">
        <v>1520</v>
      </c>
      <c r="G21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0" s="456">
        <v>2.0099999999999998</v>
      </c>
      <c r="I2140" s="67">
        <v>45854</v>
      </c>
      <c r="J2140" s="67" t="s">
        <v>327</v>
      </c>
      <c r="K2140" s="68">
        <v>45885</v>
      </c>
      <c r="L2140" s="69"/>
      <c r="M2140" s="66" t="str">
        <f t="shared" ca="1" si="66"/>
        <v>CLOSED</v>
      </c>
    </row>
    <row r="2141" spans="1:13" ht="30">
      <c r="A2141" s="64" t="s">
        <v>294</v>
      </c>
      <c r="B2141" s="98" t="e">
        <f>VLOOKUP([2]!Table27[[#This Row],[Location 
(drop-down)]],'[2]List source'!D$2:E$59,2,FALSE)</f>
        <v>#VALUE!</v>
      </c>
      <c r="C2141" s="99" t="s">
        <v>5908</v>
      </c>
      <c r="D2141" s="100" t="e">
        <f t="shared" si="67"/>
        <v>#VALUE!</v>
      </c>
      <c r="E2141" s="175" t="s">
        <v>5909</v>
      </c>
      <c r="F2141" s="66" t="s">
        <v>1520</v>
      </c>
      <c r="G21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1" s="36">
        <v>3.13</v>
      </c>
      <c r="I2141" s="67">
        <v>45854</v>
      </c>
      <c r="J2141" s="67" t="s">
        <v>327</v>
      </c>
      <c r="K2141" s="68">
        <v>46064</v>
      </c>
      <c r="L2141" s="69"/>
      <c r="M2141" s="66" t="str">
        <f t="shared" ca="1" si="66"/>
        <v>CLOSED</v>
      </c>
    </row>
    <row r="2142" spans="1:13" ht="45">
      <c r="A2142" s="64" t="s">
        <v>53</v>
      </c>
      <c r="B2142" s="98" t="e">
        <f>VLOOKUP([2]!Table27[[#This Row],[Location 
(drop-down)]],'[2]List source'!D$2:E$59,2,FALSE)</f>
        <v>#VALUE!</v>
      </c>
      <c r="C2142" s="99" t="s">
        <v>5910</v>
      </c>
      <c r="D2142" s="100" t="e">
        <f t="shared" si="67"/>
        <v>#VALUE!</v>
      </c>
      <c r="E2142" s="64" t="s">
        <v>5911</v>
      </c>
      <c r="F2142" s="66" t="s">
        <v>1520</v>
      </c>
      <c r="G21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2" s="110" t="s">
        <v>5912</v>
      </c>
      <c r="I2142" s="67">
        <v>45854</v>
      </c>
      <c r="J2142" s="67" t="s">
        <v>34</v>
      </c>
      <c r="K2142" s="68">
        <v>45884</v>
      </c>
      <c r="L2142" s="69" t="s">
        <v>1505</v>
      </c>
      <c r="M2142" s="66" t="str">
        <f t="shared" ca="1" si="66"/>
        <v>CLOSED</v>
      </c>
    </row>
    <row r="2143" spans="1:13" ht="30">
      <c r="A2143" s="64" t="s">
        <v>73</v>
      </c>
      <c r="B2143" s="98" t="e">
        <f>VLOOKUP([2]!Table27[[#This Row],[Location 
(drop-down)]],'[2]List source'!D$2:E$59,2,FALSE)</f>
        <v>#VALUE!</v>
      </c>
      <c r="C2143" s="99" t="s">
        <v>5913</v>
      </c>
      <c r="D2143" s="100" t="e">
        <f t="shared" si="67"/>
        <v>#VALUE!</v>
      </c>
      <c r="E2143" s="64" t="s">
        <v>5914</v>
      </c>
      <c r="F2143" s="66" t="s">
        <v>1520</v>
      </c>
      <c r="G21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3" s="66">
        <v>5.36</v>
      </c>
      <c r="I2143" s="67">
        <v>45854</v>
      </c>
      <c r="J2143" s="67" t="s">
        <v>239</v>
      </c>
      <c r="K2143" s="68">
        <v>45903</v>
      </c>
      <c r="L2143" s="69"/>
      <c r="M2143" s="66" t="str">
        <f t="shared" ref="M2143:M2206" ca="1" si="68">IF(ISBLANK(K2143), TODAY()-(I2143), "CLOSED")</f>
        <v>CLOSED</v>
      </c>
    </row>
    <row r="2144" spans="1:13" ht="30">
      <c r="A2144" s="64" t="s">
        <v>73</v>
      </c>
      <c r="B2144" s="98" t="e">
        <f>VLOOKUP([2]!Table27[[#This Row],[Location 
(drop-down)]],'[2]List source'!D$2:E$59,2,FALSE)</f>
        <v>#VALUE!</v>
      </c>
      <c r="C2144" s="99" t="s">
        <v>5915</v>
      </c>
      <c r="D2144" s="100" t="e">
        <f t="shared" si="67"/>
        <v>#VALUE!</v>
      </c>
      <c r="E2144" s="64" t="s">
        <v>5916</v>
      </c>
      <c r="F2144" s="66" t="s">
        <v>1520</v>
      </c>
      <c r="G21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4" s="110" t="s">
        <v>5917</v>
      </c>
      <c r="I2144" s="67">
        <v>45854</v>
      </c>
      <c r="J2144" s="67" t="s">
        <v>130</v>
      </c>
      <c r="K2144" s="68">
        <v>45902</v>
      </c>
      <c r="L2144" s="69"/>
      <c r="M2144" s="66" t="str">
        <f t="shared" ca="1" si="68"/>
        <v>CLOSED</v>
      </c>
    </row>
    <row r="2145" spans="1:13" ht="90">
      <c r="A2145" s="64" t="s">
        <v>485</v>
      </c>
      <c r="B2145" s="98" t="e">
        <f>VLOOKUP([2]!Table27[[#This Row],[Location 
(drop-down)]],'[2]List source'!D$2:E$59,2,FALSE)</f>
        <v>#VALUE!</v>
      </c>
      <c r="C2145" s="99" t="s">
        <v>5918</v>
      </c>
      <c r="D2145" s="100" t="e">
        <f t="shared" si="67"/>
        <v>#VALUE!</v>
      </c>
      <c r="E2145" s="176" t="s">
        <v>5919</v>
      </c>
      <c r="F2145" s="66" t="s">
        <v>1520</v>
      </c>
      <c r="G21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5" s="110" t="s">
        <v>1756</v>
      </c>
      <c r="I2145" s="67">
        <v>45854</v>
      </c>
      <c r="J2145" s="67" t="s">
        <v>34</v>
      </c>
      <c r="K2145" s="68">
        <v>45854</v>
      </c>
      <c r="L2145" s="69" t="s">
        <v>1671</v>
      </c>
      <c r="M2145" s="66" t="str">
        <f t="shared" ca="1" si="68"/>
        <v>CLOSED</v>
      </c>
    </row>
    <row r="2146" spans="1:13" ht="90">
      <c r="A2146" s="64" t="s">
        <v>485</v>
      </c>
      <c r="B2146" s="98" t="e">
        <f>VLOOKUP([2]!Table27[[#This Row],[Location 
(drop-down)]],'[2]List source'!D$2:E$59,2,FALSE)</f>
        <v>#VALUE!</v>
      </c>
      <c r="C2146" s="99" t="s">
        <v>5920</v>
      </c>
      <c r="D2146" s="100" t="e">
        <f t="shared" si="67"/>
        <v>#VALUE!</v>
      </c>
      <c r="E2146" s="64" t="s">
        <v>5921</v>
      </c>
      <c r="F2146" s="66" t="s">
        <v>1520</v>
      </c>
      <c r="G21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6" s="110" t="s">
        <v>3000</v>
      </c>
      <c r="I2146" s="67">
        <v>45854</v>
      </c>
      <c r="J2146" s="67" t="s">
        <v>34</v>
      </c>
      <c r="K2146" s="68">
        <v>45854</v>
      </c>
      <c r="L2146" s="69" t="s">
        <v>1671</v>
      </c>
      <c r="M2146" s="66" t="str">
        <f t="shared" ca="1" si="68"/>
        <v>CLOSED</v>
      </c>
    </row>
    <row r="2147" spans="1:13" ht="30">
      <c r="A2147" s="64" t="s">
        <v>500</v>
      </c>
      <c r="B2147" s="98" t="e">
        <f>VLOOKUP([2]!Table27[[#This Row],[Location 
(drop-down)]],'[2]List source'!D$2:E$59,2,FALSE)</f>
        <v>#VALUE!</v>
      </c>
      <c r="C2147" s="99" t="s">
        <v>5922</v>
      </c>
      <c r="D2147" s="100" t="e">
        <f t="shared" si="67"/>
        <v>#VALUE!</v>
      </c>
      <c r="E2147" s="64" t="s">
        <v>5923</v>
      </c>
      <c r="F2147" s="66" t="s">
        <v>1520</v>
      </c>
      <c r="G21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7" s="110" t="s">
        <v>5924</v>
      </c>
      <c r="I2147" s="67">
        <v>45854</v>
      </c>
      <c r="J2147" s="67" t="s">
        <v>310</v>
      </c>
      <c r="K2147" s="68">
        <v>45890</v>
      </c>
      <c r="L2147" s="69"/>
      <c r="M2147" s="66" t="str">
        <f t="shared" ca="1" si="68"/>
        <v>CLOSED</v>
      </c>
    </row>
    <row r="2148" spans="1:13" ht="45">
      <c r="A2148" s="64" t="s">
        <v>500</v>
      </c>
      <c r="B2148" s="98" t="e">
        <f>VLOOKUP([2]!Table27[[#This Row],[Location 
(drop-down)]],'[2]List source'!D$2:E$59,2,FALSE)</f>
        <v>#VALUE!</v>
      </c>
      <c r="C2148" s="99" t="s">
        <v>5925</v>
      </c>
      <c r="D2148" s="100" t="e">
        <f t="shared" si="67"/>
        <v>#VALUE!</v>
      </c>
      <c r="E2148" s="64" t="s">
        <v>5926</v>
      </c>
      <c r="F2148" s="66" t="s">
        <v>1520</v>
      </c>
      <c r="G21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8" s="110" t="s">
        <v>1579</v>
      </c>
      <c r="I2148" s="67">
        <v>45854</v>
      </c>
      <c r="J2148" s="67" t="s">
        <v>310</v>
      </c>
      <c r="K2148" s="68">
        <v>46052</v>
      </c>
      <c r="L2148" s="69"/>
      <c r="M2148" s="66" t="str">
        <f t="shared" ca="1" si="68"/>
        <v>CLOSED</v>
      </c>
    </row>
    <row r="2149" spans="1:13" ht="30">
      <c r="A2149" s="64" t="s">
        <v>500</v>
      </c>
      <c r="B2149" s="98" t="e">
        <f>VLOOKUP([2]!Table27[[#This Row],[Location 
(drop-down)]],'[2]List source'!D$2:E$59,2,FALSE)</f>
        <v>#VALUE!</v>
      </c>
      <c r="C2149" s="99" t="s">
        <v>5927</v>
      </c>
      <c r="D2149" s="100" t="e">
        <f t="shared" si="67"/>
        <v>#VALUE!</v>
      </c>
      <c r="E2149" s="64" t="s">
        <v>5928</v>
      </c>
      <c r="F2149" s="66" t="s">
        <v>1520</v>
      </c>
      <c r="G214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49" s="110" t="s">
        <v>5929</v>
      </c>
      <c r="I2149" s="67">
        <v>45854</v>
      </c>
      <c r="J2149" s="67" t="s">
        <v>310</v>
      </c>
      <c r="K2149" s="68">
        <v>45891</v>
      </c>
      <c r="L2149" s="69"/>
      <c r="M2149" s="66" t="str">
        <f t="shared" ca="1" si="68"/>
        <v>CLOSED</v>
      </c>
    </row>
    <row r="2150" spans="1:13" ht="30">
      <c r="A2150" s="64" t="s">
        <v>500</v>
      </c>
      <c r="B2150" s="98" t="e">
        <f>VLOOKUP([2]!Table27[[#This Row],[Location 
(drop-down)]],'[2]List source'!D$2:E$59,2,FALSE)</f>
        <v>#VALUE!</v>
      </c>
      <c r="C2150" s="99" t="s">
        <v>5930</v>
      </c>
      <c r="D2150" s="100" t="e">
        <f t="shared" si="67"/>
        <v>#VALUE!</v>
      </c>
      <c r="E2150" s="64" t="s">
        <v>5931</v>
      </c>
      <c r="F2150" s="66" t="s">
        <v>1520</v>
      </c>
      <c r="G21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0" s="110" t="s">
        <v>5192</v>
      </c>
      <c r="I2150" s="67">
        <v>45854</v>
      </c>
      <c r="J2150" s="67" t="s">
        <v>310</v>
      </c>
      <c r="K2150" s="68">
        <v>45891</v>
      </c>
      <c r="L2150" s="69"/>
      <c r="M2150" s="66" t="str">
        <f t="shared" ca="1" si="68"/>
        <v>CLOSED</v>
      </c>
    </row>
    <row r="2151" spans="1:13" ht="30">
      <c r="A2151" s="64" t="s">
        <v>358</v>
      </c>
      <c r="B2151" s="98" t="e">
        <f>VLOOKUP([2]!Table27[[#This Row],[Location 
(drop-down)]],'[2]List source'!D$2:E$59,2,FALSE)</f>
        <v>#VALUE!</v>
      </c>
      <c r="C2151" s="99" t="s">
        <v>5932</v>
      </c>
      <c r="D2151" s="100" t="e">
        <f t="shared" si="67"/>
        <v>#VALUE!</v>
      </c>
      <c r="E2151" s="64" t="s">
        <v>5933</v>
      </c>
      <c r="F2151" s="66" t="s">
        <v>1520</v>
      </c>
      <c r="G21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1" s="110" t="s">
        <v>5934</v>
      </c>
      <c r="I2151" s="67">
        <v>45854</v>
      </c>
      <c r="J2151" s="67" t="s">
        <v>310</v>
      </c>
      <c r="K2151" s="68">
        <v>45887</v>
      </c>
      <c r="L2151" s="69"/>
      <c r="M2151" s="66" t="str">
        <f t="shared" ca="1" si="68"/>
        <v>CLOSED</v>
      </c>
    </row>
    <row r="2152" spans="1:13" ht="30">
      <c r="A2152" s="64" t="s">
        <v>358</v>
      </c>
      <c r="B2152" s="98" t="e">
        <f>VLOOKUP([2]!Table27[[#This Row],[Location 
(drop-down)]],'[2]List source'!D$2:E$59,2,FALSE)</f>
        <v>#VALUE!</v>
      </c>
      <c r="C2152" s="99" t="s">
        <v>5935</v>
      </c>
      <c r="D2152" s="100" t="e">
        <f t="shared" si="67"/>
        <v>#VALUE!</v>
      </c>
      <c r="E2152" s="64" t="s">
        <v>5936</v>
      </c>
      <c r="F2152" s="66" t="s">
        <v>1520</v>
      </c>
      <c r="G21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2" s="66">
        <v>2.99</v>
      </c>
      <c r="I2152" s="67">
        <v>45854</v>
      </c>
      <c r="J2152" s="67" t="s">
        <v>310</v>
      </c>
      <c r="K2152" s="68">
        <v>45877</v>
      </c>
      <c r="L2152" s="69"/>
      <c r="M2152" s="66" t="str">
        <f t="shared" ca="1" si="68"/>
        <v>CLOSED</v>
      </c>
    </row>
    <row r="2153" spans="1:13" ht="30">
      <c r="A2153" s="64" t="s">
        <v>43</v>
      </c>
      <c r="B2153" s="98" t="e">
        <f>VLOOKUP([2]!Table27[[#This Row],[Location 
(drop-down)]],'[2]List source'!D$2:E$59,2,FALSE)</f>
        <v>#VALUE!</v>
      </c>
      <c r="C2153" s="99" t="s">
        <v>5937</v>
      </c>
      <c r="D2153" s="100" t="e">
        <f t="shared" si="67"/>
        <v>#VALUE!</v>
      </c>
      <c r="E2153" s="64" t="s">
        <v>5938</v>
      </c>
      <c r="F2153" s="66" t="s">
        <v>1520</v>
      </c>
      <c r="G21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3" s="110" t="s">
        <v>1872</v>
      </c>
      <c r="I2153" s="67">
        <v>45854</v>
      </c>
      <c r="J2153" s="67" t="s">
        <v>29</v>
      </c>
      <c r="K2153" s="68">
        <v>45960</v>
      </c>
      <c r="L2153" s="69"/>
      <c r="M2153" s="66" t="str">
        <f t="shared" ca="1" si="68"/>
        <v>CLOSED</v>
      </c>
    </row>
    <row r="2154" spans="1:13" ht="45">
      <c r="A2154" s="64" t="s">
        <v>43</v>
      </c>
      <c r="B2154" s="98" t="e">
        <f>VLOOKUP([2]!Table27[[#This Row],[Location 
(drop-down)]],'[2]List source'!D$2:E$59,2,FALSE)</f>
        <v>#VALUE!</v>
      </c>
      <c r="C2154" s="99" t="s">
        <v>5939</v>
      </c>
      <c r="D2154" s="100" t="e">
        <f t="shared" si="67"/>
        <v>#VALUE!</v>
      </c>
      <c r="E2154" s="64" t="s">
        <v>5940</v>
      </c>
      <c r="F2154" s="66" t="s">
        <v>1520</v>
      </c>
      <c r="G21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4" s="110" t="s">
        <v>2012</v>
      </c>
      <c r="I2154" s="67">
        <v>45854</v>
      </c>
      <c r="J2154" s="67" t="s">
        <v>29</v>
      </c>
      <c r="K2154" s="68">
        <v>46034</v>
      </c>
      <c r="L2154" s="69"/>
      <c r="M2154" s="66" t="str">
        <f t="shared" ca="1" si="68"/>
        <v>CLOSED</v>
      </c>
    </row>
    <row r="2155" spans="1:13" ht="45">
      <c r="A2155" s="64" t="s">
        <v>714</v>
      </c>
      <c r="B2155" s="98" t="e">
        <f>VLOOKUP([2]!Table27[[#This Row],[Location 
(drop-down)]],'[2]List source'!D$2:E$59,2,FALSE)</f>
        <v>#VALUE!</v>
      </c>
      <c r="C2155" s="99" t="s">
        <v>5941</v>
      </c>
      <c r="D2155" s="100" t="e">
        <f t="shared" si="67"/>
        <v>#VALUE!</v>
      </c>
      <c r="E2155" s="64" t="s">
        <v>5942</v>
      </c>
      <c r="F2155" s="66" t="s">
        <v>1520</v>
      </c>
      <c r="G21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5" s="110" t="s">
        <v>5943</v>
      </c>
      <c r="I2155" s="67">
        <v>45854</v>
      </c>
      <c r="J2155" s="67" t="s">
        <v>29</v>
      </c>
      <c r="K2155" s="68">
        <v>45882</v>
      </c>
      <c r="L2155" s="69"/>
      <c r="M2155" s="66" t="str">
        <f t="shared" ca="1" si="68"/>
        <v>CLOSED</v>
      </c>
    </row>
    <row r="2156" spans="1:13" ht="30">
      <c r="A2156" s="64" t="s">
        <v>39</v>
      </c>
      <c r="B2156" s="98" t="e">
        <f>VLOOKUP([2]!Table27[[#This Row],[Location 
(drop-down)]],'[2]List source'!D$2:E$59,2,FALSE)</f>
        <v>#VALUE!</v>
      </c>
      <c r="C2156" s="99" t="s">
        <v>5944</v>
      </c>
      <c r="D2156" s="100" t="e">
        <f t="shared" si="67"/>
        <v>#VALUE!</v>
      </c>
      <c r="E2156" s="64" t="s">
        <v>5945</v>
      </c>
      <c r="F2156" s="66" t="e" cm="1" vm="1">
        <f t="array" aca="1" ref="F215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6" s="66" t="s">
        <v>5946</v>
      </c>
      <c r="I2156" s="67">
        <v>45856</v>
      </c>
      <c r="J2156" s="67" t="s">
        <v>239</v>
      </c>
      <c r="K2156" s="68">
        <v>45911</v>
      </c>
      <c r="L2156" s="69"/>
      <c r="M2156" s="66" t="str">
        <f t="shared" ca="1" si="68"/>
        <v>CLOSED</v>
      </c>
    </row>
    <row r="2157" spans="1:13" ht="30">
      <c r="A2157" s="64" t="s">
        <v>135</v>
      </c>
      <c r="B2157" s="98" t="e">
        <f>VLOOKUP([2]!Table27[[#This Row],[Location 
(drop-down)]],'[2]List source'!D$2:E$59,2,FALSE)</f>
        <v>#VALUE!</v>
      </c>
      <c r="C2157" s="99" t="s">
        <v>5947</v>
      </c>
      <c r="D2157" s="100" t="e">
        <f t="shared" si="67"/>
        <v>#VALUE!</v>
      </c>
      <c r="E2157" s="64" t="s">
        <v>5948</v>
      </c>
      <c r="F2157" s="66" t="e" cm="1" vm="1">
        <f t="array" aca="1" ref="F215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7" s="66">
        <v>2.4500000000000002</v>
      </c>
      <c r="I2157" s="67">
        <v>45856</v>
      </c>
      <c r="J2157" s="67"/>
      <c r="K2157" s="68"/>
      <c r="L2157" s="69"/>
      <c r="M2157" s="66">
        <f t="shared" ca="1" si="68"/>
        <v>222</v>
      </c>
    </row>
    <row r="2158" spans="1:13" ht="90">
      <c r="A2158" s="64" t="s">
        <v>358</v>
      </c>
      <c r="B2158" s="98" t="e">
        <f>VLOOKUP([2]!Table27[[#This Row],[Location 
(drop-down)]],'[2]List source'!D$2:E$59,2,FALSE)</f>
        <v>#VALUE!</v>
      </c>
      <c r="C2158" s="99" t="s">
        <v>5949</v>
      </c>
      <c r="D2158" s="100" t="e">
        <f t="shared" si="67"/>
        <v>#VALUE!</v>
      </c>
      <c r="E2158" s="64" t="s">
        <v>5950</v>
      </c>
      <c r="F2158" s="66" t="e" cm="1" vm="1">
        <f t="array" aca="1" ref="F215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8" s="110">
        <v>2.2799999999999998</v>
      </c>
      <c r="I2158" s="67">
        <v>45856</v>
      </c>
      <c r="J2158" s="67" t="s">
        <v>34</v>
      </c>
      <c r="K2158" s="68">
        <v>45856</v>
      </c>
      <c r="L2158" s="69" t="s">
        <v>1671</v>
      </c>
      <c r="M2158" s="66" t="str">
        <f t="shared" ca="1" si="68"/>
        <v>CLOSED</v>
      </c>
    </row>
    <row r="2159" spans="1:13" ht="90">
      <c r="A2159" s="64" t="s">
        <v>156</v>
      </c>
      <c r="B2159" s="98" t="e">
        <f>VLOOKUP([2]!Table27[[#This Row],[Location 
(drop-down)]],'[2]List source'!D$2:E$59,2,FALSE)</f>
        <v>#VALUE!</v>
      </c>
      <c r="C2159" s="99" t="s">
        <v>5951</v>
      </c>
      <c r="D2159" s="100" t="e">
        <f t="shared" si="67"/>
        <v>#VALUE!</v>
      </c>
      <c r="E2159" s="64" t="s">
        <v>5952</v>
      </c>
      <c r="F2159" s="66" t="e" cm="1" vm="1">
        <f t="array" aca="1" ref="F215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59" s="66">
        <v>2.2999999999999998</v>
      </c>
      <c r="I2159" s="67">
        <v>45859</v>
      </c>
      <c r="J2159" s="67" t="s">
        <v>34</v>
      </c>
      <c r="K2159" s="68">
        <v>45859</v>
      </c>
      <c r="L2159" s="69" t="s">
        <v>1671</v>
      </c>
      <c r="M2159" s="66" t="str">
        <f t="shared" ca="1" si="68"/>
        <v>CLOSED</v>
      </c>
    </row>
    <row r="2160" spans="1:13" ht="90">
      <c r="A2160" s="64" t="s">
        <v>156</v>
      </c>
      <c r="B2160" s="98" t="e">
        <f>VLOOKUP([2]!Table27[[#This Row],[Location 
(drop-down)]],'[2]List source'!D$2:E$59,2,FALSE)</f>
        <v>#VALUE!</v>
      </c>
      <c r="C2160" s="99" t="s">
        <v>5953</v>
      </c>
      <c r="D2160" s="100" t="e">
        <f t="shared" si="67"/>
        <v>#VALUE!</v>
      </c>
      <c r="E2160" s="64" t="s">
        <v>5954</v>
      </c>
      <c r="F2160" s="66" t="e" cm="1" vm="1">
        <f t="array" aca="1" ref="F21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0" s="110" t="s">
        <v>1962</v>
      </c>
      <c r="I2160" s="67">
        <v>45859</v>
      </c>
      <c r="J2160" s="67" t="s">
        <v>34</v>
      </c>
      <c r="K2160" s="68">
        <v>45859</v>
      </c>
      <c r="L2160" s="69" t="s">
        <v>1671</v>
      </c>
      <c r="M2160" s="66" t="str">
        <f t="shared" ca="1" si="68"/>
        <v>CLOSED</v>
      </c>
    </row>
    <row r="2161" spans="1:13" ht="90">
      <c r="A2161" s="64" t="s">
        <v>156</v>
      </c>
      <c r="B2161" s="98" t="e">
        <f>VLOOKUP([2]!Table27[[#This Row],[Location 
(drop-down)]],'[2]List source'!D$2:E$59,2,FALSE)</f>
        <v>#VALUE!</v>
      </c>
      <c r="C2161" s="99" t="s">
        <v>5955</v>
      </c>
      <c r="D2161" s="100" t="e">
        <f t="shared" si="67"/>
        <v>#VALUE!</v>
      </c>
      <c r="E2161" s="64" t="s">
        <v>5956</v>
      </c>
      <c r="F2161" s="66" t="e" cm="1" vm="1">
        <f t="array" aca="1" ref="F216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1" s="66">
        <v>2.2999999999999998</v>
      </c>
      <c r="I2161" s="67">
        <v>45859</v>
      </c>
      <c r="J2161" s="67" t="s">
        <v>34</v>
      </c>
      <c r="K2161" s="68">
        <v>45859</v>
      </c>
      <c r="L2161" s="69" t="s">
        <v>1671</v>
      </c>
      <c r="M2161" s="66" t="str">
        <f t="shared" ca="1" si="68"/>
        <v>CLOSED</v>
      </c>
    </row>
    <row r="2162" spans="1:13" ht="90">
      <c r="A2162" s="64" t="s">
        <v>39</v>
      </c>
      <c r="B2162" s="98" t="e">
        <f>VLOOKUP([2]!Table27[[#This Row],[Location 
(drop-down)]],'[2]List source'!D$2:E$59,2,FALSE)</f>
        <v>#VALUE!</v>
      </c>
      <c r="C2162" s="99" t="s">
        <v>5957</v>
      </c>
      <c r="D2162" s="100" t="e">
        <f t="shared" si="67"/>
        <v>#VALUE!</v>
      </c>
      <c r="E2162" s="64" t="s">
        <v>5958</v>
      </c>
      <c r="F2162" s="66" t="e" cm="1" vm="1">
        <f t="array" aca="1" ref="F21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2" s="110">
        <v>2.4700000000000002</v>
      </c>
      <c r="I2162" s="67">
        <v>45859</v>
      </c>
      <c r="J2162" s="67" t="s">
        <v>34</v>
      </c>
      <c r="K2162" s="68">
        <v>45859</v>
      </c>
      <c r="L2162" s="69" t="s">
        <v>1671</v>
      </c>
      <c r="M2162" s="66" t="str">
        <f t="shared" ca="1" si="68"/>
        <v>CLOSED</v>
      </c>
    </row>
    <row r="2163" spans="1:13" ht="45">
      <c r="A2163" s="64" t="s">
        <v>39</v>
      </c>
      <c r="B2163" s="98" t="e">
        <f>VLOOKUP([2]!Table27[[#This Row],[Location 
(drop-down)]],'[2]List source'!D$2:E$59,2,FALSE)</f>
        <v>#VALUE!</v>
      </c>
      <c r="C2163" s="99" t="s">
        <v>5959</v>
      </c>
      <c r="D2163" s="100" t="e">
        <f t="shared" si="67"/>
        <v>#VALUE!</v>
      </c>
      <c r="E2163" s="64" t="s">
        <v>5960</v>
      </c>
      <c r="F2163" s="66" t="e" cm="1" vm="1">
        <f t="array" aca="1" ref="F216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3" s="110" t="s">
        <v>3802</v>
      </c>
      <c r="I2163" s="67">
        <v>45859</v>
      </c>
      <c r="J2163" s="67"/>
      <c r="K2163" s="68"/>
      <c r="L2163" s="69"/>
      <c r="M2163" s="66">
        <f t="shared" ca="1" si="68"/>
        <v>219</v>
      </c>
    </row>
    <row r="2164" spans="1:13" ht="90">
      <c r="A2164" s="64" t="s">
        <v>39</v>
      </c>
      <c r="B2164" s="98" t="e">
        <f>VLOOKUP([2]!Table27[[#This Row],[Location 
(drop-down)]],'[2]List source'!D$2:E$59,2,FALSE)</f>
        <v>#VALUE!</v>
      </c>
      <c r="C2164" s="99" t="s">
        <v>5961</v>
      </c>
      <c r="D2164" s="100" t="e">
        <f t="shared" si="67"/>
        <v>#VALUE!</v>
      </c>
      <c r="E2164" s="64" t="s">
        <v>5962</v>
      </c>
      <c r="F2164" s="66" t="e" cm="1" vm="1">
        <f t="array" aca="1" ref="F21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4" s="110">
        <v>2.68</v>
      </c>
      <c r="I2164" s="67">
        <v>45859</v>
      </c>
      <c r="J2164" s="67" t="s">
        <v>34</v>
      </c>
      <c r="K2164" s="68">
        <v>45859</v>
      </c>
      <c r="L2164" s="69" t="s">
        <v>1671</v>
      </c>
      <c r="M2164" s="66" t="str">
        <f t="shared" ca="1" si="68"/>
        <v>CLOSED</v>
      </c>
    </row>
    <row r="2165" spans="1:13" ht="90">
      <c r="A2165" s="64" t="s">
        <v>125</v>
      </c>
      <c r="B2165" s="98" t="e">
        <f>VLOOKUP([2]!Table27[[#This Row],[Location 
(drop-down)]],'[2]List source'!D$2:E$59,2,FALSE)</f>
        <v>#VALUE!</v>
      </c>
      <c r="C2165" s="99" t="s">
        <v>5963</v>
      </c>
      <c r="D2165" s="100" t="e">
        <f t="shared" si="67"/>
        <v>#VALUE!</v>
      </c>
      <c r="E2165" s="64" t="s">
        <v>5964</v>
      </c>
      <c r="F2165" s="66" t="e" cm="1" vm="1">
        <f t="array" aca="1" ref="F216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5" s="66">
        <v>2.35</v>
      </c>
      <c r="I2165" s="67">
        <v>45859</v>
      </c>
      <c r="J2165" s="67" t="s">
        <v>34</v>
      </c>
      <c r="K2165" s="68">
        <v>45859</v>
      </c>
      <c r="L2165" s="69" t="s">
        <v>1671</v>
      </c>
      <c r="M2165" s="66" t="str">
        <f t="shared" ca="1" si="68"/>
        <v>CLOSED</v>
      </c>
    </row>
    <row r="2166" spans="1:13" ht="30">
      <c r="A2166" s="64" t="s">
        <v>185</v>
      </c>
      <c r="B2166" s="98" t="e">
        <f>VLOOKUP([2]!Table27[[#This Row],[Location 
(drop-down)]],'[2]List source'!D$2:E$59,2,FALSE)</f>
        <v>#VALUE!</v>
      </c>
      <c r="C2166" s="99" t="s">
        <v>5965</v>
      </c>
      <c r="D2166" s="100" t="e">
        <f t="shared" si="67"/>
        <v>#VALUE!</v>
      </c>
      <c r="E2166" s="64" t="s">
        <v>5966</v>
      </c>
      <c r="F2166" s="66" t="e" cm="1" vm="1">
        <f t="array" aca="1" ref="F21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6" s="66">
        <v>2.48</v>
      </c>
      <c r="I2166" s="67">
        <v>45859</v>
      </c>
      <c r="J2166" s="67"/>
      <c r="K2166" s="68"/>
      <c r="L2166" s="69"/>
      <c r="M2166" s="66">
        <f t="shared" ca="1" si="68"/>
        <v>219</v>
      </c>
    </row>
    <row r="2167" spans="1:13" ht="90">
      <c r="A2167" s="64" t="s">
        <v>185</v>
      </c>
      <c r="B2167" s="98" t="e">
        <f>VLOOKUP([2]!Table27[[#This Row],[Location 
(drop-down)]],'[2]List source'!D$2:E$59,2,FALSE)</f>
        <v>#VALUE!</v>
      </c>
      <c r="C2167" s="99" t="s">
        <v>5967</v>
      </c>
      <c r="D2167" s="100" t="e">
        <f t="shared" si="67"/>
        <v>#VALUE!</v>
      </c>
      <c r="E2167" s="64" t="s">
        <v>5952</v>
      </c>
      <c r="F2167" s="66" t="e" cm="1" vm="1">
        <f t="array" aca="1" ref="F21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7" s="66">
        <v>2.2999999999999998</v>
      </c>
      <c r="I2167" s="67">
        <v>45859</v>
      </c>
      <c r="J2167" s="67" t="s">
        <v>34</v>
      </c>
      <c r="K2167" s="68">
        <v>45859</v>
      </c>
      <c r="L2167" s="69" t="s">
        <v>1671</v>
      </c>
      <c r="M2167" s="66" t="str">
        <f t="shared" ca="1" si="68"/>
        <v>CLOSED</v>
      </c>
    </row>
    <row r="2168" spans="1:13" ht="30">
      <c r="A2168" s="64" t="s">
        <v>185</v>
      </c>
      <c r="B2168" s="98" t="e">
        <f>VLOOKUP([2]!Table27[[#This Row],[Location 
(drop-down)]],'[2]List source'!D$2:E$59,2,FALSE)</f>
        <v>#VALUE!</v>
      </c>
      <c r="C2168" s="99" t="s">
        <v>5968</v>
      </c>
      <c r="D2168" s="100" t="e">
        <f t="shared" si="67"/>
        <v>#VALUE!</v>
      </c>
      <c r="E2168" s="64" t="s">
        <v>5969</v>
      </c>
      <c r="F2168" s="66" t="e" cm="1" vm="1">
        <f t="array" aca="1" ref="F21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8" s="110" t="s">
        <v>5970</v>
      </c>
      <c r="I2168" s="67">
        <v>45859</v>
      </c>
      <c r="J2168" s="67"/>
      <c r="K2168" s="68"/>
      <c r="L2168" s="69"/>
      <c r="M2168" s="66">
        <f t="shared" ca="1" si="68"/>
        <v>219</v>
      </c>
    </row>
    <row r="2169" spans="1:13" ht="30">
      <c r="A2169" s="64" t="s">
        <v>500</v>
      </c>
      <c r="B2169" s="98" t="e">
        <f>VLOOKUP([2]!Table27[[#This Row],[Location 
(drop-down)]],'[2]List source'!D$2:E$59,2,FALSE)</f>
        <v>#VALUE!</v>
      </c>
      <c r="C2169" s="99" t="s">
        <v>5971</v>
      </c>
      <c r="D2169" s="100" t="e">
        <f t="shared" si="67"/>
        <v>#VALUE!</v>
      </c>
      <c r="E2169" s="64" t="s">
        <v>5972</v>
      </c>
      <c r="F2169" s="66" t="e" cm="1" vm="1">
        <f t="array" aca="1" ref="F216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69" s="66">
        <v>2.23</v>
      </c>
      <c r="I2169" s="67">
        <v>45859</v>
      </c>
      <c r="J2169" s="67" t="s">
        <v>310</v>
      </c>
      <c r="K2169" s="68">
        <v>45896</v>
      </c>
      <c r="L2169" s="69"/>
      <c r="M2169" s="66" t="str">
        <f t="shared" ca="1" si="68"/>
        <v>CLOSED</v>
      </c>
    </row>
    <row r="2170" spans="1:13" ht="30">
      <c r="A2170" s="64" t="s">
        <v>500</v>
      </c>
      <c r="B2170" s="98" t="e">
        <f>VLOOKUP([2]!Table27[[#This Row],[Location 
(drop-down)]],'[2]List source'!D$2:E$59,2,FALSE)</f>
        <v>#VALUE!</v>
      </c>
      <c r="C2170" s="99" t="s">
        <v>5973</v>
      </c>
      <c r="D2170" s="100" t="e">
        <f t="shared" si="67"/>
        <v>#VALUE!</v>
      </c>
      <c r="E2170" s="64" t="s">
        <v>5974</v>
      </c>
      <c r="F2170" s="66" t="e" cm="1" vm="1">
        <f t="array" aca="1" ref="F217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0" s="110">
        <v>2.15</v>
      </c>
      <c r="I2170" s="67">
        <v>45859</v>
      </c>
      <c r="J2170" s="67" t="s">
        <v>310</v>
      </c>
      <c r="K2170" s="68">
        <v>45896</v>
      </c>
      <c r="L2170" s="69"/>
      <c r="M2170" s="66" t="str">
        <f t="shared" ca="1" si="68"/>
        <v>CLOSED</v>
      </c>
    </row>
    <row r="2171" spans="1:13" ht="90">
      <c r="A2171" s="64" t="s">
        <v>500</v>
      </c>
      <c r="B2171" s="98" t="e">
        <f>VLOOKUP([2]!Table27[[#This Row],[Location 
(drop-down)]],'[2]List source'!D$2:E$59,2,FALSE)</f>
        <v>#VALUE!</v>
      </c>
      <c r="C2171" s="99" t="s">
        <v>5975</v>
      </c>
      <c r="D2171" s="100" t="e">
        <f t="shared" si="67"/>
        <v>#VALUE!</v>
      </c>
      <c r="E2171" s="64" t="s">
        <v>5976</v>
      </c>
      <c r="F2171" s="66" t="e" cm="1" vm="1">
        <f t="array" aca="1" ref="F217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1" s="66">
        <v>2.1</v>
      </c>
      <c r="I2171" s="67">
        <v>45859</v>
      </c>
      <c r="J2171" s="67" t="s">
        <v>34</v>
      </c>
      <c r="K2171" s="68">
        <v>45859</v>
      </c>
      <c r="L2171" s="69" t="s">
        <v>1671</v>
      </c>
      <c r="M2171" s="66" t="str">
        <f t="shared" ca="1" si="68"/>
        <v>CLOSED</v>
      </c>
    </row>
    <row r="2172" spans="1:13" ht="30">
      <c r="A2172" s="64" t="s">
        <v>500</v>
      </c>
      <c r="B2172" s="98" t="e">
        <f>VLOOKUP([2]!Table27[[#This Row],[Location 
(drop-down)]],'[2]List source'!D$2:E$59,2,FALSE)</f>
        <v>#VALUE!</v>
      </c>
      <c r="C2172" s="99" t="s">
        <v>5977</v>
      </c>
      <c r="D2172" s="100" t="e">
        <f t="shared" si="67"/>
        <v>#VALUE!</v>
      </c>
      <c r="E2172" s="64" t="s">
        <v>5978</v>
      </c>
      <c r="F2172" s="66" t="e" cm="1" vm="1">
        <f t="array" aca="1" ref="F217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2" s="66">
        <v>5.19</v>
      </c>
      <c r="I2172" s="67">
        <v>45859</v>
      </c>
      <c r="J2172" s="67" t="s">
        <v>310</v>
      </c>
      <c r="K2172" s="68">
        <v>45923</v>
      </c>
      <c r="L2172" s="69"/>
      <c r="M2172" s="66" t="str">
        <f t="shared" ca="1" si="68"/>
        <v>CLOSED</v>
      </c>
    </row>
    <row r="2173" spans="1:13" ht="45">
      <c r="A2173" s="64" t="s">
        <v>500</v>
      </c>
      <c r="B2173" s="98" t="e">
        <f>VLOOKUP([2]!Table27[[#This Row],[Location 
(drop-down)]],'[2]List source'!D$2:E$59,2,FALSE)</f>
        <v>#VALUE!</v>
      </c>
      <c r="C2173" s="99" t="s">
        <v>5979</v>
      </c>
      <c r="D2173" s="100" t="e">
        <f t="shared" si="67"/>
        <v>#VALUE!</v>
      </c>
      <c r="E2173" s="64" t="s">
        <v>5980</v>
      </c>
      <c r="F2173" s="66" t="e" cm="1" vm="1">
        <f t="array" aca="1" ref="F217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3" s="110" t="s">
        <v>5981</v>
      </c>
      <c r="I2173" s="67">
        <v>45859</v>
      </c>
      <c r="J2173" s="67" t="s">
        <v>310</v>
      </c>
      <c r="K2173" s="68">
        <v>45896</v>
      </c>
      <c r="L2173" s="69"/>
      <c r="M2173" s="66" t="str">
        <f t="shared" ca="1" si="68"/>
        <v>CLOSED</v>
      </c>
    </row>
    <row r="2174" spans="1:13" ht="90">
      <c r="A2174" s="64" t="s">
        <v>500</v>
      </c>
      <c r="B2174" s="98" t="e">
        <f>VLOOKUP([2]!Table27[[#This Row],[Location 
(drop-down)]],'[2]List source'!D$2:E$59,2,FALSE)</f>
        <v>#VALUE!</v>
      </c>
      <c r="C2174" s="99" t="s">
        <v>5982</v>
      </c>
      <c r="D2174" s="100" t="e">
        <f t="shared" si="67"/>
        <v>#VALUE!</v>
      </c>
      <c r="E2174" s="64" t="s">
        <v>5983</v>
      </c>
      <c r="F2174" s="66" t="e" cm="1" vm="1">
        <f t="array" aca="1" ref="F217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4" s="66">
        <v>2.16</v>
      </c>
      <c r="I2174" s="67">
        <v>45859</v>
      </c>
      <c r="J2174" s="67" t="s">
        <v>34</v>
      </c>
      <c r="K2174" s="68">
        <v>45859</v>
      </c>
      <c r="L2174" s="69" t="s">
        <v>1671</v>
      </c>
      <c r="M2174" s="66" t="str">
        <f t="shared" ca="1" si="68"/>
        <v>CLOSED</v>
      </c>
    </row>
    <row r="2175" spans="1:13" ht="45">
      <c r="A2175" s="64" t="s">
        <v>114</v>
      </c>
      <c r="B2175" s="98" t="e">
        <f>VLOOKUP([2]!Table27[[#This Row],[Location 
(drop-down)]],'[2]List source'!D$2:E$59,2,FALSE)</f>
        <v>#VALUE!</v>
      </c>
      <c r="C2175" s="99" t="s">
        <v>5984</v>
      </c>
      <c r="D2175" s="100" t="e">
        <f t="shared" si="67"/>
        <v>#VALUE!</v>
      </c>
      <c r="E2175" s="64" t="s">
        <v>5985</v>
      </c>
      <c r="F2175" s="66" t="e" cm="1" vm="1">
        <f t="array" aca="1" ref="F217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5" s="110" t="s">
        <v>5986</v>
      </c>
      <c r="I2175" s="67">
        <v>45859</v>
      </c>
      <c r="J2175" s="67" t="s">
        <v>34</v>
      </c>
      <c r="K2175" s="68">
        <v>46024</v>
      </c>
      <c r="L2175" s="69" t="s">
        <v>1505</v>
      </c>
      <c r="M2175" s="66" t="str">
        <f t="shared" ca="1" si="68"/>
        <v>CLOSED</v>
      </c>
    </row>
    <row r="2176" spans="1:13" ht="90">
      <c r="A2176" s="64" t="s">
        <v>156</v>
      </c>
      <c r="B2176" s="98" t="e">
        <f>VLOOKUP([2]!Table27[[#This Row],[Location 
(drop-down)]],'[2]List source'!D$2:E$59,2,FALSE)</f>
        <v>#VALUE!</v>
      </c>
      <c r="C2176" s="99" t="s">
        <v>5987</v>
      </c>
      <c r="D2176" s="100" t="e">
        <f t="shared" si="67"/>
        <v>#VALUE!</v>
      </c>
      <c r="E2176" s="64" t="s">
        <v>5988</v>
      </c>
      <c r="F2176" s="66" t="e" cm="1" vm="1">
        <f t="array" aca="1" ref="F217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6" s="110" t="s">
        <v>5989</v>
      </c>
      <c r="I2176" s="67">
        <v>45859</v>
      </c>
      <c r="J2176" s="67" t="s">
        <v>34</v>
      </c>
      <c r="K2176" s="68">
        <v>45859</v>
      </c>
      <c r="L2176" s="69" t="s">
        <v>1671</v>
      </c>
      <c r="M2176" s="66" t="str">
        <f t="shared" ca="1" si="68"/>
        <v>CLOSED</v>
      </c>
    </row>
    <row r="2177" spans="1:13" ht="30">
      <c r="A2177" s="64" t="s">
        <v>39</v>
      </c>
      <c r="B2177" s="98" t="e">
        <f>VLOOKUP([2]!Table27[[#This Row],[Location 
(drop-down)]],'[2]List source'!D$2:E$59,2,FALSE)</f>
        <v>#VALUE!</v>
      </c>
      <c r="C2177" s="99" t="s">
        <v>5990</v>
      </c>
      <c r="D2177" s="100" t="e">
        <f t="shared" si="67"/>
        <v>#VALUE!</v>
      </c>
      <c r="E2177" s="64" t="s">
        <v>5991</v>
      </c>
      <c r="F2177" s="66" t="e" cm="1" vm="1">
        <f t="array" aca="1" ref="F217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7" s="66">
        <v>80.7</v>
      </c>
      <c r="I2177" s="67">
        <v>45859</v>
      </c>
      <c r="J2177" s="67" t="s">
        <v>239</v>
      </c>
      <c r="K2177" s="68">
        <v>45933</v>
      </c>
      <c r="L2177" s="69"/>
      <c r="M2177" s="66" t="str">
        <f t="shared" ca="1" si="68"/>
        <v>CLOSED</v>
      </c>
    </row>
    <row r="2178" spans="1:13" ht="30">
      <c r="A2178" s="64" t="s">
        <v>39</v>
      </c>
      <c r="B2178" s="98" t="e">
        <f>VLOOKUP([2]!Table27[[#This Row],[Location 
(drop-down)]],'[2]List source'!D$2:E$59,2,FALSE)</f>
        <v>#VALUE!</v>
      </c>
      <c r="C2178" s="99" t="s">
        <v>5992</v>
      </c>
      <c r="D2178" s="100" t="e">
        <f t="shared" ref="D2178:D2241" si="69">"PTO" &amp; C2178 &amp; "-" &amp; B2178 &amp; "-" &amp; "23"</f>
        <v>#VALUE!</v>
      </c>
      <c r="E2178" s="64" t="s">
        <v>5993</v>
      </c>
      <c r="F2178" s="66" t="e" cm="1" vm="1">
        <f t="array" aca="1" ref="F217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8" s="110" t="s">
        <v>5994</v>
      </c>
      <c r="I2178" s="67">
        <v>45859</v>
      </c>
      <c r="J2178" s="67" t="s">
        <v>239</v>
      </c>
      <c r="K2178" s="68">
        <v>45933</v>
      </c>
      <c r="L2178" s="69"/>
      <c r="M2178" s="66" t="str">
        <f t="shared" ca="1" si="68"/>
        <v>CLOSED</v>
      </c>
    </row>
    <row r="2179" spans="1:13" ht="45">
      <c r="A2179" s="64" t="s">
        <v>294</v>
      </c>
      <c r="B2179" s="98" t="e">
        <f>VLOOKUP([2]!Table27[[#This Row],[Location 
(drop-down)]],'[2]List source'!D$2:E$59,2,FALSE)</f>
        <v>#VALUE!</v>
      </c>
      <c r="C2179" s="99" t="s">
        <v>5995</v>
      </c>
      <c r="D2179" s="100" t="e">
        <f t="shared" si="69"/>
        <v>#VALUE!</v>
      </c>
      <c r="E2179" s="64" t="s">
        <v>5996</v>
      </c>
      <c r="F2179" s="66" t="e" cm="1" vm="1">
        <f t="array" aca="1" ref="F217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79" s="66" t="s">
        <v>5997</v>
      </c>
      <c r="I2179" s="67">
        <v>45859</v>
      </c>
      <c r="J2179" s="67" t="s">
        <v>34</v>
      </c>
      <c r="K2179" s="68">
        <v>45904</v>
      </c>
      <c r="L2179" s="69" t="s">
        <v>1505</v>
      </c>
      <c r="M2179" s="66" t="str">
        <f t="shared" ca="1" si="68"/>
        <v>CLOSED</v>
      </c>
    </row>
    <row r="2180" spans="1:13" ht="30">
      <c r="A2180" s="64" t="s">
        <v>294</v>
      </c>
      <c r="B2180" s="98" t="e">
        <f>VLOOKUP([2]!Table27[[#This Row],[Location 
(drop-down)]],'[2]List source'!D$2:E$59,2,FALSE)</f>
        <v>#VALUE!</v>
      </c>
      <c r="C2180" s="99" t="s">
        <v>5998</v>
      </c>
      <c r="D2180" s="100" t="e">
        <f t="shared" si="69"/>
        <v>#VALUE!</v>
      </c>
      <c r="E2180" s="64" t="s">
        <v>5999</v>
      </c>
      <c r="F2180" s="66" t="e" cm="1" vm="1">
        <f t="array" aca="1" ref="F218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0" s="66">
        <v>2.2400000000000002</v>
      </c>
      <c r="I2180" s="67">
        <v>45859</v>
      </c>
      <c r="J2180" s="67"/>
      <c r="K2180" s="68"/>
      <c r="L2180" s="69"/>
      <c r="M2180" s="66">
        <f t="shared" ca="1" si="68"/>
        <v>219</v>
      </c>
    </row>
    <row r="2181" spans="1:13" ht="90">
      <c r="A2181" s="64" t="s">
        <v>294</v>
      </c>
      <c r="B2181" s="98" t="e">
        <f>VLOOKUP([2]!Table27[[#This Row],[Location 
(drop-down)]],'[2]List source'!D$2:E$59,2,FALSE)</f>
        <v>#VALUE!</v>
      </c>
      <c r="C2181" s="99" t="s">
        <v>6000</v>
      </c>
      <c r="D2181" s="100" t="e">
        <f t="shared" si="69"/>
        <v>#VALUE!</v>
      </c>
      <c r="E2181" s="64" t="s">
        <v>6001</v>
      </c>
      <c r="F2181" s="66" t="e" cm="1" vm="1">
        <f t="array" aca="1" ref="F218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1" s="110">
        <v>2.33</v>
      </c>
      <c r="I2181" s="67">
        <v>45859</v>
      </c>
      <c r="J2181" s="67" t="s">
        <v>34</v>
      </c>
      <c r="K2181" s="68">
        <v>45859</v>
      </c>
      <c r="L2181" s="69" t="s">
        <v>1671</v>
      </c>
      <c r="M2181" s="66" t="str">
        <f t="shared" ca="1" si="68"/>
        <v>CLOSED</v>
      </c>
    </row>
    <row r="2182" spans="1:13" ht="45">
      <c r="A2182" s="64" t="s">
        <v>294</v>
      </c>
      <c r="B2182" s="98" t="e">
        <f>VLOOKUP([2]!Table27[[#This Row],[Location 
(drop-down)]],'[2]List source'!D$2:E$59,2,FALSE)</f>
        <v>#VALUE!</v>
      </c>
      <c r="C2182" s="99" t="s">
        <v>6002</v>
      </c>
      <c r="D2182" s="100" t="e">
        <f t="shared" si="69"/>
        <v>#VALUE!</v>
      </c>
      <c r="E2182" s="64" t="s">
        <v>6003</v>
      </c>
      <c r="F2182" s="66" t="e" cm="1" vm="1">
        <f t="array" aca="1" ref="F218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2" s="66" t="s">
        <v>6004</v>
      </c>
      <c r="I2182" s="67">
        <v>45859</v>
      </c>
      <c r="J2182" s="67" t="s">
        <v>34</v>
      </c>
      <c r="K2182" s="68">
        <v>45904</v>
      </c>
      <c r="L2182" s="69" t="s">
        <v>1505</v>
      </c>
      <c r="M2182" s="66" t="str">
        <f t="shared" ca="1" si="68"/>
        <v>CLOSED</v>
      </c>
    </row>
    <row r="2183" spans="1:13" ht="45">
      <c r="A2183" s="64" t="s">
        <v>53</v>
      </c>
      <c r="B2183" s="98" t="e">
        <f>VLOOKUP([2]!Table27[[#This Row],[Location 
(drop-down)]],'[2]List source'!D$2:E$59,2,FALSE)</f>
        <v>#VALUE!</v>
      </c>
      <c r="C2183" s="99" t="s">
        <v>6005</v>
      </c>
      <c r="D2183" s="100" t="e">
        <f t="shared" si="69"/>
        <v>#VALUE!</v>
      </c>
      <c r="E2183" s="64" t="s">
        <v>6006</v>
      </c>
      <c r="F2183" s="66" t="e" cm="1" vm="1">
        <f t="array" aca="1" ref="F218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3" s="66" t="s">
        <v>1579</v>
      </c>
      <c r="I2183" s="67">
        <v>45859</v>
      </c>
      <c r="J2183" s="67" t="s">
        <v>34</v>
      </c>
      <c r="K2183" s="68">
        <v>45890</v>
      </c>
      <c r="L2183" s="69" t="s">
        <v>1773</v>
      </c>
      <c r="M2183" s="66" t="str">
        <f t="shared" ca="1" si="68"/>
        <v>CLOSED</v>
      </c>
    </row>
    <row r="2184" spans="1:13" ht="30">
      <c r="A2184" s="64" t="s">
        <v>53</v>
      </c>
      <c r="B2184" s="98" t="e">
        <f>VLOOKUP([2]!Table27[[#This Row],[Location 
(drop-down)]],'[2]List source'!D$2:E$59,2,FALSE)</f>
        <v>#VALUE!</v>
      </c>
      <c r="C2184" s="99" t="s">
        <v>6007</v>
      </c>
      <c r="D2184" s="100" t="e">
        <f t="shared" si="69"/>
        <v>#VALUE!</v>
      </c>
      <c r="E2184" s="64" t="s">
        <v>6008</v>
      </c>
      <c r="F2184" s="66" t="e" cm="1" vm="1">
        <f t="array" aca="1" ref="F218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4" s="110">
        <v>2.89</v>
      </c>
      <c r="I2184" s="67">
        <v>45859</v>
      </c>
      <c r="J2184" s="67" t="s">
        <v>327</v>
      </c>
      <c r="K2184" s="68">
        <v>45915</v>
      </c>
      <c r="L2184" s="69"/>
      <c r="M2184" s="66" t="str">
        <f t="shared" ca="1" si="68"/>
        <v>CLOSED</v>
      </c>
    </row>
    <row r="2185" spans="1:13" ht="45">
      <c r="A2185" s="64" t="s">
        <v>53</v>
      </c>
      <c r="B2185" s="98" t="e">
        <f>VLOOKUP([2]!Table27[[#This Row],[Location 
(drop-down)]],'[2]List source'!D$2:E$59,2,FALSE)</f>
        <v>#VALUE!</v>
      </c>
      <c r="C2185" s="99" t="s">
        <v>6009</v>
      </c>
      <c r="D2185" s="100" t="e">
        <f t="shared" si="69"/>
        <v>#VALUE!</v>
      </c>
      <c r="E2185" s="64" t="s">
        <v>6010</v>
      </c>
      <c r="F2185" s="66" t="e" cm="1" vm="1">
        <f t="array" aca="1" ref="F218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5" s="66" t="s">
        <v>6011</v>
      </c>
      <c r="I2185" s="67">
        <v>45859</v>
      </c>
      <c r="J2185" s="67" t="s">
        <v>327</v>
      </c>
      <c r="K2185" s="68">
        <v>45915</v>
      </c>
      <c r="L2185" s="69"/>
      <c r="M2185" s="66" t="str">
        <f t="shared" ca="1" si="68"/>
        <v>CLOSED</v>
      </c>
    </row>
    <row r="2186" spans="1:13" ht="90">
      <c r="A2186" s="64" t="s">
        <v>701</v>
      </c>
      <c r="B2186" s="98" t="e">
        <f>VLOOKUP([2]!Table27[[#This Row],[Location 
(drop-down)]],'[2]List source'!D$2:E$59,2,FALSE)</f>
        <v>#VALUE!</v>
      </c>
      <c r="C2186" s="99" t="s">
        <v>6012</v>
      </c>
      <c r="D2186" s="100" t="e">
        <f t="shared" si="69"/>
        <v>#VALUE!</v>
      </c>
      <c r="E2186" s="64" t="s">
        <v>6013</v>
      </c>
      <c r="F2186" s="66" t="e" cm="1" vm="1">
        <f t="array" aca="1" ref="F218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6" s="110">
        <v>-2.83</v>
      </c>
      <c r="I2186" s="67">
        <v>45859</v>
      </c>
      <c r="J2186" s="67" t="s">
        <v>34</v>
      </c>
      <c r="K2186" s="68">
        <v>45859</v>
      </c>
      <c r="L2186" s="69" t="s">
        <v>1671</v>
      </c>
      <c r="M2186" s="66" t="str">
        <f t="shared" ca="1" si="68"/>
        <v>CLOSED</v>
      </c>
    </row>
    <row r="2187" spans="1:13" ht="90">
      <c r="A2187" s="64" t="s">
        <v>701</v>
      </c>
      <c r="B2187" s="98" t="e">
        <f>VLOOKUP([2]!Table27[[#This Row],[Location 
(drop-down)]],'[2]List source'!D$2:E$59,2,FALSE)</f>
        <v>#VALUE!</v>
      </c>
      <c r="C2187" s="99" t="s">
        <v>6014</v>
      </c>
      <c r="D2187" s="100" t="e">
        <f t="shared" si="69"/>
        <v>#VALUE!</v>
      </c>
      <c r="E2187" s="64" t="s">
        <v>6015</v>
      </c>
      <c r="F2187" s="66" t="e" cm="1" vm="1">
        <f t="array" aca="1" ref="F218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7" s="110" t="s">
        <v>6016</v>
      </c>
      <c r="I2187" s="67">
        <v>45859</v>
      </c>
      <c r="J2187" s="67" t="s">
        <v>34</v>
      </c>
      <c r="K2187" s="68">
        <v>45859</v>
      </c>
      <c r="L2187" s="69" t="s">
        <v>1671</v>
      </c>
      <c r="M2187" s="66" t="str">
        <f t="shared" ca="1" si="68"/>
        <v>CLOSED</v>
      </c>
    </row>
    <row r="2188" spans="1:13" ht="30">
      <c r="A2188" s="64" t="s">
        <v>500</v>
      </c>
      <c r="B2188" s="98" t="e">
        <f>VLOOKUP([2]!Table27[[#This Row],[Location 
(drop-down)]],'[2]List source'!D$2:E$59,2,FALSE)</f>
        <v>#VALUE!</v>
      </c>
      <c r="C2188" s="99" t="s">
        <v>6017</v>
      </c>
      <c r="D2188" s="100" t="e">
        <f t="shared" si="69"/>
        <v>#VALUE!</v>
      </c>
      <c r="E2188" s="64" t="s">
        <v>6018</v>
      </c>
      <c r="F2188" s="66" t="e" cm="1" vm="1">
        <f t="array" aca="1" ref="F218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8" s="66">
        <v>2.33</v>
      </c>
      <c r="I2188" s="67">
        <v>45859</v>
      </c>
      <c r="J2188" s="67" t="s">
        <v>310</v>
      </c>
      <c r="K2188" s="68">
        <v>45923</v>
      </c>
      <c r="L2188" s="69"/>
      <c r="M2188" s="66" t="str">
        <f t="shared" ca="1" si="68"/>
        <v>CLOSED</v>
      </c>
    </row>
    <row r="2189" spans="1:13" ht="45">
      <c r="A2189" s="64" t="s">
        <v>500</v>
      </c>
      <c r="B2189" s="98" t="e">
        <f>VLOOKUP([2]!Table27[[#This Row],[Location 
(drop-down)]],'[2]List source'!D$2:E$59,2,FALSE)</f>
        <v>#VALUE!</v>
      </c>
      <c r="C2189" s="99" t="s">
        <v>6019</v>
      </c>
      <c r="D2189" s="100" t="e">
        <f t="shared" si="69"/>
        <v>#VALUE!</v>
      </c>
      <c r="E2189" s="64" t="s">
        <v>6020</v>
      </c>
      <c r="F2189" s="66" t="e" cm="1" vm="1">
        <f t="array" aca="1" ref="F218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89" s="66" t="s">
        <v>1579</v>
      </c>
      <c r="I2189" s="67">
        <v>45859</v>
      </c>
      <c r="J2189" s="67" t="s">
        <v>310</v>
      </c>
      <c r="K2189" s="68">
        <v>45923</v>
      </c>
      <c r="L2189" s="69"/>
      <c r="M2189" s="66" t="str">
        <f t="shared" ca="1" si="68"/>
        <v>CLOSED</v>
      </c>
    </row>
    <row r="2190" spans="1:13" ht="30">
      <c r="A2190" s="64" t="s">
        <v>114</v>
      </c>
      <c r="B2190" s="98" t="e">
        <f>VLOOKUP([2]!Table27[[#This Row],[Location 
(drop-down)]],'[2]List source'!D$2:E$59,2,FALSE)</f>
        <v>#VALUE!</v>
      </c>
      <c r="C2190" s="99" t="s">
        <v>6021</v>
      </c>
      <c r="D2190" s="100" t="e">
        <f t="shared" si="69"/>
        <v>#VALUE!</v>
      </c>
      <c r="E2190" s="64" t="s">
        <v>6018</v>
      </c>
      <c r="F2190" s="66" t="e" cm="1" vm="1">
        <f t="array" aca="1" ref="F219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0" s="66">
        <v>2.33</v>
      </c>
      <c r="I2190" s="67">
        <v>45859</v>
      </c>
      <c r="J2190" s="67" t="s">
        <v>21</v>
      </c>
      <c r="K2190" s="68">
        <v>46053</v>
      </c>
      <c r="L2190" s="69"/>
      <c r="M2190" s="66" t="str">
        <f t="shared" ca="1" si="68"/>
        <v>CLOSED</v>
      </c>
    </row>
    <row r="2191" spans="1:13" ht="30">
      <c r="A2191" s="64" t="s">
        <v>114</v>
      </c>
      <c r="B2191" s="98" t="e">
        <f>VLOOKUP([2]!Table27[[#This Row],[Location 
(drop-down)]],'[2]List source'!D$2:E$59,2,FALSE)</f>
        <v>#VALUE!</v>
      </c>
      <c r="C2191" s="99" t="s">
        <v>6022</v>
      </c>
      <c r="D2191" s="100" t="e">
        <f t="shared" si="69"/>
        <v>#VALUE!</v>
      </c>
      <c r="E2191" s="64" t="s">
        <v>6023</v>
      </c>
      <c r="F2191" s="66" t="e" cm="1" vm="1">
        <f t="array" aca="1" ref="F219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1" s="110" t="s">
        <v>1808</v>
      </c>
      <c r="I2191" s="67">
        <v>45859</v>
      </c>
      <c r="J2191" s="67"/>
      <c r="K2191" s="68"/>
      <c r="L2191" s="69"/>
      <c r="M2191" s="66">
        <f t="shared" ca="1" si="68"/>
        <v>219</v>
      </c>
    </row>
    <row r="2192" spans="1:13" ht="30">
      <c r="A2192" s="64" t="s">
        <v>15</v>
      </c>
      <c r="B2192" s="98" t="e">
        <f>VLOOKUP([2]!Table27[[#This Row],[Location 
(drop-down)]],'[2]List source'!D$2:E$59,2,FALSE)</f>
        <v>#VALUE!</v>
      </c>
      <c r="C2192" s="99" t="s">
        <v>6024</v>
      </c>
      <c r="D2192" s="100" t="e">
        <f t="shared" si="69"/>
        <v>#VALUE!</v>
      </c>
      <c r="E2192" s="64" t="s">
        <v>6025</v>
      </c>
      <c r="F2192" s="66" t="e" cm="1" vm="1">
        <f t="array" aca="1" ref="F219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2" s="66">
        <v>2.0499999999999998</v>
      </c>
      <c r="I2192" s="67">
        <v>45859</v>
      </c>
      <c r="J2192" s="67" t="s">
        <v>69</v>
      </c>
      <c r="K2192" s="68">
        <v>45981</v>
      </c>
      <c r="L2192" s="69"/>
      <c r="M2192" s="66" t="str">
        <f t="shared" ca="1" si="68"/>
        <v>CLOSED</v>
      </c>
    </row>
    <row r="2193" spans="1:13" ht="30">
      <c r="A2193" s="64" t="s">
        <v>714</v>
      </c>
      <c r="B2193" s="98" t="e">
        <f>VLOOKUP([2]!Table27[[#This Row],[Location 
(drop-down)]],'[2]List source'!D$2:E$59,2,FALSE)</f>
        <v>#VALUE!</v>
      </c>
      <c r="C2193" s="99" t="s">
        <v>6026</v>
      </c>
      <c r="D2193" s="100" t="e">
        <f t="shared" si="69"/>
        <v>#VALUE!</v>
      </c>
      <c r="E2193" s="64" t="s">
        <v>6027</v>
      </c>
      <c r="F2193" s="66" t="e" cm="1" vm="1">
        <f t="array" aca="1" ref="F219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3" s="110" t="s">
        <v>6028</v>
      </c>
      <c r="I2193" s="67">
        <v>45859</v>
      </c>
      <c r="J2193" s="67"/>
      <c r="K2193" s="68"/>
      <c r="L2193" s="69"/>
      <c r="M2193" s="66">
        <f t="shared" ca="1" si="68"/>
        <v>219</v>
      </c>
    </row>
    <row r="2194" spans="1:13" ht="60">
      <c r="A2194" s="64" t="s">
        <v>714</v>
      </c>
      <c r="B2194" s="98" t="e">
        <f>VLOOKUP([2]!Table27[[#This Row],[Location 
(drop-down)]],'[2]List source'!D$2:E$59,2,FALSE)</f>
        <v>#VALUE!</v>
      </c>
      <c r="C2194" s="99" t="s">
        <v>6029</v>
      </c>
      <c r="D2194" s="100" t="e">
        <f t="shared" si="69"/>
        <v>#VALUE!</v>
      </c>
      <c r="E2194" s="64" t="s">
        <v>6030</v>
      </c>
      <c r="F2194" s="66" t="e" cm="1" vm="1">
        <f t="array" aca="1" ref="F219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4" s="66" t="s">
        <v>6031</v>
      </c>
      <c r="I2194" s="67">
        <v>45859</v>
      </c>
      <c r="J2194" s="67"/>
      <c r="K2194" s="68"/>
      <c r="L2194" s="69"/>
      <c r="M2194" s="66">
        <f t="shared" ca="1" si="68"/>
        <v>219</v>
      </c>
    </row>
    <row r="2195" spans="1:13" ht="30">
      <c r="A2195" s="64" t="s">
        <v>202</v>
      </c>
      <c r="B2195" s="98" t="e">
        <f>VLOOKUP([2]!Table27[[#This Row],[Location 
(drop-down)]],'[2]List source'!D$2:E$59,2,FALSE)</f>
        <v>#VALUE!</v>
      </c>
      <c r="C2195" s="99" t="s">
        <v>6032</v>
      </c>
      <c r="D2195" s="100" t="e">
        <f t="shared" si="69"/>
        <v>#VALUE!</v>
      </c>
      <c r="E2195" s="64" t="s">
        <v>6033</v>
      </c>
      <c r="F2195" s="66" t="e" cm="1" vm="1">
        <f t="array" aca="1" ref="F219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1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5" s="66" t="s">
        <v>6034</v>
      </c>
      <c r="I2195" s="67">
        <v>45834</v>
      </c>
      <c r="J2195" s="67" t="s">
        <v>21</v>
      </c>
      <c r="K2195" s="68">
        <v>46001</v>
      </c>
      <c r="L2195" s="69"/>
      <c r="M2195" s="66" t="str">
        <f t="shared" ca="1" si="68"/>
        <v>CLOSED</v>
      </c>
    </row>
    <row r="2196" spans="1:13" ht="30">
      <c r="A2196" s="64" t="s">
        <v>156</v>
      </c>
      <c r="B2196" s="98" t="e">
        <f>VLOOKUP([2]!Table27[[#This Row],[Location 
(drop-down)]],'[2]List source'!D$2:E$59,2,FALSE)</f>
        <v>#VALUE!</v>
      </c>
      <c r="C2196" s="99" t="s">
        <v>6035</v>
      </c>
      <c r="D2196" s="100" t="e">
        <f t="shared" si="69"/>
        <v>#VALUE!</v>
      </c>
      <c r="E2196" s="64" t="s">
        <v>6036</v>
      </c>
      <c r="F2196" s="66" t="s">
        <v>6037</v>
      </c>
      <c r="G21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6" s="110" t="s">
        <v>1567</v>
      </c>
      <c r="I2196" s="67">
        <v>45862</v>
      </c>
      <c r="J2196" s="67" t="s">
        <v>29</v>
      </c>
      <c r="K2196" s="68">
        <v>45960</v>
      </c>
      <c r="L2196" s="69"/>
      <c r="M2196" s="66" t="str">
        <f t="shared" ca="1" si="68"/>
        <v>CLOSED</v>
      </c>
    </row>
    <row r="2197" spans="1:13" ht="30">
      <c r="A2197" s="64" t="s">
        <v>103</v>
      </c>
      <c r="B2197" s="98" t="e">
        <f>VLOOKUP([2]!Table27[[#This Row],[Location 
(drop-down)]],'[2]List source'!D$2:E$59,2,FALSE)</f>
        <v>#VALUE!</v>
      </c>
      <c r="C2197" s="99" t="s">
        <v>6038</v>
      </c>
      <c r="D2197" s="100" t="e">
        <f t="shared" si="69"/>
        <v>#VALUE!</v>
      </c>
      <c r="E2197" s="64" t="s">
        <v>6039</v>
      </c>
      <c r="F2197" s="66" t="s">
        <v>6037</v>
      </c>
      <c r="G21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7" s="66">
        <v>2.04</v>
      </c>
      <c r="I2197" s="67">
        <v>45862</v>
      </c>
      <c r="J2197" s="67" t="s">
        <v>310</v>
      </c>
      <c r="K2197" s="68">
        <v>45896</v>
      </c>
      <c r="L2197" s="69"/>
      <c r="M2197" s="66" t="str">
        <f t="shared" ca="1" si="68"/>
        <v>CLOSED</v>
      </c>
    </row>
    <row r="2198" spans="1:13" ht="90">
      <c r="A2198" s="64" t="s">
        <v>167</v>
      </c>
      <c r="B2198" s="98" t="e">
        <f>VLOOKUP([2]!Table27[[#This Row],[Location 
(drop-down)]],'[2]List source'!D$2:E$59,2,FALSE)</f>
        <v>#VALUE!</v>
      </c>
      <c r="C2198" s="99" t="s">
        <v>6040</v>
      </c>
      <c r="D2198" s="100" t="e">
        <f t="shared" si="69"/>
        <v>#VALUE!</v>
      </c>
      <c r="E2198" s="64" t="s">
        <v>6041</v>
      </c>
      <c r="F2198" s="66" t="s">
        <v>6037</v>
      </c>
      <c r="G21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8" s="110" t="s">
        <v>2975</v>
      </c>
      <c r="I2198" s="67">
        <v>45862</v>
      </c>
      <c r="J2198" s="67" t="s">
        <v>34</v>
      </c>
      <c r="K2198" s="68">
        <v>45862</v>
      </c>
      <c r="L2198" s="69" t="s">
        <v>1562</v>
      </c>
      <c r="M2198" s="66" t="str">
        <f t="shared" ca="1" si="68"/>
        <v>CLOSED</v>
      </c>
    </row>
    <row r="2199" spans="1:13" ht="30">
      <c r="A2199" s="64" t="s">
        <v>500</v>
      </c>
      <c r="B2199" s="98" t="e">
        <f>VLOOKUP([2]!Table27[[#This Row],[Location 
(drop-down)]],'[2]List source'!D$2:E$59,2,FALSE)</f>
        <v>#VALUE!</v>
      </c>
      <c r="C2199" s="99" t="s">
        <v>6042</v>
      </c>
      <c r="D2199" s="100" t="e">
        <f t="shared" si="69"/>
        <v>#VALUE!</v>
      </c>
      <c r="E2199" s="64" t="s">
        <v>6043</v>
      </c>
      <c r="F2199" s="66" t="s">
        <v>6037</v>
      </c>
      <c r="G21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199" s="110" t="s">
        <v>6044</v>
      </c>
      <c r="I2199" s="67">
        <v>45862</v>
      </c>
      <c r="J2199" s="67" t="s">
        <v>310</v>
      </c>
      <c r="K2199" s="68">
        <v>45871</v>
      </c>
      <c r="L2199" s="69"/>
      <c r="M2199" s="66" t="str">
        <f t="shared" ca="1" si="68"/>
        <v>CLOSED</v>
      </c>
    </row>
    <row r="2200" spans="1:13" ht="30">
      <c r="A2200" s="64" t="s">
        <v>500</v>
      </c>
      <c r="B2200" s="98" t="e">
        <f>VLOOKUP([2]!Table27[[#This Row],[Location 
(drop-down)]],'[2]List source'!D$2:E$59,2,FALSE)</f>
        <v>#VALUE!</v>
      </c>
      <c r="C2200" s="99" t="s">
        <v>6045</v>
      </c>
      <c r="D2200" s="100" t="e">
        <f t="shared" si="69"/>
        <v>#VALUE!</v>
      </c>
      <c r="E2200" s="64" t="s">
        <v>6046</v>
      </c>
      <c r="F2200" s="66" t="s">
        <v>6037</v>
      </c>
      <c r="G22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0" s="110" t="s">
        <v>3435</v>
      </c>
      <c r="I2200" s="67">
        <v>45862</v>
      </c>
      <c r="J2200" s="67" t="s">
        <v>310</v>
      </c>
      <c r="K2200" s="68">
        <v>45896</v>
      </c>
      <c r="L2200" s="69"/>
      <c r="M2200" s="66" t="str">
        <f t="shared" ca="1" si="68"/>
        <v>CLOSED</v>
      </c>
    </row>
    <row r="2201" spans="1:13" ht="30">
      <c r="A2201" s="64" t="s">
        <v>500</v>
      </c>
      <c r="B2201" s="98" t="e">
        <f>VLOOKUP([2]!Table27[[#This Row],[Location 
(drop-down)]],'[2]List source'!D$2:E$59,2,FALSE)</f>
        <v>#VALUE!</v>
      </c>
      <c r="C2201" s="99" t="s">
        <v>6047</v>
      </c>
      <c r="D2201" s="100" t="e">
        <f t="shared" si="69"/>
        <v>#VALUE!</v>
      </c>
      <c r="E2201" s="64" t="s">
        <v>6048</v>
      </c>
      <c r="F2201" s="66" t="s">
        <v>6037</v>
      </c>
      <c r="G22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1" s="110" t="s">
        <v>2533</v>
      </c>
      <c r="I2201" s="67">
        <v>45862</v>
      </c>
      <c r="J2201" s="67" t="s">
        <v>310</v>
      </c>
      <c r="K2201" s="68">
        <v>45870</v>
      </c>
      <c r="L2201" s="69"/>
      <c r="M2201" s="66" t="str">
        <f t="shared" ca="1" si="68"/>
        <v>CLOSED</v>
      </c>
    </row>
    <row r="2202" spans="1:13" ht="30">
      <c r="A2202" s="64" t="s">
        <v>500</v>
      </c>
      <c r="B2202" s="98" t="e">
        <f>VLOOKUP([2]!Table27[[#This Row],[Location 
(drop-down)]],'[2]List source'!D$2:E$59,2,FALSE)</f>
        <v>#VALUE!</v>
      </c>
      <c r="C2202" s="99" t="s">
        <v>6049</v>
      </c>
      <c r="D2202" s="100" t="e">
        <f t="shared" si="69"/>
        <v>#VALUE!</v>
      </c>
      <c r="E2202" s="64" t="s">
        <v>6050</v>
      </c>
      <c r="F2202" s="66" t="s">
        <v>6037</v>
      </c>
      <c r="G22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2" s="66">
        <v>6.53</v>
      </c>
      <c r="I2202" s="67">
        <v>45862</v>
      </c>
      <c r="J2202" s="67" t="s">
        <v>310</v>
      </c>
      <c r="K2202" s="68">
        <v>45897</v>
      </c>
      <c r="L2202" s="69"/>
      <c r="M2202" s="66" t="str">
        <f t="shared" ca="1" si="68"/>
        <v>CLOSED</v>
      </c>
    </row>
    <row r="2203" spans="1:13" ht="18.75">
      <c r="A2203" s="64" t="s">
        <v>139</v>
      </c>
      <c r="B2203" s="98" t="e">
        <f>VLOOKUP([2]!Table27[[#This Row],[Location 
(drop-down)]],'[2]List source'!D$2:E$59,2,FALSE)</f>
        <v>#VALUE!</v>
      </c>
      <c r="C2203" s="99" t="s">
        <v>6051</v>
      </c>
      <c r="D2203" s="100" t="e">
        <f t="shared" si="69"/>
        <v>#VALUE!</v>
      </c>
      <c r="E2203" s="176" t="s">
        <v>6052</v>
      </c>
      <c r="F2203" s="66" t="s">
        <v>6037</v>
      </c>
      <c r="G22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3" s="110" t="s">
        <v>1759</v>
      </c>
      <c r="I2203" s="67">
        <v>45862</v>
      </c>
      <c r="J2203" s="67" t="s">
        <v>310</v>
      </c>
      <c r="K2203" s="68">
        <v>45915</v>
      </c>
      <c r="L2203" s="69"/>
      <c r="M2203" s="66" t="str">
        <f t="shared" ca="1" si="68"/>
        <v>CLOSED</v>
      </c>
    </row>
    <row r="2204" spans="1:13" ht="45">
      <c r="A2204" s="64" t="s">
        <v>156</v>
      </c>
      <c r="B2204" s="98" t="e">
        <f>VLOOKUP([2]!Table27[[#This Row],[Location 
(drop-down)]],'[2]List source'!D$2:E$59,2,FALSE)</f>
        <v>#VALUE!</v>
      </c>
      <c r="C2204" s="99" t="s">
        <v>6053</v>
      </c>
      <c r="D2204" s="100" t="e">
        <f t="shared" si="69"/>
        <v>#VALUE!</v>
      </c>
      <c r="E2204" s="64" t="s">
        <v>6054</v>
      </c>
      <c r="F2204" s="66" t="e" cm="1" vm="1">
        <f t="array" aca="1" ref="F220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4" s="110" t="s">
        <v>6055</v>
      </c>
      <c r="I2204" s="67">
        <v>45863</v>
      </c>
      <c r="J2204" s="67" t="s">
        <v>34</v>
      </c>
      <c r="K2204" s="68">
        <v>45867</v>
      </c>
      <c r="L2204" s="69" t="s">
        <v>1505</v>
      </c>
      <c r="M2204" s="66" t="str">
        <f t="shared" ca="1" si="68"/>
        <v>CLOSED</v>
      </c>
    </row>
    <row r="2205" spans="1:13" ht="30">
      <c r="A2205" s="64" t="s">
        <v>1334</v>
      </c>
      <c r="B2205" s="98" t="e">
        <f>VLOOKUP([2]!Table27[[#This Row],[Location 
(drop-down)]],'[2]List source'!D$2:E$59,2,FALSE)</f>
        <v>#VALUE!</v>
      </c>
      <c r="C2205" s="99" t="s">
        <v>6056</v>
      </c>
      <c r="D2205" s="100" t="e">
        <f t="shared" si="69"/>
        <v>#VALUE!</v>
      </c>
      <c r="E2205" s="64" t="s">
        <v>6057</v>
      </c>
      <c r="F2205" s="66" t="e" cm="1" vm="1">
        <f t="array" aca="1" ref="F220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5" s="110">
        <v>2.88</v>
      </c>
      <c r="I2205" s="67">
        <v>45863</v>
      </c>
      <c r="J2205" s="67" t="s">
        <v>310</v>
      </c>
      <c r="K2205" s="68">
        <v>45889</v>
      </c>
      <c r="L2205" s="69"/>
      <c r="M2205" s="66" t="str">
        <f t="shared" ca="1" si="68"/>
        <v>CLOSED</v>
      </c>
    </row>
    <row r="2206" spans="1:13" ht="90">
      <c r="A2206" s="64" t="s">
        <v>39</v>
      </c>
      <c r="B2206" s="98" t="e">
        <f>VLOOKUP([2]!Table27[[#This Row],[Location 
(drop-down)]],'[2]List source'!D$2:E$59,2,FALSE)</f>
        <v>#VALUE!</v>
      </c>
      <c r="C2206" s="99" t="s">
        <v>6058</v>
      </c>
      <c r="D2206" s="100" t="e">
        <f t="shared" si="69"/>
        <v>#VALUE!</v>
      </c>
      <c r="E2206" s="64" t="s">
        <v>6059</v>
      </c>
      <c r="F2206" s="66" t="e" cm="1" vm="1">
        <f t="array" aca="1" ref="F220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6" s="110" t="s">
        <v>6060</v>
      </c>
      <c r="I2206" s="67">
        <v>45863</v>
      </c>
      <c r="J2206" s="67" t="s">
        <v>34</v>
      </c>
      <c r="K2206" s="68">
        <v>45863</v>
      </c>
      <c r="L2206" s="69" t="s">
        <v>1671</v>
      </c>
      <c r="M2206" s="66" t="str">
        <f t="shared" ca="1" si="68"/>
        <v>CLOSED</v>
      </c>
    </row>
    <row r="2207" spans="1:13" ht="90">
      <c r="A2207" s="64" t="s">
        <v>462</v>
      </c>
      <c r="B2207" s="98" t="e">
        <f>VLOOKUP([2]!Table27[[#This Row],[Location 
(drop-down)]],'[2]List source'!D$2:E$59,2,FALSE)</f>
        <v>#VALUE!</v>
      </c>
      <c r="C2207" s="99" t="s">
        <v>6061</v>
      </c>
      <c r="D2207" s="100" t="e">
        <f t="shared" si="69"/>
        <v>#VALUE!</v>
      </c>
      <c r="E2207" s="64" t="s">
        <v>6062</v>
      </c>
      <c r="F2207" s="66" t="e" cm="1" vm="1">
        <f t="array" aca="1" ref="F22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0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7" s="66">
        <v>2.3199999999999998</v>
      </c>
      <c r="I2207" s="67">
        <v>45863</v>
      </c>
      <c r="J2207" s="67" t="s">
        <v>34</v>
      </c>
      <c r="K2207" s="68">
        <v>45863</v>
      </c>
      <c r="L2207" s="69" t="s">
        <v>1671</v>
      </c>
      <c r="M2207" s="66" t="str">
        <f t="shared" ref="M2207:M2270" ca="1" si="70">IF(ISBLANK(K2207), TODAY()-(I2207), "CLOSED")</f>
        <v>CLOSED</v>
      </c>
    </row>
    <row r="2208" spans="1:13" ht="60">
      <c r="A2208" s="64" t="s">
        <v>591</v>
      </c>
      <c r="B2208" s="98" t="e">
        <f>VLOOKUP([2]!Table27[[#This Row],[Location 
(drop-down)]],'[2]List source'!D$2:E$59,2,FALSE)</f>
        <v>#VALUE!</v>
      </c>
      <c r="C2208" s="99" t="s">
        <v>6063</v>
      </c>
      <c r="D2208" s="452" t="e">
        <f t="shared" si="69"/>
        <v>#VALUE!</v>
      </c>
      <c r="E2208" s="64" t="s">
        <v>6064</v>
      </c>
      <c r="F2208" s="66" t="e" cm="1" vm="1">
        <f t="array" aca="1" ref="F220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0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8" s="66">
        <v>2.0499999999999998</v>
      </c>
      <c r="I2208" s="67">
        <v>45863</v>
      </c>
      <c r="J2208" s="67" t="s">
        <v>29</v>
      </c>
      <c r="K2208" s="68">
        <v>45881</v>
      </c>
      <c r="L2208" s="453" t="s">
        <v>6065</v>
      </c>
      <c r="M2208" s="66" t="str">
        <f t="shared" ca="1" si="70"/>
        <v>CLOSED</v>
      </c>
    </row>
    <row r="2209" spans="1:13" ht="30">
      <c r="A2209" s="64" t="s">
        <v>125</v>
      </c>
      <c r="B2209" s="98" t="e">
        <f>VLOOKUP([2]!Table27[[#This Row],[Location 
(drop-down)]],'[2]List source'!D$2:E$59,2,FALSE)</f>
        <v>#VALUE!</v>
      </c>
      <c r="C2209" s="99" t="s">
        <v>6066</v>
      </c>
      <c r="D2209" s="100" t="e">
        <f t="shared" si="69"/>
        <v>#VALUE!</v>
      </c>
      <c r="E2209" s="176" t="s">
        <v>6067</v>
      </c>
      <c r="F2209" s="66" t="e" cm="1" vm="1">
        <f t="array" aca="1" ref="F22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0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09" s="110">
        <v>3.09</v>
      </c>
      <c r="I2209" s="67">
        <v>45863</v>
      </c>
      <c r="J2209" s="67"/>
      <c r="K2209" s="68"/>
      <c r="L2209" s="69"/>
      <c r="M2209" s="66">
        <f t="shared" ca="1" si="70"/>
        <v>215</v>
      </c>
    </row>
    <row r="2210" spans="1:13" ht="90">
      <c r="A2210" s="64" t="s">
        <v>119</v>
      </c>
      <c r="B2210" s="98" t="e">
        <f>VLOOKUP([2]!Table27[[#This Row],[Location 
(drop-down)]],'[2]List source'!D$2:E$59,2,FALSE)</f>
        <v>#VALUE!</v>
      </c>
      <c r="C2210" s="99" t="s">
        <v>6068</v>
      </c>
      <c r="D2210" s="100" t="e">
        <f t="shared" si="69"/>
        <v>#VALUE!</v>
      </c>
      <c r="E2210" s="64" t="s">
        <v>6069</v>
      </c>
      <c r="F2210" s="66" t="e" cm="1" vm="1">
        <f t="array" aca="1" ref="F221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0" s="66">
        <v>2.0499999999999998</v>
      </c>
      <c r="I2210" s="67">
        <v>45863</v>
      </c>
      <c r="J2210" s="67" t="s">
        <v>34</v>
      </c>
      <c r="K2210" s="68">
        <v>45863</v>
      </c>
      <c r="L2210" s="69" t="s">
        <v>1671</v>
      </c>
      <c r="M2210" s="66" t="str">
        <f t="shared" ca="1" si="70"/>
        <v>CLOSED</v>
      </c>
    </row>
    <row r="2211" spans="1:13" ht="90">
      <c r="A2211" s="64" t="s">
        <v>119</v>
      </c>
      <c r="B2211" s="98" t="e">
        <f>VLOOKUP([2]!Table27[[#This Row],[Location 
(drop-down)]],'[2]List source'!D$2:E$59,2,FALSE)</f>
        <v>#VALUE!</v>
      </c>
      <c r="C2211" s="99" t="s">
        <v>6070</v>
      </c>
      <c r="D2211" s="100" t="e">
        <f t="shared" si="69"/>
        <v>#VALUE!</v>
      </c>
      <c r="E2211" s="64" t="s">
        <v>6071</v>
      </c>
      <c r="F2211" s="66" t="e" cm="1" vm="1">
        <f t="array" aca="1" ref="F221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1" s="66" t="s">
        <v>6072</v>
      </c>
      <c r="I2211" s="67">
        <v>45863</v>
      </c>
      <c r="J2211" s="67" t="s">
        <v>34</v>
      </c>
      <c r="K2211" s="68">
        <v>45863</v>
      </c>
      <c r="L2211" s="69" t="s">
        <v>1671</v>
      </c>
      <c r="M2211" s="66" t="str">
        <f t="shared" ca="1" si="70"/>
        <v>CLOSED</v>
      </c>
    </row>
    <row r="2212" spans="1:13" ht="60">
      <c r="A2212" s="64" t="s">
        <v>311</v>
      </c>
      <c r="B2212" s="98" t="e">
        <f>VLOOKUP([2]!Table27[[#This Row],[Location 
(drop-down)]],'[2]List source'!D$2:E$59,2,FALSE)</f>
        <v>#VALUE!</v>
      </c>
      <c r="C2212" s="99" t="s">
        <v>6073</v>
      </c>
      <c r="D2212" s="452" t="e">
        <f t="shared" si="69"/>
        <v>#VALUE!</v>
      </c>
      <c r="E2212" s="64" t="s">
        <v>6074</v>
      </c>
      <c r="F2212" s="66" t="e" cm="1" vm="1">
        <f t="array" aca="1" ref="F221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2" s="66">
        <v>5.76</v>
      </c>
      <c r="I2212" s="67">
        <v>45863</v>
      </c>
      <c r="J2212" s="67" t="s">
        <v>310</v>
      </c>
      <c r="K2212" s="68">
        <v>46008</v>
      </c>
      <c r="L2212" s="453" t="s">
        <v>6065</v>
      </c>
      <c r="M2212" s="66" t="str">
        <f t="shared" ca="1" si="70"/>
        <v>CLOSED</v>
      </c>
    </row>
    <row r="2213" spans="1:13" ht="90">
      <c r="A2213" s="64" t="s">
        <v>185</v>
      </c>
      <c r="B2213" s="98" t="e">
        <f>VLOOKUP([2]!Table27[[#This Row],[Location 
(drop-down)]],'[2]List source'!D$2:E$59,2,FALSE)</f>
        <v>#VALUE!</v>
      </c>
      <c r="C2213" s="99" t="s">
        <v>6075</v>
      </c>
      <c r="D2213" s="100" t="e">
        <f t="shared" si="69"/>
        <v>#VALUE!</v>
      </c>
      <c r="E2213" s="64" t="s">
        <v>6076</v>
      </c>
      <c r="F2213" s="66" t="e" cm="1" vm="1">
        <f t="array" aca="1" ref="F221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3" s="110" t="s">
        <v>6077</v>
      </c>
      <c r="I2213" s="67">
        <v>45863</v>
      </c>
      <c r="J2213" s="67" t="s">
        <v>34</v>
      </c>
      <c r="K2213" s="68">
        <v>45863</v>
      </c>
      <c r="L2213" s="69" t="s">
        <v>1671</v>
      </c>
      <c r="M2213" s="66" t="str">
        <f t="shared" ca="1" si="70"/>
        <v>CLOSED</v>
      </c>
    </row>
    <row r="2214" spans="1:13" ht="60">
      <c r="A2214" s="64" t="s">
        <v>167</v>
      </c>
      <c r="B2214" s="98" t="e">
        <f>VLOOKUP([2]!Table27[[#This Row],[Location 
(drop-down)]],'[2]List source'!D$2:E$59,2,FALSE)</f>
        <v>#VALUE!</v>
      </c>
      <c r="C2214" s="99" t="s">
        <v>6078</v>
      </c>
      <c r="D2214" s="452" t="e">
        <f t="shared" si="69"/>
        <v>#VALUE!</v>
      </c>
      <c r="E2214" s="64" t="s">
        <v>6079</v>
      </c>
      <c r="F2214" s="66" t="e" cm="1" vm="1">
        <f t="array" aca="1" ref="F221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4" s="110" t="s">
        <v>2536</v>
      </c>
      <c r="I2214" s="67">
        <v>45863</v>
      </c>
      <c r="J2214" s="67" t="s">
        <v>310</v>
      </c>
      <c r="K2214" s="68">
        <v>45877</v>
      </c>
      <c r="L2214" s="453" t="s">
        <v>6065</v>
      </c>
      <c r="M2214" s="66" t="str">
        <f t="shared" ca="1" si="70"/>
        <v>CLOSED</v>
      </c>
    </row>
    <row r="2215" spans="1:13" ht="90">
      <c r="A2215" s="64" t="s">
        <v>314</v>
      </c>
      <c r="B2215" s="98" t="e">
        <f>VLOOKUP([2]!Table27[[#This Row],[Location 
(drop-down)]],'[2]List source'!D$2:E$59,2,FALSE)</f>
        <v>#VALUE!</v>
      </c>
      <c r="C2215" s="99" t="s">
        <v>6080</v>
      </c>
      <c r="D2215" s="100" t="e">
        <f t="shared" si="69"/>
        <v>#VALUE!</v>
      </c>
      <c r="E2215" s="64" t="s">
        <v>6081</v>
      </c>
      <c r="F2215" s="66" t="e" cm="1" vm="1">
        <f t="array" aca="1" ref="F221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5" s="66">
        <v>2.02</v>
      </c>
      <c r="I2215" s="67">
        <v>45863</v>
      </c>
      <c r="J2215" s="67" t="s">
        <v>34</v>
      </c>
      <c r="K2215" s="68">
        <v>45863</v>
      </c>
      <c r="L2215" s="69" t="s">
        <v>1671</v>
      </c>
      <c r="M2215" s="66" t="str">
        <f t="shared" ca="1" si="70"/>
        <v>CLOSED</v>
      </c>
    </row>
    <row r="2216" spans="1:13" ht="30">
      <c r="A2216" s="64" t="s">
        <v>314</v>
      </c>
      <c r="B2216" s="98" t="e">
        <f>VLOOKUP([2]!Table27[[#This Row],[Location 
(drop-down)]],'[2]List source'!D$2:E$59,2,FALSE)</f>
        <v>#VALUE!</v>
      </c>
      <c r="C2216" s="99" t="s">
        <v>6082</v>
      </c>
      <c r="D2216" s="100" t="e">
        <f t="shared" si="69"/>
        <v>#VALUE!</v>
      </c>
      <c r="E2216" s="64" t="s">
        <v>6083</v>
      </c>
      <c r="F2216" s="66" t="e" cm="1" vm="1">
        <f t="array" aca="1" ref="F221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6" s="66">
        <v>2.04</v>
      </c>
      <c r="I2216" s="67">
        <v>45863</v>
      </c>
      <c r="J2216" s="67" t="s">
        <v>327</v>
      </c>
      <c r="K2216" s="68">
        <v>46055</v>
      </c>
      <c r="L2216" s="69"/>
      <c r="M2216" s="66" t="str">
        <f t="shared" ca="1" si="70"/>
        <v>CLOSED</v>
      </c>
    </row>
    <row r="2217" spans="1:13" ht="45">
      <c r="A2217" s="64" t="s">
        <v>294</v>
      </c>
      <c r="B2217" s="98" t="e">
        <f>VLOOKUP([2]!Table27[[#This Row],[Location 
(drop-down)]],'[2]List source'!D$2:E$59,2,FALSE)</f>
        <v>#VALUE!</v>
      </c>
      <c r="C2217" s="99" t="s">
        <v>6084</v>
      </c>
      <c r="D2217" s="100" t="e">
        <f t="shared" si="69"/>
        <v>#VALUE!</v>
      </c>
      <c r="E2217" s="64" t="s">
        <v>6085</v>
      </c>
      <c r="F2217" s="66" t="e" cm="1" vm="1">
        <f t="array" aca="1" ref="F221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7" s="66">
        <v>8.1199999999999992</v>
      </c>
      <c r="I2217" s="67">
        <v>45863</v>
      </c>
      <c r="J2217" s="67" t="s">
        <v>34</v>
      </c>
      <c r="K2217" s="68">
        <v>45866</v>
      </c>
      <c r="L2217" s="69" t="s">
        <v>1505</v>
      </c>
      <c r="M2217" s="66" t="str">
        <f t="shared" ca="1" si="70"/>
        <v>CLOSED</v>
      </c>
    </row>
    <row r="2218" spans="1:13" ht="90">
      <c r="A2218" s="64" t="s">
        <v>294</v>
      </c>
      <c r="B2218" s="98" t="e">
        <f>VLOOKUP([2]!Table27[[#This Row],[Location 
(drop-down)]],'[2]List source'!D$2:E$59,2,FALSE)</f>
        <v>#VALUE!</v>
      </c>
      <c r="C2218" s="99" t="s">
        <v>6086</v>
      </c>
      <c r="D2218" s="100" t="e">
        <f t="shared" si="69"/>
        <v>#VALUE!</v>
      </c>
      <c r="E2218" s="64" t="s">
        <v>6081</v>
      </c>
      <c r="F2218" s="66" t="e" cm="1" vm="1">
        <f t="array" aca="1" ref="F221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8" s="66">
        <v>2.02</v>
      </c>
      <c r="I2218" s="67">
        <v>45863</v>
      </c>
      <c r="J2218" s="67" t="s">
        <v>34</v>
      </c>
      <c r="K2218" s="68">
        <v>45863</v>
      </c>
      <c r="L2218" s="69" t="s">
        <v>1671</v>
      </c>
      <c r="M2218" s="66" t="str">
        <f t="shared" ca="1" si="70"/>
        <v>CLOSED</v>
      </c>
    </row>
    <row r="2219" spans="1:13" ht="90">
      <c r="A2219" s="64" t="s">
        <v>294</v>
      </c>
      <c r="B2219" s="98" t="e">
        <f>VLOOKUP([2]!Table27[[#This Row],[Location 
(drop-down)]],'[2]List source'!D$2:E$59,2,FALSE)</f>
        <v>#VALUE!</v>
      </c>
      <c r="C2219" s="99" t="s">
        <v>6087</v>
      </c>
      <c r="D2219" s="100" t="e">
        <f t="shared" si="69"/>
        <v>#VALUE!</v>
      </c>
      <c r="E2219" s="64" t="s">
        <v>6088</v>
      </c>
      <c r="F2219" s="66" t="e" cm="1" vm="1">
        <f t="array" aca="1" ref="F221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19" s="110" t="s">
        <v>6089</v>
      </c>
      <c r="I2219" s="67">
        <v>45863</v>
      </c>
      <c r="J2219" s="67" t="s">
        <v>34</v>
      </c>
      <c r="K2219" s="68">
        <v>45863</v>
      </c>
      <c r="L2219" s="69" t="s">
        <v>1671</v>
      </c>
      <c r="M2219" s="66" t="str">
        <f t="shared" ca="1" si="70"/>
        <v>CLOSED</v>
      </c>
    </row>
    <row r="2220" spans="1:13" ht="90">
      <c r="A2220" s="64" t="s">
        <v>73</v>
      </c>
      <c r="B2220" s="98" t="e">
        <f>VLOOKUP([2]!Table27[[#This Row],[Location 
(drop-down)]],'[2]List source'!D$2:E$59,2,FALSE)</f>
        <v>#VALUE!</v>
      </c>
      <c r="C2220" s="99" t="s">
        <v>6090</v>
      </c>
      <c r="D2220" s="100" t="e">
        <f t="shared" si="69"/>
        <v>#VALUE!</v>
      </c>
      <c r="E2220" s="64" t="s">
        <v>6081</v>
      </c>
      <c r="F2220" s="66" t="e" cm="1" vm="1">
        <f t="array" aca="1" ref="F222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0" s="66">
        <v>2.02</v>
      </c>
      <c r="I2220" s="67">
        <v>45863</v>
      </c>
      <c r="J2220" s="67" t="s">
        <v>34</v>
      </c>
      <c r="K2220" s="68">
        <v>45863</v>
      </c>
      <c r="L2220" s="69" t="s">
        <v>1671</v>
      </c>
      <c r="M2220" s="66" t="str">
        <f t="shared" ca="1" si="70"/>
        <v>CLOSED</v>
      </c>
    </row>
    <row r="2221" spans="1:13" ht="45">
      <c r="A2221" s="64" t="s">
        <v>485</v>
      </c>
      <c r="B2221" s="98" t="e">
        <f>VLOOKUP([2]!Table27[[#This Row],[Location 
(drop-down)]],'[2]List source'!D$2:E$59,2,FALSE)</f>
        <v>#VALUE!</v>
      </c>
      <c r="C2221" s="99" t="s">
        <v>6091</v>
      </c>
      <c r="D2221" s="100" t="e">
        <f t="shared" si="69"/>
        <v>#VALUE!</v>
      </c>
      <c r="E2221" s="64" t="s">
        <v>6092</v>
      </c>
      <c r="F2221" s="66" t="e" cm="1" vm="1">
        <f t="array" aca="1" ref="F222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1" s="110" t="s">
        <v>6093</v>
      </c>
      <c r="I2221" s="67">
        <v>45863</v>
      </c>
      <c r="J2221" s="67"/>
      <c r="K2221" s="68"/>
      <c r="L2221" s="69"/>
      <c r="M2221" s="66">
        <f t="shared" ca="1" si="70"/>
        <v>215</v>
      </c>
    </row>
    <row r="2222" spans="1:13" ht="45">
      <c r="A2222" s="64" t="s">
        <v>500</v>
      </c>
      <c r="B2222" s="98" t="e">
        <f>VLOOKUP([2]!Table27[[#This Row],[Location 
(drop-down)]],'[2]List source'!D$2:E$59,2,FALSE)</f>
        <v>#VALUE!</v>
      </c>
      <c r="C2222" s="99" t="s">
        <v>6094</v>
      </c>
      <c r="D2222" s="100" t="e">
        <f t="shared" si="69"/>
        <v>#VALUE!</v>
      </c>
      <c r="E2222" s="64" t="s">
        <v>6095</v>
      </c>
      <c r="F2222" s="66" t="e" cm="1" vm="1">
        <f t="array" aca="1" ref="F222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2" s="110" t="s">
        <v>6096</v>
      </c>
      <c r="I2222" s="67">
        <v>45863</v>
      </c>
      <c r="J2222" s="67" t="s">
        <v>310</v>
      </c>
      <c r="K2222" s="68">
        <v>45923</v>
      </c>
      <c r="L2222" s="69"/>
      <c r="M2222" s="66" t="str">
        <f t="shared" ca="1" si="70"/>
        <v>CLOSED</v>
      </c>
    </row>
    <row r="2223" spans="1:13" ht="90">
      <c r="A2223" s="64" t="s">
        <v>500</v>
      </c>
      <c r="B2223" s="98" t="e">
        <f>VLOOKUP([2]!Table27[[#This Row],[Location 
(drop-down)]],'[2]List source'!D$2:E$59,2,FALSE)</f>
        <v>#VALUE!</v>
      </c>
      <c r="C2223" s="99" t="s">
        <v>6097</v>
      </c>
      <c r="D2223" s="100" t="e">
        <f t="shared" si="69"/>
        <v>#VALUE!</v>
      </c>
      <c r="E2223" s="64" t="s">
        <v>6098</v>
      </c>
      <c r="F2223" s="66" t="e" cm="1" vm="1">
        <f t="array" aca="1" ref="F222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3" s="110" t="s">
        <v>6099</v>
      </c>
      <c r="I2223" s="67">
        <v>45863</v>
      </c>
      <c r="J2223" s="67" t="s">
        <v>34</v>
      </c>
      <c r="K2223" s="68">
        <v>45863</v>
      </c>
      <c r="L2223" s="69" t="s">
        <v>1671</v>
      </c>
      <c r="M2223" s="66" t="str">
        <f t="shared" ca="1" si="70"/>
        <v>CLOSED</v>
      </c>
    </row>
    <row r="2224" spans="1:13" ht="90">
      <c r="A2224" s="64" t="s">
        <v>23</v>
      </c>
      <c r="B2224" s="98" t="e">
        <f>VLOOKUP([2]!Table27[[#This Row],[Location 
(drop-down)]],'[2]List source'!D$2:E$59,2,FALSE)</f>
        <v>#VALUE!</v>
      </c>
      <c r="C2224" s="99" t="s">
        <v>6100</v>
      </c>
      <c r="D2224" s="100" t="e">
        <f t="shared" si="69"/>
        <v>#VALUE!</v>
      </c>
      <c r="E2224" s="64" t="s">
        <v>6101</v>
      </c>
      <c r="F2224" s="66" t="e" cm="1" vm="1">
        <f t="array" aca="1" ref="F222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4" s="110" t="s">
        <v>6102</v>
      </c>
      <c r="I2224" s="67">
        <v>45863</v>
      </c>
      <c r="J2224" s="67" t="s">
        <v>34</v>
      </c>
      <c r="K2224" s="68">
        <v>45863</v>
      </c>
      <c r="L2224" s="69" t="s">
        <v>1671</v>
      </c>
      <c r="M2224" s="66" t="str">
        <f t="shared" ca="1" si="70"/>
        <v>CLOSED</v>
      </c>
    </row>
    <row r="2225" spans="1:13" ht="45">
      <c r="A2225" s="64" t="s">
        <v>23</v>
      </c>
      <c r="B2225" s="98" t="e">
        <f>VLOOKUP([2]!Table27[[#This Row],[Location 
(drop-down)]],'[2]List source'!D$2:E$59,2,FALSE)</f>
        <v>#VALUE!</v>
      </c>
      <c r="C2225" s="99" t="s">
        <v>6103</v>
      </c>
      <c r="D2225" s="100" t="e">
        <f t="shared" si="69"/>
        <v>#VALUE!</v>
      </c>
      <c r="E2225" s="64" t="s">
        <v>6104</v>
      </c>
      <c r="F2225" s="66" t="e" cm="1" vm="1">
        <f t="array" aca="1" ref="F222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5" s="110" t="s">
        <v>6105</v>
      </c>
      <c r="I2225" s="67">
        <v>45863</v>
      </c>
      <c r="J2225" s="67" t="s">
        <v>34</v>
      </c>
      <c r="K2225" s="68">
        <v>45877</v>
      </c>
      <c r="L2225" s="69" t="s">
        <v>1505</v>
      </c>
      <c r="M2225" s="66" t="str">
        <f t="shared" ca="1" si="70"/>
        <v>CLOSED</v>
      </c>
    </row>
    <row r="2226" spans="1:13" ht="30">
      <c r="A2226" s="64" t="s">
        <v>43</v>
      </c>
      <c r="B2226" s="98" t="e">
        <f>VLOOKUP([2]!Table27[[#This Row],[Location 
(drop-down)]],'[2]List source'!D$2:E$59,2,FALSE)</f>
        <v>#VALUE!</v>
      </c>
      <c r="C2226" s="99" t="s">
        <v>6106</v>
      </c>
      <c r="D2226" s="100" t="e">
        <f t="shared" si="69"/>
        <v>#VALUE!</v>
      </c>
      <c r="E2226" s="64" t="s">
        <v>6107</v>
      </c>
      <c r="F2226" s="66" t="e" cm="1" vm="1">
        <f t="array" aca="1" ref="F222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6" s="66">
        <v>6.04</v>
      </c>
      <c r="I2226" s="67">
        <v>45863</v>
      </c>
      <c r="J2226" s="67" t="s">
        <v>29</v>
      </c>
      <c r="K2226" s="68">
        <v>46006</v>
      </c>
      <c r="L2226" s="69"/>
      <c r="M2226" s="66" t="str">
        <f t="shared" ca="1" si="70"/>
        <v>CLOSED</v>
      </c>
    </row>
    <row r="2227" spans="1:13" ht="90">
      <c r="A2227" s="64" t="s">
        <v>202</v>
      </c>
      <c r="B2227" s="98" t="e">
        <f>VLOOKUP([2]!Table27[[#This Row],[Location 
(drop-down)]],'[2]List source'!D$2:E$59,2,FALSE)</f>
        <v>#VALUE!</v>
      </c>
      <c r="C2227" s="99" t="s">
        <v>6108</v>
      </c>
      <c r="D2227" s="100" t="e">
        <f t="shared" si="69"/>
        <v>#VALUE!</v>
      </c>
      <c r="E2227" s="64" t="s">
        <v>6109</v>
      </c>
      <c r="F2227" s="66" t="s">
        <v>2274</v>
      </c>
      <c r="G22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7" s="66">
        <v>2.1</v>
      </c>
      <c r="I2227" s="67">
        <v>45867</v>
      </c>
      <c r="J2227" s="67" t="s">
        <v>34</v>
      </c>
      <c r="K2227" s="68">
        <v>45867</v>
      </c>
      <c r="L2227" s="69" t="s">
        <v>1671</v>
      </c>
      <c r="M2227" s="66" t="str">
        <f t="shared" ca="1" si="70"/>
        <v>CLOSED</v>
      </c>
    </row>
    <row r="2228" spans="1:13" ht="90">
      <c r="A2228" s="64" t="s">
        <v>1334</v>
      </c>
      <c r="B2228" s="98" t="e">
        <f>VLOOKUP([2]!Table27[[#This Row],[Location 
(drop-down)]],'[2]List source'!D$2:E$59,2,FALSE)</f>
        <v>#VALUE!</v>
      </c>
      <c r="C2228" s="99" t="s">
        <v>6110</v>
      </c>
      <c r="D2228" s="100" t="e">
        <f t="shared" si="69"/>
        <v>#VALUE!</v>
      </c>
      <c r="E2228" s="176" t="s">
        <v>6111</v>
      </c>
      <c r="F2228" s="66" t="s">
        <v>1524</v>
      </c>
      <c r="G22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8" s="66">
        <v>2.06</v>
      </c>
      <c r="I2228" s="67">
        <v>45869</v>
      </c>
      <c r="J2228" s="67" t="s">
        <v>34</v>
      </c>
      <c r="K2228" s="68">
        <v>45869</v>
      </c>
      <c r="L2228" s="69" t="s">
        <v>1671</v>
      </c>
      <c r="M2228" s="66" t="str">
        <f t="shared" ca="1" si="70"/>
        <v>CLOSED</v>
      </c>
    </row>
    <row r="2229" spans="1:13" ht="90">
      <c r="A2229" s="64" t="s">
        <v>53</v>
      </c>
      <c r="B2229" s="98" t="e">
        <f>VLOOKUP([2]!Table27[[#This Row],[Location 
(drop-down)]],'[2]List source'!D$2:E$59,2,FALSE)</f>
        <v>#VALUE!</v>
      </c>
      <c r="C2229" s="99" t="s">
        <v>6112</v>
      </c>
      <c r="D2229" s="100" t="e">
        <f t="shared" si="69"/>
        <v>#VALUE!</v>
      </c>
      <c r="E2229" s="64" t="s">
        <v>6111</v>
      </c>
      <c r="F2229" s="66" t="s">
        <v>1524</v>
      </c>
      <c r="G22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29" s="110" t="s">
        <v>1762</v>
      </c>
      <c r="I2229" s="67">
        <v>45869</v>
      </c>
      <c r="J2229" s="67" t="s">
        <v>34</v>
      </c>
      <c r="K2229" s="68">
        <v>45869</v>
      </c>
      <c r="L2229" s="69" t="s">
        <v>1671</v>
      </c>
      <c r="M2229" s="66" t="str">
        <f t="shared" ca="1" si="70"/>
        <v>CLOSED</v>
      </c>
    </row>
    <row r="2230" spans="1:13" ht="90">
      <c r="A2230" s="64" t="s">
        <v>53</v>
      </c>
      <c r="B2230" s="98" t="e">
        <f>VLOOKUP([2]!Table27[[#This Row],[Location 
(drop-down)]],'[2]List source'!D$2:E$59,2,FALSE)</f>
        <v>#VALUE!</v>
      </c>
      <c r="C2230" s="99" t="s">
        <v>6113</v>
      </c>
      <c r="D2230" s="100" t="e">
        <f t="shared" si="69"/>
        <v>#VALUE!</v>
      </c>
      <c r="E2230" s="64" t="s">
        <v>6114</v>
      </c>
      <c r="F2230" s="66" t="s">
        <v>1524</v>
      </c>
      <c r="G22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0" s="66">
        <v>2.1800000000000002</v>
      </c>
      <c r="I2230" s="67">
        <v>45869</v>
      </c>
      <c r="J2230" s="67" t="s">
        <v>34</v>
      </c>
      <c r="K2230" s="68">
        <v>45869</v>
      </c>
      <c r="L2230" s="69" t="s">
        <v>1671</v>
      </c>
      <c r="M2230" s="66" t="str">
        <f t="shared" ca="1" si="70"/>
        <v>CLOSED</v>
      </c>
    </row>
    <row r="2231" spans="1:13" ht="30">
      <c r="A2231" s="64" t="s">
        <v>114</v>
      </c>
      <c r="B2231" s="98" t="e">
        <f>VLOOKUP([2]!Table27[[#This Row],[Location 
(drop-down)]],'[2]List source'!D$2:E$59,2,FALSE)</f>
        <v>#VALUE!</v>
      </c>
      <c r="C2231" s="99" t="s">
        <v>6115</v>
      </c>
      <c r="D2231" s="100" t="e">
        <f t="shared" si="69"/>
        <v>#VALUE!</v>
      </c>
      <c r="E2231" s="64" t="s">
        <v>6116</v>
      </c>
      <c r="F2231" s="66" t="s">
        <v>3068</v>
      </c>
      <c r="G22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1" s="110">
        <v>6.85</v>
      </c>
      <c r="I2231" s="67">
        <v>45876</v>
      </c>
      <c r="J2231" s="67"/>
      <c r="K2231" s="68"/>
      <c r="L2231" s="69"/>
      <c r="M2231" s="66">
        <f t="shared" ca="1" si="70"/>
        <v>202</v>
      </c>
    </row>
    <row r="2232" spans="1:13" ht="30">
      <c r="A2232" s="64" t="s">
        <v>15</v>
      </c>
      <c r="B2232" s="98" t="e">
        <f>VLOOKUP([2]!Table27[[#This Row],[Location 
(drop-down)]],'[2]List source'!D$2:E$59,2,FALSE)</f>
        <v>#VALUE!</v>
      </c>
      <c r="C2232" s="99" t="s">
        <v>6117</v>
      </c>
      <c r="D2232" s="100" t="e">
        <f t="shared" si="69"/>
        <v>#VALUE!</v>
      </c>
      <c r="E2232" s="64" t="s">
        <v>6118</v>
      </c>
      <c r="F2232" s="66" t="s">
        <v>3068</v>
      </c>
      <c r="G22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2" s="110" t="s">
        <v>6119</v>
      </c>
      <c r="I2232" s="67">
        <v>45876</v>
      </c>
      <c r="J2232" s="67"/>
      <c r="K2232" s="68"/>
      <c r="L2232" s="69"/>
      <c r="M2232" s="66">
        <f t="shared" ca="1" si="70"/>
        <v>202</v>
      </c>
    </row>
    <row r="2233" spans="1:13" ht="90">
      <c r="A2233" s="64" t="s">
        <v>15</v>
      </c>
      <c r="B2233" s="98" t="e">
        <f>VLOOKUP([2]!Table27[[#This Row],[Location 
(drop-down)]],'[2]List source'!D$2:E$59,2,FALSE)</f>
        <v>#VALUE!</v>
      </c>
      <c r="C2233" s="99" t="s">
        <v>6120</v>
      </c>
      <c r="D2233" s="100" t="e">
        <f t="shared" si="69"/>
        <v>#VALUE!</v>
      </c>
      <c r="E2233" s="64" t="s">
        <v>6121</v>
      </c>
      <c r="F2233" s="66" t="s">
        <v>3068</v>
      </c>
      <c r="G22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3" s="66">
        <v>2.02</v>
      </c>
      <c r="I2233" s="67">
        <v>45876</v>
      </c>
      <c r="J2233" s="67" t="s">
        <v>34</v>
      </c>
      <c r="K2233" s="68">
        <v>45876</v>
      </c>
      <c r="L2233" s="69" t="s">
        <v>1671</v>
      </c>
      <c r="M2233" s="66" t="str">
        <f t="shared" ca="1" si="70"/>
        <v>CLOSED</v>
      </c>
    </row>
    <row r="2234" spans="1:13" ht="90">
      <c r="A2234" s="64" t="s">
        <v>399</v>
      </c>
      <c r="B2234" s="98" t="e">
        <f>VLOOKUP([2]!Table27[[#This Row],[Location 
(drop-down)]],'[2]List source'!D$2:E$59,2,FALSE)</f>
        <v>#VALUE!</v>
      </c>
      <c r="C2234" s="99" t="s">
        <v>6122</v>
      </c>
      <c r="D2234" s="100" t="e">
        <f t="shared" si="69"/>
        <v>#VALUE!</v>
      </c>
      <c r="E2234" s="64" t="s">
        <v>6123</v>
      </c>
      <c r="F2234" s="66" t="s">
        <v>3068</v>
      </c>
      <c r="G22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4" s="110">
        <v>2.15</v>
      </c>
      <c r="I2234" s="67">
        <v>45876</v>
      </c>
      <c r="J2234" s="67" t="s">
        <v>34</v>
      </c>
      <c r="K2234" s="68">
        <v>45876</v>
      </c>
      <c r="L2234" s="69" t="s">
        <v>1671</v>
      </c>
      <c r="M2234" s="66" t="str">
        <f t="shared" ca="1" si="70"/>
        <v>CLOSED</v>
      </c>
    </row>
    <row r="2235" spans="1:13" ht="45">
      <c r="A2235" s="64" t="s">
        <v>399</v>
      </c>
      <c r="B2235" s="98" t="e">
        <f>VLOOKUP([2]!Table27[[#This Row],[Location 
(drop-down)]],'[2]List source'!D$2:E$59,2,FALSE)</f>
        <v>#VALUE!</v>
      </c>
      <c r="C2235" s="99" t="s">
        <v>6124</v>
      </c>
      <c r="D2235" s="100" t="e">
        <f t="shared" si="69"/>
        <v>#VALUE!</v>
      </c>
      <c r="E2235" s="64" t="s">
        <v>6125</v>
      </c>
      <c r="F2235" s="66" t="s">
        <v>3068</v>
      </c>
      <c r="G223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5" s="66">
        <v>30.14</v>
      </c>
      <c r="I2235" s="67">
        <v>45876</v>
      </c>
      <c r="J2235" s="67" t="s">
        <v>34</v>
      </c>
      <c r="K2235" s="68">
        <v>46028</v>
      </c>
      <c r="L2235" s="69" t="s">
        <v>6126</v>
      </c>
      <c r="M2235" s="66" t="str">
        <f t="shared" ca="1" si="70"/>
        <v>CLOSED</v>
      </c>
    </row>
    <row r="2236" spans="1:13" ht="30">
      <c r="A2236" s="64" t="s">
        <v>294</v>
      </c>
      <c r="B2236" s="98" t="e">
        <f>VLOOKUP([2]!Table27[[#This Row],[Location 
(drop-down)]],'[2]List source'!D$2:E$59,2,FALSE)</f>
        <v>#VALUE!</v>
      </c>
      <c r="C2236" s="99" t="s">
        <v>6127</v>
      </c>
      <c r="D2236" s="100" t="e">
        <f t="shared" si="69"/>
        <v>#VALUE!</v>
      </c>
      <c r="E2236" s="64" t="s">
        <v>6128</v>
      </c>
      <c r="F2236" s="66" t="s">
        <v>1524</v>
      </c>
      <c r="G22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6" s="110">
        <v>8.7899999999999991</v>
      </c>
      <c r="I2236" s="67">
        <v>45880</v>
      </c>
      <c r="J2236" s="67" t="s">
        <v>239</v>
      </c>
      <c r="K2236" s="68">
        <v>45917</v>
      </c>
      <c r="L2236" s="69"/>
      <c r="M2236" s="66" t="str">
        <f t="shared" ca="1" si="70"/>
        <v>CLOSED</v>
      </c>
    </row>
    <row r="2237" spans="1:13" ht="30">
      <c r="A2237" s="64" t="s">
        <v>294</v>
      </c>
      <c r="B2237" s="98" t="e">
        <f>VLOOKUP([2]!Table27[[#This Row],[Location 
(drop-down)]],'[2]List source'!D$2:E$59,2,FALSE)</f>
        <v>#VALUE!</v>
      </c>
      <c r="C2237" s="99" t="s">
        <v>6129</v>
      </c>
      <c r="D2237" s="100" t="e">
        <f t="shared" si="69"/>
        <v>#VALUE!</v>
      </c>
      <c r="E2237" s="64" t="s">
        <v>6130</v>
      </c>
      <c r="F2237" s="66" t="s">
        <v>1524</v>
      </c>
      <c r="G22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7" s="66" t="s">
        <v>6131</v>
      </c>
      <c r="I2237" s="67">
        <v>45880</v>
      </c>
      <c r="J2237" s="67"/>
      <c r="K2237" s="68"/>
      <c r="L2237" s="69"/>
      <c r="M2237" s="66">
        <f t="shared" ca="1" si="70"/>
        <v>198</v>
      </c>
    </row>
    <row r="2238" spans="1:13" ht="90">
      <c r="A2238" s="124" t="s">
        <v>73</v>
      </c>
      <c r="B2238" s="98" t="e">
        <f>VLOOKUP([2]!Table27[[#This Row],[Location 
(drop-down)]],'[2]List source'!D$2:E$59,2,FALSE)</f>
        <v>#VALUE!</v>
      </c>
      <c r="C2238" s="99" t="s">
        <v>6132</v>
      </c>
      <c r="D2238" s="100" t="e">
        <f t="shared" si="69"/>
        <v>#VALUE!</v>
      </c>
      <c r="E2238" s="124" t="s">
        <v>6133</v>
      </c>
      <c r="F2238" s="66" t="s">
        <v>1524</v>
      </c>
      <c r="G22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8" s="167" t="s">
        <v>3742</v>
      </c>
      <c r="I2238" s="67">
        <v>45880</v>
      </c>
      <c r="J2238" s="67" t="s">
        <v>34</v>
      </c>
      <c r="K2238" s="68">
        <v>45880</v>
      </c>
      <c r="L2238" s="69" t="s">
        <v>1671</v>
      </c>
      <c r="M2238" s="66" t="str">
        <f t="shared" ca="1" si="70"/>
        <v>CLOSED</v>
      </c>
    </row>
    <row r="2239" spans="1:13" ht="90">
      <c r="A2239" s="124" t="s">
        <v>15</v>
      </c>
      <c r="B2239" s="98" t="e">
        <f>VLOOKUP([2]!Table27[[#This Row],[Location 
(drop-down)]],'[2]List source'!D$2:E$59,2,FALSE)</f>
        <v>#VALUE!</v>
      </c>
      <c r="C2239" s="99" t="s">
        <v>6134</v>
      </c>
      <c r="D2239" s="100" t="e">
        <f t="shared" si="69"/>
        <v>#VALUE!</v>
      </c>
      <c r="E2239" s="124" t="s">
        <v>6135</v>
      </c>
      <c r="F2239" s="66" t="s">
        <v>2160</v>
      </c>
      <c r="G22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39" s="135">
        <v>-2.4</v>
      </c>
      <c r="I2239" s="130">
        <v>45888</v>
      </c>
      <c r="J2239" s="130" t="s">
        <v>34</v>
      </c>
      <c r="K2239" s="170">
        <v>45888</v>
      </c>
      <c r="L2239" s="69" t="s">
        <v>1671</v>
      </c>
      <c r="M2239" s="66" t="str">
        <f t="shared" ca="1" si="70"/>
        <v>CLOSED</v>
      </c>
    </row>
    <row r="2240" spans="1:13" ht="30">
      <c r="A2240" s="124" t="s">
        <v>156</v>
      </c>
      <c r="B2240" s="98" t="e">
        <f>VLOOKUP([2]!Table27[[#This Row],[Location 
(drop-down)]],'[2]List source'!D$2:E$59,2,FALSE)</f>
        <v>#VALUE!</v>
      </c>
      <c r="C2240" s="99" t="s">
        <v>6136</v>
      </c>
      <c r="D2240" s="100" t="e">
        <f t="shared" si="69"/>
        <v>#VALUE!</v>
      </c>
      <c r="E2240" s="124" t="s">
        <v>6137</v>
      </c>
      <c r="F2240" s="66" t="s">
        <v>6138</v>
      </c>
      <c r="G22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0" s="135">
        <v>-2.0099999999999998</v>
      </c>
      <c r="I2240" s="130">
        <v>45889</v>
      </c>
      <c r="J2240" s="130" t="s">
        <v>29</v>
      </c>
      <c r="K2240" s="170">
        <v>46034</v>
      </c>
      <c r="L2240" s="446"/>
      <c r="M2240" s="66" t="str">
        <f t="shared" ca="1" si="70"/>
        <v>CLOSED</v>
      </c>
    </row>
    <row r="2241" spans="1:13" ht="45">
      <c r="A2241" s="124" t="s">
        <v>156</v>
      </c>
      <c r="B2241" s="98" t="e">
        <f>VLOOKUP([2]!Table27[[#This Row],[Location 
(drop-down)]],'[2]List source'!D$2:E$59,2,FALSE)</f>
        <v>#VALUE!</v>
      </c>
      <c r="C2241" s="99" t="s">
        <v>6139</v>
      </c>
      <c r="D2241" s="100" t="e">
        <f t="shared" si="69"/>
        <v>#VALUE!</v>
      </c>
      <c r="E2241" s="124" t="s">
        <v>6140</v>
      </c>
      <c r="F2241" s="66" t="e" cm="1" vm="1">
        <f t="array" aca="1" ref="F224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1" s="135">
        <v>-55.44</v>
      </c>
      <c r="I2241" s="130">
        <v>45891</v>
      </c>
      <c r="J2241" s="130" t="s">
        <v>34</v>
      </c>
      <c r="K2241" s="170">
        <v>45895</v>
      </c>
      <c r="L2241" s="446" t="s">
        <v>1505</v>
      </c>
      <c r="M2241" s="66" t="str">
        <f t="shared" ca="1" si="70"/>
        <v>CLOSED</v>
      </c>
    </row>
    <row r="2242" spans="1:13" ht="60">
      <c r="A2242" s="124" t="s">
        <v>432</v>
      </c>
      <c r="B2242" s="98" t="e">
        <f>VLOOKUP([2]!Table27[[#This Row],[Location 
(drop-down)]],'[2]List source'!D$2:E$59,2,FALSE)</f>
        <v>#VALUE!</v>
      </c>
      <c r="C2242" s="99" t="s">
        <v>6141</v>
      </c>
      <c r="D2242" s="452" t="e">
        <f t="shared" ref="D2242:D2305" si="71">"PTO" &amp; C2242 &amp; "-" &amp; B2242 &amp; "-" &amp; "23"</f>
        <v>#VALUE!</v>
      </c>
      <c r="E2242" s="124" t="s">
        <v>6142</v>
      </c>
      <c r="F2242" s="66" t="e" cm="1" vm="1">
        <f t="array" aca="1" ref="F224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2" s="135">
        <v>2.2200000000000002</v>
      </c>
      <c r="I2242" s="130">
        <v>45891</v>
      </c>
      <c r="J2242" s="130" t="s">
        <v>108</v>
      </c>
      <c r="K2242" s="170">
        <v>45896</v>
      </c>
      <c r="L2242" s="453" t="s">
        <v>6065</v>
      </c>
      <c r="M2242" s="66" t="str">
        <f t="shared" ca="1" si="70"/>
        <v>CLOSED</v>
      </c>
    </row>
    <row r="2243" spans="1:13" ht="90">
      <c r="A2243" s="124" t="s">
        <v>462</v>
      </c>
      <c r="B2243" s="98" t="e">
        <f>VLOOKUP([2]!Table27[[#This Row],[Location 
(drop-down)]],'[2]List source'!D$2:E$59,2,FALSE)</f>
        <v>#VALUE!</v>
      </c>
      <c r="C2243" s="99" t="s">
        <v>6143</v>
      </c>
      <c r="D2243" s="100" t="e">
        <f t="shared" si="71"/>
        <v>#VALUE!</v>
      </c>
      <c r="E2243" s="124" t="s">
        <v>6144</v>
      </c>
      <c r="F2243" s="66" t="e" cm="1" vm="1">
        <f t="array" aca="1" ref="F224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3" s="135" t="s">
        <v>6145</v>
      </c>
      <c r="I2243" s="130">
        <v>45891</v>
      </c>
      <c r="J2243" s="130" t="s">
        <v>34</v>
      </c>
      <c r="K2243" s="170">
        <v>45891</v>
      </c>
      <c r="L2243" s="446" t="s">
        <v>1671</v>
      </c>
      <c r="M2243" s="66" t="str">
        <f t="shared" ca="1" si="70"/>
        <v>CLOSED</v>
      </c>
    </row>
    <row r="2244" spans="1:13" ht="90">
      <c r="A2244" s="124" t="s">
        <v>591</v>
      </c>
      <c r="B2244" s="98" t="e">
        <f>VLOOKUP([2]!Table27[[#This Row],[Location 
(drop-down)]],'[2]List source'!D$2:E$59,2,FALSE)</f>
        <v>#VALUE!</v>
      </c>
      <c r="C2244" s="99" t="s">
        <v>6146</v>
      </c>
      <c r="D2244" s="100" t="e">
        <f t="shared" si="71"/>
        <v>#VALUE!</v>
      </c>
      <c r="E2244" s="124" t="s">
        <v>6147</v>
      </c>
      <c r="F2244" s="66" t="e" cm="1" vm="1">
        <f t="array" aca="1" ref="F224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4" s="167" t="s">
        <v>6148</v>
      </c>
      <c r="I2244" s="130">
        <v>45891</v>
      </c>
      <c r="J2244" s="130" t="s">
        <v>34</v>
      </c>
      <c r="K2244" s="170">
        <v>45891</v>
      </c>
      <c r="L2244" s="446" t="s">
        <v>1671</v>
      </c>
      <c r="M2244" s="66" t="str">
        <f t="shared" ca="1" si="70"/>
        <v>CLOSED</v>
      </c>
    </row>
    <row r="2245" spans="1:13" ht="90">
      <c r="A2245" s="124" t="s">
        <v>591</v>
      </c>
      <c r="B2245" s="98" t="e">
        <f>VLOOKUP([2]!Table27[[#This Row],[Location 
(drop-down)]],'[2]List source'!D$2:E$59,2,FALSE)</f>
        <v>#VALUE!</v>
      </c>
      <c r="C2245" s="99" t="s">
        <v>6149</v>
      </c>
      <c r="D2245" s="100" t="e">
        <f t="shared" si="71"/>
        <v>#VALUE!</v>
      </c>
      <c r="E2245" s="124" t="s">
        <v>6150</v>
      </c>
      <c r="F2245" s="66" t="e" cm="1" vm="1">
        <f t="array" aca="1" ref="F224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5" s="135">
        <v>2.0499999999999998</v>
      </c>
      <c r="I2245" s="130">
        <v>45891</v>
      </c>
      <c r="J2245" s="130" t="s">
        <v>34</v>
      </c>
      <c r="K2245" s="170">
        <v>45891</v>
      </c>
      <c r="L2245" s="446" t="s">
        <v>1671</v>
      </c>
      <c r="M2245" s="66" t="str">
        <f t="shared" ca="1" si="70"/>
        <v>CLOSED</v>
      </c>
    </row>
    <row r="2246" spans="1:13" ht="30">
      <c r="A2246" s="124" t="s">
        <v>125</v>
      </c>
      <c r="B2246" s="98" t="e">
        <f>VLOOKUP([2]!Table27[[#This Row],[Location 
(drop-down)]],'[2]List source'!D$2:E$59,2,FALSE)</f>
        <v>#VALUE!</v>
      </c>
      <c r="C2246" s="99" t="s">
        <v>6151</v>
      </c>
      <c r="D2246" s="100" t="e">
        <f t="shared" si="71"/>
        <v>#VALUE!</v>
      </c>
      <c r="E2246" s="124" t="s">
        <v>6152</v>
      </c>
      <c r="F2246" s="66" t="e" cm="1" vm="1">
        <f t="array" aca="1" ref="F224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6" s="167" t="s">
        <v>6153</v>
      </c>
      <c r="I2246" s="130">
        <v>45891</v>
      </c>
      <c r="J2246" s="130"/>
      <c r="K2246" s="170">
        <v>46071</v>
      </c>
      <c r="L2246" s="446"/>
      <c r="M2246" s="66" t="str">
        <f t="shared" ca="1" si="70"/>
        <v>CLOSED</v>
      </c>
    </row>
    <row r="2247" spans="1:13" ht="45">
      <c r="A2247" s="124" t="s">
        <v>125</v>
      </c>
      <c r="B2247" s="98" t="e">
        <f>VLOOKUP([2]!Table27[[#This Row],[Location 
(drop-down)]],'[2]List source'!D$2:E$59,2,FALSE)</f>
        <v>#VALUE!</v>
      </c>
      <c r="C2247" s="99" t="s">
        <v>6154</v>
      </c>
      <c r="D2247" s="100" t="e">
        <f t="shared" si="71"/>
        <v>#VALUE!</v>
      </c>
      <c r="E2247" s="124" t="s">
        <v>6155</v>
      </c>
      <c r="F2247" s="66" t="e" cm="1" vm="1">
        <f t="array" aca="1" ref="F224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7" s="135" t="s">
        <v>6156</v>
      </c>
      <c r="I2247" s="130">
        <v>45891</v>
      </c>
      <c r="J2247" s="130"/>
      <c r="K2247" s="170">
        <v>46071</v>
      </c>
      <c r="L2247" s="446"/>
      <c r="M2247" s="66" t="str">
        <f t="shared" ca="1" si="70"/>
        <v>CLOSED</v>
      </c>
    </row>
    <row r="2248" spans="1:13" ht="90">
      <c r="A2248" s="124" t="s">
        <v>119</v>
      </c>
      <c r="B2248" s="98" t="e">
        <f>VLOOKUP([2]!Table27[[#This Row],[Location 
(drop-down)]],'[2]List source'!D$2:E$59,2,FALSE)</f>
        <v>#VALUE!</v>
      </c>
      <c r="C2248" s="99" t="s">
        <v>6157</v>
      </c>
      <c r="D2248" s="100" t="e">
        <f t="shared" si="71"/>
        <v>#VALUE!</v>
      </c>
      <c r="E2248" s="124" t="s">
        <v>6158</v>
      </c>
      <c r="F2248" s="66" t="e" cm="1" vm="1">
        <f t="array" aca="1" ref="F224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8" s="167" t="s">
        <v>1759</v>
      </c>
      <c r="I2248" s="130">
        <v>45891</v>
      </c>
      <c r="J2248" s="130" t="s">
        <v>34</v>
      </c>
      <c r="K2248" s="170">
        <v>45891</v>
      </c>
      <c r="L2248" s="446" t="s">
        <v>1671</v>
      </c>
      <c r="M2248" s="66" t="str">
        <f t="shared" ca="1" si="70"/>
        <v>CLOSED</v>
      </c>
    </row>
    <row r="2249" spans="1:13" ht="30">
      <c r="A2249" s="124" t="s">
        <v>30</v>
      </c>
      <c r="B2249" s="98" t="e">
        <f>VLOOKUP([2]!Table27[[#This Row],[Location 
(drop-down)]],'[2]List source'!D$2:E$59,2,FALSE)</f>
        <v>#VALUE!</v>
      </c>
      <c r="C2249" s="99" t="s">
        <v>6159</v>
      </c>
      <c r="D2249" s="100" t="e">
        <f t="shared" si="71"/>
        <v>#VALUE!</v>
      </c>
      <c r="E2249" s="124" t="s">
        <v>6160</v>
      </c>
      <c r="F2249" s="66" t="e" cm="1" vm="1">
        <f t="array" aca="1" ref="F224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4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49" s="135">
        <v>2.84</v>
      </c>
      <c r="I2249" s="130">
        <v>45891</v>
      </c>
      <c r="J2249" s="130"/>
      <c r="K2249" s="170"/>
      <c r="L2249" s="446"/>
      <c r="M2249" s="66">
        <f t="shared" ca="1" si="70"/>
        <v>187</v>
      </c>
    </row>
    <row r="2250" spans="1:13" ht="60">
      <c r="A2250" s="124" t="s">
        <v>30</v>
      </c>
      <c r="B2250" s="98" t="e">
        <f>VLOOKUP([2]!Table27[[#This Row],[Location 
(drop-down)]],'[2]List source'!D$2:E$59,2,FALSE)</f>
        <v>#VALUE!</v>
      </c>
      <c r="C2250" s="99" t="s">
        <v>6161</v>
      </c>
      <c r="D2250" s="452" t="e">
        <f t="shared" si="71"/>
        <v>#VALUE!</v>
      </c>
      <c r="E2250" s="124" t="s">
        <v>6162</v>
      </c>
      <c r="F2250" s="66" t="e" cm="1" vm="1">
        <f t="array" aca="1" ref="F225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0" s="167">
        <v>2.57</v>
      </c>
      <c r="I2250" s="130">
        <v>45891</v>
      </c>
      <c r="J2250" s="130" t="s">
        <v>47</v>
      </c>
      <c r="K2250" s="170">
        <v>45898</v>
      </c>
      <c r="L2250" s="453" t="s">
        <v>6065</v>
      </c>
      <c r="M2250" s="66" t="str">
        <f t="shared" ca="1" si="70"/>
        <v>CLOSED</v>
      </c>
    </row>
    <row r="2251" spans="1:13" ht="30">
      <c r="A2251" s="124" t="s">
        <v>103</v>
      </c>
      <c r="B2251" s="98" t="e">
        <f>VLOOKUP([2]!Table27[[#This Row],[Location 
(drop-down)]],'[2]List source'!D$2:E$59,2,FALSE)</f>
        <v>#VALUE!</v>
      </c>
      <c r="C2251" s="99" t="s">
        <v>6163</v>
      </c>
      <c r="D2251" s="100" t="e">
        <f t="shared" si="71"/>
        <v>#VALUE!</v>
      </c>
      <c r="E2251" s="124" t="s">
        <v>6164</v>
      </c>
      <c r="F2251" s="66" t="e" cm="1" vm="1">
        <f t="array" aca="1" ref="F225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1" s="167" t="s">
        <v>4017</v>
      </c>
      <c r="I2251" s="130">
        <v>45891</v>
      </c>
      <c r="J2251" s="130" t="s">
        <v>310</v>
      </c>
      <c r="K2251" s="170">
        <v>45898</v>
      </c>
      <c r="L2251" s="446"/>
      <c r="M2251" s="66" t="str">
        <f t="shared" ca="1" si="70"/>
        <v>CLOSED</v>
      </c>
    </row>
    <row r="2252" spans="1:13" ht="45">
      <c r="A2252" s="124" t="s">
        <v>80</v>
      </c>
      <c r="B2252" s="98" t="e">
        <f>VLOOKUP([2]!Table27[[#This Row],[Location 
(drop-down)]],'[2]List source'!D$2:E$59,2,FALSE)</f>
        <v>#VALUE!</v>
      </c>
      <c r="C2252" s="99" t="s">
        <v>6165</v>
      </c>
      <c r="D2252" s="100" t="e">
        <f t="shared" si="71"/>
        <v>#VALUE!</v>
      </c>
      <c r="E2252" s="124" t="s">
        <v>6166</v>
      </c>
      <c r="F2252" s="66" t="e" cm="1" vm="1">
        <f t="array" aca="1" ref="F225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2" s="167" t="s">
        <v>5238</v>
      </c>
      <c r="I2252" s="130">
        <v>45891</v>
      </c>
      <c r="J2252" s="130" t="s">
        <v>34</v>
      </c>
      <c r="K2252" s="170">
        <v>45894</v>
      </c>
      <c r="L2252" s="446" t="s">
        <v>1505</v>
      </c>
      <c r="M2252" s="66" t="str">
        <f t="shared" ca="1" si="70"/>
        <v>CLOSED</v>
      </c>
    </row>
    <row r="2253" spans="1:13" ht="45">
      <c r="A2253" s="124" t="s">
        <v>167</v>
      </c>
      <c r="B2253" s="98" t="e">
        <f>VLOOKUP([2]!Table27[[#This Row],[Location 
(drop-down)]],'[2]List source'!D$2:E$59,2,FALSE)</f>
        <v>#VALUE!</v>
      </c>
      <c r="C2253" s="99" t="s">
        <v>6167</v>
      </c>
      <c r="D2253" s="100" t="e">
        <f t="shared" si="71"/>
        <v>#VALUE!</v>
      </c>
      <c r="E2253" s="124" t="s">
        <v>6168</v>
      </c>
      <c r="F2253" s="66" t="e" cm="1" vm="1">
        <f t="array" aca="1" ref="F225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3" s="167" t="s">
        <v>6169</v>
      </c>
      <c r="I2253" s="130">
        <v>45891</v>
      </c>
      <c r="J2253" s="130" t="s">
        <v>310</v>
      </c>
      <c r="K2253" s="170">
        <v>45931</v>
      </c>
      <c r="L2253" s="446"/>
      <c r="M2253" s="66" t="str">
        <f t="shared" ca="1" si="70"/>
        <v>CLOSED</v>
      </c>
    </row>
    <row r="2254" spans="1:13" ht="90">
      <c r="A2254" s="124" t="s">
        <v>167</v>
      </c>
      <c r="B2254" s="98" t="e">
        <f>VLOOKUP([2]!Table27[[#This Row],[Location 
(drop-down)]],'[2]List source'!D$2:E$59,2,FALSE)</f>
        <v>#VALUE!</v>
      </c>
      <c r="C2254" s="99" t="s">
        <v>6170</v>
      </c>
      <c r="D2254" s="100" t="e">
        <f t="shared" si="71"/>
        <v>#VALUE!</v>
      </c>
      <c r="E2254" s="124" t="s">
        <v>6171</v>
      </c>
      <c r="F2254" s="66" t="e" cm="1" vm="1">
        <f t="array" aca="1" ref="F225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4" s="167" t="s">
        <v>6172</v>
      </c>
      <c r="I2254" s="130">
        <v>45891</v>
      </c>
      <c r="J2254" s="130" t="s">
        <v>34</v>
      </c>
      <c r="K2254" s="170">
        <v>45891</v>
      </c>
      <c r="L2254" s="446" t="s">
        <v>1671</v>
      </c>
      <c r="M2254" s="66" t="str">
        <f t="shared" ca="1" si="70"/>
        <v>CLOSED</v>
      </c>
    </row>
    <row r="2255" spans="1:13" ht="30">
      <c r="A2255" s="124" t="s">
        <v>73</v>
      </c>
      <c r="B2255" s="98" t="e">
        <f>VLOOKUP([2]!Table27[[#This Row],[Location 
(drop-down)]],'[2]List source'!D$2:E$59,2,FALSE)</f>
        <v>#VALUE!</v>
      </c>
      <c r="C2255" s="99" t="s">
        <v>6173</v>
      </c>
      <c r="D2255" s="100" t="e">
        <f t="shared" si="71"/>
        <v>#VALUE!</v>
      </c>
      <c r="E2255" s="124" t="s">
        <v>6174</v>
      </c>
      <c r="F2255" s="66" t="e" cm="1" vm="1">
        <f t="array" aca="1" ref="F225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5" s="167" t="s">
        <v>6175</v>
      </c>
      <c r="I2255" s="130">
        <v>45891</v>
      </c>
      <c r="J2255" s="130"/>
      <c r="K2255" s="170"/>
      <c r="L2255" s="446"/>
      <c r="M2255" s="66">
        <f t="shared" ca="1" si="70"/>
        <v>187</v>
      </c>
    </row>
    <row r="2256" spans="1:13" ht="60">
      <c r="A2256" s="124" t="s">
        <v>73</v>
      </c>
      <c r="B2256" s="98" t="e">
        <f>VLOOKUP([2]!Table27[[#This Row],[Location 
(drop-down)]],'[2]List source'!D$2:E$59,2,FALSE)</f>
        <v>#VALUE!</v>
      </c>
      <c r="C2256" s="99" t="s">
        <v>6176</v>
      </c>
      <c r="D2256" s="452" t="e">
        <f t="shared" si="71"/>
        <v>#VALUE!</v>
      </c>
      <c r="E2256" s="124" t="s">
        <v>6177</v>
      </c>
      <c r="F2256" s="66" t="e" cm="1" vm="1">
        <f t="array" aca="1" ref="F225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6" s="135" t="s">
        <v>6178</v>
      </c>
      <c r="I2256" s="130">
        <v>45891</v>
      </c>
      <c r="J2256" s="130" t="s">
        <v>130</v>
      </c>
      <c r="K2256" s="170">
        <v>45902</v>
      </c>
      <c r="L2256" s="453" t="s">
        <v>6065</v>
      </c>
      <c r="M2256" s="66" t="str">
        <f t="shared" ca="1" si="70"/>
        <v>CLOSED</v>
      </c>
    </row>
    <row r="2257" spans="1:13" ht="45">
      <c r="A2257" s="124" t="s">
        <v>485</v>
      </c>
      <c r="B2257" s="98" t="e">
        <f>VLOOKUP([2]!Table27[[#This Row],[Location 
(drop-down)]],'[2]List source'!D$2:E$59,2,FALSE)</f>
        <v>#VALUE!</v>
      </c>
      <c r="C2257" s="99" t="s">
        <v>6179</v>
      </c>
      <c r="D2257" s="100" t="e">
        <f t="shared" si="71"/>
        <v>#VALUE!</v>
      </c>
      <c r="E2257" s="124" t="s">
        <v>6180</v>
      </c>
      <c r="F2257" s="66" t="e" cm="1" vm="1">
        <f t="array" aca="1" ref="F225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7" s="167" t="s">
        <v>6181</v>
      </c>
      <c r="I2257" s="130">
        <v>45891</v>
      </c>
      <c r="J2257" s="130"/>
      <c r="K2257" s="170"/>
      <c r="L2257" s="446"/>
      <c r="M2257" s="66">
        <f t="shared" ca="1" si="70"/>
        <v>187</v>
      </c>
    </row>
    <row r="2258" spans="1:13" ht="60">
      <c r="A2258" s="124" t="s">
        <v>485</v>
      </c>
      <c r="B2258" s="98" t="e">
        <f>VLOOKUP([2]!Table27[[#This Row],[Location 
(drop-down)]],'[2]List source'!D$2:E$59,2,FALSE)</f>
        <v>#VALUE!</v>
      </c>
      <c r="C2258" s="99" t="s">
        <v>6182</v>
      </c>
      <c r="D2258" s="452" t="e">
        <f t="shared" si="71"/>
        <v>#VALUE!</v>
      </c>
      <c r="E2258" s="124" t="s">
        <v>6183</v>
      </c>
      <c r="F2258" s="66" t="e" cm="1" vm="1">
        <f t="array" aca="1" ref="F225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8" s="135">
        <v>2.2400000000000002</v>
      </c>
      <c r="I2258" s="130">
        <v>45891</v>
      </c>
      <c r="J2258" s="130" t="s">
        <v>327</v>
      </c>
      <c r="K2258" s="170">
        <v>45905</v>
      </c>
      <c r="L2258" s="453" t="s">
        <v>6065</v>
      </c>
      <c r="M2258" s="66" t="str">
        <f t="shared" ca="1" si="70"/>
        <v>CLOSED</v>
      </c>
    </row>
    <row r="2259" spans="1:13" ht="45">
      <c r="A2259" s="124" t="s">
        <v>500</v>
      </c>
      <c r="B2259" s="98" t="e">
        <f>VLOOKUP([2]!Table27[[#This Row],[Location 
(drop-down)]],'[2]List source'!D$2:E$59,2,FALSE)</f>
        <v>#VALUE!</v>
      </c>
      <c r="C2259" s="99" t="s">
        <v>6184</v>
      </c>
      <c r="D2259" s="100" t="e">
        <f t="shared" si="71"/>
        <v>#VALUE!</v>
      </c>
      <c r="E2259" s="124" t="s">
        <v>6185</v>
      </c>
      <c r="F2259" s="66" t="e" cm="1" vm="1">
        <f t="array" aca="1" ref="F225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59" s="167" t="s">
        <v>6186</v>
      </c>
      <c r="I2259" s="130">
        <v>45891</v>
      </c>
      <c r="J2259" s="130" t="s">
        <v>310</v>
      </c>
      <c r="K2259" s="170">
        <v>45980</v>
      </c>
      <c r="L2259" s="446"/>
      <c r="M2259" s="66" t="str">
        <f t="shared" ca="1" si="70"/>
        <v>CLOSED</v>
      </c>
    </row>
    <row r="2260" spans="1:13" ht="45">
      <c r="A2260" s="124" t="s">
        <v>202</v>
      </c>
      <c r="B2260" s="98" t="e">
        <f>VLOOKUP([2]!Table27[[#This Row],[Location 
(drop-down)]],'[2]List source'!D$2:E$59,2,FALSE)</f>
        <v>#VALUE!</v>
      </c>
      <c r="C2260" s="99" t="s">
        <v>6187</v>
      </c>
      <c r="D2260" s="100" t="e">
        <f t="shared" si="71"/>
        <v>#VALUE!</v>
      </c>
      <c r="E2260" s="124" t="s">
        <v>6188</v>
      </c>
      <c r="F2260" s="66" t="e" cm="1" vm="1">
        <f t="array" aca="1" ref="F22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0" s="167" t="s">
        <v>6189</v>
      </c>
      <c r="I2260" s="130">
        <v>45891</v>
      </c>
      <c r="J2260" s="130" t="s">
        <v>34</v>
      </c>
      <c r="K2260" s="170">
        <v>45894</v>
      </c>
      <c r="L2260" s="446" t="s">
        <v>1773</v>
      </c>
      <c r="M2260" s="66" t="str">
        <f t="shared" ca="1" si="70"/>
        <v>CLOSED</v>
      </c>
    </row>
    <row r="2261" spans="1:13" ht="90">
      <c r="A2261" s="124" t="s">
        <v>43</v>
      </c>
      <c r="B2261" s="98" t="e">
        <f>VLOOKUP([2]!Table27[[#This Row],[Location 
(drop-down)]],'[2]List source'!D$2:E$59,2,FALSE)</f>
        <v>#VALUE!</v>
      </c>
      <c r="C2261" s="99" t="s">
        <v>6190</v>
      </c>
      <c r="D2261" s="100" t="e">
        <f t="shared" si="71"/>
        <v>#VALUE!</v>
      </c>
      <c r="E2261" s="124" t="s">
        <v>6191</v>
      </c>
      <c r="F2261" s="66" t="e" cm="1" vm="1">
        <f t="array" aca="1" ref="F226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1" s="167" t="s">
        <v>6192</v>
      </c>
      <c r="I2261" s="130">
        <v>45891</v>
      </c>
      <c r="J2261" s="130" t="s">
        <v>34</v>
      </c>
      <c r="K2261" s="170">
        <v>45891</v>
      </c>
      <c r="L2261" s="446" t="s">
        <v>1671</v>
      </c>
      <c r="M2261" s="66" t="str">
        <f t="shared" ca="1" si="70"/>
        <v>CLOSED</v>
      </c>
    </row>
    <row r="2262" spans="1:13" ht="60">
      <c r="A2262" s="124" t="s">
        <v>714</v>
      </c>
      <c r="B2262" s="98" t="e">
        <f>VLOOKUP([2]!Table27[[#This Row],[Location 
(drop-down)]],'[2]List source'!D$2:E$59,2,FALSE)</f>
        <v>#VALUE!</v>
      </c>
      <c r="C2262" s="99" t="s">
        <v>6193</v>
      </c>
      <c r="D2262" s="452" t="e">
        <f t="shared" si="71"/>
        <v>#VALUE!</v>
      </c>
      <c r="E2262" s="124" t="s">
        <v>6194</v>
      </c>
      <c r="F2262" s="66" t="e" cm="1" vm="1">
        <f t="array" aca="1" ref="F22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2" s="167" t="s">
        <v>2880</v>
      </c>
      <c r="I2262" s="130">
        <v>45891</v>
      </c>
      <c r="J2262" s="130"/>
      <c r="K2262" s="170"/>
      <c r="L2262" s="453" t="s">
        <v>6065</v>
      </c>
      <c r="M2262" s="66">
        <f t="shared" ca="1" si="70"/>
        <v>187</v>
      </c>
    </row>
    <row r="2263" spans="1:13" ht="30">
      <c r="A2263" s="124" t="s">
        <v>714</v>
      </c>
      <c r="B2263" s="98" t="e">
        <f>VLOOKUP([2]!Table27[[#This Row],[Location 
(drop-down)]],'[2]List source'!D$2:E$59,2,FALSE)</f>
        <v>#VALUE!</v>
      </c>
      <c r="C2263" s="99" t="s">
        <v>6195</v>
      </c>
      <c r="D2263" s="100" t="e">
        <f t="shared" si="71"/>
        <v>#VALUE!</v>
      </c>
      <c r="E2263" s="124" t="s">
        <v>6196</v>
      </c>
      <c r="F2263" s="66" t="e" cm="1" vm="1">
        <f t="array" aca="1" ref="F226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3" s="135">
        <v>2.2799999999999998</v>
      </c>
      <c r="I2263" s="130">
        <v>45891</v>
      </c>
      <c r="J2263" s="130"/>
      <c r="K2263" s="170"/>
      <c r="L2263" s="446"/>
      <c r="M2263" s="66">
        <f t="shared" ca="1" si="70"/>
        <v>187</v>
      </c>
    </row>
    <row r="2264" spans="1:13" ht="30">
      <c r="A2264" s="124" t="s">
        <v>167</v>
      </c>
      <c r="B2264" s="98" t="e">
        <f>VLOOKUP([2]!Table27[[#This Row],[Location 
(drop-down)]],'[2]List source'!D$2:E$59,2,FALSE)</f>
        <v>#VALUE!</v>
      </c>
      <c r="C2264" s="99" t="s">
        <v>6197</v>
      </c>
      <c r="D2264" s="100" t="e">
        <f t="shared" si="71"/>
        <v>#VALUE!</v>
      </c>
      <c r="E2264" s="124" t="s">
        <v>6198</v>
      </c>
      <c r="F2264" s="66" t="e" cm="1" vm="1">
        <f t="array" aca="1" ref="F22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4" s="135">
        <v>2.66</v>
      </c>
      <c r="I2264" s="130">
        <v>45894</v>
      </c>
      <c r="J2264" s="130" t="s">
        <v>310</v>
      </c>
      <c r="K2264" s="170">
        <v>45915</v>
      </c>
      <c r="L2264" s="446"/>
      <c r="M2264" s="66" t="str">
        <f t="shared" ca="1" si="70"/>
        <v>CLOSED</v>
      </c>
    </row>
    <row r="2265" spans="1:13" ht="30">
      <c r="A2265" s="124" t="s">
        <v>294</v>
      </c>
      <c r="B2265" s="98" t="e">
        <f>VLOOKUP([2]!Table27[[#This Row],[Location 
(drop-down)]],'[2]List source'!D$2:E$59,2,FALSE)</f>
        <v>#VALUE!</v>
      </c>
      <c r="C2265" s="99" t="s">
        <v>6199</v>
      </c>
      <c r="D2265" s="100" t="e">
        <f t="shared" si="71"/>
        <v>#VALUE!</v>
      </c>
      <c r="E2265" s="124" t="s">
        <v>6200</v>
      </c>
      <c r="F2265" s="66" t="e" cm="1" vm="1">
        <f t="array" aca="1" ref="F226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5" s="135">
        <v>5.17</v>
      </c>
      <c r="I2265" s="130">
        <v>45894</v>
      </c>
      <c r="J2265" s="130" t="s">
        <v>327</v>
      </c>
      <c r="K2265" s="170">
        <v>45938</v>
      </c>
      <c r="L2265" s="69"/>
      <c r="M2265" s="66" t="str">
        <f t="shared" ca="1" si="70"/>
        <v>CLOSED</v>
      </c>
    </row>
    <row r="2266" spans="1:13" ht="90">
      <c r="A2266" s="124" t="s">
        <v>73</v>
      </c>
      <c r="B2266" s="98" t="e">
        <f>VLOOKUP([2]!Table27[[#This Row],[Location 
(drop-down)]],'[2]List source'!D$2:E$59,2,FALSE)</f>
        <v>#VALUE!</v>
      </c>
      <c r="C2266" s="99" t="s">
        <v>6201</v>
      </c>
      <c r="D2266" s="100" t="e">
        <f t="shared" si="71"/>
        <v>#VALUE!</v>
      </c>
      <c r="E2266" s="124" t="s">
        <v>6202</v>
      </c>
      <c r="F2266" s="66" t="e" cm="1" vm="1">
        <f t="array" aca="1" ref="F22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6" s="135">
        <v>2.39</v>
      </c>
      <c r="I2266" s="130">
        <v>45894</v>
      </c>
      <c r="J2266" s="130" t="s">
        <v>34</v>
      </c>
      <c r="K2266" s="170">
        <v>45894</v>
      </c>
      <c r="L2266" s="446" t="s">
        <v>1671</v>
      </c>
      <c r="M2266" s="66" t="str">
        <f t="shared" ca="1" si="70"/>
        <v>CLOSED</v>
      </c>
    </row>
    <row r="2267" spans="1:13" ht="30">
      <c r="A2267" s="124" t="s">
        <v>15</v>
      </c>
      <c r="B2267" s="98" t="e">
        <f>VLOOKUP([2]!Table27[[#This Row],[Location 
(drop-down)]],'[2]List source'!D$2:E$59,2,FALSE)</f>
        <v>#VALUE!</v>
      </c>
      <c r="C2267" s="99" t="s">
        <v>6203</v>
      </c>
      <c r="D2267" s="100" t="e">
        <f t="shared" si="71"/>
        <v>#VALUE!</v>
      </c>
      <c r="E2267" s="124" t="s">
        <v>6204</v>
      </c>
      <c r="F2267" s="66" t="e" cm="1" vm="1">
        <f t="array" aca="1" ref="F22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7" s="167" t="s">
        <v>6205</v>
      </c>
      <c r="I2267" s="130">
        <v>45894</v>
      </c>
      <c r="J2267" s="130" t="s">
        <v>69</v>
      </c>
      <c r="K2267" s="170">
        <v>46010</v>
      </c>
      <c r="L2267" s="446"/>
      <c r="M2267" s="66" t="str">
        <f t="shared" ca="1" si="70"/>
        <v>CLOSED</v>
      </c>
    </row>
    <row r="2268" spans="1:13" ht="30">
      <c r="A2268" s="124" t="s">
        <v>43</v>
      </c>
      <c r="B2268" s="98" t="e">
        <f>VLOOKUP([2]!Table27[[#This Row],[Location 
(drop-down)]],'[2]List source'!D$2:E$59,2,FALSE)</f>
        <v>#VALUE!</v>
      </c>
      <c r="C2268" s="99" t="s">
        <v>6206</v>
      </c>
      <c r="D2268" s="100" t="e">
        <f t="shared" si="71"/>
        <v>#VALUE!</v>
      </c>
      <c r="E2268" s="124" t="s">
        <v>6207</v>
      </c>
      <c r="F2268" s="66" t="e" cm="1" vm="1">
        <f t="array" aca="1" ref="F22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8" s="167" t="s">
        <v>5255</v>
      </c>
      <c r="I2268" s="130">
        <v>45894</v>
      </c>
      <c r="J2268" s="130" t="s">
        <v>29</v>
      </c>
      <c r="K2268" s="170">
        <v>45960</v>
      </c>
      <c r="L2268" s="446"/>
      <c r="M2268" s="66" t="str">
        <f t="shared" ca="1" si="70"/>
        <v>CLOSED</v>
      </c>
    </row>
    <row r="2269" spans="1:13" ht="90">
      <c r="A2269" s="124" t="s">
        <v>314</v>
      </c>
      <c r="B2269" s="98" t="e">
        <f>VLOOKUP([2]!Table27[[#This Row],[Location 
(drop-down)]],'[2]List source'!D$2:E$59,2,FALSE)</f>
        <v>#VALUE!</v>
      </c>
      <c r="C2269" s="99" t="s">
        <v>6208</v>
      </c>
      <c r="D2269" s="100" t="e">
        <f t="shared" si="71"/>
        <v>#VALUE!</v>
      </c>
      <c r="E2269" s="124" t="s">
        <v>6209</v>
      </c>
      <c r="F2269" s="66" t="s">
        <v>1524</v>
      </c>
      <c r="G22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69" s="135" t="s">
        <v>6210</v>
      </c>
      <c r="I2269" s="130">
        <v>45895</v>
      </c>
      <c r="J2269" s="130" t="s">
        <v>34</v>
      </c>
      <c r="K2269" s="170">
        <v>45895</v>
      </c>
      <c r="L2269" s="446" t="s">
        <v>1671</v>
      </c>
      <c r="M2269" s="66" t="str">
        <f t="shared" ca="1" si="70"/>
        <v>CLOSED</v>
      </c>
    </row>
    <row r="2270" spans="1:13" ht="30">
      <c r="A2270" s="124" t="s">
        <v>294</v>
      </c>
      <c r="B2270" s="98" t="e">
        <f>VLOOKUP([2]!Table27[[#This Row],[Location 
(drop-down)]],'[2]List source'!D$2:E$59,2,FALSE)</f>
        <v>#VALUE!</v>
      </c>
      <c r="C2270" s="99" t="s">
        <v>6211</v>
      </c>
      <c r="D2270" s="100" t="e">
        <f t="shared" si="71"/>
        <v>#VALUE!</v>
      </c>
      <c r="E2270" s="124" t="s">
        <v>6212</v>
      </c>
      <c r="F2270" s="66" t="s">
        <v>1524</v>
      </c>
      <c r="G22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0" s="167">
        <v>2.12</v>
      </c>
      <c r="I2270" s="130">
        <v>45895</v>
      </c>
      <c r="J2270" s="130" t="s">
        <v>327</v>
      </c>
      <c r="K2270" s="170">
        <v>46069</v>
      </c>
      <c r="L2270" s="446"/>
      <c r="M2270" s="66" t="str">
        <f t="shared" ca="1" si="70"/>
        <v>CLOSED</v>
      </c>
    </row>
    <row r="2271" spans="1:13" ht="90">
      <c r="A2271" s="124" t="s">
        <v>39</v>
      </c>
      <c r="B2271" s="98" t="e">
        <f>VLOOKUP([2]!Table27[[#This Row],[Location 
(drop-down)]],'[2]List source'!D$2:E$59,2,FALSE)</f>
        <v>#VALUE!</v>
      </c>
      <c r="C2271" s="99" t="s">
        <v>6213</v>
      </c>
      <c r="D2271" s="100" t="e">
        <f t="shared" si="71"/>
        <v>#VALUE!</v>
      </c>
      <c r="E2271" s="124" t="s">
        <v>6214</v>
      </c>
      <c r="F2271" s="66" t="e" cm="1" vm="1">
        <f t="array" aca="1" ref="F227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1" s="135">
        <v>2.17</v>
      </c>
      <c r="I2271" s="130">
        <v>45917</v>
      </c>
      <c r="J2271" s="130" t="s">
        <v>34</v>
      </c>
      <c r="K2271" s="170">
        <v>45917</v>
      </c>
      <c r="L2271" s="446" t="s">
        <v>1671</v>
      </c>
      <c r="M2271" s="66" t="str">
        <f t="shared" ref="M2271:M2334" ca="1" si="72">IF(ISBLANK(K2271), TODAY()-(I2271), "CLOSED")</f>
        <v>CLOSED</v>
      </c>
    </row>
    <row r="2272" spans="1:13" ht="45">
      <c r="A2272" s="124" t="s">
        <v>114</v>
      </c>
      <c r="B2272" s="98" t="e">
        <f>VLOOKUP([2]!Table27[[#This Row],[Location 
(drop-down)]],'[2]List source'!D$2:E$59,2,FALSE)</f>
        <v>#VALUE!</v>
      </c>
      <c r="C2272" s="99" t="s">
        <v>6215</v>
      </c>
      <c r="D2272" s="100" t="e">
        <f t="shared" si="71"/>
        <v>#VALUE!</v>
      </c>
      <c r="E2272" s="124" t="s">
        <v>6216</v>
      </c>
      <c r="F2272" s="66" t="s">
        <v>6217</v>
      </c>
      <c r="G22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2" s="135">
        <v>10.35</v>
      </c>
      <c r="I2272" s="130">
        <v>45917</v>
      </c>
      <c r="J2272" s="130" t="s">
        <v>34</v>
      </c>
      <c r="K2272" s="170">
        <v>46041</v>
      </c>
      <c r="L2272" s="69" t="s">
        <v>1837</v>
      </c>
      <c r="M2272" s="66" t="str">
        <f t="shared" ca="1" si="72"/>
        <v>CLOSED</v>
      </c>
    </row>
    <row r="2273" spans="1:13" ht="90">
      <c r="A2273" s="124" t="s">
        <v>1334</v>
      </c>
      <c r="B2273" s="98" t="e">
        <f>VLOOKUP([2]!Table27[[#This Row],[Location 
(drop-down)]],'[2]List source'!D$2:E$59,2,FALSE)</f>
        <v>#VALUE!</v>
      </c>
      <c r="C2273" s="99" t="s">
        <v>6218</v>
      </c>
      <c r="D2273" s="100" t="e">
        <f t="shared" si="71"/>
        <v>#VALUE!</v>
      </c>
      <c r="E2273" s="124" t="s">
        <v>6219</v>
      </c>
      <c r="F2273" s="66" t="s">
        <v>1524</v>
      </c>
      <c r="G22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3" s="135"/>
      <c r="I2273" s="130">
        <v>45917</v>
      </c>
      <c r="J2273" s="130" t="s">
        <v>34</v>
      </c>
      <c r="K2273" s="170">
        <v>45917</v>
      </c>
      <c r="L2273" s="446" t="s">
        <v>1671</v>
      </c>
      <c r="M2273" s="66" t="str">
        <f t="shared" ca="1" si="72"/>
        <v>CLOSED</v>
      </c>
    </row>
    <row r="2274" spans="1:13" ht="90">
      <c r="A2274" s="124" t="s">
        <v>73</v>
      </c>
      <c r="B2274" s="98" t="e">
        <f>VLOOKUP([2]!Table27[[#This Row],[Location 
(drop-down)]],'[2]List source'!D$2:E$59,2,FALSE)</f>
        <v>#VALUE!</v>
      </c>
      <c r="C2274" s="99" t="s">
        <v>6220</v>
      </c>
      <c r="D2274" s="100" t="e">
        <f t="shared" si="71"/>
        <v>#VALUE!</v>
      </c>
      <c r="E2274" s="124" t="s">
        <v>6221</v>
      </c>
      <c r="F2274" s="66" t="s">
        <v>1524</v>
      </c>
      <c r="G22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4" s="135"/>
      <c r="I2274" s="130">
        <v>45917</v>
      </c>
      <c r="J2274" s="130" t="s">
        <v>34</v>
      </c>
      <c r="K2274" s="170">
        <v>45917</v>
      </c>
      <c r="L2274" s="446" t="s">
        <v>1671</v>
      </c>
      <c r="M2274" s="66" t="str">
        <f t="shared" ca="1" si="72"/>
        <v>CLOSED</v>
      </c>
    </row>
    <row r="2275" spans="1:13" ht="30">
      <c r="A2275" s="124" t="s">
        <v>156</v>
      </c>
      <c r="B2275" s="98" t="e">
        <f>VLOOKUP([2]!Table27[[#This Row],[Location 
(drop-down)]],'[2]List source'!D$2:E$59,2,FALSE)</f>
        <v>#VALUE!</v>
      </c>
      <c r="C2275" s="99" t="s">
        <v>6222</v>
      </c>
      <c r="D2275" s="100" t="e">
        <f t="shared" si="71"/>
        <v>#VALUE!</v>
      </c>
      <c r="E2275" s="124" t="s">
        <v>6223</v>
      </c>
      <c r="F2275" s="66" t="e" cm="1" vm="1">
        <f t="array" aca="1" ref="F227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5" s="167" t="s">
        <v>4970</v>
      </c>
      <c r="I2275" s="130">
        <v>45918</v>
      </c>
      <c r="J2275" s="130" t="s">
        <v>29</v>
      </c>
      <c r="K2275" s="170">
        <v>45950</v>
      </c>
      <c r="L2275" s="446"/>
      <c r="M2275" s="66" t="str">
        <f t="shared" ca="1" si="72"/>
        <v>CLOSED</v>
      </c>
    </row>
    <row r="2276" spans="1:13" ht="45">
      <c r="A2276" s="124" t="s">
        <v>1334</v>
      </c>
      <c r="B2276" s="98" t="e">
        <f>VLOOKUP([2]!Table27[[#This Row],[Location 
(drop-down)]],'[2]List source'!D$2:E$59,2,FALSE)</f>
        <v>#VALUE!</v>
      </c>
      <c r="C2276" s="99" t="s">
        <v>6224</v>
      </c>
      <c r="D2276" s="100" t="e">
        <f t="shared" si="71"/>
        <v>#VALUE!</v>
      </c>
      <c r="E2276" s="124" t="s">
        <v>6225</v>
      </c>
      <c r="F2276" s="66" t="e" cm="1" vm="1">
        <f t="array" aca="1" ref="F227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6" s="135">
        <v>14.04</v>
      </c>
      <c r="I2276" s="130">
        <v>45918</v>
      </c>
      <c r="J2276" s="130" t="s">
        <v>34</v>
      </c>
      <c r="K2276" s="170">
        <v>45951</v>
      </c>
      <c r="L2276" s="446" t="s">
        <v>1505</v>
      </c>
      <c r="M2276" s="66" t="str">
        <f t="shared" ca="1" si="72"/>
        <v>CLOSED</v>
      </c>
    </row>
    <row r="2277" spans="1:13" ht="90">
      <c r="A2277" s="124" t="s">
        <v>591</v>
      </c>
      <c r="B2277" s="98" t="e">
        <f>VLOOKUP([2]!Table27[[#This Row],[Location 
(drop-down)]],'[2]List source'!D$2:E$59,2,FALSE)</f>
        <v>#VALUE!</v>
      </c>
      <c r="C2277" s="99" t="s">
        <v>6226</v>
      </c>
      <c r="D2277" s="100" t="e">
        <f t="shared" si="71"/>
        <v>#VALUE!</v>
      </c>
      <c r="E2277" s="124" t="s">
        <v>6227</v>
      </c>
      <c r="F2277" s="66" t="e" cm="1" vm="1">
        <f t="array" aca="1" ref="F227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7" s="167" t="s">
        <v>1953</v>
      </c>
      <c r="I2277" s="130">
        <v>45918</v>
      </c>
      <c r="J2277" s="130" t="s">
        <v>34</v>
      </c>
      <c r="K2277" s="170">
        <v>45918</v>
      </c>
      <c r="L2277" s="446" t="s">
        <v>1671</v>
      </c>
      <c r="M2277" s="66" t="str">
        <f t="shared" ca="1" si="72"/>
        <v>CLOSED</v>
      </c>
    </row>
    <row r="2278" spans="1:13" ht="90">
      <c r="A2278" s="124" t="s">
        <v>125</v>
      </c>
      <c r="B2278" s="98" t="e">
        <f>VLOOKUP([2]!Table27[[#This Row],[Location 
(drop-down)]],'[2]List source'!D$2:E$59,2,FALSE)</f>
        <v>#VALUE!</v>
      </c>
      <c r="C2278" s="99" t="s">
        <v>6228</v>
      </c>
      <c r="D2278" s="100" t="e">
        <f t="shared" si="71"/>
        <v>#VALUE!</v>
      </c>
      <c r="E2278" s="124" t="s">
        <v>6229</v>
      </c>
      <c r="F2278" s="66" t="e" cm="1" vm="1">
        <f t="array" aca="1" ref="F227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8" s="167">
        <v>2.0499999999999998</v>
      </c>
      <c r="I2278" s="130">
        <v>45918</v>
      </c>
      <c r="J2278" s="130" t="s">
        <v>34</v>
      </c>
      <c r="K2278" s="170">
        <v>45918</v>
      </c>
      <c r="L2278" s="446" t="s">
        <v>1671</v>
      </c>
      <c r="M2278" s="66" t="str">
        <f t="shared" ca="1" si="72"/>
        <v>CLOSED</v>
      </c>
    </row>
    <row r="2279" spans="1:13" ht="30">
      <c r="A2279" s="124" t="s">
        <v>125</v>
      </c>
      <c r="B2279" s="98" t="e">
        <f>VLOOKUP([2]!Table27[[#This Row],[Location 
(drop-down)]],'[2]List source'!D$2:E$59,2,FALSE)</f>
        <v>#VALUE!</v>
      </c>
      <c r="C2279" s="99" t="s">
        <v>6230</v>
      </c>
      <c r="D2279" s="100" t="e">
        <f t="shared" si="71"/>
        <v>#VALUE!</v>
      </c>
      <c r="E2279" s="124" t="s">
        <v>6231</v>
      </c>
      <c r="F2279" s="66" t="e" cm="1" vm="1">
        <f t="array" aca="1" ref="F227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79" s="167">
        <v>3.18</v>
      </c>
      <c r="I2279" s="130">
        <v>45918</v>
      </c>
      <c r="J2279" s="130"/>
      <c r="K2279" s="170">
        <v>46071</v>
      </c>
      <c r="L2279" s="446"/>
      <c r="M2279" s="66" t="str">
        <f t="shared" ca="1" si="72"/>
        <v>CLOSED</v>
      </c>
    </row>
    <row r="2280" spans="1:13" ht="90">
      <c r="A2280" s="124" t="s">
        <v>119</v>
      </c>
      <c r="B2280" s="98" t="e">
        <f>VLOOKUP([2]!Table27[[#This Row],[Location 
(drop-down)]],'[2]List source'!D$2:E$59,2,FALSE)</f>
        <v>#VALUE!</v>
      </c>
      <c r="C2280" s="99" t="s">
        <v>6232</v>
      </c>
      <c r="D2280" s="100" t="e">
        <f t="shared" si="71"/>
        <v>#VALUE!</v>
      </c>
      <c r="E2280" s="124" t="s">
        <v>6233</v>
      </c>
      <c r="F2280" s="66" t="e" cm="1" vm="1">
        <f t="array" aca="1" ref="F228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0" s="167" t="s">
        <v>3106</v>
      </c>
      <c r="I2280" s="130">
        <v>45918</v>
      </c>
      <c r="J2280" s="130" t="s">
        <v>34</v>
      </c>
      <c r="K2280" s="170">
        <v>45918</v>
      </c>
      <c r="L2280" s="446" t="s">
        <v>1671</v>
      </c>
      <c r="M2280" s="66" t="str">
        <f t="shared" ca="1" si="72"/>
        <v>CLOSED</v>
      </c>
    </row>
    <row r="2281" spans="1:13" ht="30">
      <c r="A2281" s="124" t="s">
        <v>30</v>
      </c>
      <c r="B2281" s="98" t="e">
        <f>VLOOKUP([2]!Table27[[#This Row],[Location 
(drop-down)]],'[2]List source'!D$2:E$59,2,FALSE)</f>
        <v>#VALUE!</v>
      </c>
      <c r="C2281" s="99" t="s">
        <v>6234</v>
      </c>
      <c r="D2281" s="100" t="e">
        <f t="shared" si="71"/>
        <v>#VALUE!</v>
      </c>
      <c r="E2281" s="124" t="s">
        <v>6235</v>
      </c>
      <c r="F2281" s="66" t="e" cm="1" vm="1">
        <f t="array" aca="1" ref="F228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1" s="135">
        <v>2.09</v>
      </c>
      <c r="I2281" s="130">
        <v>45918</v>
      </c>
      <c r="J2281" s="130"/>
      <c r="K2281" s="170"/>
      <c r="L2281" s="446"/>
      <c r="M2281" s="66">
        <f t="shared" ca="1" si="72"/>
        <v>160</v>
      </c>
    </row>
    <row r="2282" spans="1:13" ht="45">
      <c r="A2282" s="124" t="s">
        <v>311</v>
      </c>
      <c r="B2282" s="98" t="e">
        <f>VLOOKUP([2]!Table27[[#This Row],[Location 
(drop-down)]],'[2]List source'!D$2:E$59,2,FALSE)</f>
        <v>#VALUE!</v>
      </c>
      <c r="C2282" s="99" t="s">
        <v>6236</v>
      </c>
      <c r="D2282" s="100" t="e">
        <f t="shared" si="71"/>
        <v>#VALUE!</v>
      </c>
      <c r="E2282" s="124" t="s">
        <v>6237</v>
      </c>
      <c r="F2282" s="66" t="e" cm="1" vm="1">
        <f t="array" aca="1" ref="F228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2" s="167" t="s">
        <v>6238</v>
      </c>
      <c r="I2282" s="130">
        <v>45918</v>
      </c>
      <c r="J2282" s="130" t="s">
        <v>310</v>
      </c>
      <c r="K2282" s="170">
        <v>46008</v>
      </c>
      <c r="L2282" s="69"/>
      <c r="M2282" s="66" t="str">
        <f t="shared" ca="1" si="72"/>
        <v>CLOSED</v>
      </c>
    </row>
    <row r="2283" spans="1:13" ht="30">
      <c r="A2283" s="124" t="s">
        <v>311</v>
      </c>
      <c r="B2283" s="98" t="e">
        <f>VLOOKUP([2]!Table27[[#This Row],[Location 
(drop-down)]],'[2]List source'!D$2:E$59,2,FALSE)</f>
        <v>#VALUE!</v>
      </c>
      <c r="C2283" s="99" t="s">
        <v>6239</v>
      </c>
      <c r="D2283" s="100" t="e">
        <f t="shared" si="71"/>
        <v>#VALUE!</v>
      </c>
      <c r="E2283" s="124" t="s">
        <v>6240</v>
      </c>
      <c r="F2283" s="66" t="e" cm="1" vm="1">
        <f t="array" aca="1" ref="F228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3" s="167" t="s">
        <v>2918</v>
      </c>
      <c r="I2283" s="130">
        <v>45918</v>
      </c>
      <c r="J2283" s="130" t="s">
        <v>310</v>
      </c>
      <c r="K2283" s="170">
        <v>46008</v>
      </c>
      <c r="L2283" s="446"/>
      <c r="M2283" s="66" t="str">
        <f t="shared" ca="1" si="72"/>
        <v>CLOSED</v>
      </c>
    </row>
    <row r="2284" spans="1:13" ht="90">
      <c r="A2284" s="124" t="s">
        <v>213</v>
      </c>
      <c r="B2284" s="98" t="e">
        <f>VLOOKUP([2]!Table27[[#This Row],[Location 
(drop-down)]],'[2]List source'!D$2:E$59,2,FALSE)</f>
        <v>#VALUE!</v>
      </c>
      <c r="C2284" s="99" t="s">
        <v>6241</v>
      </c>
      <c r="D2284" s="100" t="e">
        <f t="shared" si="71"/>
        <v>#VALUE!</v>
      </c>
      <c r="E2284" s="124" t="s">
        <v>6242</v>
      </c>
      <c r="F2284" s="66" t="e" cm="1" vm="1">
        <f t="array" aca="1" ref="F228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4" s="135">
        <v>2.0299999999999998</v>
      </c>
      <c r="I2284" s="130">
        <v>45918</v>
      </c>
      <c r="J2284" s="130" t="s">
        <v>34</v>
      </c>
      <c r="K2284" s="170">
        <v>45918</v>
      </c>
      <c r="L2284" s="446" t="s">
        <v>1671</v>
      </c>
      <c r="M2284" s="66" t="str">
        <f t="shared" ca="1" si="72"/>
        <v>CLOSED</v>
      </c>
    </row>
    <row r="2285" spans="1:13" ht="60">
      <c r="A2285" s="124" t="s">
        <v>80</v>
      </c>
      <c r="B2285" s="98" t="e">
        <f>VLOOKUP([2]!Table27[[#This Row],[Location 
(drop-down)]],'[2]List source'!D$2:E$59,2,FALSE)</f>
        <v>#VALUE!</v>
      </c>
      <c r="C2285" s="99" t="s">
        <v>6243</v>
      </c>
      <c r="D2285" s="452" t="e">
        <f t="shared" si="71"/>
        <v>#VALUE!</v>
      </c>
      <c r="E2285" s="124" t="s">
        <v>6244</v>
      </c>
      <c r="F2285" s="66" t="e" cm="1" vm="1">
        <f t="array" aca="1" ref="F228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5" s="167" t="s">
        <v>1778</v>
      </c>
      <c r="I2285" s="130">
        <v>45918</v>
      </c>
      <c r="J2285" s="130" t="s">
        <v>69</v>
      </c>
      <c r="K2285" s="170">
        <v>45964</v>
      </c>
      <c r="L2285" s="457" t="s">
        <v>6065</v>
      </c>
      <c r="M2285" s="66" t="str">
        <f t="shared" ca="1" si="72"/>
        <v>CLOSED</v>
      </c>
    </row>
    <row r="2286" spans="1:13" ht="60">
      <c r="A2286" s="124" t="s">
        <v>167</v>
      </c>
      <c r="B2286" s="98" t="e">
        <f>VLOOKUP([2]!Table27[[#This Row],[Location 
(drop-down)]],'[2]List source'!D$2:E$59,2,FALSE)</f>
        <v>#VALUE!</v>
      </c>
      <c r="C2286" s="99" t="s">
        <v>6245</v>
      </c>
      <c r="D2286" s="452" t="e">
        <f t="shared" si="71"/>
        <v>#VALUE!</v>
      </c>
      <c r="E2286" s="124" t="s">
        <v>6244</v>
      </c>
      <c r="F2286" s="66" t="e" cm="1" vm="1">
        <f t="array" aca="1" ref="F228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6" s="167" t="s">
        <v>1778</v>
      </c>
      <c r="I2286" s="130">
        <v>45918</v>
      </c>
      <c r="J2286" s="130" t="s">
        <v>310</v>
      </c>
      <c r="K2286" s="170">
        <v>45943</v>
      </c>
      <c r="L2286" s="457" t="s">
        <v>6065</v>
      </c>
      <c r="M2286" s="66" t="str">
        <f t="shared" ca="1" si="72"/>
        <v>CLOSED</v>
      </c>
    </row>
    <row r="2287" spans="1:13" ht="90">
      <c r="A2287" s="124" t="s">
        <v>314</v>
      </c>
      <c r="B2287" s="98" t="e">
        <f>VLOOKUP([2]!Table27[[#This Row],[Location 
(drop-down)]],'[2]List source'!D$2:E$59,2,FALSE)</f>
        <v>#VALUE!</v>
      </c>
      <c r="C2287" s="99" t="s">
        <v>6246</v>
      </c>
      <c r="D2287" s="100" t="e">
        <f t="shared" si="71"/>
        <v>#VALUE!</v>
      </c>
      <c r="E2287" s="124" t="s">
        <v>6247</v>
      </c>
      <c r="F2287" s="66" t="e" cm="1" vm="1">
        <f t="array" aca="1" ref="F228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7" s="135" t="s">
        <v>6248</v>
      </c>
      <c r="I2287" s="130">
        <v>45918</v>
      </c>
      <c r="J2287" s="130" t="s">
        <v>34</v>
      </c>
      <c r="K2287" s="170">
        <v>45918</v>
      </c>
      <c r="L2287" s="446" t="s">
        <v>1671</v>
      </c>
      <c r="M2287" s="66" t="str">
        <f t="shared" ca="1" si="72"/>
        <v>CLOSED</v>
      </c>
    </row>
    <row r="2288" spans="1:13" ht="45">
      <c r="A2288" s="124" t="s">
        <v>314</v>
      </c>
      <c r="B2288" s="98" t="e">
        <f>VLOOKUP([2]!Table27[[#This Row],[Location 
(drop-down)]],'[2]List source'!D$2:E$59,2,FALSE)</f>
        <v>#VALUE!</v>
      </c>
      <c r="C2288" s="99" t="s">
        <v>6249</v>
      </c>
      <c r="D2288" s="100" t="e">
        <f t="shared" si="71"/>
        <v>#VALUE!</v>
      </c>
      <c r="E2288" s="124" t="s">
        <v>6250</v>
      </c>
      <c r="F2288" s="66" t="e" cm="1" vm="1">
        <f t="array" aca="1" ref="F228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8" s="135" t="s">
        <v>6251</v>
      </c>
      <c r="I2288" s="130">
        <v>45918</v>
      </c>
      <c r="J2288" s="130" t="s">
        <v>327</v>
      </c>
      <c r="K2288" s="170">
        <v>46073</v>
      </c>
      <c r="L2288" s="446"/>
      <c r="M2288" s="66" t="str">
        <f t="shared" ca="1" si="72"/>
        <v>CLOSED</v>
      </c>
    </row>
    <row r="2289" spans="1:13" ht="90">
      <c r="A2289" s="64" t="s">
        <v>314</v>
      </c>
      <c r="B2289" s="98" t="e">
        <f>VLOOKUP([2]!Table27[[#This Row],[Location 
(drop-down)]],'[2]List source'!D$2:E$59,2,FALSE)</f>
        <v>#VALUE!</v>
      </c>
      <c r="C2289" s="99" t="s">
        <v>6252</v>
      </c>
      <c r="D2289" s="100" t="e">
        <f t="shared" si="71"/>
        <v>#VALUE!</v>
      </c>
      <c r="E2289" s="64" t="s">
        <v>6233</v>
      </c>
      <c r="F2289" s="66" t="e" cm="1" vm="1">
        <f t="array" aca="1" ref="F228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89" s="110" t="s">
        <v>5287</v>
      </c>
      <c r="I2289" s="130">
        <v>45918</v>
      </c>
      <c r="J2289" s="130" t="s">
        <v>34</v>
      </c>
      <c r="K2289" s="170">
        <v>45918</v>
      </c>
      <c r="L2289" s="446" t="s">
        <v>1671</v>
      </c>
      <c r="M2289" s="66" t="str">
        <f t="shared" ca="1" si="72"/>
        <v>CLOSED</v>
      </c>
    </row>
    <row r="2290" spans="1:13" ht="90">
      <c r="A2290" s="64" t="s">
        <v>294</v>
      </c>
      <c r="B2290" s="98" t="e">
        <f>VLOOKUP([2]!Table27[[#This Row],[Location 
(drop-down)]],'[2]List source'!D$2:E$59,2,FALSE)</f>
        <v>#VALUE!</v>
      </c>
      <c r="C2290" s="99" t="s">
        <v>6253</v>
      </c>
      <c r="D2290" s="100" t="e">
        <f t="shared" si="71"/>
        <v>#VALUE!</v>
      </c>
      <c r="E2290" s="64" t="s">
        <v>6247</v>
      </c>
      <c r="F2290" s="66" t="e" cm="1" vm="1">
        <f t="array" aca="1" ref="F229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0" s="66" t="s">
        <v>6254</v>
      </c>
      <c r="I2290" s="130">
        <v>45918</v>
      </c>
      <c r="J2290" s="130" t="s">
        <v>34</v>
      </c>
      <c r="K2290" s="170">
        <v>45918</v>
      </c>
      <c r="L2290" s="446" t="s">
        <v>1671</v>
      </c>
      <c r="M2290" s="66" t="str">
        <f t="shared" ca="1" si="72"/>
        <v>CLOSED</v>
      </c>
    </row>
    <row r="2291" spans="1:13" ht="45">
      <c r="A2291" s="64" t="s">
        <v>294</v>
      </c>
      <c r="B2291" s="98" t="e">
        <f>VLOOKUP([2]!Table27[[#This Row],[Location 
(drop-down)]],'[2]List source'!D$2:E$59,2,FALSE)</f>
        <v>#VALUE!</v>
      </c>
      <c r="C2291" s="99" t="s">
        <v>6255</v>
      </c>
      <c r="D2291" s="100" t="e">
        <f t="shared" si="71"/>
        <v>#VALUE!</v>
      </c>
      <c r="E2291" s="64" t="s">
        <v>6256</v>
      </c>
      <c r="F2291" s="66" t="e" cm="1" vm="1">
        <f t="array" aca="1" ref="F229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1" s="110" t="s">
        <v>6257</v>
      </c>
      <c r="I2291" s="130">
        <v>45918</v>
      </c>
      <c r="J2291" s="67"/>
      <c r="K2291" s="68"/>
      <c r="L2291" s="69"/>
      <c r="M2291" s="66">
        <f t="shared" ca="1" si="72"/>
        <v>160</v>
      </c>
    </row>
    <row r="2292" spans="1:13" ht="60">
      <c r="A2292" s="64" t="s">
        <v>294</v>
      </c>
      <c r="B2292" s="98" t="e">
        <f>VLOOKUP([2]!Table27[[#This Row],[Location 
(drop-down)]],'[2]List source'!D$2:E$59,2,FALSE)</f>
        <v>#VALUE!</v>
      </c>
      <c r="C2292" s="99" t="s">
        <v>6258</v>
      </c>
      <c r="D2292" s="452" t="e">
        <f t="shared" si="71"/>
        <v>#VALUE!</v>
      </c>
      <c r="E2292" s="64" t="s">
        <v>6259</v>
      </c>
      <c r="F2292" s="66" t="e" cm="1" vm="1">
        <f t="array" aca="1" ref="F229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2" s="110" t="s">
        <v>6260</v>
      </c>
      <c r="I2292" s="130">
        <v>45918</v>
      </c>
      <c r="J2292" s="67" t="s">
        <v>239</v>
      </c>
      <c r="K2292" s="68">
        <v>45932</v>
      </c>
      <c r="L2292" s="457" t="s">
        <v>6065</v>
      </c>
      <c r="M2292" s="66" t="str">
        <f t="shared" ca="1" si="72"/>
        <v>CLOSED</v>
      </c>
    </row>
    <row r="2293" spans="1:13" ht="30">
      <c r="A2293" s="64" t="s">
        <v>73</v>
      </c>
      <c r="B2293" s="98" t="e">
        <f>VLOOKUP([2]!Table27[[#This Row],[Location 
(drop-down)]],'[2]List source'!D$2:E$59,2,FALSE)</f>
        <v>#VALUE!</v>
      </c>
      <c r="C2293" s="99" t="s">
        <v>6261</v>
      </c>
      <c r="D2293" s="100" t="e">
        <f t="shared" si="71"/>
        <v>#VALUE!</v>
      </c>
      <c r="E2293" s="64" t="s">
        <v>6262</v>
      </c>
      <c r="F2293" s="66" t="e" cm="1" vm="1">
        <f t="array" aca="1" ref="F229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3" s="110" t="s">
        <v>6263</v>
      </c>
      <c r="I2293" s="130">
        <v>45918</v>
      </c>
      <c r="J2293" s="67" t="s">
        <v>239</v>
      </c>
      <c r="K2293" s="68">
        <v>45973</v>
      </c>
      <c r="L2293" s="69"/>
      <c r="M2293" s="66" t="str">
        <f t="shared" ca="1" si="72"/>
        <v>CLOSED</v>
      </c>
    </row>
    <row r="2294" spans="1:13" ht="90">
      <c r="A2294" s="64" t="s">
        <v>73</v>
      </c>
      <c r="B2294" s="98" t="e">
        <f>VLOOKUP([2]!Table27[[#This Row],[Location 
(drop-down)]],'[2]List source'!D$2:E$59,2,FALSE)</f>
        <v>#VALUE!</v>
      </c>
      <c r="C2294" s="99" t="s">
        <v>6264</v>
      </c>
      <c r="D2294" s="100" t="e">
        <f t="shared" si="71"/>
        <v>#VALUE!</v>
      </c>
      <c r="E2294" s="64" t="s">
        <v>6265</v>
      </c>
      <c r="F2294" s="66" t="e" cm="1" vm="1">
        <f t="array" aca="1" ref="F229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4" s="66" t="s">
        <v>6266</v>
      </c>
      <c r="I2294" s="130">
        <v>45918</v>
      </c>
      <c r="J2294" s="130" t="s">
        <v>34</v>
      </c>
      <c r="K2294" s="170">
        <v>45918</v>
      </c>
      <c r="L2294" s="446" t="s">
        <v>1671</v>
      </c>
      <c r="M2294" s="66" t="str">
        <f t="shared" ca="1" si="72"/>
        <v>CLOSED</v>
      </c>
    </row>
    <row r="2295" spans="1:13" ht="45">
      <c r="A2295" s="64" t="s">
        <v>485</v>
      </c>
      <c r="B2295" s="98" t="e">
        <f>VLOOKUP([2]!Table27[[#This Row],[Location 
(drop-down)]],'[2]List source'!D$2:E$59,2,FALSE)</f>
        <v>#VALUE!</v>
      </c>
      <c r="C2295" s="99" t="s">
        <v>6267</v>
      </c>
      <c r="D2295" s="100" t="e">
        <f t="shared" si="71"/>
        <v>#VALUE!</v>
      </c>
      <c r="E2295" s="64" t="s">
        <v>6268</v>
      </c>
      <c r="F2295" s="66" t="e" cm="1" vm="1">
        <f t="array" aca="1" ref="F229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5" s="110" t="s">
        <v>6269</v>
      </c>
      <c r="I2295" s="130">
        <v>45918</v>
      </c>
      <c r="J2295" s="67"/>
      <c r="K2295" s="68"/>
      <c r="L2295" s="69"/>
      <c r="M2295" s="66">
        <f t="shared" ca="1" si="72"/>
        <v>160</v>
      </c>
    </row>
    <row r="2296" spans="1:13" ht="60">
      <c r="A2296" s="64" t="s">
        <v>485</v>
      </c>
      <c r="B2296" s="98" t="e">
        <f>VLOOKUP([2]!Table27[[#This Row],[Location 
(drop-down)]],'[2]List source'!D$2:E$59,2,FALSE)</f>
        <v>#VALUE!</v>
      </c>
      <c r="C2296" s="99" t="s">
        <v>6270</v>
      </c>
      <c r="D2296" s="452" t="e">
        <f t="shared" si="71"/>
        <v>#VALUE!</v>
      </c>
      <c r="E2296" s="64" t="s">
        <v>6271</v>
      </c>
      <c r="F2296" s="66" t="e" cm="1" vm="1">
        <f t="array" aca="1" ref="F229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6" s="110" t="s">
        <v>6272</v>
      </c>
      <c r="I2296" s="130">
        <v>45918</v>
      </c>
      <c r="J2296" s="67" t="s">
        <v>6273</v>
      </c>
      <c r="K2296" s="68">
        <v>45943</v>
      </c>
      <c r="L2296" s="457" t="s">
        <v>6065</v>
      </c>
      <c r="M2296" s="66" t="str">
        <f t="shared" ca="1" si="72"/>
        <v>CLOSED</v>
      </c>
    </row>
    <row r="2297" spans="1:13" ht="90">
      <c r="A2297" s="64" t="s">
        <v>500</v>
      </c>
      <c r="B2297" s="98" t="e">
        <f>VLOOKUP([2]!Table27[[#This Row],[Location 
(drop-down)]],'[2]List source'!D$2:E$59,2,FALSE)</f>
        <v>#VALUE!</v>
      </c>
      <c r="C2297" s="99" t="s">
        <v>6274</v>
      </c>
      <c r="D2297" s="100" t="e">
        <f t="shared" si="71"/>
        <v>#VALUE!</v>
      </c>
      <c r="E2297" s="64" t="s">
        <v>6275</v>
      </c>
      <c r="F2297" s="66" t="e" cm="1" vm="1">
        <f t="array" aca="1" ref="F229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7" s="110" t="s">
        <v>2004</v>
      </c>
      <c r="I2297" s="130">
        <v>45918</v>
      </c>
      <c r="J2297" s="130" t="s">
        <v>34</v>
      </c>
      <c r="K2297" s="170">
        <v>45918</v>
      </c>
      <c r="L2297" s="446" t="s">
        <v>1671</v>
      </c>
      <c r="M2297" s="66" t="str">
        <f t="shared" ca="1" si="72"/>
        <v>CLOSED</v>
      </c>
    </row>
    <row r="2298" spans="1:13" ht="30">
      <c r="A2298" s="64" t="s">
        <v>500</v>
      </c>
      <c r="B2298" s="98" t="e">
        <f>VLOOKUP([2]!Table27[[#This Row],[Location 
(drop-down)]],'[2]List source'!D$2:E$59,2,FALSE)</f>
        <v>#VALUE!</v>
      </c>
      <c r="C2298" s="99" t="s">
        <v>6276</v>
      </c>
      <c r="D2298" s="100" t="e">
        <f t="shared" si="71"/>
        <v>#VALUE!</v>
      </c>
      <c r="E2298" s="64" t="s">
        <v>6277</v>
      </c>
      <c r="F2298" s="66" t="e" cm="1" vm="1">
        <f t="array" aca="1" ref="F229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8" s="110" t="s">
        <v>3418</v>
      </c>
      <c r="I2298" s="130">
        <v>45918</v>
      </c>
      <c r="J2298" s="67" t="s">
        <v>310</v>
      </c>
      <c r="K2298" s="68">
        <v>45954</v>
      </c>
      <c r="L2298" s="69"/>
      <c r="M2298" s="66" t="str">
        <f t="shared" ca="1" si="72"/>
        <v>CLOSED</v>
      </c>
    </row>
    <row r="2299" spans="1:13" ht="90">
      <c r="A2299" s="64" t="s">
        <v>518</v>
      </c>
      <c r="B2299" s="98" t="e">
        <f>VLOOKUP([2]!Table27[[#This Row],[Location 
(drop-down)]],'[2]List source'!D$2:E$59,2,FALSE)</f>
        <v>#VALUE!</v>
      </c>
      <c r="C2299" s="99" t="s">
        <v>6278</v>
      </c>
      <c r="D2299" s="100" t="e">
        <f t="shared" si="71"/>
        <v>#VALUE!</v>
      </c>
      <c r="E2299" s="64" t="s">
        <v>6279</v>
      </c>
      <c r="F2299" s="66" t="e" cm="1" vm="1">
        <f t="array" aca="1" ref="F229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2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299" s="110" t="s">
        <v>2533</v>
      </c>
      <c r="I2299" s="130">
        <v>45918</v>
      </c>
      <c r="J2299" s="130" t="s">
        <v>34</v>
      </c>
      <c r="K2299" s="170">
        <v>45918</v>
      </c>
      <c r="L2299" s="446" t="s">
        <v>1671</v>
      </c>
      <c r="M2299" s="66" t="str">
        <f t="shared" ca="1" si="72"/>
        <v>CLOSED</v>
      </c>
    </row>
    <row r="2300" spans="1:13" ht="45">
      <c r="A2300" s="64" t="s">
        <v>139</v>
      </c>
      <c r="B2300" s="98" t="e">
        <f>VLOOKUP([2]!Table27[[#This Row],[Location 
(drop-down)]],'[2]List source'!D$2:E$59,2,FALSE)</f>
        <v>#VALUE!</v>
      </c>
      <c r="C2300" s="99" t="s">
        <v>6280</v>
      </c>
      <c r="D2300" s="452" t="e">
        <f t="shared" si="71"/>
        <v>#VALUE!</v>
      </c>
      <c r="E2300" s="64" t="s">
        <v>6281</v>
      </c>
      <c r="F2300" s="66" t="e" cm="1" vm="1">
        <f t="array" aca="1" ref="F230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0" s="110" t="s">
        <v>3418</v>
      </c>
      <c r="I2300" s="67">
        <v>45918</v>
      </c>
      <c r="J2300" s="67" t="s">
        <v>34</v>
      </c>
      <c r="K2300" s="68">
        <v>45968</v>
      </c>
      <c r="L2300" s="446" t="s">
        <v>1505</v>
      </c>
      <c r="M2300" s="66" t="str">
        <f t="shared" ca="1" si="72"/>
        <v>CLOSED</v>
      </c>
    </row>
    <row r="2301" spans="1:13" ht="90">
      <c r="A2301" s="64" t="s">
        <v>43</v>
      </c>
      <c r="B2301" s="98" t="e">
        <f>VLOOKUP([2]!Table27[[#This Row],[Location 
(drop-down)]],'[2]List source'!D$2:E$59,2,FALSE)</f>
        <v>#VALUE!</v>
      </c>
      <c r="C2301" s="99" t="s">
        <v>6282</v>
      </c>
      <c r="D2301" s="100" t="e">
        <f t="shared" si="71"/>
        <v>#VALUE!</v>
      </c>
      <c r="E2301" s="64" t="s">
        <v>6283</v>
      </c>
      <c r="F2301" s="66" t="e" cm="1" vm="1">
        <f t="array" aca="1" ref="F230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1" s="110" t="s">
        <v>6284</v>
      </c>
      <c r="I2301" s="67">
        <v>45918</v>
      </c>
      <c r="J2301" s="130" t="s">
        <v>34</v>
      </c>
      <c r="K2301" s="170">
        <v>45918</v>
      </c>
      <c r="L2301" s="446" t="s">
        <v>1671</v>
      </c>
      <c r="M2301" s="66" t="str">
        <f t="shared" ca="1" si="72"/>
        <v>CLOSED</v>
      </c>
    </row>
    <row r="2302" spans="1:13" ht="90">
      <c r="A2302" s="64" t="s">
        <v>714</v>
      </c>
      <c r="B2302" s="98" t="e">
        <f>VLOOKUP([2]!Table27[[#This Row],[Location 
(drop-down)]],'[2]List source'!D$2:E$59,2,FALSE)</f>
        <v>#VALUE!</v>
      </c>
      <c r="C2302" s="99" t="s">
        <v>6285</v>
      </c>
      <c r="D2302" s="100" t="e">
        <f t="shared" si="71"/>
        <v>#VALUE!</v>
      </c>
      <c r="E2302" s="64" t="s">
        <v>6229</v>
      </c>
      <c r="F2302" s="66" t="e" cm="1" vm="1">
        <f t="array" aca="1" ref="F230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2" s="110" t="s">
        <v>6286</v>
      </c>
      <c r="I2302" s="67">
        <v>45918</v>
      </c>
      <c r="J2302" s="130" t="s">
        <v>34</v>
      </c>
      <c r="K2302" s="170">
        <v>45918</v>
      </c>
      <c r="L2302" s="446" t="s">
        <v>1671</v>
      </c>
      <c r="M2302" s="66" t="str">
        <f t="shared" ca="1" si="72"/>
        <v>CLOSED</v>
      </c>
    </row>
    <row r="2303" spans="1:13" ht="30">
      <c r="A2303" s="64" t="s">
        <v>714</v>
      </c>
      <c r="B2303" s="98" t="e">
        <f>VLOOKUP([2]!Table27[[#This Row],[Location 
(drop-down)]],'[2]List source'!D$2:E$59,2,FALSE)</f>
        <v>#VALUE!</v>
      </c>
      <c r="C2303" s="99" t="s">
        <v>6287</v>
      </c>
      <c r="D2303" s="100" t="e">
        <f t="shared" si="71"/>
        <v>#VALUE!</v>
      </c>
      <c r="E2303" s="64" t="s">
        <v>6288</v>
      </c>
      <c r="F2303" s="66" t="e" cm="1" vm="1">
        <f t="array" aca="1" ref="F230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3" s="66">
        <v>3.01</v>
      </c>
      <c r="I2303" s="67">
        <v>45918</v>
      </c>
      <c r="J2303" s="67"/>
      <c r="K2303" s="68"/>
      <c r="L2303" s="69"/>
      <c r="M2303" s="66">
        <f t="shared" ca="1" si="72"/>
        <v>160</v>
      </c>
    </row>
    <row r="2304" spans="1:13" ht="30">
      <c r="A2304" s="64" t="s">
        <v>156</v>
      </c>
      <c r="B2304" s="98" t="e">
        <f>VLOOKUP([2]!Table27[[#This Row],[Location 
(drop-down)]],'[2]List source'!D$2:E$59,2,FALSE)</f>
        <v>#VALUE!</v>
      </c>
      <c r="C2304" s="99" t="s">
        <v>6289</v>
      </c>
      <c r="D2304" s="100" t="e">
        <f t="shared" si="71"/>
        <v>#VALUE!</v>
      </c>
      <c r="E2304" s="64" t="s">
        <v>6290</v>
      </c>
      <c r="F2304" s="66" t="s">
        <v>1520</v>
      </c>
      <c r="G23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4" s="110" t="s">
        <v>3402</v>
      </c>
      <c r="I2304" s="67">
        <v>45926</v>
      </c>
      <c r="J2304" s="67" t="s">
        <v>29</v>
      </c>
      <c r="K2304" s="68">
        <v>45944</v>
      </c>
      <c r="L2304" s="69"/>
      <c r="M2304" s="66" t="str">
        <f t="shared" ca="1" si="72"/>
        <v>CLOSED</v>
      </c>
    </row>
    <row r="2305" spans="1:13" ht="90">
      <c r="A2305" s="64" t="s">
        <v>1253</v>
      </c>
      <c r="B2305" s="98" t="e">
        <f>VLOOKUP([2]!Table27[[#This Row],[Location 
(drop-down)]],'[2]List source'!D$2:E$59,2,FALSE)</f>
        <v>#VALUE!</v>
      </c>
      <c r="C2305" s="99" t="s">
        <v>6291</v>
      </c>
      <c r="D2305" s="100" t="e">
        <f t="shared" si="71"/>
        <v>#VALUE!</v>
      </c>
      <c r="E2305" s="64" t="s">
        <v>6292</v>
      </c>
      <c r="F2305" s="66" t="s">
        <v>1520</v>
      </c>
      <c r="G23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5" s="66">
        <v>2.06</v>
      </c>
      <c r="I2305" s="67">
        <v>45926</v>
      </c>
      <c r="J2305" s="67" t="s">
        <v>34</v>
      </c>
      <c r="K2305" s="68">
        <v>45926</v>
      </c>
      <c r="L2305" s="69" t="s">
        <v>1671</v>
      </c>
      <c r="M2305" s="66" t="str">
        <f t="shared" ca="1" si="72"/>
        <v>CLOSED</v>
      </c>
    </row>
    <row r="2306" spans="1:13" ht="30">
      <c r="A2306" s="64" t="s">
        <v>1253</v>
      </c>
      <c r="B2306" s="98" t="e">
        <f>VLOOKUP([2]!Table27[[#This Row],[Location 
(drop-down)]],'[2]List source'!D$2:E$59,2,FALSE)</f>
        <v>#VALUE!</v>
      </c>
      <c r="C2306" s="99" t="s">
        <v>6293</v>
      </c>
      <c r="D2306" s="100" t="e">
        <f t="shared" ref="D2306:D2369" si="73">"PTO" &amp; C2306 &amp; "-" &amp; B2306 &amp; "-" &amp; "23"</f>
        <v>#VALUE!</v>
      </c>
      <c r="E2306" s="64" t="s">
        <v>6294</v>
      </c>
      <c r="F2306" s="66" t="s">
        <v>1520</v>
      </c>
      <c r="G23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6" s="110" t="s">
        <v>5433</v>
      </c>
      <c r="I2306" s="67">
        <v>45926</v>
      </c>
      <c r="J2306" s="67"/>
      <c r="K2306" s="68"/>
      <c r="L2306" s="69"/>
      <c r="M2306" s="66">
        <f t="shared" ca="1" si="72"/>
        <v>152</v>
      </c>
    </row>
    <row r="2307" spans="1:13" ht="30">
      <c r="A2307" s="64" t="s">
        <v>39</v>
      </c>
      <c r="B2307" s="98" t="e">
        <f>VLOOKUP([2]!Table27[[#This Row],[Location 
(drop-down)]],'[2]List source'!D$2:E$59,2,FALSE)</f>
        <v>#VALUE!</v>
      </c>
      <c r="C2307" s="99" t="s">
        <v>6295</v>
      </c>
      <c r="D2307" s="100" t="e">
        <f t="shared" si="73"/>
        <v>#VALUE!</v>
      </c>
      <c r="E2307" s="64" t="s">
        <v>6296</v>
      </c>
      <c r="F2307" s="66" t="s">
        <v>1520</v>
      </c>
      <c r="G230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7" s="66">
        <v>7.73</v>
      </c>
      <c r="I2307" s="67">
        <v>45926</v>
      </c>
      <c r="J2307" s="67"/>
      <c r="K2307" s="68"/>
      <c r="L2307" s="147"/>
      <c r="M2307" s="66">
        <f t="shared" ca="1" si="72"/>
        <v>152</v>
      </c>
    </row>
    <row r="2308" spans="1:13" ht="90">
      <c r="A2308" s="64" t="s">
        <v>591</v>
      </c>
      <c r="B2308" s="98" t="e">
        <f>VLOOKUP([2]!Table27[[#This Row],[Location 
(drop-down)]],'[2]List source'!D$2:E$59,2,FALSE)</f>
        <v>#VALUE!</v>
      </c>
      <c r="C2308" s="99" t="s">
        <v>6297</v>
      </c>
      <c r="D2308" s="100" t="e">
        <f t="shared" si="73"/>
        <v>#VALUE!</v>
      </c>
      <c r="E2308" s="64" t="s">
        <v>6298</v>
      </c>
      <c r="F2308" s="66" t="s">
        <v>1520</v>
      </c>
      <c r="G230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8" s="66">
        <v>2.06</v>
      </c>
      <c r="I2308" s="67">
        <v>45926</v>
      </c>
      <c r="J2308" s="67" t="s">
        <v>34</v>
      </c>
      <c r="K2308" s="68">
        <v>45926</v>
      </c>
      <c r="L2308" s="69" t="s">
        <v>1671</v>
      </c>
      <c r="M2308" s="66" t="str">
        <f t="shared" ca="1" si="72"/>
        <v>CLOSED</v>
      </c>
    </row>
    <row r="2309" spans="1:13" ht="30">
      <c r="A2309" s="64" t="s">
        <v>30</v>
      </c>
      <c r="B2309" s="98" t="e">
        <f>VLOOKUP([2]!Table27[[#This Row],[Location 
(drop-down)]],'[2]List source'!D$2:E$59,2,FALSE)</f>
        <v>#VALUE!</v>
      </c>
      <c r="C2309" s="99" t="s">
        <v>6299</v>
      </c>
      <c r="D2309" s="100" t="e">
        <f t="shared" si="73"/>
        <v>#VALUE!</v>
      </c>
      <c r="E2309" s="64" t="s">
        <v>6300</v>
      </c>
      <c r="F2309" s="66" t="s">
        <v>1520</v>
      </c>
      <c r="G230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09" s="66">
        <v>8.2899999999999991</v>
      </c>
      <c r="I2309" s="67">
        <v>45926</v>
      </c>
      <c r="J2309" s="67"/>
      <c r="K2309" s="68"/>
      <c r="L2309" s="147"/>
      <c r="M2309" s="66">
        <f t="shared" ca="1" si="72"/>
        <v>152</v>
      </c>
    </row>
    <row r="2310" spans="1:13" ht="30">
      <c r="A2310" s="64" t="s">
        <v>30</v>
      </c>
      <c r="B2310" s="98" t="e">
        <f>VLOOKUP([2]!Table27[[#This Row],[Location 
(drop-down)]],'[2]List source'!D$2:E$59,2,FALSE)</f>
        <v>#VALUE!</v>
      </c>
      <c r="C2310" s="99" t="s">
        <v>6301</v>
      </c>
      <c r="D2310" s="100" t="e">
        <f t="shared" si="73"/>
        <v>#VALUE!</v>
      </c>
      <c r="E2310" s="64" t="s">
        <v>6302</v>
      </c>
      <c r="F2310" s="66" t="s">
        <v>1520</v>
      </c>
      <c r="G23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0" s="110" t="s">
        <v>3581</v>
      </c>
      <c r="I2310" s="67">
        <v>45926</v>
      </c>
      <c r="J2310" s="67"/>
      <c r="K2310" s="68"/>
      <c r="L2310" s="69"/>
      <c r="M2310" s="66">
        <f t="shared" ca="1" si="72"/>
        <v>152</v>
      </c>
    </row>
    <row r="2311" spans="1:13" ht="90">
      <c r="A2311" s="64" t="s">
        <v>30</v>
      </c>
      <c r="B2311" s="98" t="e">
        <f>VLOOKUP([2]!Table27[[#This Row],[Location 
(drop-down)]],'[2]List source'!D$2:E$59,2,FALSE)</f>
        <v>#VALUE!</v>
      </c>
      <c r="C2311" s="99" t="s">
        <v>6303</v>
      </c>
      <c r="D2311" s="100" t="e">
        <f t="shared" si="73"/>
        <v>#VALUE!</v>
      </c>
      <c r="E2311" s="64" t="s">
        <v>6304</v>
      </c>
      <c r="F2311" s="66" t="s">
        <v>1520</v>
      </c>
      <c r="G23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1" s="110" t="s">
        <v>1683</v>
      </c>
      <c r="I2311" s="67">
        <v>45926</v>
      </c>
      <c r="J2311" s="67" t="s">
        <v>34</v>
      </c>
      <c r="K2311" s="68">
        <v>45926</v>
      </c>
      <c r="L2311" s="69" t="s">
        <v>1671</v>
      </c>
      <c r="M2311" s="66" t="str">
        <f t="shared" ca="1" si="72"/>
        <v>CLOSED</v>
      </c>
    </row>
    <row r="2312" spans="1:13" ht="30">
      <c r="A2312" s="64" t="s">
        <v>103</v>
      </c>
      <c r="B2312" s="98" t="e">
        <f>VLOOKUP([2]!Table27[[#This Row],[Location 
(drop-down)]],'[2]List source'!D$2:E$59,2,FALSE)</f>
        <v>#VALUE!</v>
      </c>
      <c r="C2312" s="99" t="s">
        <v>6305</v>
      </c>
      <c r="D2312" s="100" t="e">
        <f t="shared" si="73"/>
        <v>#VALUE!</v>
      </c>
      <c r="E2312" s="64" t="s">
        <v>6306</v>
      </c>
      <c r="F2312" s="66" t="s">
        <v>1520</v>
      </c>
      <c r="G23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2" s="110" t="s">
        <v>4171</v>
      </c>
      <c r="I2312" s="67">
        <v>45926</v>
      </c>
      <c r="J2312" s="67"/>
      <c r="K2312" s="68"/>
      <c r="L2312" s="69"/>
      <c r="M2312" s="66">
        <f t="shared" ca="1" si="72"/>
        <v>152</v>
      </c>
    </row>
    <row r="2313" spans="1:13" ht="90">
      <c r="A2313" s="64" t="s">
        <v>167</v>
      </c>
      <c r="B2313" s="98" t="e">
        <f>VLOOKUP([2]!Table27[[#This Row],[Location 
(drop-down)]],'[2]List source'!D$2:E$59,2,FALSE)</f>
        <v>#VALUE!</v>
      </c>
      <c r="C2313" s="99" t="s">
        <v>6307</v>
      </c>
      <c r="D2313" s="100" t="e">
        <f t="shared" si="73"/>
        <v>#VALUE!</v>
      </c>
      <c r="E2313" s="64" t="s">
        <v>6308</v>
      </c>
      <c r="F2313" s="66" t="s">
        <v>1520</v>
      </c>
      <c r="G23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3" s="66">
        <v>2.2000000000000002</v>
      </c>
      <c r="I2313" s="67">
        <v>45926</v>
      </c>
      <c r="J2313" s="67" t="s">
        <v>34</v>
      </c>
      <c r="K2313" s="68">
        <v>45926</v>
      </c>
      <c r="L2313" s="69" t="s">
        <v>1671</v>
      </c>
      <c r="M2313" s="66" t="str">
        <f t="shared" ca="1" si="72"/>
        <v>CLOSED</v>
      </c>
    </row>
    <row r="2314" spans="1:13" ht="90">
      <c r="A2314" s="64" t="s">
        <v>314</v>
      </c>
      <c r="B2314" s="98" t="e">
        <f>VLOOKUP([2]!Table27[[#This Row],[Location 
(drop-down)]],'[2]List source'!D$2:E$59,2,FALSE)</f>
        <v>#VALUE!</v>
      </c>
      <c r="C2314" s="99" t="s">
        <v>6309</v>
      </c>
      <c r="D2314" s="100" t="e">
        <f t="shared" si="73"/>
        <v>#VALUE!</v>
      </c>
      <c r="E2314" s="64" t="s">
        <v>6310</v>
      </c>
      <c r="F2314" s="66" t="s">
        <v>1520</v>
      </c>
      <c r="G231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4" s="66">
        <v>2.15</v>
      </c>
      <c r="I2314" s="67">
        <v>45926</v>
      </c>
      <c r="J2314" s="67" t="s">
        <v>34</v>
      </c>
      <c r="K2314" s="68">
        <v>45926</v>
      </c>
      <c r="L2314" s="69" t="s">
        <v>1671</v>
      </c>
      <c r="M2314" s="66" t="str">
        <f t="shared" ca="1" si="72"/>
        <v>CLOSED</v>
      </c>
    </row>
    <row r="2315" spans="1:13" ht="30">
      <c r="A2315" s="64" t="s">
        <v>314</v>
      </c>
      <c r="B2315" s="98" t="e">
        <f>VLOOKUP([2]!Table27[[#This Row],[Location 
(drop-down)]],'[2]List source'!D$2:E$59,2,FALSE)</f>
        <v>#VALUE!</v>
      </c>
      <c r="C2315" s="99" t="s">
        <v>6311</v>
      </c>
      <c r="D2315" s="100" t="e">
        <f t="shared" si="73"/>
        <v>#VALUE!</v>
      </c>
      <c r="E2315" s="64" t="s">
        <v>6312</v>
      </c>
      <c r="F2315" s="66" t="s">
        <v>1520</v>
      </c>
      <c r="G23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5" s="110" t="s">
        <v>2791</v>
      </c>
      <c r="I2315" s="67">
        <v>45926</v>
      </c>
      <c r="J2315" s="67" t="s">
        <v>327</v>
      </c>
      <c r="K2315" s="68">
        <v>46035</v>
      </c>
      <c r="L2315" s="147"/>
      <c r="M2315" s="66" t="str">
        <f t="shared" ca="1" si="72"/>
        <v>CLOSED</v>
      </c>
    </row>
    <row r="2316" spans="1:13" ht="30">
      <c r="A2316" s="64" t="s">
        <v>294</v>
      </c>
      <c r="B2316" s="98" t="e">
        <f>VLOOKUP([2]!Table27[[#This Row],[Location 
(drop-down)]],'[2]List source'!D$2:E$59,2,FALSE)</f>
        <v>#VALUE!</v>
      </c>
      <c r="C2316" s="99" t="s">
        <v>6313</v>
      </c>
      <c r="D2316" s="100" t="e">
        <f t="shared" si="73"/>
        <v>#VALUE!</v>
      </c>
      <c r="E2316" s="64" t="s">
        <v>6314</v>
      </c>
      <c r="F2316" s="66" t="s">
        <v>1520</v>
      </c>
      <c r="G23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6" s="110">
        <v>24.42</v>
      </c>
      <c r="I2316" s="67">
        <v>45926</v>
      </c>
      <c r="J2316" s="67" t="s">
        <v>239</v>
      </c>
      <c r="K2316" s="68">
        <v>45971</v>
      </c>
      <c r="L2316" s="69"/>
      <c r="M2316" s="66" t="str">
        <f t="shared" ca="1" si="72"/>
        <v>CLOSED</v>
      </c>
    </row>
    <row r="2317" spans="1:13" ht="45">
      <c r="A2317" s="64" t="s">
        <v>53</v>
      </c>
      <c r="B2317" s="98" t="e">
        <f>VLOOKUP([2]!Table27[[#This Row],[Location 
(drop-down)]],'[2]List source'!D$2:E$59,2,FALSE)</f>
        <v>#VALUE!</v>
      </c>
      <c r="C2317" s="99" t="s">
        <v>6315</v>
      </c>
      <c r="D2317" s="100" t="e">
        <f t="shared" si="73"/>
        <v>#VALUE!</v>
      </c>
      <c r="E2317" s="64" t="s">
        <v>6316</v>
      </c>
      <c r="F2317" s="66" t="s">
        <v>1520</v>
      </c>
      <c r="G23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7" s="66" t="s">
        <v>6317</v>
      </c>
      <c r="I2317" s="67">
        <v>45926</v>
      </c>
      <c r="J2317" s="67" t="s">
        <v>327</v>
      </c>
      <c r="K2317" s="68">
        <v>45958</v>
      </c>
      <c r="L2317" s="69"/>
      <c r="M2317" s="66" t="str">
        <f t="shared" ca="1" si="72"/>
        <v>CLOSED</v>
      </c>
    </row>
    <row r="2318" spans="1:13" ht="90">
      <c r="A2318" s="64" t="s">
        <v>53</v>
      </c>
      <c r="B2318" s="98" t="e">
        <f>VLOOKUP([2]!Table27[[#This Row],[Location 
(drop-down)]],'[2]List source'!D$2:E$59,2,FALSE)</f>
        <v>#VALUE!</v>
      </c>
      <c r="C2318" s="99" t="s">
        <v>6318</v>
      </c>
      <c r="D2318" s="100" t="e">
        <f t="shared" si="73"/>
        <v>#VALUE!</v>
      </c>
      <c r="E2318" s="64" t="s">
        <v>6308</v>
      </c>
      <c r="F2318" s="66" t="s">
        <v>1520</v>
      </c>
      <c r="G23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8" s="66">
        <v>2.7</v>
      </c>
      <c r="I2318" s="67">
        <v>45926</v>
      </c>
      <c r="J2318" s="67" t="s">
        <v>34</v>
      </c>
      <c r="K2318" s="68">
        <v>45926</v>
      </c>
      <c r="L2318" s="69" t="s">
        <v>1671</v>
      </c>
      <c r="M2318" s="66" t="str">
        <f t="shared" ca="1" si="72"/>
        <v>CLOSED</v>
      </c>
    </row>
    <row r="2319" spans="1:13" ht="45">
      <c r="A2319" s="64" t="s">
        <v>73</v>
      </c>
      <c r="B2319" s="98" t="e">
        <f>VLOOKUP([2]!Table27[[#This Row],[Location 
(drop-down)]],'[2]List source'!D$2:E$59,2,FALSE)</f>
        <v>#VALUE!</v>
      </c>
      <c r="C2319" s="99" t="s">
        <v>6319</v>
      </c>
      <c r="D2319" s="100" t="e">
        <f t="shared" si="73"/>
        <v>#VALUE!</v>
      </c>
      <c r="E2319" s="64" t="s">
        <v>6320</v>
      </c>
      <c r="F2319" s="66" t="s">
        <v>1520</v>
      </c>
      <c r="G23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19" s="110" t="s">
        <v>6321</v>
      </c>
      <c r="I2319" s="67">
        <v>45926</v>
      </c>
      <c r="J2319" s="67" t="s">
        <v>239</v>
      </c>
      <c r="K2319" s="68">
        <v>46022</v>
      </c>
      <c r="L2319" s="69"/>
      <c r="M2319" s="66" t="str">
        <f t="shared" ca="1" si="72"/>
        <v>CLOSED</v>
      </c>
    </row>
    <row r="2320" spans="1:13" ht="90">
      <c r="A2320" s="64" t="s">
        <v>73</v>
      </c>
      <c r="B2320" s="98" t="e">
        <f>VLOOKUP([2]!Table27[[#This Row],[Location 
(drop-down)]],'[2]List source'!D$2:E$59,2,FALSE)</f>
        <v>#VALUE!</v>
      </c>
      <c r="C2320" s="99" t="s">
        <v>6322</v>
      </c>
      <c r="D2320" s="100" t="e">
        <f t="shared" si="73"/>
        <v>#VALUE!</v>
      </c>
      <c r="E2320" s="64" t="s">
        <v>6310</v>
      </c>
      <c r="F2320" s="66" t="s">
        <v>1520</v>
      </c>
      <c r="G23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0" s="66">
        <v>2.15</v>
      </c>
      <c r="I2320" s="67">
        <v>45926</v>
      </c>
      <c r="J2320" s="67" t="s">
        <v>34</v>
      </c>
      <c r="K2320" s="68">
        <v>45926</v>
      </c>
      <c r="L2320" s="69" t="s">
        <v>1671</v>
      </c>
      <c r="M2320" s="66" t="str">
        <f t="shared" ca="1" si="72"/>
        <v>CLOSED</v>
      </c>
    </row>
    <row r="2321" spans="1:13" ht="30">
      <c r="A2321" s="64" t="s">
        <v>73</v>
      </c>
      <c r="B2321" s="98" t="e">
        <f>VLOOKUP([2]!Table27[[#This Row],[Location 
(drop-down)]],'[2]List source'!D$2:E$59,2,FALSE)</f>
        <v>#VALUE!</v>
      </c>
      <c r="C2321" s="99" t="s">
        <v>6323</v>
      </c>
      <c r="D2321" s="100" t="e">
        <f t="shared" si="73"/>
        <v>#VALUE!</v>
      </c>
      <c r="E2321" s="64" t="s">
        <v>6312</v>
      </c>
      <c r="F2321" s="66" t="s">
        <v>1520</v>
      </c>
      <c r="G23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1" s="110" t="s">
        <v>2791</v>
      </c>
      <c r="I2321" s="67">
        <v>45926</v>
      </c>
      <c r="J2321" s="67" t="s">
        <v>239</v>
      </c>
      <c r="K2321" s="68">
        <v>46017</v>
      </c>
      <c r="L2321" s="69"/>
      <c r="M2321" s="66" t="str">
        <f t="shared" ca="1" si="72"/>
        <v>CLOSED</v>
      </c>
    </row>
    <row r="2322" spans="1:13" ht="30">
      <c r="A2322" s="64" t="s">
        <v>73</v>
      </c>
      <c r="B2322" s="98" t="e">
        <f>VLOOKUP([2]!Table27[[#This Row],[Location 
(drop-down)]],'[2]List source'!D$2:E$59,2,FALSE)</f>
        <v>#VALUE!</v>
      </c>
      <c r="C2322" s="99" t="s">
        <v>6324</v>
      </c>
      <c r="D2322" s="100" t="e">
        <f t="shared" si="73"/>
        <v>#VALUE!</v>
      </c>
      <c r="E2322" s="64" t="s">
        <v>6325</v>
      </c>
      <c r="F2322" s="66" t="s">
        <v>1520</v>
      </c>
      <c r="G23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2" s="66">
        <v>2.13</v>
      </c>
      <c r="I2322" s="67">
        <v>45926</v>
      </c>
      <c r="J2322" s="67"/>
      <c r="K2322" s="68"/>
      <c r="L2322" s="69"/>
      <c r="M2322" s="66">
        <f t="shared" ca="1" si="72"/>
        <v>152</v>
      </c>
    </row>
    <row r="2323" spans="1:13" ht="45">
      <c r="A2323" s="64" t="s">
        <v>73</v>
      </c>
      <c r="B2323" s="98" t="e">
        <f>VLOOKUP([2]!Table27[[#This Row],[Location 
(drop-down)]],'[2]List source'!D$2:E$59,2,FALSE)</f>
        <v>#VALUE!</v>
      </c>
      <c r="C2323" s="99" t="s">
        <v>6326</v>
      </c>
      <c r="D2323" s="100" t="e">
        <f t="shared" si="73"/>
        <v>#VALUE!</v>
      </c>
      <c r="E2323" s="64" t="s">
        <v>6327</v>
      </c>
      <c r="F2323" s="66" t="s">
        <v>1520</v>
      </c>
      <c r="G23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3" s="110" t="s">
        <v>6328</v>
      </c>
      <c r="I2323" s="67">
        <v>45926</v>
      </c>
      <c r="J2323" s="67" t="s">
        <v>239</v>
      </c>
      <c r="K2323" s="68">
        <v>46010</v>
      </c>
      <c r="L2323" s="69"/>
      <c r="M2323" s="66" t="str">
        <f t="shared" ca="1" si="72"/>
        <v>CLOSED</v>
      </c>
    </row>
    <row r="2324" spans="1:13" ht="30">
      <c r="A2324" s="64" t="s">
        <v>485</v>
      </c>
      <c r="B2324" s="98" t="e">
        <f>VLOOKUP([2]!Table27[[#This Row],[Location 
(drop-down)]],'[2]List source'!D$2:E$59,2,FALSE)</f>
        <v>#VALUE!</v>
      </c>
      <c r="C2324" s="99" t="s">
        <v>6329</v>
      </c>
      <c r="D2324" s="100" t="e">
        <f t="shared" si="73"/>
        <v>#VALUE!</v>
      </c>
      <c r="E2324" s="64" t="s">
        <v>6330</v>
      </c>
      <c r="F2324" s="66" t="s">
        <v>1520</v>
      </c>
      <c r="G23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4" s="110" t="s">
        <v>1872</v>
      </c>
      <c r="I2324" s="67">
        <v>45926</v>
      </c>
      <c r="J2324" s="67"/>
      <c r="K2324" s="68"/>
      <c r="L2324" s="69"/>
      <c r="M2324" s="66">
        <f t="shared" ca="1" si="72"/>
        <v>152</v>
      </c>
    </row>
    <row r="2325" spans="1:13" ht="30">
      <c r="A2325" s="64" t="s">
        <v>485</v>
      </c>
      <c r="B2325" s="98" t="e">
        <f>VLOOKUP([2]!Table27[[#This Row],[Location 
(drop-down)]],'[2]List source'!D$2:E$59,2,FALSE)</f>
        <v>#VALUE!</v>
      </c>
      <c r="C2325" s="99" t="s">
        <v>6331</v>
      </c>
      <c r="D2325" s="100" t="e">
        <f t="shared" si="73"/>
        <v>#VALUE!</v>
      </c>
      <c r="E2325" s="64" t="s">
        <v>6332</v>
      </c>
      <c r="F2325" s="66" t="s">
        <v>1520</v>
      </c>
      <c r="G23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5" s="66">
        <v>2.33</v>
      </c>
      <c r="I2325" s="67">
        <v>45926</v>
      </c>
      <c r="J2325" s="67"/>
      <c r="K2325" s="68"/>
      <c r="L2325" s="69"/>
      <c r="M2325" s="66">
        <f t="shared" ca="1" si="72"/>
        <v>152</v>
      </c>
    </row>
    <row r="2326" spans="1:13" ht="30">
      <c r="A2326" s="64" t="s">
        <v>500</v>
      </c>
      <c r="B2326" s="98" t="e">
        <f>VLOOKUP([2]!Table27[[#This Row],[Location 
(drop-down)]],'[2]List source'!D$2:E$59,2,FALSE)</f>
        <v>#VALUE!</v>
      </c>
      <c r="C2326" s="99" t="s">
        <v>6333</v>
      </c>
      <c r="D2326" s="100" t="e">
        <f t="shared" si="73"/>
        <v>#VALUE!</v>
      </c>
      <c r="E2326" s="64" t="s">
        <v>6334</v>
      </c>
      <c r="F2326" s="66" t="s">
        <v>1520</v>
      </c>
      <c r="G23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6" s="110" t="s">
        <v>2791</v>
      </c>
      <c r="I2326" s="67">
        <v>45926</v>
      </c>
      <c r="J2326" s="67" t="s">
        <v>310</v>
      </c>
      <c r="K2326" s="68">
        <v>45958</v>
      </c>
      <c r="L2326" s="69"/>
      <c r="M2326" s="66" t="str">
        <f t="shared" ca="1" si="72"/>
        <v>CLOSED</v>
      </c>
    </row>
    <row r="2327" spans="1:13" ht="30">
      <c r="A2327" s="64" t="s">
        <v>500</v>
      </c>
      <c r="B2327" s="98" t="e">
        <f>VLOOKUP([2]!Table27[[#This Row],[Location 
(drop-down)]],'[2]List source'!D$2:E$59,2,FALSE)</f>
        <v>#VALUE!</v>
      </c>
      <c r="C2327" s="99" t="s">
        <v>6335</v>
      </c>
      <c r="D2327" s="100" t="e">
        <f t="shared" si="73"/>
        <v>#VALUE!</v>
      </c>
      <c r="E2327" s="64" t="s">
        <v>6336</v>
      </c>
      <c r="F2327" s="66" t="s">
        <v>1520</v>
      </c>
      <c r="G23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7" s="66">
        <v>4.4000000000000004</v>
      </c>
      <c r="I2327" s="67">
        <v>45926</v>
      </c>
      <c r="J2327" s="67" t="s">
        <v>310</v>
      </c>
      <c r="K2327" s="68">
        <v>45954</v>
      </c>
      <c r="L2327" s="69"/>
      <c r="M2327" s="66" t="str">
        <f t="shared" ca="1" si="72"/>
        <v>CLOSED</v>
      </c>
    </row>
    <row r="2328" spans="1:13" ht="30">
      <c r="A2328" s="64" t="s">
        <v>114</v>
      </c>
      <c r="B2328" s="98" t="e">
        <f>VLOOKUP([2]!Table27[[#This Row],[Location 
(drop-down)]],'[2]List source'!D$2:E$59,2,FALSE)</f>
        <v>#VALUE!</v>
      </c>
      <c r="C2328" s="99" t="s">
        <v>6337</v>
      </c>
      <c r="D2328" s="100" t="e">
        <f t="shared" si="73"/>
        <v>#VALUE!</v>
      </c>
      <c r="E2328" s="64" t="s">
        <v>6338</v>
      </c>
      <c r="F2328" s="66" t="s">
        <v>1520</v>
      </c>
      <c r="G23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8" s="110">
        <v>10.119999999999999</v>
      </c>
      <c r="I2328" s="67">
        <v>45926</v>
      </c>
      <c r="J2328" s="67" t="s">
        <v>69</v>
      </c>
      <c r="K2328" s="68">
        <v>46052</v>
      </c>
      <c r="L2328" s="69"/>
      <c r="M2328" s="66" t="str">
        <f t="shared" ca="1" si="72"/>
        <v>CLOSED</v>
      </c>
    </row>
    <row r="2329" spans="1:13" ht="30">
      <c r="A2329" s="64" t="s">
        <v>358</v>
      </c>
      <c r="B2329" s="98" t="e">
        <f>VLOOKUP([2]!Table27[[#This Row],[Location 
(drop-down)]],'[2]List source'!D$2:E$59,2,FALSE)</f>
        <v>#VALUE!</v>
      </c>
      <c r="C2329" s="99" t="s">
        <v>6339</v>
      </c>
      <c r="D2329" s="100" t="e">
        <f t="shared" si="73"/>
        <v>#VALUE!</v>
      </c>
      <c r="E2329" s="64" t="s">
        <v>6340</v>
      </c>
      <c r="F2329" s="66" t="s">
        <v>1520</v>
      </c>
      <c r="G23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29" s="110" t="s">
        <v>3415</v>
      </c>
      <c r="I2329" s="67">
        <v>45926</v>
      </c>
      <c r="J2329" s="67" t="s">
        <v>310</v>
      </c>
      <c r="K2329" s="68">
        <v>45951</v>
      </c>
      <c r="L2329" s="69"/>
      <c r="M2329" s="66" t="str">
        <f t="shared" ca="1" si="72"/>
        <v>CLOSED</v>
      </c>
    </row>
    <row r="2330" spans="1:13" ht="30">
      <c r="A2330" s="64" t="s">
        <v>358</v>
      </c>
      <c r="B2330" s="98" t="e">
        <f>VLOOKUP([2]!Table27[[#This Row],[Location 
(drop-down)]],'[2]List source'!D$2:E$59,2,FALSE)</f>
        <v>#VALUE!</v>
      </c>
      <c r="C2330" s="99" t="s">
        <v>6341</v>
      </c>
      <c r="D2330" s="100" t="e">
        <f t="shared" si="73"/>
        <v>#VALUE!</v>
      </c>
      <c r="E2330" s="64" t="s">
        <v>6342</v>
      </c>
      <c r="F2330" s="66" t="s">
        <v>1520</v>
      </c>
      <c r="G23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0" s="66">
        <v>2.64</v>
      </c>
      <c r="I2330" s="67">
        <v>45926</v>
      </c>
      <c r="J2330" s="67"/>
      <c r="K2330" s="68"/>
      <c r="L2330" s="69"/>
      <c r="M2330" s="66">
        <f t="shared" ca="1" si="72"/>
        <v>152</v>
      </c>
    </row>
    <row r="2331" spans="1:13" ht="90">
      <c r="A2331" s="64" t="s">
        <v>358</v>
      </c>
      <c r="B2331" s="98" t="e">
        <f>VLOOKUP([2]!Table27[[#This Row],[Location 
(drop-down)]],'[2]List source'!D$2:E$59,2,FALSE)</f>
        <v>#VALUE!</v>
      </c>
      <c r="C2331" s="99" t="s">
        <v>6343</v>
      </c>
      <c r="D2331" s="100" t="e">
        <f t="shared" si="73"/>
        <v>#VALUE!</v>
      </c>
      <c r="E2331" s="64" t="s">
        <v>6292</v>
      </c>
      <c r="F2331" s="66" t="s">
        <v>1520</v>
      </c>
      <c r="G23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1" s="110" t="s">
        <v>2117</v>
      </c>
      <c r="I2331" s="67">
        <v>45926</v>
      </c>
      <c r="J2331" s="67" t="s">
        <v>34</v>
      </c>
      <c r="K2331" s="68">
        <v>45926</v>
      </c>
      <c r="L2331" s="69" t="s">
        <v>1671</v>
      </c>
      <c r="M2331" s="66" t="str">
        <f t="shared" ca="1" si="72"/>
        <v>CLOSED</v>
      </c>
    </row>
    <row r="2332" spans="1:13" ht="90">
      <c r="A2332" s="64" t="s">
        <v>23</v>
      </c>
      <c r="B2332" s="98" t="e">
        <f>VLOOKUP([2]!Table27[[#This Row],[Location 
(drop-down)]],'[2]List source'!D$2:E$59,2,FALSE)</f>
        <v>#VALUE!</v>
      </c>
      <c r="C2332" s="99" t="s">
        <v>6344</v>
      </c>
      <c r="D2332" s="100" t="e">
        <f t="shared" si="73"/>
        <v>#VALUE!</v>
      </c>
      <c r="E2332" s="64" t="s">
        <v>6345</v>
      </c>
      <c r="F2332" s="66" t="s">
        <v>1520</v>
      </c>
      <c r="G23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2" s="66" t="s">
        <v>6346</v>
      </c>
      <c r="I2332" s="67">
        <v>45926</v>
      </c>
      <c r="J2332" s="67" t="s">
        <v>34</v>
      </c>
      <c r="K2332" s="68">
        <v>45926</v>
      </c>
      <c r="L2332" s="69" t="s">
        <v>1671</v>
      </c>
      <c r="M2332" s="66" t="str">
        <f t="shared" ca="1" si="72"/>
        <v>CLOSED</v>
      </c>
    </row>
    <row r="2333" spans="1:13" ht="30">
      <c r="A2333" s="64" t="s">
        <v>15</v>
      </c>
      <c r="B2333" s="98" t="e">
        <f>VLOOKUP([2]!Table27[[#This Row],[Location 
(drop-down)]],'[2]List source'!D$2:E$59,2,FALSE)</f>
        <v>#VALUE!</v>
      </c>
      <c r="C2333" s="99" t="s">
        <v>6347</v>
      </c>
      <c r="D2333" s="100" t="e">
        <f t="shared" si="73"/>
        <v>#VALUE!</v>
      </c>
      <c r="E2333" s="64" t="s">
        <v>6348</v>
      </c>
      <c r="F2333" s="66" t="s">
        <v>3068</v>
      </c>
      <c r="G23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3" s="110">
        <v>12.27</v>
      </c>
      <c r="I2333" s="67">
        <v>45926</v>
      </c>
      <c r="J2333" s="67"/>
      <c r="K2333" s="68"/>
      <c r="L2333" s="69"/>
      <c r="M2333" s="66">
        <f t="shared" ca="1" si="72"/>
        <v>152</v>
      </c>
    </row>
    <row r="2334" spans="1:13" ht="90">
      <c r="A2334" s="64" t="s">
        <v>114</v>
      </c>
      <c r="B2334" s="98" t="e">
        <f>VLOOKUP([2]!Table27[[#This Row],[Location 
(drop-down)]],'[2]List source'!D$2:E$59,2,FALSE)</f>
        <v>#VALUE!</v>
      </c>
      <c r="C2334" s="99" t="s">
        <v>6349</v>
      </c>
      <c r="D2334" s="100" t="e">
        <f t="shared" si="73"/>
        <v>#VALUE!</v>
      </c>
      <c r="E2334" s="64" t="s">
        <v>6350</v>
      </c>
      <c r="F2334" s="66" t="s">
        <v>2279</v>
      </c>
      <c r="G23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4" s="110" t="s">
        <v>5255</v>
      </c>
      <c r="I2334" s="67">
        <v>45926</v>
      </c>
      <c r="J2334" s="67" t="s">
        <v>34</v>
      </c>
      <c r="K2334" s="68">
        <v>45926</v>
      </c>
      <c r="L2334" s="69" t="s">
        <v>1671</v>
      </c>
      <c r="M2334" s="66" t="str">
        <f t="shared" ca="1" si="72"/>
        <v>CLOSED</v>
      </c>
    </row>
    <row r="2335" spans="1:13" ht="30">
      <c r="A2335" s="64" t="s">
        <v>15</v>
      </c>
      <c r="B2335" s="98" t="e">
        <f>VLOOKUP([2]!Table27[[#This Row],[Location 
(drop-down)]],'[2]List source'!D$2:E$59,2,FALSE)</f>
        <v>#VALUE!</v>
      </c>
      <c r="C2335" s="99" t="s">
        <v>6351</v>
      </c>
      <c r="D2335" s="100" t="e">
        <f t="shared" si="73"/>
        <v>#VALUE!</v>
      </c>
      <c r="E2335" s="64" t="s">
        <v>6352</v>
      </c>
      <c r="F2335" s="66" t="s">
        <v>2279</v>
      </c>
      <c r="G233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5" s="110" t="s">
        <v>6353</v>
      </c>
      <c r="I2335" s="67">
        <v>45926</v>
      </c>
      <c r="J2335" s="67"/>
      <c r="K2335" s="68"/>
      <c r="L2335" s="69"/>
      <c r="M2335" s="66">
        <f t="shared" ref="M2335:M2398" ca="1" si="74">IF(ISBLANK(K2335), TODAY()-(I2335), "CLOSED")</f>
        <v>152</v>
      </c>
    </row>
    <row r="2336" spans="1:13" ht="90">
      <c r="A2336" s="64" t="s">
        <v>15</v>
      </c>
      <c r="B2336" s="98" t="e">
        <f>VLOOKUP([2]!Table27[[#This Row],[Location 
(drop-down)]],'[2]List source'!D$2:E$59,2,FALSE)</f>
        <v>#VALUE!</v>
      </c>
      <c r="C2336" s="99" t="s">
        <v>6354</v>
      </c>
      <c r="D2336" s="100" t="e">
        <f t="shared" si="73"/>
        <v>#VALUE!</v>
      </c>
      <c r="E2336" s="64" t="s">
        <v>6355</v>
      </c>
      <c r="F2336" s="66" t="s">
        <v>2279</v>
      </c>
      <c r="G23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6" s="66">
        <v>2.41</v>
      </c>
      <c r="I2336" s="67">
        <v>45926</v>
      </c>
      <c r="J2336" s="67" t="s">
        <v>34</v>
      </c>
      <c r="K2336" s="68">
        <v>45926</v>
      </c>
      <c r="L2336" s="69" t="s">
        <v>1671</v>
      </c>
      <c r="M2336" s="66" t="str">
        <f t="shared" ca="1" si="74"/>
        <v>CLOSED</v>
      </c>
    </row>
    <row r="2337" spans="1:13" ht="90">
      <c r="A2337" s="64" t="s">
        <v>399</v>
      </c>
      <c r="B2337" s="98" t="e">
        <f>VLOOKUP([2]!Table27[[#This Row],[Location 
(drop-down)]],'[2]List source'!D$2:E$59,2,FALSE)</f>
        <v>#VALUE!</v>
      </c>
      <c r="C2337" s="99" t="s">
        <v>6356</v>
      </c>
      <c r="D2337" s="100" t="e">
        <f t="shared" si="73"/>
        <v>#VALUE!</v>
      </c>
      <c r="E2337" s="64" t="s">
        <v>6357</v>
      </c>
      <c r="F2337" s="66" t="s">
        <v>2279</v>
      </c>
      <c r="G23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7" s="66" t="s">
        <v>6358</v>
      </c>
      <c r="I2337" s="67">
        <v>45926</v>
      </c>
      <c r="J2337" s="67" t="s">
        <v>34</v>
      </c>
      <c r="K2337" s="68">
        <v>45926</v>
      </c>
      <c r="L2337" s="69" t="s">
        <v>1671</v>
      </c>
      <c r="M2337" s="66" t="str">
        <f t="shared" ca="1" si="74"/>
        <v>CLOSED</v>
      </c>
    </row>
    <row r="2338" spans="1:13" ht="45">
      <c r="A2338" s="64" t="s">
        <v>294</v>
      </c>
      <c r="B2338" s="98" t="e">
        <f>VLOOKUP([2]!Table27[[#This Row],[Location 
(drop-down)]],'[2]List source'!D$2:E$59,2,FALSE)</f>
        <v>#VALUE!</v>
      </c>
      <c r="C2338" s="99" t="s">
        <v>6359</v>
      </c>
      <c r="D2338" s="100" t="e">
        <f t="shared" si="73"/>
        <v>#VALUE!</v>
      </c>
      <c r="E2338" s="64" t="s">
        <v>6360</v>
      </c>
      <c r="F2338" s="66" t="s">
        <v>1524</v>
      </c>
      <c r="G23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8" s="110" t="s">
        <v>6361</v>
      </c>
      <c r="I2338" s="67">
        <v>45926</v>
      </c>
      <c r="J2338" s="67"/>
      <c r="K2338" s="68"/>
      <c r="L2338" s="147"/>
      <c r="M2338" s="66">
        <f t="shared" ca="1" si="74"/>
        <v>152</v>
      </c>
    </row>
    <row r="2339" spans="1:13" ht="90">
      <c r="A2339" s="64" t="s">
        <v>73</v>
      </c>
      <c r="B2339" s="98" t="e">
        <f>VLOOKUP([2]!Table27[[#This Row],[Location 
(drop-down)]],'[2]List source'!D$2:E$59,2,FALSE)</f>
        <v>#VALUE!</v>
      </c>
      <c r="C2339" s="99" t="s">
        <v>6362</v>
      </c>
      <c r="D2339" s="100" t="e">
        <f t="shared" si="73"/>
        <v>#VALUE!</v>
      </c>
      <c r="E2339" s="64" t="s">
        <v>6363</v>
      </c>
      <c r="F2339" s="66" t="s">
        <v>1524</v>
      </c>
      <c r="G23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39" s="66">
        <v>2.17</v>
      </c>
      <c r="I2339" s="67">
        <v>45926</v>
      </c>
      <c r="J2339" s="67" t="s">
        <v>34</v>
      </c>
      <c r="K2339" s="68">
        <v>45926</v>
      </c>
      <c r="L2339" s="69" t="s">
        <v>1671</v>
      </c>
      <c r="M2339" s="66" t="str">
        <f t="shared" ca="1" si="74"/>
        <v>CLOSED</v>
      </c>
    </row>
    <row r="2340" spans="1:13" ht="45">
      <c r="A2340" s="64" t="s">
        <v>156</v>
      </c>
      <c r="B2340" s="98" t="e">
        <f>VLOOKUP([2]!Table27[[#This Row],[Location 
(drop-down)]],'[2]List source'!D$2:E$59,2,FALSE)</f>
        <v>#VALUE!</v>
      </c>
      <c r="C2340" s="99" t="s">
        <v>6364</v>
      </c>
      <c r="D2340" s="100" t="e">
        <f t="shared" si="73"/>
        <v>#VALUE!</v>
      </c>
      <c r="E2340" s="64" t="s">
        <v>6365</v>
      </c>
      <c r="F2340" s="66" t="s">
        <v>6138</v>
      </c>
      <c r="G23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0" s="110" t="s">
        <v>6366</v>
      </c>
      <c r="I2340" s="67">
        <v>45930</v>
      </c>
      <c r="J2340" s="67" t="s">
        <v>29</v>
      </c>
      <c r="K2340" s="68">
        <v>45953</v>
      </c>
      <c r="L2340" s="69"/>
      <c r="M2340" s="66" t="str">
        <f t="shared" ca="1" si="74"/>
        <v>CLOSED</v>
      </c>
    </row>
    <row r="2341" spans="1:13" ht="30">
      <c r="A2341" s="64" t="s">
        <v>1334</v>
      </c>
      <c r="B2341" s="98" t="e">
        <f>VLOOKUP([2]!Table27[[#This Row],[Location 
(drop-down)]],'[2]List source'!D$2:E$59,2,FALSE)</f>
        <v>#VALUE!</v>
      </c>
      <c r="C2341" s="99" t="s">
        <v>6367</v>
      </c>
      <c r="D2341" s="100" t="e">
        <f t="shared" si="73"/>
        <v>#VALUE!</v>
      </c>
      <c r="E2341" s="64" t="s">
        <v>6368</v>
      </c>
      <c r="F2341" s="66" t="s">
        <v>6138</v>
      </c>
      <c r="G23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1" s="110" t="s">
        <v>6369</v>
      </c>
      <c r="I2341" s="67">
        <v>45930</v>
      </c>
      <c r="J2341" s="67" t="s">
        <v>310</v>
      </c>
      <c r="K2341" s="68">
        <v>45943</v>
      </c>
      <c r="L2341" s="69"/>
      <c r="M2341" s="66" t="str">
        <f t="shared" ca="1" si="74"/>
        <v>CLOSED</v>
      </c>
    </row>
    <row r="2342" spans="1:13" ht="90">
      <c r="A2342" s="64" t="s">
        <v>591</v>
      </c>
      <c r="B2342" s="98" t="e">
        <f>VLOOKUP([2]!Table27[[#This Row],[Location 
(drop-down)]],'[2]List source'!D$2:E$59,2,FALSE)</f>
        <v>#VALUE!</v>
      </c>
      <c r="C2342" s="99" t="s">
        <v>6370</v>
      </c>
      <c r="D2342" s="100" t="e">
        <f t="shared" si="73"/>
        <v>#VALUE!</v>
      </c>
      <c r="E2342" s="64" t="s">
        <v>6371</v>
      </c>
      <c r="F2342" s="66" t="s">
        <v>6138</v>
      </c>
      <c r="G23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2" s="66" t="s">
        <v>6372</v>
      </c>
      <c r="I2342" s="67">
        <v>45930</v>
      </c>
      <c r="J2342" s="67" t="s">
        <v>34</v>
      </c>
      <c r="K2342" s="68">
        <v>45930</v>
      </c>
      <c r="L2342" s="69" t="s">
        <v>1671</v>
      </c>
      <c r="M2342" s="66" t="str">
        <f t="shared" ca="1" si="74"/>
        <v>CLOSED</v>
      </c>
    </row>
    <row r="2343" spans="1:13" ht="30">
      <c r="A2343" s="64" t="s">
        <v>591</v>
      </c>
      <c r="B2343" s="98" t="e">
        <f>VLOOKUP([2]!Table27[[#This Row],[Location 
(drop-down)]],'[2]List source'!D$2:E$59,2,FALSE)</f>
        <v>#VALUE!</v>
      </c>
      <c r="C2343" s="99" t="s">
        <v>6373</v>
      </c>
      <c r="D2343" s="100" t="e">
        <f t="shared" si="73"/>
        <v>#VALUE!</v>
      </c>
      <c r="E2343" s="64" t="s">
        <v>6374</v>
      </c>
      <c r="F2343" s="66" t="s">
        <v>6138</v>
      </c>
      <c r="G23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3" s="110" t="s">
        <v>4690</v>
      </c>
      <c r="I2343" s="67">
        <v>45930</v>
      </c>
      <c r="J2343" s="67" t="s">
        <v>29</v>
      </c>
      <c r="K2343" s="68">
        <v>45938</v>
      </c>
      <c r="L2343" s="69"/>
      <c r="M2343" s="66" t="str">
        <f t="shared" ca="1" si="74"/>
        <v>CLOSED</v>
      </c>
    </row>
    <row r="2344" spans="1:13" ht="90">
      <c r="A2344" s="64" t="s">
        <v>103</v>
      </c>
      <c r="B2344" s="98" t="e">
        <f>VLOOKUP([2]!Table27[[#This Row],[Location 
(drop-down)]],'[2]List source'!D$2:E$59,2,FALSE)</f>
        <v>#VALUE!</v>
      </c>
      <c r="C2344" s="99" t="s">
        <v>6375</v>
      </c>
      <c r="D2344" s="100" t="e">
        <f t="shared" si="73"/>
        <v>#VALUE!</v>
      </c>
      <c r="E2344" s="64" t="s">
        <v>6376</v>
      </c>
      <c r="F2344" s="66" t="s">
        <v>6138</v>
      </c>
      <c r="G23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4" s="66">
        <v>2.21</v>
      </c>
      <c r="I2344" s="67">
        <v>45930</v>
      </c>
      <c r="J2344" s="67" t="s">
        <v>34</v>
      </c>
      <c r="K2344" s="68">
        <v>45930</v>
      </c>
      <c r="L2344" s="69" t="s">
        <v>1671</v>
      </c>
      <c r="M2344" s="66" t="str">
        <f t="shared" ca="1" si="74"/>
        <v>CLOSED</v>
      </c>
    </row>
    <row r="2345" spans="1:13" ht="45">
      <c r="A2345" s="64" t="s">
        <v>311</v>
      </c>
      <c r="B2345" s="98" t="e">
        <f>VLOOKUP([2]!Table27[[#This Row],[Location 
(drop-down)]],'[2]List source'!D$2:E$59,2,FALSE)</f>
        <v>#VALUE!</v>
      </c>
      <c r="C2345" s="99" t="s">
        <v>6377</v>
      </c>
      <c r="D2345" s="100" t="e">
        <f t="shared" si="73"/>
        <v>#VALUE!</v>
      </c>
      <c r="E2345" s="64" t="s">
        <v>6378</v>
      </c>
      <c r="F2345" s="66" t="s">
        <v>6138</v>
      </c>
      <c r="G23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5" s="110" t="s">
        <v>6379</v>
      </c>
      <c r="I2345" s="67">
        <v>45930</v>
      </c>
      <c r="J2345" s="67" t="s">
        <v>34</v>
      </c>
      <c r="K2345" s="68">
        <v>45931</v>
      </c>
      <c r="L2345" s="69" t="s">
        <v>1773</v>
      </c>
      <c r="M2345" s="66" t="str">
        <f t="shared" ca="1" si="74"/>
        <v>CLOSED</v>
      </c>
    </row>
    <row r="2346" spans="1:13" ht="45">
      <c r="A2346" s="64" t="s">
        <v>80</v>
      </c>
      <c r="B2346" s="98" t="e">
        <f>VLOOKUP([2]!Table27[[#This Row],[Location 
(drop-down)]],'[2]List source'!D$2:E$59,2,FALSE)</f>
        <v>#VALUE!</v>
      </c>
      <c r="C2346" s="99" t="s">
        <v>6380</v>
      </c>
      <c r="D2346" s="100" t="e">
        <f t="shared" si="73"/>
        <v>#VALUE!</v>
      </c>
      <c r="E2346" s="64" t="s">
        <v>6381</v>
      </c>
      <c r="F2346" s="66" t="s">
        <v>6138</v>
      </c>
      <c r="G23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6" s="66">
        <v>1280.28</v>
      </c>
      <c r="I2346" s="67">
        <v>45930</v>
      </c>
      <c r="J2346" s="67" t="s">
        <v>34</v>
      </c>
      <c r="K2346" s="68">
        <v>45930</v>
      </c>
      <c r="L2346" s="69" t="s">
        <v>1505</v>
      </c>
      <c r="M2346" s="66" t="str">
        <f t="shared" ca="1" si="74"/>
        <v>CLOSED</v>
      </c>
    </row>
    <row r="2347" spans="1:13" ht="45">
      <c r="A2347" s="64" t="s">
        <v>185</v>
      </c>
      <c r="B2347" s="98" t="e">
        <f>VLOOKUP([2]!Table27[[#This Row],[Location 
(drop-down)]],'[2]List source'!D$2:E$59,2,FALSE)</f>
        <v>#VALUE!</v>
      </c>
      <c r="C2347" s="99" t="s">
        <v>6382</v>
      </c>
      <c r="D2347" s="100" t="e">
        <f t="shared" si="73"/>
        <v>#VALUE!</v>
      </c>
      <c r="E2347" s="64" t="s">
        <v>6383</v>
      </c>
      <c r="F2347" s="66" t="s">
        <v>6138</v>
      </c>
      <c r="G23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7" s="110" t="s">
        <v>6384</v>
      </c>
      <c r="I2347" s="67">
        <v>45930</v>
      </c>
      <c r="J2347" s="67" t="s">
        <v>34</v>
      </c>
      <c r="K2347" s="68">
        <v>45930</v>
      </c>
      <c r="L2347" s="69" t="s">
        <v>1773</v>
      </c>
      <c r="M2347" s="66" t="str">
        <f t="shared" ca="1" si="74"/>
        <v>CLOSED</v>
      </c>
    </row>
    <row r="2348" spans="1:13" ht="90">
      <c r="A2348" s="64" t="s">
        <v>167</v>
      </c>
      <c r="B2348" s="98" t="e">
        <f>VLOOKUP([2]!Table27[[#This Row],[Location 
(drop-down)]],'[2]List source'!D$2:E$59,2,FALSE)</f>
        <v>#VALUE!</v>
      </c>
      <c r="C2348" s="99" t="s">
        <v>6385</v>
      </c>
      <c r="D2348" s="100" t="e">
        <f t="shared" si="73"/>
        <v>#VALUE!</v>
      </c>
      <c r="E2348" s="64" t="s">
        <v>6386</v>
      </c>
      <c r="F2348" s="66" t="s">
        <v>6138</v>
      </c>
      <c r="G23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8" s="66">
        <v>2.2799999999999998</v>
      </c>
      <c r="I2348" s="67">
        <v>45930</v>
      </c>
      <c r="J2348" s="67" t="s">
        <v>34</v>
      </c>
      <c r="K2348" s="68">
        <v>45930</v>
      </c>
      <c r="L2348" s="69" t="s">
        <v>1671</v>
      </c>
      <c r="M2348" s="66" t="str">
        <f t="shared" ca="1" si="74"/>
        <v>CLOSED</v>
      </c>
    </row>
    <row r="2349" spans="1:13" ht="60">
      <c r="A2349" s="64" t="s">
        <v>500</v>
      </c>
      <c r="B2349" s="98" t="e">
        <f>VLOOKUP([2]!Table27[[#This Row],[Location 
(drop-down)]],'[2]List source'!D$2:E$59,2,FALSE)</f>
        <v>#VALUE!</v>
      </c>
      <c r="C2349" s="99" t="s">
        <v>6387</v>
      </c>
      <c r="D2349" s="100" t="e">
        <f t="shared" si="73"/>
        <v>#VALUE!</v>
      </c>
      <c r="E2349" s="64" t="s">
        <v>6388</v>
      </c>
      <c r="F2349" s="66" t="s">
        <v>6138</v>
      </c>
      <c r="G234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49" s="110" t="s">
        <v>6389</v>
      </c>
      <c r="I2349" s="67">
        <v>45930</v>
      </c>
      <c r="J2349" s="67" t="s">
        <v>310</v>
      </c>
      <c r="K2349" s="68">
        <v>45972</v>
      </c>
      <c r="L2349" s="69"/>
      <c r="M2349" s="66" t="str">
        <f t="shared" ca="1" si="74"/>
        <v>CLOSED</v>
      </c>
    </row>
    <row r="2350" spans="1:13" ht="90">
      <c r="A2350" s="64" t="s">
        <v>500</v>
      </c>
      <c r="B2350" s="98" t="e">
        <f>VLOOKUP([2]!Table27[[#This Row],[Location 
(drop-down)]],'[2]List source'!D$2:E$59,2,FALSE)</f>
        <v>#VALUE!</v>
      </c>
      <c r="C2350" s="99" t="s">
        <v>6390</v>
      </c>
      <c r="D2350" s="100" t="e">
        <f t="shared" si="73"/>
        <v>#VALUE!</v>
      </c>
      <c r="E2350" s="64" t="s">
        <v>6391</v>
      </c>
      <c r="F2350" s="66" t="s">
        <v>6138</v>
      </c>
      <c r="G23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0" s="110" t="s">
        <v>1953</v>
      </c>
      <c r="I2350" s="67">
        <v>45930</v>
      </c>
      <c r="J2350" s="67" t="s">
        <v>34</v>
      </c>
      <c r="K2350" s="68">
        <v>45930</v>
      </c>
      <c r="L2350" s="69" t="s">
        <v>1671</v>
      </c>
      <c r="M2350" s="66" t="str">
        <f t="shared" ca="1" si="74"/>
        <v>CLOSED</v>
      </c>
    </row>
    <row r="2351" spans="1:13" ht="30">
      <c r="A2351" s="64" t="s">
        <v>500</v>
      </c>
      <c r="B2351" s="98" t="e">
        <f>VLOOKUP([2]!Table27[[#This Row],[Location 
(drop-down)]],'[2]List source'!D$2:E$59,2,FALSE)</f>
        <v>#VALUE!</v>
      </c>
      <c r="C2351" s="99" t="s">
        <v>6392</v>
      </c>
      <c r="D2351" s="100" t="e">
        <f t="shared" si="73"/>
        <v>#VALUE!</v>
      </c>
      <c r="E2351" s="64" t="s">
        <v>6393</v>
      </c>
      <c r="F2351" s="66" t="s">
        <v>6138</v>
      </c>
      <c r="G23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1" s="110" t="s">
        <v>6394</v>
      </c>
      <c r="I2351" s="67">
        <v>45930</v>
      </c>
      <c r="J2351" s="67" t="s">
        <v>310</v>
      </c>
      <c r="K2351" s="68">
        <v>45980</v>
      </c>
      <c r="L2351" s="69"/>
      <c r="M2351" s="66" t="str">
        <f t="shared" ca="1" si="74"/>
        <v>CLOSED</v>
      </c>
    </row>
    <row r="2352" spans="1:13" ht="90">
      <c r="A2352" s="64" t="s">
        <v>518</v>
      </c>
      <c r="B2352" s="98" t="e">
        <f>VLOOKUP([2]!Table27[[#This Row],[Location 
(drop-down)]],'[2]List source'!D$2:E$59,2,FALSE)</f>
        <v>#VALUE!</v>
      </c>
      <c r="C2352" s="99" t="s">
        <v>6395</v>
      </c>
      <c r="D2352" s="100" t="e">
        <f t="shared" si="73"/>
        <v>#VALUE!</v>
      </c>
      <c r="E2352" s="64" t="s">
        <v>6396</v>
      </c>
      <c r="F2352" s="66" t="s">
        <v>6138</v>
      </c>
      <c r="G23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2" s="110" t="s">
        <v>6397</v>
      </c>
      <c r="I2352" s="67">
        <v>45930</v>
      </c>
      <c r="J2352" s="67" t="s">
        <v>34</v>
      </c>
      <c r="K2352" s="68">
        <v>45930</v>
      </c>
      <c r="L2352" s="69" t="s">
        <v>1671</v>
      </c>
      <c r="M2352" s="66" t="str">
        <f t="shared" ca="1" si="74"/>
        <v>CLOSED</v>
      </c>
    </row>
    <row r="2353" spans="1:13" ht="90">
      <c r="A2353" s="64" t="s">
        <v>518</v>
      </c>
      <c r="B2353" s="98" t="e">
        <f>VLOOKUP([2]!Table27[[#This Row],[Location 
(drop-down)]],'[2]List source'!D$2:E$59,2,FALSE)</f>
        <v>#VALUE!</v>
      </c>
      <c r="C2353" s="99" t="s">
        <v>6398</v>
      </c>
      <c r="D2353" s="100" t="e">
        <f t="shared" si="73"/>
        <v>#VALUE!</v>
      </c>
      <c r="E2353" s="64" t="s">
        <v>6399</v>
      </c>
      <c r="F2353" s="66" t="s">
        <v>6138</v>
      </c>
      <c r="G23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3" s="66">
        <v>2.5299999999999998</v>
      </c>
      <c r="I2353" s="67">
        <v>45930</v>
      </c>
      <c r="J2353" s="67" t="s">
        <v>34</v>
      </c>
      <c r="K2353" s="68">
        <v>45930</v>
      </c>
      <c r="L2353" s="69" t="s">
        <v>1671</v>
      </c>
      <c r="M2353" s="66" t="str">
        <f t="shared" ca="1" si="74"/>
        <v>CLOSED</v>
      </c>
    </row>
    <row r="2354" spans="1:13" ht="90">
      <c r="A2354" s="64" t="s">
        <v>139</v>
      </c>
      <c r="B2354" s="98" t="e">
        <f>VLOOKUP([2]!Table27[[#This Row],[Location 
(drop-down)]],'[2]List source'!D$2:E$59,2,FALSE)</f>
        <v>#VALUE!</v>
      </c>
      <c r="C2354" s="99" t="s">
        <v>6400</v>
      </c>
      <c r="D2354" s="100" t="e">
        <f t="shared" si="73"/>
        <v>#VALUE!</v>
      </c>
      <c r="E2354" s="64" t="s">
        <v>6399</v>
      </c>
      <c r="F2354" s="66" t="s">
        <v>6138</v>
      </c>
      <c r="G23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4" s="110" t="s">
        <v>1653</v>
      </c>
      <c r="I2354" s="67">
        <v>45930</v>
      </c>
      <c r="J2354" s="67" t="s">
        <v>34</v>
      </c>
      <c r="K2354" s="68">
        <v>45930</v>
      </c>
      <c r="L2354" s="69" t="s">
        <v>1671</v>
      </c>
      <c r="M2354" s="66" t="str">
        <f t="shared" ca="1" si="74"/>
        <v>CLOSED</v>
      </c>
    </row>
    <row r="2355" spans="1:13" ht="45">
      <c r="A2355" s="64" t="s">
        <v>125</v>
      </c>
      <c r="B2355" s="98" t="e">
        <f>VLOOKUP([2]!Table27[[#This Row],[Location 
(drop-down)]],'[2]List source'!D$2:E$59,2,FALSE)</f>
        <v>#VALUE!</v>
      </c>
      <c r="C2355" s="99" t="s">
        <v>6401</v>
      </c>
      <c r="D2355" s="100" t="e">
        <f t="shared" si="73"/>
        <v>#VALUE!</v>
      </c>
      <c r="E2355" s="64" t="s">
        <v>6402</v>
      </c>
      <c r="F2355" s="66" t="s">
        <v>2274</v>
      </c>
      <c r="G23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5" s="110" t="s">
        <v>1802</v>
      </c>
      <c r="I2355" s="67">
        <v>45954</v>
      </c>
      <c r="J2355" s="67" t="s">
        <v>34</v>
      </c>
      <c r="K2355" s="68">
        <v>45954</v>
      </c>
      <c r="L2355" s="69" t="s">
        <v>6403</v>
      </c>
      <c r="M2355" s="66" t="str">
        <f t="shared" ca="1" si="74"/>
        <v>CLOSED</v>
      </c>
    </row>
    <row r="2356" spans="1:13" ht="45">
      <c r="A2356" s="64" t="s">
        <v>125</v>
      </c>
      <c r="B2356" s="98" t="e">
        <f>VLOOKUP([2]!Table27[[#This Row],[Location 
(drop-down)]],'[2]List source'!D$2:E$59,2,FALSE)</f>
        <v>#VALUE!</v>
      </c>
      <c r="C2356" s="99" t="s">
        <v>6404</v>
      </c>
      <c r="D2356" s="100" t="e">
        <f t="shared" si="73"/>
        <v>#VALUE!</v>
      </c>
      <c r="E2356" s="64" t="s">
        <v>6405</v>
      </c>
      <c r="F2356" s="66" t="s">
        <v>2274</v>
      </c>
      <c r="G23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6" s="110">
        <v>2.2599999999999998</v>
      </c>
      <c r="I2356" s="67">
        <v>45954</v>
      </c>
      <c r="J2356" s="67" t="s">
        <v>34</v>
      </c>
      <c r="K2356" s="68">
        <v>45954</v>
      </c>
      <c r="L2356" s="69" t="s">
        <v>6403</v>
      </c>
      <c r="M2356" s="66" t="str">
        <f t="shared" ca="1" si="74"/>
        <v>CLOSED</v>
      </c>
    </row>
    <row r="2357" spans="1:13" ht="30">
      <c r="A2357" s="64" t="s">
        <v>30</v>
      </c>
      <c r="B2357" s="98" t="e">
        <f>VLOOKUP([2]!Table27[[#This Row],[Location 
(drop-down)]],'[2]List source'!D$2:E$59,2,FALSE)</f>
        <v>#VALUE!</v>
      </c>
      <c r="C2357" s="99" t="s">
        <v>6406</v>
      </c>
      <c r="D2357" s="100" t="e">
        <f t="shared" si="73"/>
        <v>#VALUE!</v>
      </c>
      <c r="E2357" s="64" t="s">
        <v>6407</v>
      </c>
      <c r="F2357" s="66" t="s">
        <v>2274</v>
      </c>
      <c r="G23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7" s="66">
        <v>2.92</v>
      </c>
      <c r="I2357" s="67">
        <v>45954</v>
      </c>
      <c r="J2357" s="67"/>
      <c r="K2357" s="68"/>
      <c r="L2357" s="69"/>
      <c r="M2357" s="66">
        <f t="shared" ca="1" si="74"/>
        <v>124</v>
      </c>
    </row>
    <row r="2358" spans="1:13" ht="30">
      <c r="A2358" s="64" t="s">
        <v>202</v>
      </c>
      <c r="B2358" s="98" t="e">
        <f>VLOOKUP([2]!Table27[[#This Row],[Location 
(drop-down)]],'[2]List source'!D$2:E$59,2,FALSE)</f>
        <v>#VALUE!</v>
      </c>
      <c r="C2358" s="99" t="s">
        <v>6408</v>
      </c>
      <c r="D2358" s="100" t="e">
        <f t="shared" si="73"/>
        <v>#VALUE!</v>
      </c>
      <c r="E2358" s="64" t="s">
        <v>6409</v>
      </c>
      <c r="F2358" s="66" t="s">
        <v>2274</v>
      </c>
      <c r="G23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8" s="110" t="s">
        <v>6410</v>
      </c>
      <c r="I2358" s="67">
        <v>45954</v>
      </c>
      <c r="J2358" s="67" t="s">
        <v>34</v>
      </c>
      <c r="K2358" s="68">
        <v>45965</v>
      </c>
      <c r="L2358" s="69" t="s">
        <v>6411</v>
      </c>
      <c r="M2358" s="66" t="str">
        <f t="shared" ca="1" si="74"/>
        <v>CLOSED</v>
      </c>
    </row>
    <row r="2359" spans="1:13" ht="30">
      <c r="A2359" s="64" t="s">
        <v>432</v>
      </c>
      <c r="B2359" s="98" t="e">
        <f>VLOOKUP([2]!Table27[[#This Row],[Location 
(drop-down)]],'[2]List source'!D$2:E$59,2,FALSE)</f>
        <v>#VALUE!</v>
      </c>
      <c r="C2359" s="99" t="s">
        <v>6412</v>
      </c>
      <c r="D2359" s="100" t="e">
        <f t="shared" si="73"/>
        <v>#VALUE!</v>
      </c>
      <c r="E2359" s="64" t="s">
        <v>6413</v>
      </c>
      <c r="F2359" s="66" t="s">
        <v>6138</v>
      </c>
      <c r="G23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59" s="110">
        <v>2.08</v>
      </c>
      <c r="I2359" s="67">
        <v>45954</v>
      </c>
      <c r="J2359" s="67"/>
      <c r="K2359" s="68"/>
      <c r="L2359" s="69"/>
      <c r="M2359" s="66">
        <f t="shared" ca="1" si="74"/>
        <v>124</v>
      </c>
    </row>
    <row r="2360" spans="1:13" ht="30">
      <c r="A2360" s="64" t="s">
        <v>591</v>
      </c>
      <c r="B2360" s="98" t="e">
        <f>VLOOKUP([2]!Table27[[#This Row],[Location 
(drop-down)]],'[2]List source'!D$2:E$59,2,FALSE)</f>
        <v>#VALUE!</v>
      </c>
      <c r="C2360" s="99" t="s">
        <v>6414</v>
      </c>
      <c r="D2360" s="100" t="e">
        <f t="shared" si="73"/>
        <v>#VALUE!</v>
      </c>
      <c r="E2360" s="64" t="s">
        <v>6415</v>
      </c>
      <c r="F2360" s="66" t="s">
        <v>6138</v>
      </c>
      <c r="G23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0" s="110" t="s">
        <v>1683</v>
      </c>
      <c r="I2360" s="67">
        <v>45954</v>
      </c>
      <c r="J2360" s="67" t="s">
        <v>34</v>
      </c>
      <c r="K2360" s="68">
        <v>45957</v>
      </c>
      <c r="L2360" s="69" t="s">
        <v>6411</v>
      </c>
      <c r="M2360" s="66" t="str">
        <f t="shared" ca="1" si="74"/>
        <v>CLOSED</v>
      </c>
    </row>
    <row r="2361" spans="1:13" ht="45">
      <c r="A2361" s="64" t="s">
        <v>103</v>
      </c>
      <c r="B2361" s="98" t="e">
        <f>VLOOKUP([2]!Table27[[#This Row],[Location 
(drop-down)]],'[2]List source'!D$2:E$59,2,FALSE)</f>
        <v>#VALUE!</v>
      </c>
      <c r="C2361" s="99" t="s">
        <v>6416</v>
      </c>
      <c r="D2361" s="100" t="e">
        <f t="shared" si="73"/>
        <v>#VALUE!</v>
      </c>
      <c r="E2361" s="64" t="s">
        <v>6417</v>
      </c>
      <c r="F2361" s="66" t="s">
        <v>6138</v>
      </c>
      <c r="G23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1" s="110" t="s">
        <v>6418</v>
      </c>
      <c r="I2361" s="67">
        <v>45954</v>
      </c>
      <c r="J2361" s="67" t="s">
        <v>34</v>
      </c>
      <c r="K2361" s="68">
        <v>46031</v>
      </c>
      <c r="L2361" s="69" t="s">
        <v>1505</v>
      </c>
      <c r="M2361" s="66" t="str">
        <f t="shared" ca="1" si="74"/>
        <v>CLOSED</v>
      </c>
    </row>
    <row r="2362" spans="1:13" ht="45">
      <c r="A2362" s="64" t="s">
        <v>103</v>
      </c>
      <c r="B2362" s="98" t="e">
        <f>VLOOKUP([2]!Table27[[#This Row],[Location 
(drop-down)]],'[2]List source'!D$2:E$59,2,FALSE)</f>
        <v>#VALUE!</v>
      </c>
      <c r="C2362" s="99" t="s">
        <v>6419</v>
      </c>
      <c r="D2362" s="100" t="e">
        <f t="shared" si="73"/>
        <v>#VALUE!</v>
      </c>
      <c r="E2362" s="64" t="s">
        <v>6420</v>
      </c>
      <c r="F2362" s="66" t="s">
        <v>6421</v>
      </c>
      <c r="G23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2" s="110">
        <v>2.48</v>
      </c>
      <c r="I2362" s="67">
        <v>45954</v>
      </c>
      <c r="J2362" s="67" t="s">
        <v>34</v>
      </c>
      <c r="K2362" s="68">
        <v>45954</v>
      </c>
      <c r="L2362" s="69" t="s">
        <v>6403</v>
      </c>
      <c r="M2362" s="66" t="str">
        <f t="shared" ca="1" si="74"/>
        <v>CLOSED</v>
      </c>
    </row>
    <row r="2363" spans="1:13" ht="30">
      <c r="A2363" s="64" t="s">
        <v>80</v>
      </c>
      <c r="B2363" s="98" t="e">
        <f>VLOOKUP([2]!Table27[[#This Row],[Location 
(drop-down)]],'[2]List source'!D$2:E$59,2,FALSE)</f>
        <v>#VALUE!</v>
      </c>
      <c r="C2363" s="99" t="s">
        <v>6422</v>
      </c>
      <c r="D2363" s="100" t="e">
        <f t="shared" si="73"/>
        <v>#VALUE!</v>
      </c>
      <c r="E2363" s="64" t="s">
        <v>6423</v>
      </c>
      <c r="F2363" s="66" t="s">
        <v>6421</v>
      </c>
      <c r="G23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3" s="110" t="s">
        <v>1877</v>
      </c>
      <c r="I2363" s="67">
        <v>45954</v>
      </c>
      <c r="J2363" s="67" t="s">
        <v>21</v>
      </c>
      <c r="K2363" s="68">
        <v>45961</v>
      </c>
      <c r="L2363" s="69" t="s">
        <v>6411</v>
      </c>
      <c r="M2363" s="66" t="str">
        <f t="shared" ca="1" si="74"/>
        <v>CLOSED</v>
      </c>
    </row>
    <row r="2364" spans="1:13" ht="30">
      <c r="A2364" s="64" t="s">
        <v>80</v>
      </c>
      <c r="B2364" s="98" t="e">
        <f>VLOOKUP([2]!Table27[[#This Row],[Location 
(drop-down)]],'[2]List source'!D$2:E$59,2,FALSE)</f>
        <v>#VALUE!</v>
      </c>
      <c r="C2364" s="99" t="s">
        <v>6424</v>
      </c>
      <c r="D2364" s="100" t="e">
        <f t="shared" si="73"/>
        <v>#VALUE!</v>
      </c>
      <c r="E2364" s="64" t="s">
        <v>6425</v>
      </c>
      <c r="F2364" s="66" t="s">
        <v>6138</v>
      </c>
      <c r="G23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4" s="110" t="s">
        <v>6426</v>
      </c>
      <c r="I2364" s="67">
        <v>45954</v>
      </c>
      <c r="J2364" s="67"/>
      <c r="K2364" s="68"/>
      <c r="L2364" s="69"/>
      <c r="M2364" s="66">
        <f t="shared" ca="1" si="74"/>
        <v>124</v>
      </c>
    </row>
    <row r="2365" spans="1:13" ht="30">
      <c r="A2365" s="64" t="s">
        <v>500</v>
      </c>
      <c r="B2365" s="98" t="e">
        <f>VLOOKUP([2]!Table27[[#This Row],[Location 
(drop-down)]],'[2]List source'!D$2:E$59,2,FALSE)</f>
        <v>#VALUE!</v>
      </c>
      <c r="C2365" s="99" t="s">
        <v>6427</v>
      </c>
      <c r="D2365" s="100" t="e">
        <f t="shared" si="73"/>
        <v>#VALUE!</v>
      </c>
      <c r="E2365" s="64" t="s">
        <v>6428</v>
      </c>
      <c r="F2365" s="66" t="s">
        <v>6138</v>
      </c>
      <c r="G23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5" s="110" t="s">
        <v>3415</v>
      </c>
      <c r="I2365" s="67">
        <v>45954</v>
      </c>
      <c r="J2365" s="67" t="s">
        <v>34</v>
      </c>
      <c r="K2365" s="68">
        <v>45973</v>
      </c>
      <c r="L2365" s="69" t="s">
        <v>6411</v>
      </c>
      <c r="M2365" s="66" t="str">
        <f t="shared" ca="1" si="74"/>
        <v>CLOSED</v>
      </c>
    </row>
    <row r="2366" spans="1:13" ht="30">
      <c r="A2366" s="64" t="s">
        <v>156</v>
      </c>
      <c r="B2366" s="98" t="e">
        <f>VLOOKUP([2]!Table27[[#This Row],[Location 
(drop-down)]],'[2]List source'!D$2:E$59,2,FALSE)</f>
        <v>#VALUE!</v>
      </c>
      <c r="C2366" s="99" t="s">
        <v>6429</v>
      </c>
      <c r="D2366" s="100" t="e">
        <f t="shared" si="73"/>
        <v>#VALUE!</v>
      </c>
      <c r="E2366" s="64" t="s">
        <v>6430</v>
      </c>
      <c r="F2366" s="66" t="e" cm="1" vm="1">
        <f t="array" aca="1" ref="F23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6" s="110" t="s">
        <v>3138</v>
      </c>
      <c r="I2366" s="67">
        <v>45954</v>
      </c>
      <c r="J2366" s="67"/>
      <c r="K2366" s="68"/>
      <c r="L2366" s="69"/>
      <c r="M2366" s="66">
        <f t="shared" ca="1" si="74"/>
        <v>124</v>
      </c>
    </row>
    <row r="2367" spans="1:13" ht="45">
      <c r="A2367" s="64" t="s">
        <v>1334</v>
      </c>
      <c r="B2367" s="98" t="e">
        <f>VLOOKUP([2]!Table27[[#This Row],[Location 
(drop-down)]],'[2]List source'!D$2:E$59,2,FALSE)</f>
        <v>#VALUE!</v>
      </c>
      <c r="C2367" s="99" t="s">
        <v>6431</v>
      </c>
      <c r="D2367" s="100" t="e">
        <f t="shared" si="73"/>
        <v>#VALUE!</v>
      </c>
      <c r="E2367" s="64" t="s">
        <v>6432</v>
      </c>
      <c r="F2367" s="66" t="e" cm="1" vm="1">
        <f t="array" aca="1" ref="F23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7" s="110" t="s">
        <v>1579</v>
      </c>
      <c r="I2367" s="67">
        <v>45954</v>
      </c>
      <c r="J2367" s="67"/>
      <c r="K2367" s="68"/>
      <c r="L2367" s="69"/>
      <c r="M2367" s="66">
        <f t="shared" ca="1" si="74"/>
        <v>124</v>
      </c>
    </row>
    <row r="2368" spans="1:13" ht="30">
      <c r="A2368" s="64" t="s">
        <v>462</v>
      </c>
      <c r="B2368" s="98" t="e">
        <f>VLOOKUP([2]!Table27[[#This Row],[Location 
(drop-down)]],'[2]List source'!D$2:E$59,2,FALSE)</f>
        <v>#VALUE!</v>
      </c>
      <c r="C2368" s="99" t="s">
        <v>6433</v>
      </c>
      <c r="D2368" s="100" t="e">
        <f t="shared" si="73"/>
        <v>#VALUE!</v>
      </c>
      <c r="E2368" s="64" t="s">
        <v>6434</v>
      </c>
      <c r="F2368" s="66" t="e" cm="1" vm="1">
        <f t="array" aca="1" ref="F23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8" s="66">
        <v>-5.14</v>
      </c>
      <c r="I2368" s="67">
        <v>45954</v>
      </c>
      <c r="J2368" s="67"/>
      <c r="K2368" s="68"/>
      <c r="L2368" s="69"/>
      <c r="M2368" s="66">
        <f t="shared" ca="1" si="74"/>
        <v>124</v>
      </c>
    </row>
    <row r="2369" spans="1:13" ht="30">
      <c r="A2369" s="64" t="s">
        <v>591</v>
      </c>
      <c r="B2369" s="98" t="e">
        <f>VLOOKUP([2]!Table27[[#This Row],[Location 
(drop-down)]],'[2]List source'!D$2:E$59,2,FALSE)</f>
        <v>#VALUE!</v>
      </c>
      <c r="C2369" s="99" t="s">
        <v>6435</v>
      </c>
      <c r="D2369" s="100" t="e">
        <f t="shared" si="73"/>
        <v>#VALUE!</v>
      </c>
      <c r="E2369" s="64" t="s">
        <v>6436</v>
      </c>
      <c r="F2369" s="66" t="e" cm="1" vm="1">
        <f t="array" aca="1" ref="F236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69" s="110">
        <v>2.08</v>
      </c>
      <c r="I2369" s="67">
        <v>45954</v>
      </c>
      <c r="J2369" s="67" t="s">
        <v>34</v>
      </c>
      <c r="K2369" s="68">
        <v>45958</v>
      </c>
      <c r="L2369" s="69" t="s">
        <v>6411</v>
      </c>
      <c r="M2369" s="66" t="str">
        <f t="shared" ca="1" si="74"/>
        <v>CLOSED</v>
      </c>
    </row>
    <row r="2370" spans="1:13" ht="30">
      <c r="A2370" s="64" t="s">
        <v>591</v>
      </c>
      <c r="B2370" s="98" t="e">
        <f>VLOOKUP([2]!Table27[[#This Row],[Location 
(drop-down)]],'[2]List source'!D$2:E$59,2,FALSE)</f>
        <v>#VALUE!</v>
      </c>
      <c r="C2370" s="99" t="s">
        <v>6437</v>
      </c>
      <c r="D2370" s="452" t="e">
        <f t="shared" ref="D2370:D2433" si="75">"PTO" &amp; C2370 &amp; "-" &amp; B2370 &amp; "-" &amp; "23"</f>
        <v>#VALUE!</v>
      </c>
      <c r="E2370" s="64" t="s">
        <v>6438</v>
      </c>
      <c r="F2370" s="66" t="e" cm="1" vm="1">
        <f t="array" aca="1" ref="F237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0" s="66">
        <v>2.73</v>
      </c>
      <c r="I2370" s="67">
        <v>45954</v>
      </c>
      <c r="J2370" s="67" t="s">
        <v>34</v>
      </c>
      <c r="K2370" s="68">
        <v>45957</v>
      </c>
      <c r="L2370" s="446" t="s">
        <v>6411</v>
      </c>
      <c r="M2370" s="66" t="str">
        <f t="shared" ca="1" si="74"/>
        <v>CLOSED</v>
      </c>
    </row>
    <row r="2371" spans="1:13" ht="45">
      <c r="A2371" s="64" t="s">
        <v>125</v>
      </c>
      <c r="B2371" s="98" t="e">
        <f>VLOOKUP([2]!Table27[[#This Row],[Location 
(drop-down)]],'[2]List source'!D$2:E$59,2,FALSE)</f>
        <v>#VALUE!</v>
      </c>
      <c r="C2371" s="99" t="s">
        <v>6439</v>
      </c>
      <c r="D2371" s="100" t="e">
        <f t="shared" si="75"/>
        <v>#VALUE!</v>
      </c>
      <c r="E2371" s="64" t="s">
        <v>6440</v>
      </c>
      <c r="F2371" s="66" t="e" cm="1" vm="1">
        <f t="array" aca="1" ref="F237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1" s="66"/>
      <c r="I2371" s="67">
        <v>45954</v>
      </c>
      <c r="J2371" s="67" t="s">
        <v>34</v>
      </c>
      <c r="K2371" s="68">
        <v>45954</v>
      </c>
      <c r="L2371" s="69" t="s">
        <v>6403</v>
      </c>
      <c r="M2371" s="66" t="str">
        <f t="shared" ca="1" si="74"/>
        <v>CLOSED</v>
      </c>
    </row>
    <row r="2372" spans="1:13" ht="30">
      <c r="A2372" s="64" t="s">
        <v>125</v>
      </c>
      <c r="B2372" s="98" t="e">
        <f>VLOOKUP([2]!Table27[[#This Row],[Location 
(drop-down)]],'[2]List source'!D$2:E$59,2,FALSE)</f>
        <v>#VALUE!</v>
      </c>
      <c r="C2372" s="99" t="s">
        <v>6441</v>
      </c>
      <c r="D2372" s="100" t="e">
        <f t="shared" si="75"/>
        <v>#VALUE!</v>
      </c>
      <c r="E2372" s="64" t="s">
        <v>6442</v>
      </c>
      <c r="F2372" s="66" t="e" cm="1" vm="1">
        <f t="array" aca="1" ref="F237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2" s="110">
        <v>2.0099999999999998</v>
      </c>
      <c r="I2372" s="67">
        <v>45954</v>
      </c>
      <c r="J2372" s="67" t="s">
        <v>34</v>
      </c>
      <c r="K2372" s="68">
        <v>45978</v>
      </c>
      <c r="L2372" s="69" t="s">
        <v>6443</v>
      </c>
      <c r="M2372" s="66" t="str">
        <f t="shared" ca="1" si="74"/>
        <v>CLOSED</v>
      </c>
    </row>
    <row r="2373" spans="1:13" ht="30">
      <c r="A2373" s="64" t="s">
        <v>125</v>
      </c>
      <c r="B2373" s="98" t="e">
        <f>VLOOKUP([2]!Table27[[#This Row],[Location 
(drop-down)]],'[2]List source'!D$2:E$59,2,FALSE)</f>
        <v>#VALUE!</v>
      </c>
      <c r="C2373" s="99" t="s">
        <v>6444</v>
      </c>
      <c r="D2373" s="100" t="e">
        <f t="shared" si="75"/>
        <v>#VALUE!</v>
      </c>
      <c r="E2373" s="64" t="s">
        <v>6445</v>
      </c>
      <c r="F2373" s="66" t="e" cm="1" vm="1">
        <f t="array" aca="1" ref="F237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3" s="66">
        <v>2.04</v>
      </c>
      <c r="I2373" s="67">
        <v>45954</v>
      </c>
      <c r="J2373" s="67" t="s">
        <v>34</v>
      </c>
      <c r="K2373" s="68">
        <v>46002</v>
      </c>
      <c r="L2373" s="69" t="s">
        <v>6411</v>
      </c>
      <c r="M2373" s="66" t="str">
        <f t="shared" ca="1" si="74"/>
        <v>CLOSED</v>
      </c>
    </row>
    <row r="2374" spans="1:13" ht="45">
      <c r="A2374" s="64" t="s">
        <v>119</v>
      </c>
      <c r="B2374" s="98" t="e">
        <f>VLOOKUP([2]!Table27[[#This Row],[Location 
(drop-down)]],'[2]List source'!D$2:E$59,2,FALSE)</f>
        <v>#VALUE!</v>
      </c>
      <c r="C2374" s="99" t="s">
        <v>6446</v>
      </c>
      <c r="D2374" s="100" t="e">
        <f t="shared" si="75"/>
        <v>#VALUE!</v>
      </c>
      <c r="E2374" s="64" t="s">
        <v>6447</v>
      </c>
      <c r="F2374" s="66" t="e" cm="1" vm="1">
        <f t="array" aca="1" ref="F237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4" s="66"/>
      <c r="I2374" s="67">
        <v>45954</v>
      </c>
      <c r="J2374" s="67" t="s">
        <v>34</v>
      </c>
      <c r="K2374" s="68">
        <v>45954</v>
      </c>
      <c r="L2374" s="69" t="s">
        <v>6403</v>
      </c>
      <c r="M2374" s="66" t="str">
        <f t="shared" ca="1" si="74"/>
        <v>CLOSED</v>
      </c>
    </row>
    <row r="2375" spans="1:13" ht="45">
      <c r="A2375" s="176" t="s">
        <v>119</v>
      </c>
      <c r="B2375" s="98" t="e">
        <f>VLOOKUP([2]!Table27[[#This Row],[Location 
(drop-down)]],'[2]List source'!D$2:E$59,2,FALSE)</f>
        <v>#VALUE!</v>
      </c>
      <c r="C2375" s="99" t="s">
        <v>6448</v>
      </c>
      <c r="D2375" s="100" t="e">
        <f t="shared" si="75"/>
        <v>#VALUE!</v>
      </c>
      <c r="E2375" s="64" t="s">
        <v>6449</v>
      </c>
      <c r="F2375" s="66" t="e" cm="1" vm="1">
        <f t="array" aca="1" ref="F237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5" s="66"/>
      <c r="I2375" s="67">
        <v>45954</v>
      </c>
      <c r="J2375" s="67" t="s">
        <v>34</v>
      </c>
      <c r="K2375" s="68">
        <v>45954</v>
      </c>
      <c r="L2375" s="69" t="s">
        <v>6403</v>
      </c>
      <c r="M2375" s="66" t="str">
        <f t="shared" ca="1" si="74"/>
        <v>CLOSED</v>
      </c>
    </row>
    <row r="2376" spans="1:13" ht="45">
      <c r="A2376" s="176" t="s">
        <v>103</v>
      </c>
      <c r="B2376" s="98" t="e">
        <f>VLOOKUP([2]!Table27[[#This Row],[Location 
(drop-down)]],'[2]List source'!D$2:E$59,2,FALSE)</f>
        <v>#VALUE!</v>
      </c>
      <c r="C2376" s="99" t="s">
        <v>6450</v>
      </c>
      <c r="D2376" s="100" t="e">
        <f t="shared" si="75"/>
        <v>#VALUE!</v>
      </c>
      <c r="E2376" s="64" t="s">
        <v>6451</v>
      </c>
      <c r="F2376" s="66" t="e" cm="1" vm="1">
        <f t="array" aca="1" ref="F237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6" s="110" t="s">
        <v>6452</v>
      </c>
      <c r="I2376" s="67">
        <v>45954</v>
      </c>
      <c r="J2376" s="67" t="s">
        <v>34</v>
      </c>
      <c r="K2376" s="68">
        <v>46030</v>
      </c>
      <c r="L2376" s="69" t="s">
        <v>1505</v>
      </c>
      <c r="M2376" s="66" t="str">
        <f t="shared" ca="1" si="74"/>
        <v>CLOSED</v>
      </c>
    </row>
    <row r="2377" spans="1:13" ht="45">
      <c r="A2377" s="176" t="s">
        <v>80</v>
      </c>
      <c r="B2377" s="98" t="e">
        <f>VLOOKUP([2]!Table27[[#This Row],[Location 
(drop-down)]],'[2]List source'!D$2:E$59,2,FALSE)</f>
        <v>#VALUE!</v>
      </c>
      <c r="C2377" s="99" t="s">
        <v>6453</v>
      </c>
      <c r="D2377" s="100" t="e">
        <f t="shared" si="75"/>
        <v>#VALUE!</v>
      </c>
      <c r="E2377" s="176" t="s">
        <v>6449</v>
      </c>
      <c r="F2377" s="66" t="e" cm="1" vm="1">
        <f t="array" aca="1" ref="F237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7" s="110"/>
      <c r="I2377" s="67">
        <v>45954</v>
      </c>
      <c r="J2377" s="67" t="s">
        <v>34</v>
      </c>
      <c r="K2377" s="68">
        <v>45954</v>
      </c>
      <c r="L2377" s="69" t="s">
        <v>6403</v>
      </c>
      <c r="M2377" s="66" t="str">
        <f t="shared" ca="1" si="74"/>
        <v>CLOSED</v>
      </c>
    </row>
    <row r="2378" spans="1:13" ht="18.75">
      <c r="A2378" s="176" t="s">
        <v>264</v>
      </c>
      <c r="B2378" s="98" t="e">
        <f>VLOOKUP([2]!Table27[[#This Row],[Location 
(drop-down)]],'[2]List source'!D$2:E$59,2,FALSE)</f>
        <v>#VALUE!</v>
      </c>
      <c r="C2378" s="99" t="s">
        <v>6454</v>
      </c>
      <c r="D2378" s="100" t="e">
        <f t="shared" si="75"/>
        <v>#VALUE!</v>
      </c>
      <c r="E2378" s="176" t="s">
        <v>6455</v>
      </c>
      <c r="F2378" s="66" t="e" cm="1" vm="1">
        <f t="array" aca="1" ref="F237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8" s="66">
        <v>2.06</v>
      </c>
      <c r="I2378" s="67">
        <v>45954</v>
      </c>
      <c r="J2378" s="67"/>
      <c r="K2378" s="68"/>
      <c r="L2378" s="69"/>
      <c r="M2378" s="66">
        <f t="shared" ca="1" si="74"/>
        <v>124</v>
      </c>
    </row>
    <row r="2379" spans="1:13" ht="45">
      <c r="A2379" s="176" t="s">
        <v>185</v>
      </c>
      <c r="B2379" s="98" t="e">
        <f>VLOOKUP([2]!Table27[[#This Row],[Location 
(drop-down)]],'[2]List source'!D$2:E$59,2,FALSE)</f>
        <v>#VALUE!</v>
      </c>
      <c r="C2379" s="99" t="s">
        <v>6456</v>
      </c>
      <c r="D2379" s="100" t="e">
        <f t="shared" si="75"/>
        <v>#VALUE!</v>
      </c>
      <c r="E2379" s="176" t="s">
        <v>6449</v>
      </c>
      <c r="F2379" s="66" t="e" cm="1" vm="1">
        <f t="array" aca="1" ref="F237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79" s="66"/>
      <c r="I2379" s="67">
        <v>45954</v>
      </c>
      <c r="J2379" s="67" t="s">
        <v>34</v>
      </c>
      <c r="K2379" s="68">
        <v>45954</v>
      </c>
      <c r="L2379" s="69" t="s">
        <v>6403</v>
      </c>
      <c r="M2379" s="66" t="str">
        <f t="shared" ca="1" si="74"/>
        <v>CLOSED</v>
      </c>
    </row>
    <row r="2380" spans="1:13" ht="45">
      <c r="A2380" s="176" t="s">
        <v>314</v>
      </c>
      <c r="B2380" s="98" t="e">
        <f>VLOOKUP([2]!Table27[[#This Row],[Location 
(drop-down)]],'[2]List source'!D$2:E$59,2,FALSE)</f>
        <v>#VALUE!</v>
      </c>
      <c r="C2380" s="99" t="s">
        <v>6457</v>
      </c>
      <c r="D2380" s="100" t="e">
        <f t="shared" si="75"/>
        <v>#VALUE!</v>
      </c>
      <c r="E2380" s="64" t="s">
        <v>6458</v>
      </c>
      <c r="F2380" s="66" t="e" cm="1" vm="1">
        <f t="array" aca="1" ref="F238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0" s="66"/>
      <c r="I2380" s="67">
        <v>45954</v>
      </c>
      <c r="J2380" s="67" t="s">
        <v>34</v>
      </c>
      <c r="K2380" s="68">
        <v>45954</v>
      </c>
      <c r="L2380" s="69" t="s">
        <v>6403</v>
      </c>
      <c r="M2380" s="66" t="str">
        <f t="shared" ca="1" si="74"/>
        <v>CLOSED</v>
      </c>
    </row>
    <row r="2381" spans="1:13" ht="30">
      <c r="A2381" s="176" t="s">
        <v>294</v>
      </c>
      <c r="B2381" s="98" t="e">
        <f>VLOOKUP([2]!Table27[[#This Row],[Location 
(drop-down)]],'[2]List source'!D$2:E$59,2,FALSE)</f>
        <v>#VALUE!</v>
      </c>
      <c r="C2381" s="99" t="s">
        <v>6459</v>
      </c>
      <c r="D2381" s="100" t="e">
        <f t="shared" si="75"/>
        <v>#VALUE!</v>
      </c>
      <c r="E2381" s="64" t="s">
        <v>6460</v>
      </c>
      <c r="F2381" s="66" t="e" cm="1" vm="1">
        <f t="array" aca="1" ref="F238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1" s="110" t="s">
        <v>6461</v>
      </c>
      <c r="I2381" s="67">
        <v>45954</v>
      </c>
      <c r="J2381" s="67"/>
      <c r="K2381" s="68"/>
      <c r="L2381" s="69"/>
      <c r="M2381" s="66">
        <f t="shared" ca="1" si="74"/>
        <v>124</v>
      </c>
    </row>
    <row r="2382" spans="1:13" ht="45">
      <c r="A2382" s="64" t="s">
        <v>73</v>
      </c>
      <c r="B2382" s="98" t="e">
        <f>VLOOKUP([2]!Table27[[#This Row],[Location 
(drop-down)]],'[2]List source'!D$2:E$59,2,FALSE)</f>
        <v>#VALUE!</v>
      </c>
      <c r="C2382" s="99" t="s">
        <v>6462</v>
      </c>
      <c r="D2382" s="100" t="e">
        <f t="shared" si="75"/>
        <v>#VALUE!</v>
      </c>
      <c r="E2382" s="64" t="s">
        <v>6463</v>
      </c>
      <c r="F2382" s="66" t="e" cm="1" vm="1">
        <f t="array" aca="1" ref="F238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2" s="110" t="s">
        <v>6464</v>
      </c>
      <c r="I2382" s="67">
        <v>45954</v>
      </c>
      <c r="J2382" s="67" t="s">
        <v>327</v>
      </c>
      <c r="K2382" s="68">
        <v>46058</v>
      </c>
      <c r="L2382" s="69"/>
      <c r="M2382" s="66" t="str">
        <f t="shared" ca="1" si="74"/>
        <v>CLOSED</v>
      </c>
    </row>
    <row r="2383" spans="1:13" ht="45">
      <c r="A2383" s="64" t="s">
        <v>73</v>
      </c>
      <c r="B2383" s="98" t="e">
        <f>VLOOKUP([2]!Table27[[#This Row],[Location 
(drop-down)]],'[2]List source'!D$2:E$59,2,FALSE)</f>
        <v>#VALUE!</v>
      </c>
      <c r="C2383" s="99" t="s">
        <v>6465</v>
      </c>
      <c r="D2383" s="100" t="e">
        <f t="shared" si="75"/>
        <v>#VALUE!</v>
      </c>
      <c r="E2383" s="64" t="s">
        <v>6466</v>
      </c>
      <c r="F2383" s="66" t="e" cm="1" vm="1">
        <f t="array" aca="1" ref="F238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3" s="110" t="s">
        <v>6467</v>
      </c>
      <c r="I2383" s="67">
        <v>45954</v>
      </c>
      <c r="J2383" s="67" t="s">
        <v>34</v>
      </c>
      <c r="K2383" s="68">
        <v>45981</v>
      </c>
      <c r="L2383" s="69" t="s">
        <v>1505</v>
      </c>
      <c r="M2383" s="66" t="str">
        <f t="shared" ca="1" si="74"/>
        <v>CLOSED</v>
      </c>
    </row>
    <row r="2384" spans="1:13" ht="45">
      <c r="A2384" s="64" t="s">
        <v>485</v>
      </c>
      <c r="B2384" s="98" t="e">
        <f>VLOOKUP([2]!Table27[[#This Row],[Location 
(drop-down)]],'[2]List source'!D$2:E$59,2,FALSE)</f>
        <v>#VALUE!</v>
      </c>
      <c r="C2384" s="99" t="s">
        <v>6468</v>
      </c>
      <c r="D2384" s="100" t="e">
        <f t="shared" si="75"/>
        <v>#VALUE!</v>
      </c>
      <c r="E2384" s="64" t="s">
        <v>6469</v>
      </c>
      <c r="F2384" s="66" t="e" cm="1" vm="1">
        <f t="array" aca="1" ref="F238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4" s="110" t="s">
        <v>2308</v>
      </c>
      <c r="I2384" s="67">
        <v>45954</v>
      </c>
      <c r="J2384" s="67" t="s">
        <v>34</v>
      </c>
      <c r="K2384" s="68">
        <v>46043</v>
      </c>
      <c r="L2384" s="69" t="s">
        <v>1505</v>
      </c>
      <c r="M2384" s="66" t="str">
        <f t="shared" ca="1" si="74"/>
        <v>CLOSED</v>
      </c>
    </row>
    <row r="2385" spans="1:13" ht="45">
      <c r="A2385" s="64" t="s">
        <v>485</v>
      </c>
      <c r="B2385" s="98" t="e">
        <f>VLOOKUP([2]!Table27[[#This Row],[Location 
(drop-down)]],'[2]List source'!D$2:E$59,2,FALSE)</f>
        <v>#VALUE!</v>
      </c>
      <c r="C2385" s="99" t="s">
        <v>6470</v>
      </c>
      <c r="D2385" s="100" t="e">
        <f t="shared" si="75"/>
        <v>#VALUE!</v>
      </c>
      <c r="E2385" s="64" t="s">
        <v>6471</v>
      </c>
      <c r="F2385" s="66" t="e" cm="1" vm="1">
        <f t="array" aca="1" ref="F238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5" s="110" t="s">
        <v>6472</v>
      </c>
      <c r="I2385" s="67">
        <v>45954</v>
      </c>
      <c r="J2385" s="67" t="s">
        <v>34</v>
      </c>
      <c r="K2385" s="68">
        <v>46043</v>
      </c>
      <c r="L2385" s="69" t="s">
        <v>1505</v>
      </c>
      <c r="M2385" s="66" t="str">
        <f t="shared" ca="1" si="74"/>
        <v>CLOSED</v>
      </c>
    </row>
    <row r="2386" spans="1:13" ht="30">
      <c r="A2386" s="64" t="s">
        <v>485</v>
      </c>
      <c r="B2386" s="98" t="e">
        <f>VLOOKUP([2]!Table27[[#This Row],[Location 
(drop-down)]],'[2]List source'!D$2:E$59,2,FALSE)</f>
        <v>#VALUE!</v>
      </c>
      <c r="C2386" s="99" t="s">
        <v>6473</v>
      </c>
      <c r="D2386" s="100" t="e">
        <f t="shared" si="75"/>
        <v>#VALUE!</v>
      </c>
      <c r="E2386" s="64" t="s">
        <v>6474</v>
      </c>
      <c r="F2386" s="66" t="e" cm="1" vm="1">
        <f t="array" aca="1" ref="F238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6" s="66">
        <v>2.85</v>
      </c>
      <c r="I2386" s="67">
        <v>45954</v>
      </c>
      <c r="J2386" s="67" t="s">
        <v>34</v>
      </c>
      <c r="K2386" s="68">
        <v>45959</v>
      </c>
      <c r="L2386" s="69" t="s">
        <v>6443</v>
      </c>
      <c r="M2386" s="66" t="str">
        <f t="shared" ca="1" si="74"/>
        <v>CLOSED</v>
      </c>
    </row>
    <row r="2387" spans="1:13" ht="30">
      <c r="A2387" s="64" t="s">
        <v>485</v>
      </c>
      <c r="B2387" s="98" t="e">
        <f>VLOOKUP([2]!Table27[[#This Row],[Location 
(drop-down)]],'[2]List source'!D$2:E$59,2,FALSE)</f>
        <v>#VALUE!</v>
      </c>
      <c r="C2387" s="99" t="s">
        <v>6475</v>
      </c>
      <c r="D2387" s="452" t="e">
        <f t="shared" si="75"/>
        <v>#VALUE!</v>
      </c>
      <c r="E2387" s="64" t="s">
        <v>6476</v>
      </c>
      <c r="F2387" s="66" t="e" cm="1" vm="1">
        <f t="array" aca="1" ref="F238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7" s="110" t="s">
        <v>2533</v>
      </c>
      <c r="I2387" s="67">
        <v>45954</v>
      </c>
      <c r="J2387" s="67" t="s">
        <v>34</v>
      </c>
      <c r="K2387" s="68">
        <v>45959</v>
      </c>
      <c r="L2387" s="446" t="s">
        <v>6443</v>
      </c>
      <c r="M2387" s="66" t="str">
        <f t="shared" ca="1" si="74"/>
        <v>CLOSED</v>
      </c>
    </row>
    <row r="2388" spans="1:13" ht="45">
      <c r="A2388" s="64" t="s">
        <v>500</v>
      </c>
      <c r="B2388" s="98" t="e">
        <f>VLOOKUP([2]!Table27[[#This Row],[Location 
(drop-down)]],'[2]List source'!D$2:E$59,2,FALSE)</f>
        <v>#VALUE!</v>
      </c>
      <c r="C2388" s="99" t="s">
        <v>6477</v>
      </c>
      <c r="D2388" s="100" t="e">
        <f t="shared" si="75"/>
        <v>#VALUE!</v>
      </c>
      <c r="E2388" s="64" t="s">
        <v>6478</v>
      </c>
      <c r="F2388" s="66" t="e" cm="1" vm="1">
        <f t="array" aca="1" ref="F238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8" s="110" t="s">
        <v>6479</v>
      </c>
      <c r="I2388" s="67">
        <v>45954</v>
      </c>
      <c r="J2388" s="67" t="s">
        <v>310</v>
      </c>
      <c r="K2388" s="68">
        <v>45980</v>
      </c>
      <c r="L2388" s="457"/>
      <c r="M2388" s="66" t="str">
        <f t="shared" ca="1" si="74"/>
        <v>CLOSED</v>
      </c>
    </row>
    <row r="2389" spans="1:13" ht="45">
      <c r="A2389" s="64" t="s">
        <v>500</v>
      </c>
      <c r="B2389" s="98" t="e">
        <f>VLOOKUP([2]!Table27[[#This Row],[Location 
(drop-down)]],'[2]List source'!D$2:E$59,2,FALSE)</f>
        <v>#VALUE!</v>
      </c>
      <c r="C2389" s="99" t="s">
        <v>6480</v>
      </c>
      <c r="D2389" s="100" t="e">
        <f t="shared" si="75"/>
        <v>#VALUE!</v>
      </c>
      <c r="E2389" s="64" t="s">
        <v>6481</v>
      </c>
      <c r="F2389" s="66" t="e" cm="1" vm="1">
        <f t="array" aca="1" ref="F238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89" s="66" t="s">
        <v>1579</v>
      </c>
      <c r="I2389" s="67">
        <v>45954</v>
      </c>
      <c r="J2389" s="67" t="s">
        <v>34</v>
      </c>
      <c r="K2389" s="68">
        <v>45980</v>
      </c>
      <c r="L2389" s="69" t="s">
        <v>6443</v>
      </c>
      <c r="M2389" s="66" t="str">
        <f t="shared" ca="1" si="74"/>
        <v>CLOSED</v>
      </c>
    </row>
    <row r="2390" spans="1:13" ht="45">
      <c r="A2390" s="64" t="s">
        <v>518</v>
      </c>
      <c r="B2390" s="98" t="e">
        <f>VLOOKUP([2]!Table27[[#This Row],[Location 
(drop-down)]],'[2]List source'!D$2:E$59,2,FALSE)</f>
        <v>#VALUE!</v>
      </c>
      <c r="C2390" s="99" t="s">
        <v>6482</v>
      </c>
      <c r="D2390" s="100" t="e">
        <f t="shared" si="75"/>
        <v>#VALUE!</v>
      </c>
      <c r="E2390" s="64" t="s">
        <v>6483</v>
      </c>
      <c r="F2390" s="66" t="e" cm="1" vm="1">
        <f t="array" aca="1" ref="F239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0" s="66" t="s">
        <v>6484</v>
      </c>
      <c r="I2390" s="67">
        <v>45954</v>
      </c>
      <c r="J2390" s="67" t="s">
        <v>34</v>
      </c>
      <c r="K2390" s="68">
        <v>45960</v>
      </c>
      <c r="L2390" s="69" t="s">
        <v>6443</v>
      </c>
      <c r="M2390" s="66" t="str">
        <f t="shared" ca="1" si="74"/>
        <v>CLOSED</v>
      </c>
    </row>
    <row r="2391" spans="1:13" ht="45">
      <c r="A2391" s="64" t="s">
        <v>714</v>
      </c>
      <c r="B2391" s="98" t="e">
        <f>VLOOKUP([2]!Table27[[#This Row],[Location 
(drop-down)]],'[2]List source'!D$2:E$59,2,FALSE)</f>
        <v>#VALUE!</v>
      </c>
      <c r="C2391" s="99" t="s">
        <v>6485</v>
      </c>
      <c r="D2391" s="100" t="e">
        <f t="shared" si="75"/>
        <v>#VALUE!</v>
      </c>
      <c r="E2391" s="64" t="s">
        <v>6486</v>
      </c>
      <c r="F2391" s="66" t="e" cm="1" vm="1">
        <f t="array" aca="1" ref="F239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1" s="110"/>
      <c r="I2391" s="67">
        <v>45954</v>
      </c>
      <c r="J2391" s="67" t="s">
        <v>34</v>
      </c>
      <c r="K2391" s="68">
        <v>45954</v>
      </c>
      <c r="L2391" s="69" t="s">
        <v>6403</v>
      </c>
      <c r="M2391" s="66" t="str">
        <f t="shared" ca="1" si="74"/>
        <v>CLOSED</v>
      </c>
    </row>
    <row r="2392" spans="1:13" ht="60">
      <c r="A2392" s="64" t="s">
        <v>714</v>
      </c>
      <c r="B2392" s="98" t="e">
        <f>VLOOKUP([2]!Table27[[#This Row],[Location 
(drop-down)]],'[2]List source'!D$2:E$59,2,FALSE)</f>
        <v>#VALUE!</v>
      </c>
      <c r="C2392" s="99" t="s">
        <v>6487</v>
      </c>
      <c r="D2392" s="452" t="e">
        <f t="shared" si="75"/>
        <v>#VALUE!</v>
      </c>
      <c r="E2392" s="64" t="s">
        <v>6488</v>
      </c>
      <c r="F2392" s="66" t="e" cm="1" vm="1">
        <f t="array" aca="1" ref="F239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2" s="66">
        <v>2.4</v>
      </c>
      <c r="I2392" s="67">
        <v>45957</v>
      </c>
      <c r="J2392" s="67"/>
      <c r="K2392" s="68"/>
      <c r="L2392" s="457" t="s">
        <v>6065</v>
      </c>
      <c r="M2392" s="66">
        <f t="shared" ca="1" si="74"/>
        <v>121</v>
      </c>
    </row>
    <row r="2393" spans="1:13" ht="60">
      <c r="A2393" s="64" t="s">
        <v>714</v>
      </c>
      <c r="B2393" s="98" t="e">
        <f>VLOOKUP([2]!Table27[[#This Row],[Location 
(drop-down)]],'[2]List source'!D$2:E$59,2,FALSE)</f>
        <v>#VALUE!</v>
      </c>
      <c r="C2393" s="99" t="s">
        <v>6489</v>
      </c>
      <c r="D2393" s="452" t="e">
        <f t="shared" si="75"/>
        <v>#VALUE!</v>
      </c>
      <c r="E2393" s="64" t="s">
        <v>6490</v>
      </c>
      <c r="F2393" s="66" t="e" cm="1" vm="1">
        <f t="array" aca="1" ref="F239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3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3" s="66">
        <v>2.19</v>
      </c>
      <c r="I2393" s="67">
        <v>45957</v>
      </c>
      <c r="J2393" s="67"/>
      <c r="K2393" s="68"/>
      <c r="L2393" s="457" t="s">
        <v>6065</v>
      </c>
      <c r="M2393" s="66">
        <f t="shared" ca="1" si="74"/>
        <v>121</v>
      </c>
    </row>
    <row r="2394" spans="1:13" ht="30">
      <c r="A2394" s="64" t="s">
        <v>156</v>
      </c>
      <c r="B2394" s="98" t="e">
        <f>VLOOKUP([2]!Table27[[#This Row],[Location 
(drop-down)]],'[2]List source'!D$2:E$59,2,FALSE)</f>
        <v>#VALUE!</v>
      </c>
      <c r="C2394" s="99" t="s">
        <v>6491</v>
      </c>
      <c r="D2394" s="100" t="e">
        <f t="shared" si="75"/>
        <v>#VALUE!</v>
      </c>
      <c r="E2394" s="64" t="s">
        <v>6492</v>
      </c>
      <c r="F2394" s="66" t="s">
        <v>6138</v>
      </c>
      <c r="G23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4" s="110" t="s">
        <v>6493</v>
      </c>
      <c r="I2394" s="67">
        <v>45957</v>
      </c>
      <c r="J2394" s="67"/>
      <c r="K2394" s="68"/>
      <c r="L2394" s="69"/>
      <c r="M2394" s="66">
        <f t="shared" ca="1" si="74"/>
        <v>121</v>
      </c>
    </row>
    <row r="2395" spans="1:13" ht="30">
      <c r="A2395" s="64" t="s">
        <v>591</v>
      </c>
      <c r="B2395" s="98" t="e">
        <f>VLOOKUP([2]!Table27[[#This Row],[Location 
(drop-down)]],'[2]List source'!D$2:E$59,2,FALSE)</f>
        <v>#VALUE!</v>
      </c>
      <c r="C2395" s="99" t="s">
        <v>6494</v>
      </c>
      <c r="D2395" s="100" t="e">
        <f t="shared" si="75"/>
        <v>#VALUE!</v>
      </c>
      <c r="E2395" s="64" t="s">
        <v>6495</v>
      </c>
      <c r="F2395" s="66" t="s">
        <v>6138</v>
      </c>
      <c r="G23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5" s="66">
        <v>2.6</v>
      </c>
      <c r="I2395" s="67">
        <v>45957</v>
      </c>
      <c r="J2395" s="67" t="s">
        <v>29</v>
      </c>
      <c r="K2395" s="68">
        <v>45973</v>
      </c>
      <c r="L2395" s="69"/>
      <c r="M2395" s="66" t="str">
        <f t="shared" ca="1" si="74"/>
        <v>CLOSED</v>
      </c>
    </row>
    <row r="2396" spans="1:13" ht="30">
      <c r="A2396" s="64" t="s">
        <v>103</v>
      </c>
      <c r="B2396" s="98" t="e">
        <f>VLOOKUP([2]!Table27[[#This Row],[Location 
(drop-down)]],'[2]List source'!D$2:E$59,2,FALSE)</f>
        <v>#VALUE!</v>
      </c>
      <c r="C2396" s="99" t="s">
        <v>6496</v>
      </c>
      <c r="D2396" s="100" t="e">
        <f t="shared" si="75"/>
        <v>#VALUE!</v>
      </c>
      <c r="E2396" s="64" t="s">
        <v>6497</v>
      </c>
      <c r="F2396" s="66" t="s">
        <v>6138</v>
      </c>
      <c r="G23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6" s="110">
        <v>2.02</v>
      </c>
      <c r="I2396" s="67">
        <v>45957</v>
      </c>
      <c r="J2396" s="67" t="s">
        <v>34</v>
      </c>
      <c r="K2396" s="68">
        <v>46032</v>
      </c>
      <c r="L2396" s="69"/>
      <c r="M2396" s="66" t="str">
        <f t="shared" ca="1" si="74"/>
        <v>CLOSED</v>
      </c>
    </row>
    <row r="2397" spans="1:13" ht="45">
      <c r="A2397" s="64" t="s">
        <v>103</v>
      </c>
      <c r="B2397" s="98" t="e">
        <f>VLOOKUP([2]!Table27[[#This Row],[Location 
(drop-down)]],'[2]List source'!D$2:E$59,2,FALSE)</f>
        <v>#VALUE!</v>
      </c>
      <c r="C2397" s="99" t="s">
        <v>6498</v>
      </c>
      <c r="D2397" s="100" t="e">
        <f t="shared" si="75"/>
        <v>#VALUE!</v>
      </c>
      <c r="E2397" s="64" t="s">
        <v>6499</v>
      </c>
      <c r="F2397" s="66" t="s">
        <v>6138</v>
      </c>
      <c r="G23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7" s="66" t="s">
        <v>6500</v>
      </c>
      <c r="I2397" s="67">
        <v>45957</v>
      </c>
      <c r="J2397" s="67"/>
      <c r="K2397" s="68"/>
      <c r="L2397" s="69"/>
      <c r="M2397" s="66">
        <f t="shared" ca="1" si="74"/>
        <v>121</v>
      </c>
    </row>
    <row r="2398" spans="1:13" ht="45">
      <c r="A2398" s="64" t="s">
        <v>167</v>
      </c>
      <c r="B2398" s="98" t="e">
        <f>VLOOKUP([2]!Table27[[#This Row],[Location 
(drop-down)]],'[2]List source'!D$2:E$59,2,FALSE)</f>
        <v>#VALUE!</v>
      </c>
      <c r="C2398" s="99" t="s">
        <v>6501</v>
      </c>
      <c r="D2398" s="100" t="e">
        <f t="shared" si="75"/>
        <v>#VALUE!</v>
      </c>
      <c r="E2398" s="64" t="s">
        <v>6502</v>
      </c>
      <c r="F2398" s="66" t="s">
        <v>6138</v>
      </c>
      <c r="G23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8" s="110" t="s">
        <v>6503</v>
      </c>
      <c r="I2398" s="67">
        <v>45957</v>
      </c>
      <c r="J2398" s="67" t="s">
        <v>34</v>
      </c>
      <c r="K2398" s="68">
        <v>45965</v>
      </c>
      <c r="L2398" s="69" t="s">
        <v>6443</v>
      </c>
      <c r="M2398" s="66" t="str">
        <f t="shared" ca="1" si="74"/>
        <v>CLOSED</v>
      </c>
    </row>
    <row r="2399" spans="1:13" ht="30">
      <c r="A2399" s="64" t="s">
        <v>500</v>
      </c>
      <c r="B2399" s="98" t="e">
        <f>VLOOKUP([2]!Table27[[#This Row],[Location 
(drop-down)]],'[2]List source'!D$2:E$59,2,FALSE)</f>
        <v>#VALUE!</v>
      </c>
      <c r="C2399" s="99" t="s">
        <v>6504</v>
      </c>
      <c r="D2399" s="100" t="e">
        <f t="shared" si="75"/>
        <v>#VALUE!</v>
      </c>
      <c r="E2399" s="64" t="s">
        <v>6505</v>
      </c>
      <c r="F2399" s="66" t="s">
        <v>6138</v>
      </c>
      <c r="G23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399" s="110" t="s">
        <v>3000</v>
      </c>
      <c r="I2399" s="67">
        <v>45957</v>
      </c>
      <c r="J2399" s="67" t="s">
        <v>34</v>
      </c>
      <c r="K2399" s="68">
        <v>45972</v>
      </c>
      <c r="L2399" s="69" t="s">
        <v>6443</v>
      </c>
      <c r="M2399" s="66" t="str">
        <f t="shared" ref="M2399:M2462" ca="1" si="76">IF(ISBLANK(K2399), TODAY()-(I2399), "CLOSED")</f>
        <v>CLOSED</v>
      </c>
    </row>
    <row r="2400" spans="1:13" ht="30">
      <c r="A2400" s="64" t="s">
        <v>518</v>
      </c>
      <c r="B2400" s="98" t="e">
        <f>VLOOKUP([2]!Table27[[#This Row],[Location 
(drop-down)]],'[2]List source'!D$2:E$59,2,FALSE)</f>
        <v>#VALUE!</v>
      </c>
      <c r="C2400" s="99" t="s">
        <v>6506</v>
      </c>
      <c r="D2400" s="100" t="e">
        <f t="shared" si="75"/>
        <v>#VALUE!</v>
      </c>
      <c r="E2400" s="64" t="s">
        <v>6507</v>
      </c>
      <c r="F2400" s="66" t="s">
        <v>6138</v>
      </c>
      <c r="G24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0" s="110" t="s">
        <v>3856</v>
      </c>
      <c r="I2400" s="67">
        <v>45957</v>
      </c>
      <c r="J2400" s="67" t="s">
        <v>34</v>
      </c>
      <c r="K2400" s="68">
        <v>45964</v>
      </c>
      <c r="L2400" s="69" t="s">
        <v>6443</v>
      </c>
      <c r="M2400" s="66" t="str">
        <f t="shared" ca="1" si="76"/>
        <v>CLOSED</v>
      </c>
    </row>
    <row r="2401" spans="1:13" ht="30">
      <c r="A2401" s="64" t="s">
        <v>139</v>
      </c>
      <c r="B2401" s="98" t="e">
        <f>VLOOKUP([2]!Table27[[#This Row],[Location 
(drop-down)]],'[2]List source'!D$2:E$59,2,FALSE)</f>
        <v>#VALUE!</v>
      </c>
      <c r="C2401" s="99" t="s">
        <v>6508</v>
      </c>
      <c r="D2401" s="100" t="e">
        <f t="shared" si="75"/>
        <v>#VALUE!</v>
      </c>
      <c r="E2401" s="64" t="s">
        <v>6509</v>
      </c>
      <c r="F2401" s="66" t="s">
        <v>6138</v>
      </c>
      <c r="G24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1" s="66">
        <v>2.85</v>
      </c>
      <c r="I2401" s="67">
        <v>45957</v>
      </c>
      <c r="J2401" s="67" t="s">
        <v>34</v>
      </c>
      <c r="K2401" s="68">
        <v>45978</v>
      </c>
      <c r="L2401" s="69" t="s">
        <v>6443</v>
      </c>
      <c r="M2401" s="66" t="str">
        <f t="shared" ca="1" si="76"/>
        <v>CLOSED</v>
      </c>
    </row>
    <row r="2402" spans="1:13" ht="30">
      <c r="A2402" s="64" t="s">
        <v>139</v>
      </c>
      <c r="B2402" s="98" t="e">
        <f>VLOOKUP([2]!Table27[[#This Row],[Location 
(drop-down)]],'[2]List source'!D$2:E$59,2,FALSE)</f>
        <v>#VALUE!</v>
      </c>
      <c r="C2402" s="99" t="s">
        <v>6510</v>
      </c>
      <c r="D2402" s="100" t="e">
        <f t="shared" si="75"/>
        <v>#VALUE!</v>
      </c>
      <c r="E2402" s="64" t="s">
        <v>6511</v>
      </c>
      <c r="F2402" s="66" t="s">
        <v>6138</v>
      </c>
      <c r="G24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2" s="110" t="s">
        <v>5287</v>
      </c>
      <c r="I2402" s="67">
        <v>45957</v>
      </c>
      <c r="J2402" s="67" t="s">
        <v>34</v>
      </c>
      <c r="K2402" s="68">
        <v>45978</v>
      </c>
      <c r="L2402" s="69" t="s">
        <v>6443</v>
      </c>
      <c r="M2402" s="66" t="str">
        <f t="shared" ca="1" si="76"/>
        <v>CLOSED</v>
      </c>
    </row>
    <row r="2403" spans="1:13" ht="30">
      <c r="A2403" s="64" t="s">
        <v>139</v>
      </c>
      <c r="B2403" s="98" t="e">
        <f>VLOOKUP([2]!Table27[[#This Row],[Location 
(drop-down)]],'[2]List source'!D$2:E$59,2,FALSE)</f>
        <v>#VALUE!</v>
      </c>
      <c r="C2403" s="99" t="s">
        <v>6512</v>
      </c>
      <c r="D2403" s="100" t="e">
        <f t="shared" si="75"/>
        <v>#VALUE!</v>
      </c>
      <c r="E2403" s="64" t="s">
        <v>6513</v>
      </c>
      <c r="F2403" s="66" t="s">
        <v>6138</v>
      </c>
      <c r="G24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3" s="110" t="s">
        <v>6260</v>
      </c>
      <c r="I2403" s="67">
        <v>45957</v>
      </c>
      <c r="J2403" s="67"/>
      <c r="K2403" s="68"/>
      <c r="L2403" s="69"/>
      <c r="M2403" s="66">
        <f t="shared" ca="1" si="76"/>
        <v>121</v>
      </c>
    </row>
    <row r="2404" spans="1:13" ht="45">
      <c r="A2404" s="64" t="s">
        <v>156</v>
      </c>
      <c r="B2404" s="98" t="e">
        <f>VLOOKUP([2]!Table27[[#This Row],[Location 
(drop-down)]],'[2]List source'!D$2:E$59,2,FALSE)</f>
        <v>#VALUE!</v>
      </c>
      <c r="C2404" s="99" t="s">
        <v>6514</v>
      </c>
      <c r="D2404" s="100" t="e">
        <f t="shared" si="75"/>
        <v>#VALUE!</v>
      </c>
      <c r="E2404" s="64" t="s">
        <v>6515</v>
      </c>
      <c r="F2404" s="66" t="e" cm="1" vm="1">
        <f t="array" aca="1" ref="F240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4" s="66">
        <v>7096.82</v>
      </c>
      <c r="I2404" s="67">
        <v>45978</v>
      </c>
      <c r="J2404" s="67"/>
      <c r="K2404" s="68"/>
      <c r="L2404" s="69"/>
      <c r="M2404" s="66">
        <f t="shared" ca="1" si="76"/>
        <v>100</v>
      </c>
    </row>
    <row r="2405" spans="1:13" ht="45">
      <c r="A2405" s="64" t="s">
        <v>156</v>
      </c>
      <c r="B2405" s="98" t="e">
        <f>VLOOKUP([2]!Table27[[#This Row],[Location 
(drop-down)]],'[2]List source'!D$2:E$59,2,FALSE)</f>
        <v>#VALUE!</v>
      </c>
      <c r="C2405" s="99" t="s">
        <v>6516</v>
      </c>
      <c r="D2405" s="100" t="e">
        <f t="shared" si="75"/>
        <v>#VALUE!</v>
      </c>
      <c r="E2405" s="64" t="s">
        <v>6517</v>
      </c>
      <c r="F2405" s="66" t="e" cm="1" vm="1">
        <f t="array" aca="1" ref="F240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5" s="110" t="s">
        <v>3839</v>
      </c>
      <c r="I2405" s="67">
        <v>45978</v>
      </c>
      <c r="J2405" s="67"/>
      <c r="K2405" s="68"/>
      <c r="L2405" s="69"/>
      <c r="M2405" s="66">
        <f t="shared" ca="1" si="76"/>
        <v>100</v>
      </c>
    </row>
    <row r="2406" spans="1:13" ht="30">
      <c r="A2406" s="64" t="s">
        <v>969</v>
      </c>
      <c r="B2406" s="98" t="e">
        <f>VLOOKUP([2]!Table27[[#This Row],[Location 
(drop-down)]],'[2]List source'!D$2:E$59,2,FALSE)</f>
        <v>#VALUE!</v>
      </c>
      <c r="C2406" s="99" t="s">
        <v>6518</v>
      </c>
      <c r="D2406" s="100" t="e">
        <f t="shared" si="75"/>
        <v>#VALUE!</v>
      </c>
      <c r="E2406" s="64" t="s">
        <v>6519</v>
      </c>
      <c r="F2406" s="66" t="e" cm="1" vm="1">
        <f t="array" aca="1" ref="F240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6" s="66">
        <v>178.91</v>
      </c>
      <c r="I2406" s="67">
        <v>45978</v>
      </c>
      <c r="J2406" s="67"/>
      <c r="K2406" s="68"/>
      <c r="L2406" s="69"/>
      <c r="M2406" s="66">
        <f t="shared" ca="1" si="76"/>
        <v>100</v>
      </c>
    </row>
    <row r="2407" spans="1:13" ht="30">
      <c r="A2407" s="64" t="s">
        <v>969</v>
      </c>
      <c r="B2407" s="98" t="e">
        <f>VLOOKUP([2]!Table27[[#This Row],[Location 
(drop-down)]],'[2]List source'!D$2:E$59,2,FALSE)</f>
        <v>#VALUE!</v>
      </c>
      <c r="C2407" s="99" t="s">
        <v>6520</v>
      </c>
      <c r="D2407" s="100" t="e">
        <f t="shared" si="75"/>
        <v>#VALUE!</v>
      </c>
      <c r="E2407" s="64" t="s">
        <v>6521</v>
      </c>
      <c r="F2407" s="66" t="e" cm="1" vm="1">
        <f t="array" aca="1" ref="F24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0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7" s="66">
        <v>150.80000000000001</v>
      </c>
      <c r="I2407" s="67">
        <v>45978</v>
      </c>
      <c r="J2407" s="67"/>
      <c r="K2407" s="68"/>
      <c r="L2407" s="69"/>
      <c r="M2407" s="66">
        <f t="shared" ca="1" si="76"/>
        <v>100</v>
      </c>
    </row>
    <row r="2408" spans="1:13" ht="30">
      <c r="A2408" s="64" t="s">
        <v>969</v>
      </c>
      <c r="B2408" s="98" t="e">
        <f>VLOOKUP([2]!Table27[[#This Row],[Location 
(drop-down)]],'[2]List source'!D$2:E$59,2,FALSE)</f>
        <v>#VALUE!</v>
      </c>
      <c r="C2408" s="99" t="s">
        <v>6522</v>
      </c>
      <c r="D2408" s="100" t="e">
        <f t="shared" si="75"/>
        <v>#VALUE!</v>
      </c>
      <c r="E2408" s="64" t="s">
        <v>6523</v>
      </c>
      <c r="F2408" s="66" t="e" cm="1" vm="1">
        <f t="array" aca="1" ref="F240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0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8" s="66">
        <v>16.93</v>
      </c>
      <c r="I2408" s="67">
        <v>45978</v>
      </c>
      <c r="J2408" s="67"/>
      <c r="K2408" s="68"/>
      <c r="L2408" s="69"/>
      <c r="M2408" s="66">
        <f t="shared" ca="1" si="76"/>
        <v>100</v>
      </c>
    </row>
    <row r="2409" spans="1:13" ht="45">
      <c r="A2409" s="64" t="s">
        <v>125</v>
      </c>
      <c r="B2409" s="98" t="e">
        <f>VLOOKUP([2]!Table27[[#This Row],[Location 
(drop-down)]],'[2]List source'!D$2:E$59,2,FALSE)</f>
        <v>#VALUE!</v>
      </c>
      <c r="C2409" s="99" t="s">
        <v>6524</v>
      </c>
      <c r="D2409" s="100" t="e">
        <f t="shared" si="75"/>
        <v>#VALUE!</v>
      </c>
      <c r="E2409" s="64" t="s">
        <v>6525</v>
      </c>
      <c r="F2409" s="66" t="e" cm="1" vm="1">
        <f t="array" aca="1" ref="F24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0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09" s="110" t="s">
        <v>6526</v>
      </c>
      <c r="I2409" s="67">
        <v>45978</v>
      </c>
      <c r="J2409" s="67" t="s">
        <v>34</v>
      </c>
      <c r="K2409" s="68">
        <v>46008</v>
      </c>
      <c r="L2409" s="69" t="s">
        <v>1505</v>
      </c>
      <c r="M2409" s="66" t="str">
        <f t="shared" ca="1" si="76"/>
        <v>CLOSED</v>
      </c>
    </row>
    <row r="2410" spans="1:13" ht="30">
      <c r="A2410" s="64" t="s">
        <v>30</v>
      </c>
      <c r="B2410" s="98" t="e">
        <f>VLOOKUP([2]!Table27[[#This Row],[Location 
(drop-down)]],'[2]List source'!D$2:E$59,2,FALSE)</f>
        <v>#VALUE!</v>
      </c>
      <c r="C2410" s="99" t="s">
        <v>6527</v>
      </c>
      <c r="D2410" s="100" t="e">
        <f t="shared" si="75"/>
        <v>#VALUE!</v>
      </c>
      <c r="E2410" s="64" t="s">
        <v>6528</v>
      </c>
      <c r="F2410" s="66" t="e" cm="1" vm="1">
        <f t="array" aca="1" ref="F241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0" s="66">
        <v>3</v>
      </c>
      <c r="I2410" s="67">
        <v>45978</v>
      </c>
      <c r="J2410" s="67"/>
      <c r="K2410" s="68"/>
      <c r="L2410" s="69"/>
      <c r="M2410" s="66">
        <f t="shared" ca="1" si="76"/>
        <v>100</v>
      </c>
    </row>
    <row r="2411" spans="1:13" ht="30">
      <c r="A2411" s="64" t="s">
        <v>566</v>
      </c>
      <c r="B2411" s="98" t="e">
        <f>VLOOKUP([2]!Table27[[#This Row],[Location 
(drop-down)]],'[2]List source'!D$2:E$59,2,FALSE)</f>
        <v>#VALUE!</v>
      </c>
      <c r="C2411" s="99" t="s">
        <v>6529</v>
      </c>
      <c r="D2411" s="100" t="e">
        <f t="shared" si="75"/>
        <v>#VALUE!</v>
      </c>
      <c r="E2411" s="64" t="s">
        <v>6530</v>
      </c>
      <c r="F2411" s="66" t="e" cm="1" vm="1">
        <f t="array" aca="1" ref="F241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1" s="110" t="s">
        <v>6531</v>
      </c>
      <c r="I2411" s="67">
        <v>45978</v>
      </c>
      <c r="J2411" s="67"/>
      <c r="K2411" s="68"/>
      <c r="L2411" s="69"/>
      <c r="M2411" s="66">
        <f t="shared" ca="1" si="76"/>
        <v>100</v>
      </c>
    </row>
    <row r="2412" spans="1:13" ht="30">
      <c r="A2412" s="64" t="s">
        <v>167</v>
      </c>
      <c r="B2412" s="98" t="e">
        <f>VLOOKUP([2]!Table27[[#This Row],[Location 
(drop-down)]],'[2]List source'!D$2:E$59,2,FALSE)</f>
        <v>#VALUE!</v>
      </c>
      <c r="C2412" s="99" t="s">
        <v>6532</v>
      </c>
      <c r="D2412" s="100" t="e">
        <f t="shared" si="75"/>
        <v>#VALUE!</v>
      </c>
      <c r="E2412" s="64" t="s">
        <v>6533</v>
      </c>
      <c r="F2412" s="66" t="e" cm="1" vm="1">
        <f t="array" aca="1" ref="F241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2" s="66">
        <v>3.02</v>
      </c>
      <c r="I2412" s="67">
        <v>45978</v>
      </c>
      <c r="J2412" s="67" t="s">
        <v>310</v>
      </c>
      <c r="K2412" s="68">
        <v>45994</v>
      </c>
      <c r="L2412" s="69"/>
      <c r="M2412" s="66" t="str">
        <f t="shared" ca="1" si="76"/>
        <v>CLOSED</v>
      </c>
    </row>
    <row r="2413" spans="1:13" ht="45">
      <c r="A2413" s="64" t="s">
        <v>167</v>
      </c>
      <c r="B2413" s="98" t="e">
        <f>VLOOKUP([2]!Table27[[#This Row],[Location 
(drop-down)]],'[2]List source'!D$2:E$59,2,FALSE)</f>
        <v>#VALUE!</v>
      </c>
      <c r="C2413" s="99" t="s">
        <v>6534</v>
      </c>
      <c r="D2413" s="100" t="e">
        <f t="shared" si="75"/>
        <v>#VALUE!</v>
      </c>
      <c r="E2413" s="64" t="s">
        <v>6535</v>
      </c>
      <c r="F2413" s="66" t="e" cm="1" vm="1">
        <f t="array" aca="1" ref="F241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3" s="66">
        <v>2.1800000000000002</v>
      </c>
      <c r="I2413" s="67">
        <v>45978</v>
      </c>
      <c r="J2413" s="67" t="s">
        <v>34</v>
      </c>
      <c r="K2413" s="68">
        <v>45978</v>
      </c>
      <c r="L2413" s="69" t="s">
        <v>6536</v>
      </c>
      <c r="M2413" s="66" t="str">
        <f t="shared" ca="1" si="76"/>
        <v>CLOSED</v>
      </c>
    </row>
    <row r="2414" spans="1:13" ht="45">
      <c r="A2414" s="64" t="s">
        <v>167</v>
      </c>
      <c r="B2414" s="98" t="e">
        <f>VLOOKUP([2]!Table27[[#This Row],[Location 
(drop-down)]],'[2]List source'!D$2:E$59,2,FALSE)</f>
        <v>#VALUE!</v>
      </c>
      <c r="C2414" s="99" t="s">
        <v>6537</v>
      </c>
      <c r="D2414" s="100" t="e">
        <f t="shared" si="75"/>
        <v>#VALUE!</v>
      </c>
      <c r="E2414" s="64" t="s">
        <v>6538</v>
      </c>
      <c r="F2414" s="66" t="e" cm="1" vm="1">
        <f t="array" aca="1" ref="F241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4" s="66">
        <v>2.92</v>
      </c>
      <c r="I2414" s="67">
        <v>45978</v>
      </c>
      <c r="J2414" s="67" t="s">
        <v>34</v>
      </c>
      <c r="K2414" s="68">
        <v>46013</v>
      </c>
      <c r="L2414" s="69" t="s">
        <v>1505</v>
      </c>
      <c r="M2414" s="66" t="str">
        <f t="shared" ca="1" si="76"/>
        <v>CLOSED</v>
      </c>
    </row>
    <row r="2415" spans="1:13" ht="45">
      <c r="A2415" s="64" t="s">
        <v>314</v>
      </c>
      <c r="B2415" s="98" t="e">
        <f>VLOOKUP([2]!Table27[[#This Row],[Location 
(drop-down)]],'[2]List source'!D$2:E$59,2,FALSE)</f>
        <v>#VALUE!</v>
      </c>
      <c r="C2415" s="99" t="s">
        <v>6539</v>
      </c>
      <c r="D2415" s="100" t="e">
        <f t="shared" si="75"/>
        <v>#VALUE!</v>
      </c>
      <c r="E2415" s="64" t="s">
        <v>6540</v>
      </c>
      <c r="F2415" s="66" t="e" cm="1" vm="1">
        <f t="array" aca="1" ref="F241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5" s="66" t="s">
        <v>6541</v>
      </c>
      <c r="I2415" s="67">
        <v>45978</v>
      </c>
      <c r="J2415" s="67"/>
      <c r="K2415" s="68"/>
      <c r="L2415" s="69"/>
      <c r="M2415" s="66">
        <f t="shared" ca="1" si="76"/>
        <v>100</v>
      </c>
    </row>
    <row r="2416" spans="1:13" ht="30">
      <c r="A2416" s="64" t="s">
        <v>314</v>
      </c>
      <c r="B2416" s="98" t="e">
        <f>VLOOKUP([2]!Table27[[#This Row],[Location 
(drop-down)]],'[2]List source'!D$2:E$59,2,FALSE)</f>
        <v>#VALUE!</v>
      </c>
      <c r="C2416" s="99" t="s">
        <v>6542</v>
      </c>
      <c r="D2416" s="100" t="e">
        <f t="shared" si="75"/>
        <v>#VALUE!</v>
      </c>
      <c r="E2416" s="64" t="s">
        <v>6543</v>
      </c>
      <c r="F2416" s="66" t="e" cm="1" vm="1">
        <f t="array" aca="1" ref="F241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6" s="66">
        <v>4.45</v>
      </c>
      <c r="I2416" s="67">
        <v>45978</v>
      </c>
      <c r="J2416" s="67"/>
      <c r="K2416" s="68"/>
      <c r="L2416" s="69"/>
      <c r="M2416" s="66">
        <f t="shared" ca="1" si="76"/>
        <v>100</v>
      </c>
    </row>
    <row r="2417" spans="1:13" ht="45">
      <c r="A2417" s="64" t="s">
        <v>294</v>
      </c>
      <c r="B2417" s="98" t="e">
        <f>VLOOKUP([2]!Table27[[#This Row],[Location 
(drop-down)]],'[2]List source'!D$2:E$59,2,FALSE)</f>
        <v>#VALUE!</v>
      </c>
      <c r="C2417" s="99" t="s">
        <v>6544</v>
      </c>
      <c r="D2417" s="100" t="e">
        <f t="shared" si="75"/>
        <v>#VALUE!</v>
      </c>
      <c r="E2417" s="64" t="s">
        <v>6545</v>
      </c>
      <c r="F2417" s="66" t="e" cm="1" vm="1">
        <f t="array" aca="1" ref="F241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7" s="66">
        <v>2.92</v>
      </c>
      <c r="I2417" s="67">
        <v>45978</v>
      </c>
      <c r="J2417" s="67" t="s">
        <v>34</v>
      </c>
      <c r="K2417" s="68">
        <v>45978</v>
      </c>
      <c r="L2417" s="69" t="s">
        <v>6403</v>
      </c>
      <c r="M2417" s="66" t="str">
        <f t="shared" ca="1" si="76"/>
        <v>CLOSED</v>
      </c>
    </row>
    <row r="2418" spans="1:13" ht="30">
      <c r="A2418" s="64" t="s">
        <v>344</v>
      </c>
      <c r="B2418" s="98" t="e">
        <f>VLOOKUP([2]!Table27[[#This Row],[Location 
(drop-down)]],'[2]List source'!D$2:E$59,2,FALSE)</f>
        <v>#VALUE!</v>
      </c>
      <c r="C2418" s="99" t="s">
        <v>6546</v>
      </c>
      <c r="D2418" s="100" t="e">
        <f t="shared" si="75"/>
        <v>#VALUE!</v>
      </c>
      <c r="E2418" s="64" t="s">
        <v>6547</v>
      </c>
      <c r="F2418" s="66" t="e" cm="1" vm="1">
        <f t="array" aca="1" ref="F241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8" s="66" t="s">
        <v>6548</v>
      </c>
      <c r="I2418" s="67">
        <v>45978</v>
      </c>
      <c r="J2418" s="67" t="s">
        <v>327</v>
      </c>
      <c r="K2418" s="68">
        <v>46073</v>
      </c>
      <c r="L2418" s="69"/>
      <c r="M2418" s="66" t="str">
        <f t="shared" ca="1" si="76"/>
        <v>CLOSED</v>
      </c>
    </row>
    <row r="2419" spans="1:13" ht="30">
      <c r="A2419" s="64" t="s">
        <v>344</v>
      </c>
      <c r="B2419" s="98" t="e">
        <f>VLOOKUP([2]!Table27[[#This Row],[Location 
(drop-down)]],'[2]List source'!D$2:E$59,2,FALSE)</f>
        <v>#VALUE!</v>
      </c>
      <c r="C2419" s="99" t="s">
        <v>6549</v>
      </c>
      <c r="D2419" s="100" t="e">
        <f t="shared" si="75"/>
        <v>#VALUE!</v>
      </c>
      <c r="E2419" s="64" t="s">
        <v>6550</v>
      </c>
      <c r="F2419" s="66" t="e" cm="1" vm="1">
        <f t="array" aca="1" ref="F241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19" s="66">
        <v>2.2200000000000002</v>
      </c>
      <c r="I2419" s="67">
        <v>45978</v>
      </c>
      <c r="J2419" s="67" t="s">
        <v>327</v>
      </c>
      <c r="K2419" s="68">
        <v>46073</v>
      </c>
      <c r="L2419" s="69"/>
      <c r="M2419" s="66" t="str">
        <f t="shared" ca="1" si="76"/>
        <v>CLOSED</v>
      </c>
    </row>
    <row r="2420" spans="1:13" ht="30">
      <c r="A2420" s="64" t="s">
        <v>344</v>
      </c>
      <c r="B2420" s="98" t="e">
        <f>VLOOKUP([2]!Table27[[#This Row],[Location 
(drop-down)]],'[2]List source'!D$2:E$59,2,FALSE)</f>
        <v>#VALUE!</v>
      </c>
      <c r="C2420" s="99" t="s">
        <v>6551</v>
      </c>
      <c r="D2420" s="100" t="e">
        <f t="shared" si="75"/>
        <v>#VALUE!</v>
      </c>
      <c r="E2420" s="64" t="s">
        <v>6552</v>
      </c>
      <c r="F2420" s="66" t="e" cm="1" vm="1">
        <f t="array" aca="1" ref="F242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0" s="66">
        <v>4.91</v>
      </c>
      <c r="I2420" s="67">
        <v>45978</v>
      </c>
      <c r="J2420" s="67" t="s">
        <v>327</v>
      </c>
      <c r="K2420" s="68">
        <v>46073</v>
      </c>
      <c r="L2420" s="69"/>
      <c r="M2420" s="66" t="str">
        <f t="shared" ca="1" si="76"/>
        <v>CLOSED</v>
      </c>
    </row>
    <row r="2421" spans="1:13" ht="30">
      <c r="A2421" s="64" t="s">
        <v>344</v>
      </c>
      <c r="B2421" s="98" t="e">
        <f>VLOOKUP([2]!Table27[[#This Row],[Location 
(drop-down)]],'[2]List source'!D$2:E$59,2,FALSE)</f>
        <v>#VALUE!</v>
      </c>
      <c r="C2421" s="99" t="s">
        <v>6553</v>
      </c>
      <c r="D2421" s="100" t="e">
        <f t="shared" si="75"/>
        <v>#VALUE!</v>
      </c>
      <c r="E2421" s="64" t="s">
        <v>6554</v>
      </c>
      <c r="F2421" s="66" t="e" cm="1" vm="1">
        <f t="array" aca="1" ref="F242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1" s="66">
        <v>6.76</v>
      </c>
      <c r="I2421" s="67">
        <v>45978</v>
      </c>
      <c r="J2421" s="67"/>
      <c r="K2421" s="68"/>
      <c r="L2421" s="69"/>
      <c r="M2421" s="66">
        <f t="shared" ca="1" si="76"/>
        <v>100</v>
      </c>
    </row>
    <row r="2422" spans="1:13" ht="45">
      <c r="A2422" s="64" t="s">
        <v>53</v>
      </c>
      <c r="B2422" s="98" t="e">
        <f>VLOOKUP([2]!Table27[[#This Row],[Location 
(drop-down)]],'[2]List source'!D$2:E$59,2,FALSE)</f>
        <v>#VALUE!</v>
      </c>
      <c r="C2422" s="99" t="s">
        <v>6555</v>
      </c>
      <c r="D2422" s="100" t="e">
        <f t="shared" si="75"/>
        <v>#VALUE!</v>
      </c>
      <c r="E2422" s="64" t="s">
        <v>6556</v>
      </c>
      <c r="F2422" s="66" t="e" cm="1" vm="1">
        <f t="array" aca="1" ref="F242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2" s="66">
        <v>2.4500000000000002</v>
      </c>
      <c r="I2422" s="67">
        <v>45978</v>
      </c>
      <c r="J2422" s="67" t="s">
        <v>34</v>
      </c>
      <c r="K2422" s="68">
        <v>45978</v>
      </c>
      <c r="L2422" s="69" t="s">
        <v>6403</v>
      </c>
      <c r="M2422" s="66" t="str">
        <f t="shared" ca="1" si="76"/>
        <v>CLOSED</v>
      </c>
    </row>
    <row r="2423" spans="1:13" ht="30">
      <c r="A2423" s="64" t="s">
        <v>53</v>
      </c>
      <c r="B2423" s="98" t="e">
        <f>VLOOKUP([2]!Table27[[#This Row],[Location 
(drop-down)]],'[2]List source'!D$2:E$59,2,FALSE)</f>
        <v>#VALUE!</v>
      </c>
      <c r="C2423" s="99" t="s">
        <v>6557</v>
      </c>
      <c r="D2423" s="100" t="e">
        <f t="shared" si="75"/>
        <v>#VALUE!</v>
      </c>
      <c r="E2423" s="64" t="s">
        <v>6558</v>
      </c>
      <c r="F2423" s="66" t="e" cm="1" vm="1">
        <f t="array" aca="1" ref="F242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3" s="66">
        <v>169.25</v>
      </c>
      <c r="I2423" s="67">
        <v>45978</v>
      </c>
      <c r="J2423" s="67" t="s">
        <v>327</v>
      </c>
      <c r="K2423" s="68">
        <v>45672</v>
      </c>
      <c r="L2423" s="69"/>
      <c r="M2423" s="66" t="str">
        <f t="shared" ca="1" si="76"/>
        <v>CLOSED</v>
      </c>
    </row>
    <row r="2424" spans="1:13" ht="45">
      <c r="A2424" s="64" t="s">
        <v>73</v>
      </c>
      <c r="B2424" s="98" t="e">
        <f>VLOOKUP([2]!Table27[[#This Row],[Location 
(drop-down)]],'[2]List source'!D$2:E$59,2,FALSE)</f>
        <v>#VALUE!</v>
      </c>
      <c r="C2424" s="99" t="s">
        <v>6559</v>
      </c>
      <c r="D2424" s="100" t="e">
        <f t="shared" si="75"/>
        <v>#VALUE!</v>
      </c>
      <c r="E2424" s="64" t="s">
        <v>6560</v>
      </c>
      <c r="F2424" s="66" t="e" cm="1" vm="1">
        <f t="array" aca="1" ref="F242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4" s="110" t="s">
        <v>1953</v>
      </c>
      <c r="I2424" s="67">
        <v>45978</v>
      </c>
      <c r="J2424" s="67" t="s">
        <v>34</v>
      </c>
      <c r="K2424" s="68">
        <v>45978</v>
      </c>
      <c r="L2424" s="69" t="s">
        <v>6403</v>
      </c>
      <c r="M2424" s="66" t="str">
        <f t="shared" ca="1" si="76"/>
        <v>CLOSED</v>
      </c>
    </row>
    <row r="2425" spans="1:13" ht="30">
      <c r="A2425" s="64" t="s">
        <v>485</v>
      </c>
      <c r="B2425" s="98" t="e">
        <f>VLOOKUP([2]!Table27[[#This Row],[Location 
(drop-down)]],'[2]List source'!D$2:E$59,2,FALSE)</f>
        <v>#VALUE!</v>
      </c>
      <c r="C2425" s="99" t="s">
        <v>6561</v>
      </c>
      <c r="D2425" s="100" t="e">
        <f t="shared" si="75"/>
        <v>#VALUE!</v>
      </c>
      <c r="E2425" s="64" t="s">
        <v>6562</v>
      </c>
      <c r="F2425" s="66" t="e" cm="1" vm="1">
        <f t="array" aca="1" ref="F242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5" s="110" t="s">
        <v>6563</v>
      </c>
      <c r="I2425" s="67">
        <v>45978</v>
      </c>
      <c r="J2425" s="67"/>
      <c r="K2425" s="68"/>
      <c r="L2425" s="69"/>
      <c r="M2425" s="66">
        <f t="shared" ca="1" si="76"/>
        <v>100</v>
      </c>
    </row>
    <row r="2426" spans="1:13" ht="45">
      <c r="A2426" s="64" t="s">
        <v>485</v>
      </c>
      <c r="B2426" s="98" t="e">
        <f>VLOOKUP([2]!Table27[[#This Row],[Location 
(drop-down)]],'[2]List source'!D$2:E$59,2,FALSE)</f>
        <v>#VALUE!</v>
      </c>
      <c r="C2426" s="99" t="s">
        <v>6564</v>
      </c>
      <c r="D2426" s="100" t="e">
        <f t="shared" si="75"/>
        <v>#VALUE!</v>
      </c>
      <c r="E2426" s="64" t="s">
        <v>6560</v>
      </c>
      <c r="F2426" s="66" t="e" cm="1" vm="1">
        <f t="array" aca="1" ref="F242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6" s="66">
        <v>2.34</v>
      </c>
      <c r="I2426" s="67">
        <v>45978</v>
      </c>
      <c r="J2426" s="67" t="s">
        <v>34</v>
      </c>
      <c r="K2426" s="68">
        <v>45978</v>
      </c>
      <c r="L2426" s="69" t="s">
        <v>6403</v>
      </c>
      <c r="M2426" s="66" t="str">
        <f t="shared" ca="1" si="76"/>
        <v>CLOSED</v>
      </c>
    </row>
    <row r="2427" spans="1:13" ht="45">
      <c r="A2427" s="64" t="s">
        <v>500</v>
      </c>
      <c r="B2427" s="98" t="e">
        <f>VLOOKUP([2]!Table27[[#This Row],[Location 
(drop-down)]],'[2]List source'!D$2:E$59,2,FALSE)</f>
        <v>#VALUE!</v>
      </c>
      <c r="C2427" s="99" t="s">
        <v>6565</v>
      </c>
      <c r="D2427" s="100" t="e">
        <f t="shared" si="75"/>
        <v>#VALUE!</v>
      </c>
      <c r="E2427" s="64" t="s">
        <v>6566</v>
      </c>
      <c r="F2427" s="66" t="e" cm="1" vm="1">
        <f t="array" aca="1" ref="F242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7" s="110" t="s">
        <v>6567</v>
      </c>
      <c r="I2427" s="67">
        <v>45978</v>
      </c>
      <c r="J2427" s="67" t="s">
        <v>310</v>
      </c>
      <c r="K2427" s="68">
        <v>46052</v>
      </c>
      <c r="L2427" s="69"/>
      <c r="M2427" s="66" t="str">
        <f t="shared" ca="1" si="76"/>
        <v>CLOSED</v>
      </c>
    </row>
    <row r="2428" spans="1:13" ht="30">
      <c r="A2428" s="64" t="s">
        <v>500</v>
      </c>
      <c r="B2428" s="98" t="e">
        <f>VLOOKUP([2]!Table27[[#This Row],[Location 
(drop-down)]],'[2]List source'!D$2:E$59,2,FALSE)</f>
        <v>#VALUE!</v>
      </c>
      <c r="C2428" s="99" t="s">
        <v>6568</v>
      </c>
      <c r="D2428" s="100" t="e">
        <f t="shared" si="75"/>
        <v>#VALUE!</v>
      </c>
      <c r="E2428" s="64" t="s">
        <v>6569</v>
      </c>
      <c r="F2428" s="66" t="e" cm="1" vm="1">
        <f t="array" aca="1" ref="F242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8" s="66">
        <v>2.27</v>
      </c>
      <c r="I2428" s="67">
        <v>45978</v>
      </c>
      <c r="J2428" s="67" t="s">
        <v>34</v>
      </c>
      <c r="K2428" s="68">
        <v>46031</v>
      </c>
      <c r="L2428" s="69" t="s">
        <v>6411</v>
      </c>
      <c r="M2428" s="66" t="str">
        <f t="shared" ca="1" si="76"/>
        <v>CLOSED</v>
      </c>
    </row>
    <row r="2429" spans="1:13" ht="45">
      <c r="A2429" s="64" t="s">
        <v>500</v>
      </c>
      <c r="B2429" s="98" t="e">
        <f>VLOOKUP([2]!Table27[[#This Row],[Location 
(drop-down)]],'[2]List source'!D$2:E$59,2,FALSE)</f>
        <v>#VALUE!</v>
      </c>
      <c r="C2429" s="99" t="s">
        <v>6570</v>
      </c>
      <c r="D2429" s="100" t="e">
        <f t="shared" si="75"/>
        <v>#VALUE!</v>
      </c>
      <c r="E2429" s="64" t="s">
        <v>6571</v>
      </c>
      <c r="F2429" s="66" t="e" cm="1" vm="1">
        <f t="array" aca="1" ref="F242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29" s="66">
        <v>6.53</v>
      </c>
      <c r="I2429" s="67">
        <v>45978</v>
      </c>
      <c r="J2429" s="67" t="s">
        <v>310</v>
      </c>
      <c r="K2429" s="68">
        <v>46051</v>
      </c>
      <c r="L2429" s="69"/>
      <c r="M2429" s="66" t="str">
        <f t="shared" ca="1" si="76"/>
        <v>CLOSED</v>
      </c>
    </row>
    <row r="2430" spans="1:13" ht="45">
      <c r="A2430" s="64" t="s">
        <v>500</v>
      </c>
      <c r="B2430" s="98" t="e">
        <f>VLOOKUP([2]!Table27[[#This Row],[Location 
(drop-down)]],'[2]List source'!D$2:E$59,2,FALSE)</f>
        <v>#VALUE!</v>
      </c>
      <c r="C2430" s="99" t="s">
        <v>6572</v>
      </c>
      <c r="D2430" s="100" t="e">
        <f t="shared" si="75"/>
        <v>#VALUE!</v>
      </c>
      <c r="E2430" s="64" t="s">
        <v>6573</v>
      </c>
      <c r="F2430" s="66" t="e" cm="1" vm="1">
        <f t="array" aca="1" ref="F243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0" s="66">
        <v>5.56</v>
      </c>
      <c r="I2430" s="67">
        <v>45978</v>
      </c>
      <c r="J2430" s="67" t="s">
        <v>310</v>
      </c>
      <c r="K2430" s="68">
        <v>46050</v>
      </c>
      <c r="L2430" s="69"/>
      <c r="M2430" s="66" t="str">
        <f t="shared" ca="1" si="76"/>
        <v>CLOSED</v>
      </c>
    </row>
    <row r="2431" spans="1:13" ht="30">
      <c r="A2431" s="64" t="s">
        <v>500</v>
      </c>
      <c r="B2431" s="98" t="e">
        <f>VLOOKUP([2]!Table27[[#This Row],[Location 
(drop-down)]],'[2]List source'!D$2:E$59,2,FALSE)</f>
        <v>#VALUE!</v>
      </c>
      <c r="C2431" s="99" t="s">
        <v>6574</v>
      </c>
      <c r="D2431" s="100" t="e">
        <f t="shared" si="75"/>
        <v>#VALUE!</v>
      </c>
      <c r="E2431" s="64" t="s">
        <v>6575</v>
      </c>
      <c r="F2431" s="66" t="e" cm="1" vm="1">
        <f t="array" aca="1" ref="F243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1" s="66">
        <v>7.04</v>
      </c>
      <c r="I2431" s="67">
        <v>45978</v>
      </c>
      <c r="J2431" s="67" t="s">
        <v>310</v>
      </c>
      <c r="K2431" s="68">
        <v>46015</v>
      </c>
      <c r="L2431" s="69"/>
      <c r="M2431" s="66" t="str">
        <f t="shared" ca="1" si="76"/>
        <v>CLOSED</v>
      </c>
    </row>
    <row r="2432" spans="1:13" ht="45">
      <c r="A2432" s="64" t="s">
        <v>500</v>
      </c>
      <c r="B2432" s="98" t="e">
        <f>VLOOKUP([2]!Table27[[#This Row],[Location 
(drop-down)]],'[2]List source'!D$2:E$59,2,FALSE)</f>
        <v>#VALUE!</v>
      </c>
      <c r="C2432" s="99" t="s">
        <v>6576</v>
      </c>
      <c r="D2432" s="100" t="e">
        <f t="shared" si="75"/>
        <v>#VALUE!</v>
      </c>
      <c r="E2432" s="64" t="s">
        <v>6577</v>
      </c>
      <c r="F2432" s="66" t="e" cm="1" vm="1">
        <f t="array" aca="1" ref="F243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2" s="66">
        <v>127.8</v>
      </c>
      <c r="I2432" s="67">
        <v>45978</v>
      </c>
      <c r="J2432" s="67" t="s">
        <v>34</v>
      </c>
      <c r="K2432" s="68">
        <v>46050</v>
      </c>
      <c r="L2432" s="69" t="s">
        <v>1505</v>
      </c>
      <c r="M2432" s="66" t="str">
        <f t="shared" ca="1" si="76"/>
        <v>CLOSED</v>
      </c>
    </row>
    <row r="2433" spans="1:13" ht="45">
      <c r="A2433" s="64" t="s">
        <v>500</v>
      </c>
      <c r="B2433" s="98" t="e">
        <f>VLOOKUP([2]!Table27[[#This Row],[Location 
(drop-down)]],'[2]List source'!D$2:E$59,2,FALSE)</f>
        <v>#VALUE!</v>
      </c>
      <c r="C2433" s="99" t="s">
        <v>6578</v>
      </c>
      <c r="D2433" s="100" t="e">
        <f t="shared" si="75"/>
        <v>#VALUE!</v>
      </c>
      <c r="E2433" s="64" t="s">
        <v>6579</v>
      </c>
      <c r="F2433" s="66" t="e" cm="1" vm="1">
        <f t="array" aca="1" ref="F243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3" s="66">
        <v>2.0699999999999998</v>
      </c>
      <c r="I2433" s="67">
        <v>45978</v>
      </c>
      <c r="J2433" s="67" t="s">
        <v>34</v>
      </c>
      <c r="K2433" s="68">
        <v>45978</v>
      </c>
      <c r="L2433" s="69" t="s">
        <v>6403</v>
      </c>
      <c r="M2433" s="66" t="str">
        <f t="shared" ca="1" si="76"/>
        <v>CLOSED</v>
      </c>
    </row>
    <row r="2434" spans="1:13" ht="45">
      <c r="A2434" s="64" t="s">
        <v>500</v>
      </c>
      <c r="B2434" s="98" t="e">
        <f>VLOOKUP([2]!Table27[[#This Row],[Location 
(drop-down)]],'[2]List source'!D$2:E$59,2,FALSE)</f>
        <v>#VALUE!</v>
      </c>
      <c r="C2434" s="99" t="s">
        <v>6580</v>
      </c>
      <c r="D2434" s="100" t="e">
        <f t="shared" ref="D2434:D2497" si="77">"PTO" &amp; C2434 &amp; "-" &amp; B2434 &amp; "-" &amp; "23"</f>
        <v>#VALUE!</v>
      </c>
      <c r="E2434" s="64" t="s">
        <v>6581</v>
      </c>
      <c r="F2434" s="66" t="e" cm="1" vm="1">
        <f t="array" aca="1" ref="F243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4" s="66" t="s">
        <v>6582</v>
      </c>
      <c r="I2434" s="67">
        <v>45978</v>
      </c>
      <c r="J2434" s="67" t="s">
        <v>34</v>
      </c>
      <c r="K2434" s="68">
        <v>45978</v>
      </c>
      <c r="L2434" s="69" t="s">
        <v>6403</v>
      </c>
      <c r="M2434" s="66" t="str">
        <f t="shared" ca="1" si="76"/>
        <v>CLOSED</v>
      </c>
    </row>
    <row r="2435" spans="1:13" ht="30">
      <c r="A2435" s="64" t="s">
        <v>500</v>
      </c>
      <c r="B2435" s="98" t="e">
        <f>VLOOKUP([2]!Table27[[#This Row],[Location 
(drop-down)]],'[2]List source'!D$2:E$59,2,FALSE)</f>
        <v>#VALUE!</v>
      </c>
      <c r="C2435" s="99" t="s">
        <v>6583</v>
      </c>
      <c r="D2435" s="100" t="e">
        <f t="shared" si="77"/>
        <v>#VALUE!</v>
      </c>
      <c r="E2435" s="64" t="s">
        <v>6528</v>
      </c>
      <c r="F2435" s="66" t="e" cm="1" vm="1">
        <f t="array" aca="1" ref="F243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5" s="110">
        <v>3</v>
      </c>
      <c r="I2435" s="67">
        <v>45978</v>
      </c>
      <c r="J2435" s="67" t="s">
        <v>310</v>
      </c>
      <c r="K2435" s="68">
        <v>46014</v>
      </c>
      <c r="L2435" s="69"/>
      <c r="M2435" s="66" t="str">
        <f t="shared" ca="1" si="76"/>
        <v>CLOSED</v>
      </c>
    </row>
    <row r="2436" spans="1:13" ht="45">
      <c r="A2436" s="64" t="s">
        <v>621</v>
      </c>
      <c r="B2436" s="98" t="e">
        <f>VLOOKUP([2]!Table27[[#This Row],[Location 
(drop-down)]],'[2]List source'!D$2:E$59,2,FALSE)</f>
        <v>#VALUE!</v>
      </c>
      <c r="C2436" s="99" t="s">
        <v>6584</v>
      </c>
      <c r="D2436" s="100" t="e">
        <f t="shared" si="77"/>
        <v>#VALUE!</v>
      </c>
      <c r="E2436" s="64" t="s">
        <v>6585</v>
      </c>
      <c r="F2436" s="66" t="e" cm="1" vm="1">
        <f t="array" aca="1" ref="F243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6" s="66">
        <v>3.38</v>
      </c>
      <c r="I2436" s="67">
        <v>45978</v>
      </c>
      <c r="J2436" s="67" t="s">
        <v>34</v>
      </c>
      <c r="K2436" s="68">
        <v>46030</v>
      </c>
      <c r="L2436" s="69" t="s">
        <v>1505</v>
      </c>
      <c r="M2436" s="66" t="str">
        <f t="shared" ca="1" si="76"/>
        <v>CLOSED</v>
      </c>
    </row>
    <row r="2437" spans="1:13" ht="45">
      <c r="A2437" s="64" t="s">
        <v>202</v>
      </c>
      <c r="B2437" s="98" t="e">
        <f>VLOOKUP([2]!Table27[[#This Row],[Location 
(drop-down)]],'[2]List source'!D$2:E$59,2,FALSE)</f>
        <v>#VALUE!</v>
      </c>
      <c r="C2437" s="99" t="s">
        <v>6586</v>
      </c>
      <c r="D2437" s="100" t="e">
        <f t="shared" si="77"/>
        <v>#VALUE!</v>
      </c>
      <c r="E2437" s="64" t="s">
        <v>6587</v>
      </c>
      <c r="F2437" s="66" t="e" cm="1" vm="1">
        <f t="array" aca="1" ref="F243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7" s="66">
        <v>3.02</v>
      </c>
      <c r="I2437" s="67">
        <v>45978</v>
      </c>
      <c r="J2437" s="67" t="s">
        <v>34</v>
      </c>
      <c r="K2437" s="68">
        <v>46027</v>
      </c>
      <c r="L2437" s="69" t="s">
        <v>1505</v>
      </c>
      <c r="M2437" s="66" t="str">
        <f t="shared" ca="1" si="76"/>
        <v>CLOSED</v>
      </c>
    </row>
    <row r="2438" spans="1:13" ht="30">
      <c r="A2438" s="64" t="s">
        <v>202</v>
      </c>
      <c r="B2438" s="98" t="e">
        <f>VLOOKUP([2]!Table27[[#This Row],[Location 
(drop-down)]],'[2]List source'!D$2:E$59,2,FALSE)</f>
        <v>#VALUE!</v>
      </c>
      <c r="C2438" s="99" t="s">
        <v>2691</v>
      </c>
      <c r="D2438" s="100" t="e">
        <f t="shared" si="77"/>
        <v>#VALUE!</v>
      </c>
      <c r="E2438" s="64" t="s">
        <v>6588</v>
      </c>
      <c r="F2438" s="66" t="e" cm="1" vm="1">
        <f t="array" aca="1" ref="F243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8" s="110" t="s">
        <v>1872</v>
      </c>
      <c r="I2438" s="67">
        <v>45978</v>
      </c>
      <c r="J2438" s="67" t="s">
        <v>34</v>
      </c>
      <c r="K2438" s="68">
        <v>45982</v>
      </c>
      <c r="L2438" s="69" t="s">
        <v>6411</v>
      </c>
      <c r="M2438" s="66" t="str">
        <f t="shared" ca="1" si="76"/>
        <v>CLOSED</v>
      </c>
    </row>
    <row r="2439" spans="1:13" ht="30">
      <c r="A2439" s="64" t="s">
        <v>358</v>
      </c>
      <c r="B2439" s="98" t="e">
        <f>VLOOKUP([2]!Table27[[#This Row],[Location 
(drop-down)]],'[2]List source'!D$2:E$59,2,FALSE)</f>
        <v>#VALUE!</v>
      </c>
      <c r="C2439" s="99" t="s">
        <v>2709</v>
      </c>
      <c r="D2439" s="100" t="e">
        <f t="shared" si="77"/>
        <v>#VALUE!</v>
      </c>
      <c r="E2439" s="64" t="s">
        <v>6589</v>
      </c>
      <c r="F2439" s="66" t="e" cm="1" vm="1">
        <f t="array" aca="1" ref="F243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39" s="66">
        <v>4.5999999999999996</v>
      </c>
      <c r="I2439" s="67">
        <v>45978</v>
      </c>
      <c r="J2439" s="67" t="s">
        <v>310</v>
      </c>
      <c r="K2439" s="68">
        <v>46020</v>
      </c>
      <c r="L2439" s="69"/>
      <c r="M2439" s="66" t="str">
        <f t="shared" ca="1" si="76"/>
        <v>CLOSED</v>
      </c>
    </row>
    <row r="2440" spans="1:13" ht="45">
      <c r="A2440" s="64" t="s">
        <v>500</v>
      </c>
      <c r="B2440" s="98" t="e">
        <f>VLOOKUP([2]!Table27[[#This Row],[Location 
(drop-down)]],'[2]List source'!D$2:E$59,2,FALSE)</f>
        <v>#VALUE!</v>
      </c>
      <c r="C2440" s="99" t="s">
        <v>2952</v>
      </c>
      <c r="D2440" s="100" t="e">
        <f t="shared" si="77"/>
        <v>#VALUE!</v>
      </c>
      <c r="E2440" s="64" t="s">
        <v>6590</v>
      </c>
      <c r="F2440" s="66" t="s">
        <v>1524</v>
      </c>
      <c r="G24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0" s="110">
        <v>2.33</v>
      </c>
      <c r="I2440" s="67">
        <v>45979</v>
      </c>
      <c r="J2440" s="67" t="s">
        <v>34</v>
      </c>
      <c r="K2440" s="68">
        <v>45979</v>
      </c>
      <c r="L2440" s="69" t="s">
        <v>6403</v>
      </c>
      <c r="M2440" s="66" t="str">
        <f t="shared" ca="1" si="76"/>
        <v>CLOSED</v>
      </c>
    </row>
    <row r="2441" spans="1:13" ht="45">
      <c r="A2441" s="64" t="s">
        <v>39</v>
      </c>
      <c r="B2441" s="98" t="e">
        <f>VLOOKUP([2]!Table27[[#This Row],[Location 
(drop-down)]],'[2]List source'!D$2:E$59,2,FALSE)</f>
        <v>#VALUE!</v>
      </c>
      <c r="C2441" s="99" t="s">
        <v>3936</v>
      </c>
      <c r="D2441" s="100" t="e">
        <f t="shared" si="77"/>
        <v>#VALUE!</v>
      </c>
      <c r="E2441" s="64" t="s">
        <v>6591</v>
      </c>
      <c r="F2441" s="66" t="s">
        <v>1524</v>
      </c>
      <c r="G24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1" s="110" t="s">
        <v>1759</v>
      </c>
      <c r="I2441" s="67">
        <v>45979</v>
      </c>
      <c r="J2441" s="67" t="s">
        <v>34</v>
      </c>
      <c r="K2441" s="68">
        <v>45979</v>
      </c>
      <c r="L2441" s="69" t="s">
        <v>6403</v>
      </c>
      <c r="M2441" s="66" t="str">
        <f t="shared" ca="1" si="76"/>
        <v>CLOSED</v>
      </c>
    </row>
    <row r="2442" spans="1:13" ht="45">
      <c r="A2442" s="64" t="s">
        <v>39</v>
      </c>
      <c r="B2442" s="98" t="e">
        <f>VLOOKUP([2]!Table27[[#This Row],[Location 
(drop-down)]],'[2]List source'!D$2:E$59,2,FALSE)</f>
        <v>#VALUE!</v>
      </c>
      <c r="C2442" s="99" t="s">
        <v>3981</v>
      </c>
      <c r="D2442" s="100" t="e">
        <f t="shared" si="77"/>
        <v>#VALUE!</v>
      </c>
      <c r="E2442" s="64" t="s">
        <v>6592</v>
      </c>
      <c r="F2442" s="66" t="s">
        <v>1524</v>
      </c>
      <c r="G24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2" s="66">
        <v>2.12</v>
      </c>
      <c r="I2442" s="67">
        <v>45979</v>
      </c>
      <c r="J2442" s="67" t="s">
        <v>34</v>
      </c>
      <c r="K2442" s="68">
        <v>45979</v>
      </c>
      <c r="L2442" s="69" t="s">
        <v>6403</v>
      </c>
      <c r="M2442" s="66" t="str">
        <f t="shared" ca="1" si="76"/>
        <v>CLOSED</v>
      </c>
    </row>
    <row r="2443" spans="1:13" ht="45">
      <c r="A2443" s="64" t="s">
        <v>294</v>
      </c>
      <c r="B2443" s="98" t="e">
        <f>VLOOKUP([2]!Table27[[#This Row],[Location 
(drop-down)]],'[2]List source'!D$2:E$59,2,FALSE)</f>
        <v>#VALUE!</v>
      </c>
      <c r="C2443" s="99" t="s">
        <v>3544</v>
      </c>
      <c r="D2443" s="100" t="e">
        <f t="shared" si="77"/>
        <v>#VALUE!</v>
      </c>
      <c r="E2443" s="64" t="s">
        <v>6593</v>
      </c>
      <c r="F2443" s="66" t="s">
        <v>1524</v>
      </c>
      <c r="G24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3" s="110" t="s">
        <v>1953</v>
      </c>
      <c r="I2443" s="67">
        <v>45979</v>
      </c>
      <c r="J2443" s="67" t="s">
        <v>34</v>
      </c>
      <c r="K2443" s="68">
        <v>45979</v>
      </c>
      <c r="L2443" s="69" t="s">
        <v>6403</v>
      </c>
      <c r="M2443" s="66" t="str">
        <f t="shared" ca="1" si="76"/>
        <v>CLOSED</v>
      </c>
    </row>
    <row r="2444" spans="1:13" ht="30">
      <c r="A2444" s="64" t="s">
        <v>294</v>
      </c>
      <c r="B2444" s="98" t="e">
        <f>VLOOKUP([2]!Table27[[#This Row],[Location 
(drop-down)]],'[2]List source'!D$2:E$59,2,FALSE)</f>
        <v>#VALUE!</v>
      </c>
      <c r="C2444" s="99" t="s">
        <v>2789</v>
      </c>
      <c r="D2444" s="100" t="e">
        <f t="shared" si="77"/>
        <v>#VALUE!</v>
      </c>
      <c r="E2444" s="64" t="s">
        <v>6594</v>
      </c>
      <c r="F2444" s="66" t="s">
        <v>1524</v>
      </c>
      <c r="G24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4" s="110" t="s">
        <v>6595</v>
      </c>
      <c r="I2444" s="67">
        <v>45979</v>
      </c>
      <c r="J2444" s="67"/>
      <c r="K2444" s="68"/>
      <c r="L2444" s="69"/>
      <c r="M2444" s="66">
        <f t="shared" ca="1" si="76"/>
        <v>99</v>
      </c>
    </row>
    <row r="2445" spans="1:13" ht="30">
      <c r="A2445" s="64" t="s">
        <v>114</v>
      </c>
      <c r="B2445" s="98" t="e">
        <f>VLOOKUP([2]!Table27[[#This Row],[Location 
(drop-down)]],'[2]List source'!D$2:E$59,2,FALSE)</f>
        <v>#VALUE!</v>
      </c>
      <c r="C2445" s="99" t="s">
        <v>2792</v>
      </c>
      <c r="D2445" s="100" t="e">
        <f t="shared" si="77"/>
        <v>#VALUE!</v>
      </c>
      <c r="E2445" s="64" t="s">
        <v>6596</v>
      </c>
      <c r="F2445" s="66" t="s">
        <v>3068</v>
      </c>
      <c r="G24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5" s="66">
        <v>5.45</v>
      </c>
      <c r="I2445" s="67">
        <v>45980</v>
      </c>
      <c r="J2445" s="67"/>
      <c r="K2445" s="68"/>
      <c r="L2445" s="69"/>
      <c r="M2445" s="66">
        <f t="shared" ca="1" si="76"/>
        <v>98</v>
      </c>
    </row>
    <row r="2446" spans="1:13" ht="45">
      <c r="A2446" s="64" t="s">
        <v>114</v>
      </c>
      <c r="B2446" s="98" t="e">
        <f>VLOOKUP([2]!Table27[[#This Row],[Location 
(drop-down)]],'[2]List source'!D$2:E$59,2,FALSE)</f>
        <v>#VALUE!</v>
      </c>
      <c r="C2446" s="99" t="s">
        <v>3780</v>
      </c>
      <c r="D2446" s="100" t="e">
        <f t="shared" si="77"/>
        <v>#VALUE!</v>
      </c>
      <c r="E2446" s="64" t="s">
        <v>6597</v>
      </c>
      <c r="F2446" s="66" t="s">
        <v>3068</v>
      </c>
      <c r="G24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6" s="110" t="s">
        <v>6598</v>
      </c>
      <c r="I2446" s="67">
        <v>45980</v>
      </c>
      <c r="J2446" s="67"/>
      <c r="K2446" s="68"/>
      <c r="L2446" s="69"/>
      <c r="M2446" s="66">
        <f t="shared" ca="1" si="76"/>
        <v>98</v>
      </c>
    </row>
    <row r="2447" spans="1:13" ht="45">
      <c r="A2447" s="64" t="s">
        <v>114</v>
      </c>
      <c r="B2447" s="98" t="e">
        <f>VLOOKUP([2]!Table27[[#This Row],[Location 
(drop-down)]],'[2]List source'!D$2:E$59,2,FALSE)</f>
        <v>#VALUE!</v>
      </c>
      <c r="C2447" s="99" t="s">
        <v>3253</v>
      </c>
      <c r="D2447" s="100" t="e">
        <f t="shared" si="77"/>
        <v>#VALUE!</v>
      </c>
      <c r="E2447" s="64" t="s">
        <v>6599</v>
      </c>
      <c r="F2447" s="66" t="s">
        <v>3068</v>
      </c>
      <c r="G24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7" s="66">
        <v>2.5099999999999998</v>
      </c>
      <c r="I2447" s="67">
        <v>45980</v>
      </c>
      <c r="J2447" s="67" t="s">
        <v>34</v>
      </c>
      <c r="K2447" s="68">
        <v>45980</v>
      </c>
      <c r="L2447" s="69" t="s">
        <v>6403</v>
      </c>
      <c r="M2447" s="66" t="str">
        <f t="shared" ca="1" si="76"/>
        <v>CLOSED</v>
      </c>
    </row>
    <row r="2448" spans="1:13" ht="45">
      <c r="A2448" s="64" t="s">
        <v>114</v>
      </c>
      <c r="B2448" s="98" t="e">
        <f>VLOOKUP([2]!Table27[[#This Row],[Location 
(drop-down)]],'[2]List source'!D$2:E$59,2,FALSE)</f>
        <v>#VALUE!</v>
      </c>
      <c r="C2448" s="99" t="s">
        <v>4130</v>
      </c>
      <c r="D2448" s="100" t="e">
        <f t="shared" si="77"/>
        <v>#VALUE!</v>
      </c>
      <c r="E2448" s="64" t="s">
        <v>6600</v>
      </c>
      <c r="F2448" s="66" t="s">
        <v>3068</v>
      </c>
      <c r="G24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8" s="66">
        <v>2.02</v>
      </c>
      <c r="I2448" s="67">
        <v>45980</v>
      </c>
      <c r="J2448" s="67" t="s">
        <v>34</v>
      </c>
      <c r="K2448" s="68">
        <v>45980</v>
      </c>
      <c r="L2448" s="69" t="s">
        <v>6403</v>
      </c>
      <c r="M2448" s="66" t="str">
        <f t="shared" ca="1" si="76"/>
        <v>CLOSED</v>
      </c>
    </row>
    <row r="2449" spans="1:13" ht="45">
      <c r="A2449" s="64" t="s">
        <v>591</v>
      </c>
      <c r="B2449" s="98" t="e">
        <f>VLOOKUP([2]!Table27[[#This Row],[Location 
(drop-down)]],'[2]List source'!D$2:E$59,2,FALSE)</f>
        <v>#VALUE!</v>
      </c>
      <c r="C2449" s="99" t="s">
        <v>3546</v>
      </c>
      <c r="D2449" s="100" t="e">
        <f t="shared" si="77"/>
        <v>#VALUE!</v>
      </c>
      <c r="E2449" s="64" t="s">
        <v>6601</v>
      </c>
      <c r="F2449" s="66" t="e" cm="1" vm="1">
        <f t="array" aca="1" ref="F244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4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49" s="66">
        <v>13.77</v>
      </c>
      <c r="I2449" s="67">
        <v>45982</v>
      </c>
      <c r="J2449" s="67" t="s">
        <v>34</v>
      </c>
      <c r="K2449" s="68">
        <v>46027</v>
      </c>
      <c r="L2449" s="69" t="s">
        <v>1505</v>
      </c>
      <c r="M2449" s="66" t="str">
        <f t="shared" ca="1" si="76"/>
        <v>CLOSED</v>
      </c>
    </row>
    <row r="2450" spans="1:13" ht="30">
      <c r="A2450" s="64" t="s">
        <v>591</v>
      </c>
      <c r="B2450" s="98" t="e">
        <f>VLOOKUP([2]!Table27[[#This Row],[Location 
(drop-down)]],'[2]List source'!D$2:E$59,2,FALSE)</f>
        <v>#VALUE!</v>
      </c>
      <c r="C2450" s="99" t="s">
        <v>3768</v>
      </c>
      <c r="D2450" s="100" t="e">
        <f t="shared" si="77"/>
        <v>#VALUE!</v>
      </c>
      <c r="E2450" s="64" t="s">
        <v>6602</v>
      </c>
      <c r="F2450" s="66" t="e" cm="1" vm="1">
        <f t="array" aca="1" ref="F245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0" s="110" t="s">
        <v>1965</v>
      </c>
      <c r="I2450" s="67">
        <v>45982</v>
      </c>
      <c r="J2450" s="67" t="s">
        <v>34</v>
      </c>
      <c r="K2450" s="68">
        <v>45986</v>
      </c>
      <c r="L2450" s="69" t="s">
        <v>6411</v>
      </c>
      <c r="M2450" s="66" t="str">
        <f t="shared" ca="1" si="76"/>
        <v>CLOSED</v>
      </c>
    </row>
    <row r="2451" spans="1:13" ht="45">
      <c r="A2451" s="64" t="s">
        <v>125</v>
      </c>
      <c r="B2451" s="98" t="e">
        <f>VLOOKUP([2]!Table27[[#This Row],[Location 
(drop-down)]],'[2]List source'!D$2:E$59,2,FALSE)</f>
        <v>#VALUE!</v>
      </c>
      <c r="C2451" s="99" t="s">
        <v>4054</v>
      </c>
      <c r="D2451" s="100" t="e">
        <f t="shared" si="77"/>
        <v>#VALUE!</v>
      </c>
      <c r="E2451" s="64" t="s">
        <v>6603</v>
      </c>
      <c r="F2451" s="66" t="e" cm="1" vm="1">
        <f t="array" aca="1" ref="F245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1" s="66" t="s">
        <v>6604</v>
      </c>
      <c r="I2451" s="67">
        <v>45982</v>
      </c>
      <c r="J2451" s="67"/>
      <c r="K2451" s="68"/>
      <c r="L2451" s="69"/>
      <c r="M2451" s="66">
        <f t="shared" ca="1" si="76"/>
        <v>96</v>
      </c>
    </row>
    <row r="2452" spans="1:13" ht="60">
      <c r="A2452" s="64" t="s">
        <v>125</v>
      </c>
      <c r="B2452" s="98" t="e">
        <f>VLOOKUP([2]!Table27[[#This Row],[Location 
(drop-down)]],'[2]List source'!D$2:E$59,2,FALSE)</f>
        <v>#VALUE!</v>
      </c>
      <c r="C2452" s="99" t="s">
        <v>3964</v>
      </c>
      <c r="D2452" s="452" t="e">
        <f t="shared" si="77"/>
        <v>#VALUE!</v>
      </c>
      <c r="E2452" s="64" t="s">
        <v>6605</v>
      </c>
      <c r="F2452" s="66" t="e" cm="1" vm="1">
        <f t="array" aca="1" ref="F245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2" s="110" t="s">
        <v>4227</v>
      </c>
      <c r="I2452" s="67">
        <v>45982</v>
      </c>
      <c r="J2452" s="67" t="s">
        <v>111</v>
      </c>
      <c r="K2452" s="68">
        <v>46029</v>
      </c>
      <c r="L2452" s="457" t="s">
        <v>6065</v>
      </c>
      <c r="M2452" s="66" t="str">
        <f t="shared" ca="1" si="76"/>
        <v>CLOSED</v>
      </c>
    </row>
    <row r="2453" spans="1:13" ht="60">
      <c r="A2453" s="64" t="s">
        <v>125</v>
      </c>
      <c r="B2453" s="98" t="e">
        <f>VLOOKUP([2]!Table27[[#This Row],[Location 
(drop-down)]],'[2]List source'!D$2:E$59,2,FALSE)</f>
        <v>#VALUE!</v>
      </c>
      <c r="C2453" s="99" t="s">
        <v>2794</v>
      </c>
      <c r="D2453" s="452" t="e">
        <f t="shared" si="77"/>
        <v>#VALUE!</v>
      </c>
      <c r="E2453" s="64" t="s">
        <v>6606</v>
      </c>
      <c r="F2453" s="66" t="e" cm="1" vm="1">
        <f t="array" aca="1" ref="F245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3" s="110" t="s">
        <v>6607</v>
      </c>
      <c r="I2453" s="67">
        <v>45982</v>
      </c>
      <c r="J2453" s="67" t="s">
        <v>111</v>
      </c>
      <c r="K2453" s="68">
        <v>46029</v>
      </c>
      <c r="L2453" s="457" t="s">
        <v>6065</v>
      </c>
      <c r="M2453" s="66" t="str">
        <f t="shared" ca="1" si="76"/>
        <v>CLOSED</v>
      </c>
    </row>
    <row r="2454" spans="1:13" ht="45">
      <c r="A2454" s="64" t="s">
        <v>125</v>
      </c>
      <c r="B2454" s="98" t="e">
        <f>VLOOKUP([2]!Table27[[#This Row],[Location 
(drop-down)]],'[2]List source'!D$2:E$59,2,FALSE)</f>
        <v>#VALUE!</v>
      </c>
      <c r="C2454" s="99" t="s">
        <v>2796</v>
      </c>
      <c r="D2454" s="452" t="e">
        <f t="shared" si="77"/>
        <v>#VALUE!</v>
      </c>
      <c r="E2454" s="64" t="s">
        <v>6608</v>
      </c>
      <c r="F2454" s="66" t="e" cm="1" vm="1">
        <f t="array" aca="1" ref="F245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4" s="110" t="s">
        <v>2132</v>
      </c>
      <c r="I2454" s="67">
        <v>45982</v>
      </c>
      <c r="J2454" s="67" t="s">
        <v>34</v>
      </c>
      <c r="K2454" s="68">
        <v>46002</v>
      </c>
      <c r="L2454" s="458" t="s">
        <v>1505</v>
      </c>
      <c r="M2454" s="66" t="str">
        <f t="shared" ca="1" si="76"/>
        <v>CLOSED</v>
      </c>
    </row>
    <row r="2455" spans="1:13" ht="60">
      <c r="A2455" s="64" t="s">
        <v>125</v>
      </c>
      <c r="B2455" s="98" t="e">
        <f>VLOOKUP([2]!Table27[[#This Row],[Location 
(drop-down)]],'[2]List source'!D$2:E$59,2,FALSE)</f>
        <v>#VALUE!</v>
      </c>
      <c r="C2455" s="99" t="s">
        <v>3809</v>
      </c>
      <c r="D2455" s="452" t="e">
        <f t="shared" si="77"/>
        <v>#VALUE!</v>
      </c>
      <c r="E2455" s="64" t="s">
        <v>6609</v>
      </c>
      <c r="F2455" s="66" t="e" cm="1" vm="1">
        <f t="array" aca="1" ref="F245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5" s="110" t="s">
        <v>1778</v>
      </c>
      <c r="I2455" s="67">
        <v>45982</v>
      </c>
      <c r="J2455" s="67" t="s">
        <v>34</v>
      </c>
      <c r="K2455" s="68">
        <v>46002</v>
      </c>
      <c r="L2455" s="457" t="s">
        <v>6065</v>
      </c>
      <c r="M2455" s="66" t="str">
        <f t="shared" ca="1" si="76"/>
        <v>CLOSED</v>
      </c>
    </row>
    <row r="2456" spans="1:13" ht="45">
      <c r="A2456" s="64" t="s">
        <v>30</v>
      </c>
      <c r="B2456" s="98" t="e">
        <f>VLOOKUP([2]!Table27[[#This Row],[Location 
(drop-down)]],'[2]List source'!D$2:E$59,2,FALSE)</f>
        <v>#VALUE!</v>
      </c>
      <c r="C2456" s="99" t="s">
        <v>3849</v>
      </c>
      <c r="D2456" s="100" t="e">
        <f t="shared" si="77"/>
        <v>#VALUE!</v>
      </c>
      <c r="E2456" s="64" t="s">
        <v>6610</v>
      </c>
      <c r="F2456" s="66" t="e" cm="1" vm="1">
        <f t="array" aca="1" ref="F245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6" s="66">
        <v>2.3199999999999998</v>
      </c>
      <c r="I2456" s="67">
        <v>45982</v>
      </c>
      <c r="J2456" s="67" t="s">
        <v>34</v>
      </c>
      <c r="K2456" s="68">
        <v>45986</v>
      </c>
      <c r="L2456" s="69" t="s">
        <v>6411</v>
      </c>
      <c r="M2456" s="66" t="str">
        <f t="shared" ca="1" si="76"/>
        <v>CLOSED</v>
      </c>
    </row>
    <row r="2457" spans="1:13" ht="30">
      <c r="A2457" s="64" t="s">
        <v>103</v>
      </c>
      <c r="B2457" s="98" t="e">
        <f>VLOOKUP([2]!Table27[[#This Row],[Location 
(drop-down)]],'[2]List source'!D$2:E$59,2,FALSE)</f>
        <v>#VALUE!</v>
      </c>
      <c r="C2457" s="99" t="s">
        <v>2798</v>
      </c>
      <c r="D2457" s="100" t="e">
        <f t="shared" si="77"/>
        <v>#VALUE!</v>
      </c>
      <c r="E2457" s="64" t="s">
        <v>6611</v>
      </c>
      <c r="F2457" s="66" t="e" cm="1" vm="1">
        <f t="array" aca="1" ref="F245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7" s="110" t="s">
        <v>6612</v>
      </c>
      <c r="I2457" s="67">
        <v>45982</v>
      </c>
      <c r="J2457" s="67"/>
      <c r="K2457" s="68"/>
      <c r="L2457" s="69"/>
      <c r="M2457" s="66">
        <f t="shared" ca="1" si="76"/>
        <v>96</v>
      </c>
    </row>
    <row r="2458" spans="1:13" ht="45">
      <c r="A2458" s="64" t="s">
        <v>103</v>
      </c>
      <c r="B2458" s="98" t="e">
        <f>VLOOKUP([2]!Table27[[#This Row],[Location 
(drop-down)]],'[2]List source'!D$2:E$59,2,FALSE)</f>
        <v>#VALUE!</v>
      </c>
      <c r="C2458" s="99" t="s">
        <v>2968</v>
      </c>
      <c r="D2458" s="452" t="e">
        <f t="shared" si="77"/>
        <v>#VALUE!</v>
      </c>
      <c r="E2458" s="64" t="s">
        <v>6613</v>
      </c>
      <c r="F2458" s="66" t="e" cm="1" vm="1">
        <f t="array" aca="1" ref="F245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8" s="110" t="s">
        <v>1802</v>
      </c>
      <c r="I2458" s="67">
        <v>45982</v>
      </c>
      <c r="J2458" s="67" t="s">
        <v>34</v>
      </c>
      <c r="K2458" s="68">
        <v>46030</v>
      </c>
      <c r="L2458" s="457" t="s">
        <v>1505</v>
      </c>
      <c r="M2458" s="66" t="str">
        <f t="shared" ca="1" si="76"/>
        <v>CLOSED</v>
      </c>
    </row>
    <row r="2459" spans="1:13" ht="45">
      <c r="A2459" s="64" t="s">
        <v>103</v>
      </c>
      <c r="B2459" s="98" t="e">
        <f>VLOOKUP([2]!Table27[[#This Row],[Location 
(drop-down)]],'[2]List source'!D$2:E$59,2,FALSE)</f>
        <v>#VALUE!</v>
      </c>
      <c r="C2459" s="99" t="s">
        <v>2970</v>
      </c>
      <c r="D2459" s="452" t="e">
        <f t="shared" si="77"/>
        <v>#VALUE!</v>
      </c>
      <c r="E2459" s="64" t="s">
        <v>6614</v>
      </c>
      <c r="F2459" s="66" t="e" cm="1" vm="1">
        <f t="array" aca="1" ref="F245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59" s="110" t="s">
        <v>2975</v>
      </c>
      <c r="I2459" s="67">
        <v>45982</v>
      </c>
      <c r="J2459" s="67" t="s">
        <v>34</v>
      </c>
      <c r="K2459" s="68">
        <v>46030</v>
      </c>
      <c r="L2459" s="457" t="s">
        <v>1505</v>
      </c>
      <c r="M2459" s="66" t="str">
        <f t="shared" ca="1" si="76"/>
        <v>CLOSED</v>
      </c>
    </row>
    <row r="2460" spans="1:13" ht="45">
      <c r="A2460" s="64" t="s">
        <v>311</v>
      </c>
      <c r="B2460" s="98" t="e">
        <f>VLOOKUP([2]!Table27[[#This Row],[Location 
(drop-down)]],'[2]List source'!D$2:E$59,2,FALSE)</f>
        <v>#VALUE!</v>
      </c>
      <c r="C2460" s="99" t="s">
        <v>2800</v>
      </c>
      <c r="D2460" s="100" t="e">
        <f t="shared" si="77"/>
        <v>#VALUE!</v>
      </c>
      <c r="E2460" s="64" t="s">
        <v>6615</v>
      </c>
      <c r="F2460" s="66" t="e" cm="1" vm="1">
        <f t="array" aca="1" ref="F24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0" s="110" t="s">
        <v>6616</v>
      </c>
      <c r="I2460" s="67">
        <v>45982</v>
      </c>
      <c r="J2460" s="67" t="s">
        <v>310</v>
      </c>
      <c r="K2460" s="68">
        <v>46008</v>
      </c>
      <c r="L2460" s="69"/>
      <c r="M2460" s="66" t="str">
        <f t="shared" ca="1" si="76"/>
        <v>CLOSED</v>
      </c>
    </row>
    <row r="2461" spans="1:13" ht="45">
      <c r="A2461" s="64" t="s">
        <v>80</v>
      </c>
      <c r="B2461" s="98" t="e">
        <f>VLOOKUP([2]!Table27[[#This Row],[Location 
(drop-down)]],'[2]List source'!D$2:E$59,2,FALSE)</f>
        <v>#VALUE!</v>
      </c>
      <c r="C2461" s="99" t="s">
        <v>3625</v>
      </c>
      <c r="D2461" s="100" t="e">
        <f t="shared" si="77"/>
        <v>#VALUE!</v>
      </c>
      <c r="E2461" s="64" t="s">
        <v>6617</v>
      </c>
      <c r="F2461" s="66" t="e" cm="1" vm="1">
        <f t="array" aca="1" ref="F246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1" s="110">
        <v>20.93</v>
      </c>
      <c r="I2461" s="67">
        <v>45982</v>
      </c>
      <c r="J2461" s="67" t="s">
        <v>34</v>
      </c>
      <c r="K2461" s="68">
        <v>46031</v>
      </c>
      <c r="L2461" s="69" t="s">
        <v>1505</v>
      </c>
      <c r="M2461" s="66" t="str">
        <f t="shared" ca="1" si="76"/>
        <v>CLOSED</v>
      </c>
    </row>
    <row r="2462" spans="1:13" ht="60">
      <c r="A2462" s="64" t="s">
        <v>185</v>
      </c>
      <c r="B2462" s="98" t="e">
        <f>VLOOKUP([2]!Table27[[#This Row],[Location 
(drop-down)]],'[2]List source'!D$2:E$59,2,FALSE)</f>
        <v>#VALUE!</v>
      </c>
      <c r="C2462" s="99" t="s">
        <v>3276</v>
      </c>
      <c r="D2462" s="452" t="e">
        <f t="shared" si="77"/>
        <v>#VALUE!</v>
      </c>
      <c r="E2462" s="64" t="s">
        <v>6618</v>
      </c>
      <c r="F2462" s="66" t="e" cm="1" vm="1">
        <f t="array" aca="1" ref="F24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2" s="66">
        <v>2.39</v>
      </c>
      <c r="I2462" s="67">
        <v>45982</v>
      </c>
      <c r="J2462" s="67"/>
      <c r="K2462" s="68"/>
      <c r="L2462" s="457" t="s">
        <v>6065</v>
      </c>
      <c r="M2462" s="66">
        <f t="shared" ca="1" si="76"/>
        <v>96</v>
      </c>
    </row>
    <row r="2463" spans="1:13" ht="30">
      <c r="A2463" s="64" t="s">
        <v>167</v>
      </c>
      <c r="B2463" s="98" t="e">
        <f>VLOOKUP([2]!Table27[[#This Row],[Location 
(drop-down)]],'[2]List source'!D$2:E$59,2,FALSE)</f>
        <v>#VALUE!</v>
      </c>
      <c r="C2463" s="99" t="s">
        <v>2802</v>
      </c>
      <c r="D2463" s="100" t="e">
        <f t="shared" si="77"/>
        <v>#VALUE!</v>
      </c>
      <c r="E2463" s="64" t="s">
        <v>6619</v>
      </c>
      <c r="F2463" s="66" t="e" cm="1" vm="1">
        <f t="array" aca="1" ref="F246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3" s="110">
        <v>2.14</v>
      </c>
      <c r="I2463" s="67">
        <v>45982</v>
      </c>
      <c r="J2463" s="67" t="s">
        <v>34</v>
      </c>
      <c r="K2463" s="68">
        <v>45995</v>
      </c>
      <c r="L2463" s="69" t="s">
        <v>6411</v>
      </c>
      <c r="M2463" s="66" t="str">
        <f t="shared" ref="M2463:M2526" ca="1" si="78">IF(ISBLANK(K2463), TODAY()-(I2463), "CLOSED")</f>
        <v>CLOSED</v>
      </c>
    </row>
    <row r="2464" spans="1:13" ht="60">
      <c r="A2464" s="64" t="s">
        <v>73</v>
      </c>
      <c r="B2464" s="98" t="e">
        <f>VLOOKUP([2]!Table27[[#This Row],[Location 
(drop-down)]],'[2]List source'!D$2:E$59,2,FALSE)</f>
        <v>#VALUE!</v>
      </c>
      <c r="C2464" s="99" t="s">
        <v>2808</v>
      </c>
      <c r="D2464" s="452" t="e">
        <f t="shared" si="77"/>
        <v>#VALUE!</v>
      </c>
      <c r="E2464" s="64" t="s">
        <v>6620</v>
      </c>
      <c r="F2464" s="66" t="e" cm="1" vm="1">
        <f t="array" aca="1" ref="F24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4" s="66" t="s">
        <v>6621</v>
      </c>
      <c r="I2464" s="67">
        <v>45982</v>
      </c>
      <c r="J2464" s="67" t="s">
        <v>130</v>
      </c>
      <c r="K2464" s="68">
        <v>45996</v>
      </c>
      <c r="L2464" s="457" t="s">
        <v>6065</v>
      </c>
      <c r="M2464" s="66" t="str">
        <f t="shared" ca="1" si="78"/>
        <v>CLOSED</v>
      </c>
    </row>
    <row r="2465" spans="1:13" ht="45">
      <c r="A2465" s="64" t="s">
        <v>73</v>
      </c>
      <c r="B2465" s="98" t="e">
        <f>VLOOKUP([2]!Table27[[#This Row],[Location 
(drop-down)]],'[2]List source'!D$2:E$59,2,FALSE)</f>
        <v>#VALUE!</v>
      </c>
      <c r="C2465" s="99" t="s">
        <v>4308</v>
      </c>
      <c r="D2465" s="100" t="e">
        <f t="shared" si="77"/>
        <v>#VALUE!</v>
      </c>
      <c r="E2465" s="64" t="s">
        <v>6622</v>
      </c>
      <c r="F2465" s="66" t="e" cm="1" vm="1">
        <f t="array" aca="1" ref="F246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5" s="66" t="s">
        <v>1579</v>
      </c>
      <c r="I2465" s="67">
        <v>45982</v>
      </c>
      <c r="J2465" s="67"/>
      <c r="K2465" s="68"/>
      <c r="L2465" s="69"/>
      <c r="M2465" s="66">
        <f t="shared" ca="1" si="78"/>
        <v>96</v>
      </c>
    </row>
    <row r="2466" spans="1:13" ht="60">
      <c r="A2466" s="64" t="s">
        <v>73</v>
      </c>
      <c r="B2466" s="98" t="e">
        <f>VLOOKUP([2]!Table27[[#This Row],[Location 
(drop-down)]],'[2]List source'!D$2:E$59,2,FALSE)</f>
        <v>#VALUE!</v>
      </c>
      <c r="C2466" s="99" t="s">
        <v>4310</v>
      </c>
      <c r="D2466" s="100" t="e">
        <f t="shared" si="77"/>
        <v>#VALUE!</v>
      </c>
      <c r="E2466" s="64" t="s">
        <v>6623</v>
      </c>
      <c r="F2466" s="66" t="e" cm="1" vm="1">
        <f t="array" aca="1" ref="F24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6" s="110" t="s">
        <v>6624</v>
      </c>
      <c r="I2466" s="67">
        <v>45982</v>
      </c>
      <c r="J2466" s="67"/>
      <c r="K2466" s="68"/>
      <c r="L2466" s="69"/>
      <c r="M2466" s="66">
        <f t="shared" ca="1" si="78"/>
        <v>96</v>
      </c>
    </row>
    <row r="2467" spans="1:13" ht="60">
      <c r="A2467" s="64" t="s">
        <v>73</v>
      </c>
      <c r="B2467" s="98" t="e">
        <f>VLOOKUP([2]!Table27[[#This Row],[Location 
(drop-down)]],'[2]List source'!D$2:E$59,2,FALSE)</f>
        <v>#VALUE!</v>
      </c>
      <c r="C2467" s="99" t="s">
        <v>4313</v>
      </c>
      <c r="D2467" s="452" t="e">
        <f t="shared" si="77"/>
        <v>#VALUE!</v>
      </c>
      <c r="E2467" s="64" t="s">
        <v>6625</v>
      </c>
      <c r="F2467" s="66" t="e" cm="1" vm="1">
        <f t="array" aca="1" ref="F24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7" s="110" t="s">
        <v>6626</v>
      </c>
      <c r="I2467" s="67">
        <v>45982</v>
      </c>
      <c r="J2467" s="67" t="s">
        <v>327</v>
      </c>
      <c r="K2467" s="68">
        <v>45996</v>
      </c>
      <c r="L2467" s="457" t="s">
        <v>6065</v>
      </c>
      <c r="M2467" s="66" t="str">
        <f t="shared" ca="1" si="78"/>
        <v>CLOSED</v>
      </c>
    </row>
    <row r="2468" spans="1:13" ht="30">
      <c r="A2468" s="64" t="s">
        <v>73</v>
      </c>
      <c r="B2468" s="98" t="e">
        <f>VLOOKUP([2]!Table27[[#This Row],[Location 
(drop-down)]],'[2]List source'!D$2:E$59,2,FALSE)</f>
        <v>#VALUE!</v>
      </c>
      <c r="C2468" s="99" t="s">
        <v>2804</v>
      </c>
      <c r="D2468" s="100" t="e">
        <f t="shared" si="77"/>
        <v>#VALUE!</v>
      </c>
      <c r="E2468" s="64" t="s">
        <v>6627</v>
      </c>
      <c r="F2468" s="66" t="e" cm="1" vm="1">
        <f t="array" aca="1" ref="F24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8" s="66">
        <v>2.0299999999999998</v>
      </c>
      <c r="I2468" s="67">
        <v>45982</v>
      </c>
      <c r="J2468" s="67" t="s">
        <v>239</v>
      </c>
      <c r="K2468" s="68">
        <v>46022</v>
      </c>
      <c r="L2468" s="69"/>
      <c r="M2468" s="66" t="str">
        <f t="shared" ca="1" si="78"/>
        <v>CLOSED</v>
      </c>
    </row>
    <row r="2469" spans="1:13" ht="90">
      <c r="A2469" s="64" t="s">
        <v>500</v>
      </c>
      <c r="B2469" s="98" t="e">
        <f>VLOOKUP([2]!Table27[[#This Row],[Location 
(drop-down)]],'[2]List source'!D$2:E$59,2,FALSE)</f>
        <v>#VALUE!</v>
      </c>
      <c r="C2469" s="99" t="s">
        <v>2806</v>
      </c>
      <c r="D2469" s="100" t="e">
        <f t="shared" si="77"/>
        <v>#VALUE!</v>
      </c>
      <c r="E2469" s="64" t="s">
        <v>6628</v>
      </c>
      <c r="F2469" s="66" t="e" cm="1" vm="1">
        <f t="array" aca="1" ref="F246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69" s="110" t="s">
        <v>6629</v>
      </c>
      <c r="I2469" s="67">
        <v>45982</v>
      </c>
      <c r="J2469" s="67" t="s">
        <v>310</v>
      </c>
      <c r="K2469" s="68">
        <v>46015</v>
      </c>
      <c r="L2469" s="69"/>
      <c r="M2469" s="66" t="str">
        <f t="shared" ca="1" si="78"/>
        <v>CLOSED</v>
      </c>
    </row>
    <row r="2470" spans="1:13" ht="105">
      <c r="A2470" s="64" t="s">
        <v>500</v>
      </c>
      <c r="B2470" s="98" t="e">
        <f>VLOOKUP([2]!Table27[[#This Row],[Location 
(drop-down)]],'[2]List source'!D$2:E$59,2,FALSE)</f>
        <v>#VALUE!</v>
      </c>
      <c r="C2470" s="99" t="s">
        <v>3934</v>
      </c>
      <c r="D2470" s="100" t="e">
        <f t="shared" si="77"/>
        <v>#VALUE!</v>
      </c>
      <c r="E2470" s="64" t="s">
        <v>6630</v>
      </c>
      <c r="F2470" s="66" t="e" cm="1" vm="1">
        <f t="array" aca="1" ref="F247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0" s="110" t="s">
        <v>6631</v>
      </c>
      <c r="I2470" s="67">
        <v>45982</v>
      </c>
      <c r="J2470" s="67" t="s">
        <v>310</v>
      </c>
      <c r="K2470" s="68">
        <v>46063</v>
      </c>
      <c r="L2470" s="69"/>
      <c r="M2470" s="66" t="str">
        <f t="shared" ca="1" si="78"/>
        <v>CLOSED</v>
      </c>
    </row>
    <row r="2471" spans="1:13" ht="30">
      <c r="A2471" s="64" t="s">
        <v>500</v>
      </c>
      <c r="B2471" s="98" t="e">
        <f>VLOOKUP([2]!Table27[[#This Row],[Location 
(drop-down)]],'[2]List source'!D$2:E$59,2,FALSE)</f>
        <v>#VALUE!</v>
      </c>
      <c r="C2471" s="99" t="s">
        <v>4028</v>
      </c>
      <c r="D2471" s="100" t="e">
        <f t="shared" si="77"/>
        <v>#VALUE!</v>
      </c>
      <c r="E2471" s="64" t="s">
        <v>6632</v>
      </c>
      <c r="F2471" s="66" t="e" cm="1" vm="1">
        <f t="array" aca="1" ref="F247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1" s="110" t="s">
        <v>6410</v>
      </c>
      <c r="I2471" s="67">
        <v>45982</v>
      </c>
      <c r="J2471" s="67"/>
      <c r="K2471" s="68"/>
      <c r="L2471" s="69"/>
      <c r="M2471" s="66">
        <f t="shared" ca="1" si="78"/>
        <v>96</v>
      </c>
    </row>
    <row r="2472" spans="1:13" ht="45">
      <c r="A2472" s="64" t="s">
        <v>500</v>
      </c>
      <c r="B2472" s="98" t="e">
        <f>VLOOKUP([2]!Table27[[#This Row],[Location 
(drop-down)]],'[2]List source'!D$2:E$59,2,FALSE)</f>
        <v>#VALUE!</v>
      </c>
      <c r="C2472" s="99" t="s">
        <v>3627</v>
      </c>
      <c r="D2472" s="452" t="e">
        <f t="shared" si="77"/>
        <v>#VALUE!</v>
      </c>
      <c r="E2472" s="64" t="s">
        <v>6633</v>
      </c>
      <c r="F2472" s="66" t="e" cm="1" vm="1">
        <f t="array" aca="1" ref="F247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2" s="110" t="s">
        <v>6634</v>
      </c>
      <c r="I2472" s="67">
        <v>45982</v>
      </c>
      <c r="J2472" s="67" t="s">
        <v>34</v>
      </c>
      <c r="K2472" s="68">
        <v>46052</v>
      </c>
      <c r="L2472" s="457" t="s">
        <v>6411</v>
      </c>
      <c r="M2472" s="66" t="str">
        <f t="shared" ca="1" si="78"/>
        <v>CLOSED</v>
      </c>
    </row>
    <row r="2473" spans="1:13" ht="120">
      <c r="A2473" s="64" t="s">
        <v>43</v>
      </c>
      <c r="B2473" s="98" t="e">
        <f>VLOOKUP([2]!Table27[[#This Row],[Location 
(drop-down)]],'[2]List source'!D$2:E$59,2,FALSE)</f>
        <v>#VALUE!</v>
      </c>
      <c r="C2473" s="99" t="s">
        <v>3497</v>
      </c>
      <c r="D2473" s="100" t="e">
        <f t="shared" si="77"/>
        <v>#VALUE!</v>
      </c>
      <c r="E2473" s="64" t="s">
        <v>6635</v>
      </c>
      <c r="F2473" s="66" t="e" cm="1" vm="1">
        <f t="array" aca="1" ref="F247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3" s="110" t="s">
        <v>6636</v>
      </c>
      <c r="I2473" s="67">
        <v>45982</v>
      </c>
      <c r="J2473" s="67" t="s">
        <v>29</v>
      </c>
      <c r="K2473" s="68">
        <v>46006</v>
      </c>
      <c r="L2473" s="69"/>
      <c r="M2473" s="66" t="str">
        <f t="shared" ca="1" si="78"/>
        <v>CLOSED</v>
      </c>
    </row>
    <row r="2474" spans="1:13" ht="60">
      <c r="A2474" s="64" t="s">
        <v>714</v>
      </c>
      <c r="B2474" s="98" t="e">
        <f>VLOOKUP([2]!Table27[[#This Row],[Location 
(drop-down)]],'[2]List source'!D$2:E$59,2,FALSE)</f>
        <v>#VALUE!</v>
      </c>
      <c r="C2474" s="99" t="s">
        <v>3201</v>
      </c>
      <c r="D2474" s="452" t="e">
        <f t="shared" si="77"/>
        <v>#VALUE!</v>
      </c>
      <c r="E2474" s="64" t="s">
        <v>6637</v>
      </c>
      <c r="F2474" s="66" t="e" cm="1" vm="1">
        <f t="array" aca="1" ref="F247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4" s="66">
        <v>2.82</v>
      </c>
      <c r="I2474" s="67">
        <v>45982</v>
      </c>
      <c r="J2474" s="67"/>
      <c r="K2474" s="68"/>
      <c r="L2474" s="457" t="s">
        <v>6065</v>
      </c>
      <c r="M2474" s="66">
        <f t="shared" ca="1" si="78"/>
        <v>96</v>
      </c>
    </row>
    <row r="2475" spans="1:13" ht="30">
      <c r="A2475" s="64" t="s">
        <v>714</v>
      </c>
      <c r="B2475" s="98" t="e">
        <f>VLOOKUP([2]!Table27[[#This Row],[Location 
(drop-down)]],'[2]List source'!D$2:E$59,2,FALSE)</f>
        <v>#VALUE!</v>
      </c>
      <c r="C2475" s="99" t="s">
        <v>3203</v>
      </c>
      <c r="D2475" s="100" t="e">
        <f t="shared" si="77"/>
        <v>#VALUE!</v>
      </c>
      <c r="E2475" s="64" t="s">
        <v>6638</v>
      </c>
      <c r="F2475" s="66" t="e" cm="1" vm="1">
        <f t="array" aca="1" ref="F247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5" s="110" t="s">
        <v>2042</v>
      </c>
      <c r="I2475" s="67">
        <v>45982</v>
      </c>
      <c r="J2475" s="67"/>
      <c r="K2475" s="68"/>
      <c r="L2475" s="69"/>
      <c r="M2475" s="66">
        <f t="shared" ca="1" si="78"/>
        <v>96</v>
      </c>
    </row>
    <row r="2476" spans="1:13" ht="60">
      <c r="A2476" s="64" t="s">
        <v>714</v>
      </c>
      <c r="B2476" s="98" t="e">
        <f>VLOOKUP([2]!Table27[[#This Row],[Location 
(drop-down)]],'[2]List source'!D$2:E$59,2,FALSE)</f>
        <v>#VALUE!</v>
      </c>
      <c r="C2476" s="99" t="s">
        <v>3066</v>
      </c>
      <c r="D2476" s="452" t="e">
        <f t="shared" si="77"/>
        <v>#VALUE!</v>
      </c>
      <c r="E2476" s="64" t="s">
        <v>6639</v>
      </c>
      <c r="F2476" s="66" t="e" cm="1" vm="1">
        <f t="array" aca="1" ref="F247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6" s="110" t="s">
        <v>6640</v>
      </c>
      <c r="I2476" s="67">
        <v>45982</v>
      </c>
      <c r="J2476" s="67"/>
      <c r="K2476" s="68"/>
      <c r="L2476" s="457" t="s">
        <v>6065</v>
      </c>
      <c r="M2476" s="66">
        <f t="shared" ca="1" si="78"/>
        <v>96</v>
      </c>
    </row>
    <row r="2477" spans="1:13" ht="30">
      <c r="A2477" s="64" t="s">
        <v>39</v>
      </c>
      <c r="B2477" s="98" t="e">
        <f>VLOOKUP([2]!Table27[[#This Row],[Location 
(drop-down)]],'[2]List source'!D$2:E$59,2,FALSE)</f>
        <v>#VALUE!</v>
      </c>
      <c r="C2477" s="99" t="s">
        <v>3463</v>
      </c>
      <c r="D2477" s="100" t="e">
        <f t="shared" si="77"/>
        <v>#VALUE!</v>
      </c>
      <c r="E2477" s="64" t="s">
        <v>6641</v>
      </c>
      <c r="F2477" s="66" t="e" cm="1" vm="1">
        <f t="array" aca="1" ref="F247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7" s="66">
        <v>2.72</v>
      </c>
      <c r="I2477" s="67">
        <v>45992</v>
      </c>
      <c r="J2477" s="67"/>
      <c r="K2477" s="68"/>
      <c r="L2477" s="69"/>
      <c r="M2477" s="66">
        <f t="shared" ca="1" si="78"/>
        <v>86</v>
      </c>
    </row>
    <row r="2478" spans="1:13" ht="45">
      <c r="A2478" s="64" t="s">
        <v>39</v>
      </c>
      <c r="B2478" s="98" t="e">
        <f>VLOOKUP([2]!Table27[[#This Row],[Location 
(drop-down)]],'[2]List source'!D$2:E$59,2,FALSE)</f>
        <v>#VALUE!</v>
      </c>
      <c r="C2478" s="99" t="s">
        <v>3255</v>
      </c>
      <c r="D2478" s="100" t="e">
        <f t="shared" si="77"/>
        <v>#VALUE!</v>
      </c>
      <c r="E2478" s="64" t="s">
        <v>6642</v>
      </c>
      <c r="F2478" s="66" t="e" cm="1" vm="1">
        <f t="array" aca="1" ref="F247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8" s="110" t="s">
        <v>2117</v>
      </c>
      <c r="I2478" s="67">
        <v>45992</v>
      </c>
      <c r="J2478" s="67" t="s">
        <v>34</v>
      </c>
      <c r="K2478" s="68">
        <v>45992</v>
      </c>
      <c r="L2478" s="153" t="s">
        <v>6643</v>
      </c>
      <c r="M2478" s="66" t="str">
        <f t="shared" ca="1" si="78"/>
        <v>CLOSED</v>
      </c>
    </row>
    <row r="2479" spans="1:13" ht="45">
      <c r="A2479" s="64" t="s">
        <v>39</v>
      </c>
      <c r="B2479" s="98" t="e">
        <f>VLOOKUP([2]!Table27[[#This Row],[Location 
(drop-down)]],'[2]List source'!D$2:E$59,2,FALSE)</f>
        <v>#VALUE!</v>
      </c>
      <c r="C2479" s="99" t="s">
        <v>4278</v>
      </c>
      <c r="D2479" s="100" t="e">
        <f t="shared" si="77"/>
        <v>#VALUE!</v>
      </c>
      <c r="E2479" s="64" t="s">
        <v>6644</v>
      </c>
      <c r="F2479" s="66" t="e" cm="1" vm="1">
        <f t="array" aca="1" ref="F247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79" s="110">
        <v>2.8</v>
      </c>
      <c r="I2479" s="67">
        <v>45992</v>
      </c>
      <c r="J2479" s="67" t="s">
        <v>34</v>
      </c>
      <c r="K2479" s="68">
        <v>45992</v>
      </c>
      <c r="L2479" s="153" t="s">
        <v>6643</v>
      </c>
      <c r="M2479" s="66" t="str">
        <f t="shared" ca="1" si="78"/>
        <v>CLOSED</v>
      </c>
    </row>
    <row r="2480" spans="1:13" ht="30">
      <c r="A2480" s="64" t="s">
        <v>119</v>
      </c>
      <c r="B2480" s="98" t="e">
        <f>VLOOKUP([2]!Table27[[#This Row],[Location 
(drop-down)]],'[2]List source'!D$2:E$59,2,FALSE)</f>
        <v>#VALUE!</v>
      </c>
      <c r="C2480" s="99" t="s">
        <v>4280</v>
      </c>
      <c r="D2480" s="100" t="e">
        <f t="shared" si="77"/>
        <v>#VALUE!</v>
      </c>
      <c r="E2480" s="64" t="s">
        <v>6645</v>
      </c>
      <c r="F2480" s="66" t="e" cm="1" vm="1">
        <f t="array" aca="1" ref="F248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0" s="110">
        <v>-17.71</v>
      </c>
      <c r="I2480" s="67">
        <v>45992</v>
      </c>
      <c r="J2480" s="67"/>
      <c r="K2480" s="68"/>
      <c r="L2480" s="69"/>
      <c r="M2480" s="66">
        <f t="shared" ca="1" si="78"/>
        <v>86</v>
      </c>
    </row>
    <row r="2481" spans="1:13" ht="30">
      <c r="A2481" s="64" t="s">
        <v>30</v>
      </c>
      <c r="B2481" s="98" t="e">
        <f>VLOOKUP([2]!Table27[[#This Row],[Location 
(drop-down)]],'[2]List source'!D$2:E$59,2,FALSE)</f>
        <v>#VALUE!</v>
      </c>
      <c r="C2481" s="99" t="s">
        <v>2858</v>
      </c>
      <c r="D2481" s="100" t="e">
        <f t="shared" si="77"/>
        <v>#VALUE!</v>
      </c>
      <c r="E2481" s="64" t="s">
        <v>6646</v>
      </c>
      <c r="F2481" s="66" t="e" cm="1" vm="1">
        <f t="array" aca="1" ref="F248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1" s="66">
        <v>2.2000000000000002</v>
      </c>
      <c r="I2481" s="67">
        <v>45992</v>
      </c>
      <c r="J2481" s="67"/>
      <c r="K2481" s="68"/>
      <c r="L2481" s="69"/>
      <c r="M2481" s="66">
        <f t="shared" ca="1" si="78"/>
        <v>86</v>
      </c>
    </row>
    <row r="2482" spans="1:13" ht="30">
      <c r="A2482" s="64" t="s">
        <v>30</v>
      </c>
      <c r="B2482" s="98" t="e">
        <f>VLOOKUP([2]!Table27[[#This Row],[Location 
(drop-down)]],'[2]List source'!D$2:E$59,2,FALSE)</f>
        <v>#VALUE!</v>
      </c>
      <c r="C2482" s="99" t="s">
        <v>2860</v>
      </c>
      <c r="D2482" s="100" t="e">
        <f t="shared" si="77"/>
        <v>#VALUE!</v>
      </c>
      <c r="E2482" s="64" t="s">
        <v>6647</v>
      </c>
      <c r="F2482" s="66" t="e" cm="1" vm="1">
        <f t="array" aca="1" ref="F248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2" s="110" t="s">
        <v>2956</v>
      </c>
      <c r="I2482" s="67">
        <v>45992</v>
      </c>
      <c r="J2482" s="67"/>
      <c r="K2482" s="68"/>
      <c r="L2482" s="69"/>
      <c r="M2482" s="66">
        <f t="shared" ca="1" si="78"/>
        <v>86</v>
      </c>
    </row>
    <row r="2483" spans="1:13" ht="45">
      <c r="A2483" s="64" t="s">
        <v>103</v>
      </c>
      <c r="B2483" s="98" t="e">
        <f>VLOOKUP([2]!Table27[[#This Row],[Location 
(drop-down)]],'[2]List source'!D$2:E$59,2,FALSE)</f>
        <v>#VALUE!</v>
      </c>
      <c r="C2483" s="99" t="s">
        <v>2863</v>
      </c>
      <c r="D2483" s="100" t="e">
        <f t="shared" si="77"/>
        <v>#VALUE!</v>
      </c>
      <c r="E2483" s="64" t="s">
        <v>6648</v>
      </c>
      <c r="F2483" s="66" t="e" cm="1" vm="1">
        <f t="array" aca="1" ref="F248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3" s="66" t="s">
        <v>6649</v>
      </c>
      <c r="I2483" s="67">
        <v>45992</v>
      </c>
      <c r="J2483" s="67" t="s">
        <v>34</v>
      </c>
      <c r="K2483" s="68">
        <v>45992</v>
      </c>
      <c r="L2483" s="69" t="s">
        <v>6403</v>
      </c>
      <c r="M2483" s="66" t="str">
        <f t="shared" ca="1" si="78"/>
        <v>CLOSED</v>
      </c>
    </row>
    <row r="2484" spans="1:13" ht="60">
      <c r="A2484" s="64" t="s">
        <v>311</v>
      </c>
      <c r="B2484" s="98" t="e">
        <f>VLOOKUP([2]!Table27[[#This Row],[Location 
(drop-down)]],'[2]List source'!D$2:E$59,2,FALSE)</f>
        <v>#VALUE!</v>
      </c>
      <c r="C2484" s="99" t="s">
        <v>2954</v>
      </c>
      <c r="D2484" s="100" t="e">
        <f t="shared" si="77"/>
        <v>#VALUE!</v>
      </c>
      <c r="E2484" s="64" t="s">
        <v>6650</v>
      </c>
      <c r="F2484" s="66" t="e" cm="1" vm="1">
        <f t="array" aca="1" ref="F248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4" s="110" t="s">
        <v>6651</v>
      </c>
      <c r="I2484" s="67">
        <v>45992</v>
      </c>
      <c r="J2484" s="67"/>
      <c r="K2484" s="68"/>
      <c r="L2484" s="69"/>
      <c r="M2484" s="66">
        <f t="shared" ca="1" si="78"/>
        <v>86</v>
      </c>
    </row>
    <row r="2485" spans="1:13" ht="45">
      <c r="A2485" s="64" t="s">
        <v>64</v>
      </c>
      <c r="B2485" s="98" t="e">
        <f>VLOOKUP([2]!Table27[[#This Row],[Location 
(drop-down)]],'[2]List source'!D$2:E$59,2,FALSE)</f>
        <v>#VALUE!</v>
      </c>
      <c r="C2485" s="99" t="s">
        <v>2865</v>
      </c>
      <c r="D2485" s="100" t="e">
        <f t="shared" si="77"/>
        <v>#VALUE!</v>
      </c>
      <c r="E2485" s="64" t="s">
        <v>6652</v>
      </c>
      <c r="F2485" s="66" t="e" cm="1" vm="1">
        <f t="array" aca="1" ref="F248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5" s="110" t="s">
        <v>6653</v>
      </c>
      <c r="I2485" s="67">
        <v>45992</v>
      </c>
      <c r="J2485" s="67" t="s">
        <v>34</v>
      </c>
      <c r="K2485" s="68">
        <v>46017</v>
      </c>
      <c r="L2485" s="69" t="s">
        <v>1505</v>
      </c>
      <c r="M2485" s="66" t="str">
        <f t="shared" ca="1" si="78"/>
        <v>CLOSED</v>
      </c>
    </row>
    <row r="2486" spans="1:13" ht="30">
      <c r="A2486" s="64" t="s">
        <v>167</v>
      </c>
      <c r="B2486" s="98" t="e">
        <f>VLOOKUP([2]!Table27[[#This Row],[Location 
(drop-down)]],'[2]List source'!D$2:E$59,2,FALSE)</f>
        <v>#VALUE!</v>
      </c>
      <c r="C2486" s="99" t="s">
        <v>2867</v>
      </c>
      <c r="D2486" s="100" t="e">
        <f t="shared" si="77"/>
        <v>#VALUE!</v>
      </c>
      <c r="E2486" s="64" t="s">
        <v>6654</v>
      </c>
      <c r="F2486" s="66" t="e" cm="1" vm="1">
        <f t="array" aca="1" ref="F248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6" s="66">
        <v>2.97</v>
      </c>
      <c r="I2486" s="67">
        <v>45992</v>
      </c>
      <c r="J2486" s="67" t="s">
        <v>34</v>
      </c>
      <c r="K2486" s="68">
        <v>46007</v>
      </c>
      <c r="L2486" s="147" t="s">
        <v>6411</v>
      </c>
      <c r="M2486" s="66" t="str">
        <f t="shared" ca="1" si="78"/>
        <v>CLOSED</v>
      </c>
    </row>
    <row r="2487" spans="1:13" ht="30">
      <c r="A2487" s="64" t="s">
        <v>314</v>
      </c>
      <c r="B2487" s="98" t="e">
        <f>VLOOKUP([2]!Table27[[#This Row],[Location 
(drop-down)]],'[2]List source'!D$2:E$59,2,FALSE)</f>
        <v>#VALUE!</v>
      </c>
      <c r="C2487" s="99" t="s">
        <v>2870</v>
      </c>
      <c r="D2487" s="100" t="e">
        <f t="shared" si="77"/>
        <v>#VALUE!</v>
      </c>
      <c r="E2487" s="64" t="s">
        <v>6655</v>
      </c>
      <c r="F2487" s="66" t="e" cm="1" vm="1">
        <f t="array" aca="1" ref="F248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7" s="110" t="s">
        <v>5540</v>
      </c>
      <c r="I2487" s="67">
        <v>45992</v>
      </c>
      <c r="J2487" s="67" t="s">
        <v>327</v>
      </c>
      <c r="K2487" s="68">
        <v>46066</v>
      </c>
      <c r="L2487" s="69"/>
      <c r="M2487" s="66" t="str">
        <f t="shared" ca="1" si="78"/>
        <v>CLOSED</v>
      </c>
    </row>
    <row r="2488" spans="1:13" ht="45">
      <c r="A2488" s="64" t="s">
        <v>314</v>
      </c>
      <c r="B2488" s="98" t="e">
        <f>VLOOKUP([2]!Table27[[#This Row],[Location 
(drop-down)]],'[2]List source'!D$2:E$59,2,FALSE)</f>
        <v>#VALUE!</v>
      </c>
      <c r="C2488" s="99" t="s">
        <v>3734</v>
      </c>
      <c r="D2488" s="100" t="e">
        <f t="shared" si="77"/>
        <v>#VALUE!</v>
      </c>
      <c r="E2488" s="64" t="s">
        <v>6656</v>
      </c>
      <c r="F2488" s="66" t="e" cm="1" vm="1">
        <f t="array" aca="1" ref="F248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8" s="66">
        <v>4.63</v>
      </c>
      <c r="I2488" s="67">
        <v>45992</v>
      </c>
      <c r="J2488" s="67" t="s">
        <v>34</v>
      </c>
      <c r="K2488" s="68">
        <v>46055</v>
      </c>
      <c r="L2488" s="69" t="s">
        <v>1505</v>
      </c>
      <c r="M2488" s="66" t="str">
        <f t="shared" ca="1" si="78"/>
        <v>CLOSED</v>
      </c>
    </row>
    <row r="2489" spans="1:13" ht="30">
      <c r="A2489" s="64" t="s">
        <v>294</v>
      </c>
      <c r="B2489" s="98" t="e">
        <f>VLOOKUP([2]!Table27[[#This Row],[Location 
(drop-down)]],'[2]List source'!D$2:E$59,2,FALSE)</f>
        <v>#VALUE!</v>
      </c>
      <c r="C2489" s="99" t="s">
        <v>3605</v>
      </c>
      <c r="D2489" s="100" t="e">
        <f t="shared" si="77"/>
        <v>#VALUE!</v>
      </c>
      <c r="E2489" s="64" t="s">
        <v>6657</v>
      </c>
      <c r="F2489" s="66" t="e" cm="1" vm="1">
        <f t="array" aca="1" ref="F248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89" s="66">
        <v>2.14</v>
      </c>
      <c r="I2489" s="67">
        <v>45992</v>
      </c>
      <c r="J2489" s="67"/>
      <c r="K2489" s="68"/>
      <c r="L2489" s="69"/>
      <c r="M2489" s="66">
        <f t="shared" ca="1" si="78"/>
        <v>86</v>
      </c>
    </row>
    <row r="2490" spans="1:13" ht="30">
      <c r="A2490" s="64" t="s">
        <v>294</v>
      </c>
      <c r="B2490" s="98" t="e">
        <f>VLOOKUP([2]!Table27[[#This Row],[Location 
(drop-down)]],'[2]List source'!D$2:E$59,2,FALSE)</f>
        <v>#VALUE!</v>
      </c>
      <c r="C2490" s="99" t="s">
        <v>2872</v>
      </c>
      <c r="D2490" s="100" t="e">
        <f t="shared" si="77"/>
        <v>#VALUE!</v>
      </c>
      <c r="E2490" s="64" t="s">
        <v>6658</v>
      </c>
      <c r="F2490" s="66" t="e" cm="1" vm="1">
        <f t="array" aca="1" ref="F249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0" s="66">
        <v>12.46</v>
      </c>
      <c r="I2490" s="67">
        <v>45992</v>
      </c>
      <c r="J2490" s="67"/>
      <c r="K2490" s="68"/>
      <c r="L2490" s="147"/>
      <c r="M2490" s="66">
        <f t="shared" ca="1" si="78"/>
        <v>86</v>
      </c>
    </row>
    <row r="2491" spans="1:13" ht="30">
      <c r="A2491" s="64" t="s">
        <v>73</v>
      </c>
      <c r="B2491" s="98" t="e">
        <f>VLOOKUP([2]!Table27[[#This Row],[Location 
(drop-down)]],'[2]List source'!D$2:E$59,2,FALSE)</f>
        <v>#VALUE!</v>
      </c>
      <c r="C2491" s="99" t="s">
        <v>3639</v>
      </c>
      <c r="D2491" s="100" t="e">
        <f t="shared" si="77"/>
        <v>#VALUE!</v>
      </c>
      <c r="E2491" s="64" t="s">
        <v>6659</v>
      </c>
      <c r="F2491" s="66" t="e" cm="1" vm="1">
        <f t="array" aca="1" ref="F249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1" s="66">
        <v>3.46</v>
      </c>
      <c r="I2491" s="67">
        <v>45992</v>
      </c>
      <c r="J2491" s="67"/>
      <c r="K2491" s="68"/>
      <c r="L2491" s="69"/>
      <c r="M2491" s="66">
        <f t="shared" ca="1" si="78"/>
        <v>86</v>
      </c>
    </row>
    <row r="2492" spans="1:13" ht="30">
      <c r="A2492" s="64" t="s">
        <v>73</v>
      </c>
      <c r="B2492" s="98" t="e">
        <f>VLOOKUP([2]!Table27[[#This Row],[Location 
(drop-down)]],'[2]List source'!D$2:E$59,2,FALSE)</f>
        <v>#VALUE!</v>
      </c>
      <c r="C2492" s="99" t="s">
        <v>2881</v>
      </c>
      <c r="D2492" s="100" t="e">
        <f t="shared" si="77"/>
        <v>#VALUE!</v>
      </c>
      <c r="E2492" s="64" t="s">
        <v>6660</v>
      </c>
      <c r="F2492" s="66" t="e" cm="1" vm="1">
        <f t="array" aca="1" ref="F249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2" s="66">
        <v>2.63</v>
      </c>
      <c r="I2492" s="67">
        <v>45992</v>
      </c>
      <c r="J2492" s="67"/>
      <c r="K2492" s="68"/>
      <c r="L2492" s="147"/>
      <c r="M2492" s="66">
        <f t="shared" ca="1" si="78"/>
        <v>86</v>
      </c>
    </row>
    <row r="2493" spans="1:13" ht="30">
      <c r="A2493" s="64" t="s">
        <v>73</v>
      </c>
      <c r="B2493" s="98" t="e">
        <f>VLOOKUP([2]!Table27[[#This Row],[Location 
(drop-down)]],'[2]List source'!D$2:E$59,2,FALSE)</f>
        <v>#VALUE!</v>
      </c>
      <c r="C2493" s="99" t="s">
        <v>3642</v>
      </c>
      <c r="D2493" s="100" t="e">
        <f t="shared" si="77"/>
        <v>#VALUE!</v>
      </c>
      <c r="E2493" s="64" t="s">
        <v>6661</v>
      </c>
      <c r="F2493" s="66" t="e" cm="1" vm="1">
        <f t="array" aca="1" ref="F249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3" s="110" t="s">
        <v>6662</v>
      </c>
      <c r="I2493" s="67">
        <v>45992</v>
      </c>
      <c r="J2493" s="67" t="s">
        <v>327</v>
      </c>
      <c r="K2493" s="68">
        <v>46073</v>
      </c>
      <c r="L2493" s="69"/>
      <c r="M2493" s="66" t="str">
        <f t="shared" ca="1" si="78"/>
        <v>CLOSED</v>
      </c>
    </row>
    <row r="2494" spans="1:13" ht="45">
      <c r="A2494" s="64" t="s">
        <v>485</v>
      </c>
      <c r="B2494" s="98" t="e">
        <f>VLOOKUP([2]!Table27[[#This Row],[Location 
(drop-down)]],'[2]List source'!D$2:E$59,2,FALSE)</f>
        <v>#VALUE!</v>
      </c>
      <c r="C2494" s="99" t="s">
        <v>3996</v>
      </c>
      <c r="D2494" s="100" t="e">
        <f t="shared" si="77"/>
        <v>#VALUE!</v>
      </c>
      <c r="E2494" s="64" t="s">
        <v>6663</v>
      </c>
      <c r="F2494" s="66" t="e" cm="1" vm="1">
        <f t="array" aca="1" ref="F249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4" s="66">
        <v>698.57</v>
      </c>
      <c r="I2494" s="67">
        <v>45992</v>
      </c>
      <c r="J2494" s="67" t="s">
        <v>34</v>
      </c>
      <c r="K2494" s="68">
        <v>46048</v>
      </c>
      <c r="L2494" s="69" t="s">
        <v>1505</v>
      </c>
      <c r="M2494" s="66" t="str">
        <f t="shared" ca="1" si="78"/>
        <v>CLOSED</v>
      </c>
    </row>
    <row r="2495" spans="1:13" ht="45">
      <c r="A2495" s="176" t="s">
        <v>485</v>
      </c>
      <c r="B2495" s="98" t="e">
        <f>VLOOKUP([2]!Table27[[#This Row],[Location 
(drop-down)]],'[2]List source'!D$2:E$59,2,FALSE)</f>
        <v>#VALUE!</v>
      </c>
      <c r="C2495" s="99" t="s">
        <v>3555</v>
      </c>
      <c r="D2495" s="100" t="e">
        <f t="shared" si="77"/>
        <v>#VALUE!</v>
      </c>
      <c r="E2495" s="64" t="s">
        <v>6664</v>
      </c>
      <c r="F2495" s="66" t="e" cm="1" vm="1">
        <f t="array" aca="1" ref="F249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5" s="66">
        <v>2.09</v>
      </c>
      <c r="I2495" s="67">
        <v>45992</v>
      </c>
      <c r="J2495" s="67" t="s">
        <v>34</v>
      </c>
      <c r="K2495" s="68">
        <v>45992</v>
      </c>
      <c r="L2495" s="69" t="s">
        <v>6403</v>
      </c>
      <c r="M2495" s="66" t="str">
        <f t="shared" ca="1" si="78"/>
        <v>CLOSED</v>
      </c>
    </row>
    <row r="2496" spans="1:13" ht="30">
      <c r="A2496" s="176" t="s">
        <v>500</v>
      </c>
      <c r="B2496" s="98" t="e">
        <f>VLOOKUP([2]!Table27[[#This Row],[Location 
(drop-down)]],'[2]List source'!D$2:E$59,2,FALSE)</f>
        <v>#VALUE!</v>
      </c>
      <c r="C2496" s="99" t="s">
        <v>3886</v>
      </c>
      <c r="D2496" s="100" t="e">
        <f t="shared" si="77"/>
        <v>#VALUE!</v>
      </c>
      <c r="E2496" s="64" t="s">
        <v>6665</v>
      </c>
      <c r="F2496" s="66" t="e" cm="1" vm="1">
        <f t="array" aca="1" ref="F249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6" s="66">
        <v>3.19</v>
      </c>
      <c r="I2496" s="67">
        <v>45992</v>
      </c>
      <c r="J2496" s="67" t="s">
        <v>310</v>
      </c>
      <c r="K2496" s="68">
        <v>46052</v>
      </c>
      <c r="L2496" s="69"/>
      <c r="M2496" s="66" t="str">
        <f t="shared" ca="1" si="78"/>
        <v>CLOSED</v>
      </c>
    </row>
    <row r="2497" spans="1:13" ht="45">
      <c r="A2497" s="176" t="s">
        <v>500</v>
      </c>
      <c r="B2497" s="98" t="e">
        <f>VLOOKUP([2]!Table27[[#This Row],[Location 
(drop-down)]],'[2]List source'!D$2:E$59,2,FALSE)</f>
        <v>#VALUE!</v>
      </c>
      <c r="C2497" s="99" t="s">
        <v>2883</v>
      </c>
      <c r="D2497" s="100" t="e">
        <f t="shared" si="77"/>
        <v>#VALUE!</v>
      </c>
      <c r="E2497" s="64" t="s">
        <v>6666</v>
      </c>
      <c r="F2497" s="66" t="e" cm="1" vm="1">
        <f t="array" aca="1" ref="F249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7" s="110" t="s">
        <v>6667</v>
      </c>
      <c r="I2497" s="67">
        <v>45992</v>
      </c>
      <c r="J2497" s="67" t="s">
        <v>310</v>
      </c>
      <c r="K2497" s="68">
        <v>46063</v>
      </c>
      <c r="L2497" s="69"/>
      <c r="M2497" s="66" t="str">
        <f t="shared" ca="1" si="78"/>
        <v>CLOSED</v>
      </c>
    </row>
    <row r="2498" spans="1:13" ht="30">
      <c r="A2498" s="64" t="s">
        <v>202</v>
      </c>
      <c r="B2498" s="98" t="e">
        <f>VLOOKUP([2]!Table27[[#This Row],[Location 
(drop-down)]],'[2]List source'!D$2:E$59,2,FALSE)</f>
        <v>#VALUE!</v>
      </c>
      <c r="C2498" s="99" t="s">
        <v>2893</v>
      </c>
      <c r="D2498" s="100" t="e">
        <f t="shared" ref="D2498:D2561" si="79">"PTO" &amp; C2498 &amp; "-" &amp; B2498 &amp; "-" &amp; "23"</f>
        <v>#VALUE!</v>
      </c>
      <c r="E2498" s="64" t="s">
        <v>6668</v>
      </c>
      <c r="F2498" s="66" t="e" cm="1" vm="1">
        <f t="array" aca="1" ref="F249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8" s="66">
        <v>4.3</v>
      </c>
      <c r="I2498" s="67">
        <v>45992</v>
      </c>
      <c r="J2498" s="67"/>
      <c r="K2498" s="68"/>
      <c r="L2498" s="69"/>
      <c r="M2498" s="66">
        <f t="shared" ca="1" si="78"/>
        <v>86</v>
      </c>
    </row>
    <row r="2499" spans="1:13" ht="30">
      <c r="A2499" s="64" t="s">
        <v>202</v>
      </c>
      <c r="B2499" s="98" t="e">
        <f>VLOOKUP([2]!Table27[[#This Row],[Location 
(drop-down)]],'[2]List source'!D$2:E$59,2,FALSE)</f>
        <v>#VALUE!</v>
      </c>
      <c r="C2499" s="99" t="s">
        <v>3648</v>
      </c>
      <c r="D2499" s="100" t="e">
        <f t="shared" si="79"/>
        <v>#VALUE!</v>
      </c>
      <c r="E2499" s="64" t="s">
        <v>6669</v>
      </c>
      <c r="F2499" s="66" t="e" cm="1" vm="1">
        <f t="array" aca="1" ref="F249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49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499" s="110" t="s">
        <v>2012</v>
      </c>
      <c r="I2499" s="67">
        <v>45992</v>
      </c>
      <c r="J2499" s="67" t="s">
        <v>34</v>
      </c>
      <c r="K2499" s="68">
        <v>46028</v>
      </c>
      <c r="L2499" s="69" t="s">
        <v>6411</v>
      </c>
      <c r="M2499" s="66" t="str">
        <f t="shared" ca="1" si="78"/>
        <v>CLOSED</v>
      </c>
    </row>
    <row r="2500" spans="1:13" ht="30">
      <c r="A2500" s="64" t="s">
        <v>202</v>
      </c>
      <c r="B2500" s="98" t="e">
        <f>VLOOKUP([2]!Table27[[#This Row],[Location 
(drop-down)]],'[2]List source'!D$2:E$59,2,FALSE)</f>
        <v>#VALUE!</v>
      </c>
      <c r="C2500" s="99" t="s">
        <v>2896</v>
      </c>
      <c r="D2500" s="100" t="e">
        <f t="shared" si="79"/>
        <v>#VALUE!</v>
      </c>
      <c r="E2500" s="64" t="s">
        <v>6670</v>
      </c>
      <c r="F2500" s="66" t="e" cm="1" vm="1">
        <f t="array" aca="1" ref="F250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0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00" s="110" t="s">
        <v>1962</v>
      </c>
      <c r="I2500" s="67">
        <v>45992</v>
      </c>
      <c r="J2500" s="67"/>
      <c r="K2500" s="68"/>
      <c r="L2500" s="69"/>
      <c r="M2500" s="66">
        <f t="shared" ca="1" si="78"/>
        <v>86</v>
      </c>
    </row>
    <row r="2501" spans="1:13" ht="45">
      <c r="A2501" s="64" t="s">
        <v>202</v>
      </c>
      <c r="B2501" s="98" t="e">
        <f>VLOOKUP([2]!Table27[[#This Row],[Location 
(drop-down)]],'[2]List source'!D$2:E$59,2,FALSE)</f>
        <v>#VALUE!</v>
      </c>
      <c r="C2501" s="99" t="s">
        <v>3575</v>
      </c>
      <c r="D2501" s="100" t="e">
        <f t="shared" si="79"/>
        <v>#VALUE!</v>
      </c>
      <c r="E2501" s="64" t="s">
        <v>6671</v>
      </c>
      <c r="F2501" s="66" t="e" cm="1" vm="1">
        <f t="array" aca="1" ref="F250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0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01" s="66" t="s">
        <v>6672</v>
      </c>
      <c r="I2501" s="67">
        <v>45992</v>
      </c>
      <c r="J2501" s="67"/>
      <c r="K2501" s="68"/>
      <c r="L2501" s="69"/>
      <c r="M2501" s="66">
        <f t="shared" ca="1" si="78"/>
        <v>86</v>
      </c>
    </row>
    <row r="2502" spans="1:13" ht="45">
      <c r="A2502" s="64" t="s">
        <v>202</v>
      </c>
      <c r="B2502" s="98" t="e">
        <f>VLOOKUP([2]!Table27[[#This Row],[Location 
(drop-down)]],'[2]List source'!D$2:E$59,2,FALSE)</f>
        <v>#VALUE!</v>
      </c>
      <c r="C2502" s="99" t="s">
        <v>3798</v>
      </c>
      <c r="D2502" s="100" t="e">
        <f t="shared" si="79"/>
        <v>#VALUE!</v>
      </c>
      <c r="E2502" s="64" t="s">
        <v>6673</v>
      </c>
      <c r="F2502" s="66" t="e" cm="1" vm="1">
        <f t="array" aca="1" ref="F250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0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02" s="66">
        <v>2.5</v>
      </c>
      <c r="I2502" s="67">
        <v>45992</v>
      </c>
      <c r="J2502" s="67"/>
      <c r="K2502" s="68"/>
      <c r="L2502" s="69"/>
      <c r="M2502" s="66">
        <f t="shared" ca="1" si="78"/>
        <v>86</v>
      </c>
    </row>
    <row r="2503" spans="1:13" ht="30">
      <c r="A2503" s="64" t="s">
        <v>23</v>
      </c>
      <c r="B2503" s="98" t="e">
        <f>VLOOKUP([2]!Table27[[#This Row],[Location 
(drop-down)]],'[2]List source'!D$2:E$59,2,FALSE)</f>
        <v>#VALUE!</v>
      </c>
      <c r="C2503" s="99" t="s">
        <v>3507</v>
      </c>
      <c r="D2503" s="100" t="e">
        <f t="shared" si="79"/>
        <v>#VALUE!</v>
      </c>
      <c r="E2503" s="64" t="s">
        <v>6674</v>
      </c>
      <c r="F2503" s="66" t="e" cm="1" vm="1">
        <f t="array" aca="1" ref="F250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0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03" s="110" t="s">
        <v>6675</v>
      </c>
      <c r="I2503" s="67">
        <v>45992</v>
      </c>
      <c r="J2503" s="67" t="s">
        <v>29</v>
      </c>
      <c r="K2503" s="68">
        <v>46044</v>
      </c>
      <c r="L2503" s="69"/>
      <c r="M2503" s="66" t="str">
        <f t="shared" ca="1" si="78"/>
        <v>CLOSED</v>
      </c>
    </row>
    <row r="2504" spans="1:13" ht="45">
      <c r="A2504" s="64" t="s">
        <v>399</v>
      </c>
      <c r="B2504" s="98" t="e">
        <f>VLOOKUP([2]!Table27[[#This Row],[Location 
(drop-down)]],'[2]List source'!D$2:E$59,2,FALSE)</f>
        <v>#VALUE!</v>
      </c>
      <c r="C2504" s="99" t="s">
        <v>4036</v>
      </c>
      <c r="D2504" s="100" t="e">
        <f t="shared" si="79"/>
        <v>#VALUE!</v>
      </c>
      <c r="E2504" s="64" t="s">
        <v>6676</v>
      </c>
      <c r="F2504" s="66" t="e" cm="1" vm="1">
        <f t="array" aca="1" ref="F250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0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04" s="66" t="s">
        <v>6677</v>
      </c>
      <c r="I2504" s="67">
        <v>45992</v>
      </c>
      <c r="J2504" s="67" t="s">
        <v>34</v>
      </c>
      <c r="K2504" s="68">
        <v>45992</v>
      </c>
      <c r="L2504" s="69" t="s">
        <v>6403</v>
      </c>
      <c r="M2504" s="66" t="str">
        <f t="shared" ca="1" si="78"/>
        <v>CLOSED</v>
      </c>
    </row>
    <row r="2505" spans="1:13" ht="75">
      <c r="A2505" s="64" t="s">
        <v>294</v>
      </c>
      <c r="B2505" s="98" t="e">
        <f>VLOOKUP([2]!Table27[[#This Row],[Location 
(drop-down)]],'[2]List source'!D$2:E$59,2,FALSE)</f>
        <v>#VALUE!</v>
      </c>
      <c r="C2505" s="99" t="s">
        <v>4289</v>
      </c>
      <c r="D2505" s="100" t="e">
        <f t="shared" si="79"/>
        <v>#VALUE!</v>
      </c>
      <c r="E2505" s="64" t="s">
        <v>6678</v>
      </c>
      <c r="F2505" s="66" t="e" cm="1" vm="1">
        <f t="array" aca="1" ref="F250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0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05" s="66" t="s">
        <v>6679</v>
      </c>
      <c r="I2505" s="67">
        <v>45999</v>
      </c>
      <c r="J2505" s="67"/>
      <c r="K2505" s="68"/>
      <c r="L2505" s="69"/>
      <c r="M2505" s="66">
        <f t="shared" ca="1" si="78"/>
        <v>79</v>
      </c>
    </row>
    <row r="2506" spans="1:13" ht="45">
      <c r="A2506" s="64" t="s">
        <v>73</v>
      </c>
      <c r="B2506" s="98" t="e">
        <f>VLOOKUP([2]!Table27[[#This Row],[Location 
(drop-down)]],'[2]List source'!D$2:E$59,2,FALSE)</f>
        <v>#VALUE!</v>
      </c>
      <c r="C2506" s="99" t="s">
        <v>3966</v>
      </c>
      <c r="D2506" s="100" t="e">
        <f t="shared" si="79"/>
        <v>#VALUE!</v>
      </c>
      <c r="E2506" s="64" t="s">
        <v>6680</v>
      </c>
      <c r="F2506" s="66" t="e" cm="1" vm="1">
        <f t="array" aca="1" ref="F250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0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06" s="66">
        <v>2.29</v>
      </c>
      <c r="I2506" s="67">
        <v>45999</v>
      </c>
      <c r="J2506" s="67" t="s">
        <v>34</v>
      </c>
      <c r="K2506" s="68">
        <v>45999</v>
      </c>
      <c r="L2506" s="69" t="s">
        <v>6403</v>
      </c>
      <c r="M2506" s="66" t="str">
        <f t="shared" ca="1" si="78"/>
        <v>CLOSED</v>
      </c>
    </row>
    <row r="2507" spans="1:13" ht="45">
      <c r="A2507" s="64" t="s">
        <v>135</v>
      </c>
      <c r="B2507" s="98" t="e">
        <f>VLOOKUP([2]!Table27[[#This Row],[Location 
(drop-down)]],'[2]List source'!D$2:E$59,2,FALSE)</f>
        <v>#VALUE!</v>
      </c>
      <c r="C2507" s="99" t="s">
        <v>3800</v>
      </c>
      <c r="D2507" s="100" t="e">
        <f t="shared" si="79"/>
        <v>#VALUE!</v>
      </c>
      <c r="E2507" s="64" t="s">
        <v>6681</v>
      </c>
      <c r="F2507" s="66" t="e" cm="1" vm="1">
        <f t="array" aca="1" ref="F250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0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07" s="66" t="s">
        <v>3802</v>
      </c>
      <c r="I2507" s="67">
        <v>45999</v>
      </c>
      <c r="J2507" s="67"/>
      <c r="K2507" s="68"/>
      <c r="L2507" s="69"/>
      <c r="M2507" s="66">
        <f t="shared" ca="1" si="78"/>
        <v>79</v>
      </c>
    </row>
    <row r="2508" spans="1:13" ht="30">
      <c r="A2508" s="64" t="s">
        <v>114</v>
      </c>
      <c r="B2508" s="98" t="e">
        <f>VLOOKUP([2]!Table27[[#This Row],[Location 
(drop-down)]],'[2]List source'!D$2:E$59,2,FALSE)</f>
        <v>#VALUE!</v>
      </c>
      <c r="C2508" s="99" t="s">
        <v>3076</v>
      </c>
      <c r="D2508" s="100" t="e">
        <f t="shared" si="79"/>
        <v>#VALUE!</v>
      </c>
      <c r="E2508" s="64" t="s">
        <v>6682</v>
      </c>
      <c r="F2508" s="66" t="s">
        <v>2160</v>
      </c>
      <c r="G250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08" s="66">
        <v>2.1800000000000002</v>
      </c>
      <c r="I2508" s="67">
        <v>45999</v>
      </c>
      <c r="J2508" s="67" t="s">
        <v>69</v>
      </c>
      <c r="K2508" s="68">
        <v>46052</v>
      </c>
      <c r="L2508" s="69"/>
      <c r="M2508" s="66" t="str">
        <f t="shared" ca="1" si="78"/>
        <v>CLOSED</v>
      </c>
    </row>
    <row r="2509" spans="1:13" ht="30">
      <c r="A2509" s="64" t="s">
        <v>202</v>
      </c>
      <c r="B2509" s="98" t="e">
        <f>VLOOKUP([2]!Table27[[#This Row],[Location 
(drop-down)]],'[2]List source'!D$2:E$59,2,FALSE)</f>
        <v>#VALUE!</v>
      </c>
      <c r="C2509" s="99" t="s">
        <v>3278</v>
      </c>
      <c r="D2509" s="100" t="e">
        <f t="shared" si="79"/>
        <v>#VALUE!</v>
      </c>
      <c r="E2509" s="64" t="s">
        <v>6683</v>
      </c>
      <c r="F2509" s="66" t="e" cm="1" vm="1">
        <f t="array" aca="1" ref="F250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09" s="64" t="s">
        <v>6684</v>
      </c>
      <c r="H2509" s="66">
        <v>-3.05</v>
      </c>
      <c r="I2509" s="67">
        <v>45761</v>
      </c>
      <c r="J2509" s="67" t="s">
        <v>69</v>
      </c>
      <c r="K2509" s="68">
        <v>46001</v>
      </c>
      <c r="L2509" s="69"/>
      <c r="M2509" s="66" t="str">
        <f t="shared" ca="1" si="78"/>
        <v>CLOSED</v>
      </c>
    </row>
    <row r="2510" spans="1:13" ht="45">
      <c r="A2510" s="64" t="s">
        <v>495</v>
      </c>
      <c r="B2510" s="98" t="e">
        <f>VLOOKUP([2]!Table27[[#This Row],[Location 
(drop-down)]],'[2]List source'!D$2:E$59,2,FALSE)</f>
        <v>#VALUE!</v>
      </c>
      <c r="C2510" s="99" t="s">
        <v>3350</v>
      </c>
      <c r="D2510" s="100" t="e">
        <f t="shared" si="79"/>
        <v>#VALUE!</v>
      </c>
      <c r="E2510" s="64" t="s">
        <v>6685</v>
      </c>
      <c r="F2510" s="66" t="s">
        <v>2279</v>
      </c>
      <c r="G251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0" s="66">
        <v>2.1</v>
      </c>
      <c r="I2510" s="67">
        <v>45999</v>
      </c>
      <c r="J2510" s="67" t="s">
        <v>34</v>
      </c>
      <c r="K2510" s="68">
        <v>45999</v>
      </c>
      <c r="L2510" s="69" t="s">
        <v>6403</v>
      </c>
      <c r="M2510" s="66" t="str">
        <f t="shared" ca="1" si="78"/>
        <v>CLOSED</v>
      </c>
    </row>
    <row r="2511" spans="1:13" ht="30">
      <c r="A2511" s="64" t="s">
        <v>399</v>
      </c>
      <c r="B2511" s="98" t="e">
        <f>VLOOKUP([2]!Table27[[#This Row],[Location 
(drop-down)]],'[2]List source'!D$2:E$59,2,FALSE)</f>
        <v>#VALUE!</v>
      </c>
      <c r="C2511" s="99" t="s">
        <v>3577</v>
      </c>
      <c r="D2511" s="100" t="e">
        <f t="shared" si="79"/>
        <v>#VALUE!</v>
      </c>
      <c r="E2511" s="64" t="s">
        <v>6686</v>
      </c>
      <c r="F2511" s="66" t="s">
        <v>2279</v>
      </c>
      <c r="G251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1" s="66">
        <v>4.6399999999999997</v>
      </c>
      <c r="I2511" s="67">
        <v>46007</v>
      </c>
      <c r="J2511" s="67"/>
      <c r="K2511" s="68"/>
      <c r="L2511" s="69"/>
      <c r="M2511" s="66">
        <f t="shared" ca="1" si="78"/>
        <v>71</v>
      </c>
    </row>
    <row r="2512" spans="1:13" ht="45">
      <c r="A2512" s="64" t="s">
        <v>399</v>
      </c>
      <c r="B2512" s="98" t="e">
        <f>VLOOKUP([2]!Table27[[#This Row],[Location 
(drop-down)]],'[2]List source'!D$2:E$59,2,FALSE)</f>
        <v>#VALUE!</v>
      </c>
      <c r="C2512" s="99" t="s">
        <v>3009</v>
      </c>
      <c r="D2512" s="100" t="e">
        <f t="shared" si="79"/>
        <v>#VALUE!</v>
      </c>
      <c r="E2512" s="64" t="s">
        <v>6687</v>
      </c>
      <c r="F2512" s="66" t="s">
        <v>2279</v>
      </c>
      <c r="G251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2" s="66">
        <v>2.35</v>
      </c>
      <c r="I2512" s="67">
        <v>46007</v>
      </c>
      <c r="J2512" s="67" t="s">
        <v>34</v>
      </c>
      <c r="K2512" s="68">
        <v>46007</v>
      </c>
      <c r="L2512" s="69" t="s">
        <v>6403</v>
      </c>
      <c r="M2512" s="66" t="str">
        <f t="shared" ca="1" si="78"/>
        <v>CLOSED</v>
      </c>
    </row>
    <row r="2513" spans="1:13" ht="30">
      <c r="A2513" s="64" t="s">
        <v>399</v>
      </c>
      <c r="B2513" s="98" t="e">
        <f>VLOOKUP([2]!Table27[[#This Row],[Location 
(drop-down)]],'[2]List source'!D$2:E$59,2,FALSE)</f>
        <v>#VALUE!</v>
      </c>
      <c r="C2513" s="99" t="s">
        <v>3011</v>
      </c>
      <c r="D2513" s="100" t="e">
        <f t="shared" si="79"/>
        <v>#VALUE!</v>
      </c>
      <c r="E2513" s="64" t="s">
        <v>6688</v>
      </c>
      <c r="F2513" s="66" t="s">
        <v>2279</v>
      </c>
      <c r="G251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3" s="110" t="s">
        <v>1727</v>
      </c>
      <c r="I2513" s="67">
        <v>46007</v>
      </c>
      <c r="J2513" s="67"/>
      <c r="K2513" s="68"/>
      <c r="L2513" s="69"/>
      <c r="M2513" s="66">
        <f t="shared" ca="1" si="78"/>
        <v>71</v>
      </c>
    </row>
    <row r="2514" spans="1:13" ht="30">
      <c r="A2514" s="124" t="s">
        <v>15</v>
      </c>
      <c r="B2514" s="98" t="e">
        <f>VLOOKUP([2]!Table27[[#This Row],[Location 
(drop-down)]],'[2]List source'!D$2:E$59,2,FALSE)</f>
        <v>#VALUE!</v>
      </c>
      <c r="C2514" s="99" t="s">
        <v>3525</v>
      </c>
      <c r="D2514" s="100" t="e">
        <f t="shared" si="79"/>
        <v>#VALUE!</v>
      </c>
      <c r="E2514" s="124" t="s">
        <v>6689</v>
      </c>
      <c r="F2514" s="66" t="s">
        <v>5286</v>
      </c>
      <c r="G251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4" s="167" t="s">
        <v>2315</v>
      </c>
      <c r="I2514" s="130">
        <v>46007</v>
      </c>
      <c r="J2514" s="130"/>
      <c r="K2514" s="170"/>
      <c r="L2514" s="446"/>
      <c r="M2514" s="66">
        <f t="shared" ca="1" si="78"/>
        <v>71</v>
      </c>
    </row>
    <row r="2515" spans="1:13" ht="30">
      <c r="A2515" s="64" t="s">
        <v>30</v>
      </c>
      <c r="B2515" s="98" t="e">
        <f>VLOOKUP([2]!Table27[[#This Row],[Location 
(drop-down)]],'[2]List source'!D$2:E$59,2,FALSE)</f>
        <v>#VALUE!</v>
      </c>
      <c r="C2515" s="99" t="s">
        <v>3013</v>
      </c>
      <c r="D2515" s="100" t="e">
        <f t="shared" si="79"/>
        <v>#VALUE!</v>
      </c>
      <c r="E2515" s="64" t="s">
        <v>6690</v>
      </c>
      <c r="F2515" s="66" t="s">
        <v>2269</v>
      </c>
      <c r="G251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5" s="66">
        <v>2.1</v>
      </c>
      <c r="I2515" s="67">
        <v>46007</v>
      </c>
      <c r="J2515" s="67" t="s">
        <v>34</v>
      </c>
      <c r="K2515" s="68">
        <v>46008</v>
      </c>
      <c r="L2515" s="69" t="s">
        <v>6411</v>
      </c>
      <c r="M2515" s="66" t="str">
        <f t="shared" ca="1" si="78"/>
        <v>CLOSED</v>
      </c>
    </row>
    <row r="2516" spans="1:13" ht="30">
      <c r="A2516" s="64" t="s">
        <v>399</v>
      </c>
      <c r="B2516" s="98" t="e">
        <f>VLOOKUP([2]!Table27[[#This Row],[Location 
(drop-down)]],'[2]List source'!D$2:E$59,2,FALSE)</f>
        <v>#VALUE!</v>
      </c>
      <c r="C2516" s="99" t="s">
        <v>3015</v>
      </c>
      <c r="D2516" s="100" t="e">
        <f t="shared" si="79"/>
        <v>#VALUE!</v>
      </c>
      <c r="E2516" s="64" t="s">
        <v>6691</v>
      </c>
      <c r="F2516" s="66" t="s">
        <v>2279</v>
      </c>
      <c r="G251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6" s="66">
        <v>2.0699999999999998</v>
      </c>
      <c r="I2516" s="67">
        <v>46008</v>
      </c>
      <c r="J2516" s="67"/>
      <c r="K2516" s="68"/>
      <c r="L2516" s="69"/>
      <c r="M2516" s="66">
        <f t="shared" ca="1" si="78"/>
        <v>70</v>
      </c>
    </row>
    <row r="2517" spans="1:13" ht="30">
      <c r="A2517" s="64" t="s">
        <v>399</v>
      </c>
      <c r="B2517" s="98" t="e">
        <f>VLOOKUP([2]!Table27[[#This Row],[Location 
(drop-down)]],'[2]List source'!D$2:E$59,2,FALSE)</f>
        <v>#VALUE!</v>
      </c>
      <c r="C2517" s="99" t="s">
        <v>3017</v>
      </c>
      <c r="D2517" s="100" t="e">
        <f t="shared" si="79"/>
        <v>#VALUE!</v>
      </c>
      <c r="E2517" s="64" t="s">
        <v>6692</v>
      </c>
      <c r="F2517" s="66" t="s">
        <v>2279</v>
      </c>
      <c r="G251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7" s="66">
        <v>2.2799999999999998</v>
      </c>
      <c r="I2517" s="67">
        <v>46008</v>
      </c>
      <c r="J2517" s="67"/>
      <c r="K2517" s="68"/>
      <c r="L2517" s="69"/>
      <c r="M2517" s="66">
        <f t="shared" ca="1" si="78"/>
        <v>70</v>
      </c>
    </row>
    <row r="2518" spans="1:13" ht="45">
      <c r="A2518" s="64" t="s">
        <v>125</v>
      </c>
      <c r="B2518" s="98" t="e">
        <f>VLOOKUP([2]!Table27[[#This Row],[Location 
(drop-down)]],'[2]List source'!D$2:E$59,2,FALSE)</f>
        <v>#VALUE!</v>
      </c>
      <c r="C2518" s="99" t="s">
        <v>3023</v>
      </c>
      <c r="D2518" s="100" t="e">
        <f t="shared" si="79"/>
        <v>#VALUE!</v>
      </c>
      <c r="E2518" s="64" t="s">
        <v>6693</v>
      </c>
      <c r="F2518" s="66" t="s">
        <v>2269</v>
      </c>
      <c r="G251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8" s="66" t="s">
        <v>6694</v>
      </c>
      <c r="I2518" s="67">
        <v>46008</v>
      </c>
      <c r="J2518" s="67" t="s">
        <v>34</v>
      </c>
      <c r="K2518" s="68">
        <v>46008</v>
      </c>
      <c r="L2518" s="69" t="s">
        <v>6403</v>
      </c>
      <c r="M2518" s="66" t="str">
        <f t="shared" ca="1" si="78"/>
        <v>CLOSED</v>
      </c>
    </row>
    <row r="2519" spans="1:13" ht="30">
      <c r="A2519" s="64" t="s">
        <v>119</v>
      </c>
      <c r="B2519" s="98" t="e">
        <f>VLOOKUP([2]!Table27[[#This Row],[Location 
(drop-down)]],'[2]List source'!D$2:E$59,2,FALSE)</f>
        <v>#VALUE!</v>
      </c>
      <c r="C2519" s="99" t="s">
        <v>3025</v>
      </c>
      <c r="D2519" s="100" t="e">
        <f t="shared" si="79"/>
        <v>#VALUE!</v>
      </c>
      <c r="E2519" s="64" t="s">
        <v>6695</v>
      </c>
      <c r="F2519" s="66" t="s">
        <v>2269</v>
      </c>
      <c r="G251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19" s="110" t="s">
        <v>2119</v>
      </c>
      <c r="I2519" s="67">
        <v>46008</v>
      </c>
      <c r="J2519" s="67"/>
      <c r="K2519" s="68"/>
      <c r="L2519" s="69"/>
      <c r="M2519" s="66">
        <f t="shared" ca="1" si="78"/>
        <v>70</v>
      </c>
    </row>
    <row r="2520" spans="1:13" ht="45">
      <c r="A2520" s="64" t="s">
        <v>294</v>
      </c>
      <c r="B2520" s="98" t="e">
        <f>VLOOKUP([2]!Table27[[#This Row],[Location 
(drop-down)]],'[2]List source'!D$2:E$59,2,FALSE)</f>
        <v>#VALUE!</v>
      </c>
      <c r="C2520" s="99" t="s">
        <v>3027</v>
      </c>
      <c r="D2520" s="100" t="e">
        <f t="shared" si="79"/>
        <v>#VALUE!</v>
      </c>
      <c r="E2520" s="64" t="s">
        <v>6696</v>
      </c>
      <c r="F2520" s="66" t="e" cm="1" vm="1">
        <f t="array" aca="1" ref="F252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0" s="66">
        <v>-2.0099999999999998</v>
      </c>
      <c r="I2520" s="67">
        <v>46009</v>
      </c>
      <c r="J2520" s="67" t="s">
        <v>34</v>
      </c>
      <c r="K2520" s="68">
        <v>46009</v>
      </c>
      <c r="L2520" s="69" t="s">
        <v>6403</v>
      </c>
      <c r="M2520" s="66" t="str">
        <f t="shared" ca="1" si="78"/>
        <v>CLOSED</v>
      </c>
    </row>
    <row r="2521" spans="1:13" ht="45">
      <c r="A2521" s="64" t="s">
        <v>294</v>
      </c>
      <c r="B2521" s="98" t="e">
        <f>VLOOKUP([2]!Table27[[#This Row],[Location 
(drop-down)]],'[2]List source'!D$2:E$59,2,FALSE)</f>
        <v>#VALUE!</v>
      </c>
      <c r="C2521" s="99" t="s">
        <v>3727</v>
      </c>
      <c r="D2521" s="100" t="e">
        <f t="shared" si="79"/>
        <v>#VALUE!</v>
      </c>
      <c r="E2521" s="64" t="s">
        <v>6697</v>
      </c>
      <c r="F2521" s="66" t="e" cm="1" vm="1">
        <f t="array" aca="1" ref="F252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1" s="66" t="s">
        <v>6698</v>
      </c>
      <c r="I2521" s="67">
        <v>46009</v>
      </c>
      <c r="J2521" s="67" t="s">
        <v>34</v>
      </c>
      <c r="K2521" s="68">
        <v>46057</v>
      </c>
      <c r="L2521" s="69" t="s">
        <v>1505</v>
      </c>
      <c r="M2521" s="66" t="str">
        <f t="shared" ca="1" si="78"/>
        <v>CLOSED</v>
      </c>
    </row>
    <row r="2522" spans="1:13" ht="45">
      <c r="A2522" s="64" t="s">
        <v>15</v>
      </c>
      <c r="B2522" s="98" t="e">
        <f>VLOOKUP([2]!Table27[[#This Row],[Location 
(drop-down)]],'[2]List source'!D$2:E$59,2,FALSE)</f>
        <v>#VALUE!</v>
      </c>
      <c r="C2522" s="99" t="s">
        <v>3651</v>
      </c>
      <c r="D2522" s="100" t="e">
        <f t="shared" si="79"/>
        <v>#VALUE!</v>
      </c>
      <c r="E2522" s="64" t="s">
        <v>6699</v>
      </c>
      <c r="F2522" s="66" t="e" cm="1" vm="1">
        <f t="array" aca="1" ref="F252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2" s="66" t="s">
        <v>6700</v>
      </c>
      <c r="I2522" s="67">
        <v>46009</v>
      </c>
      <c r="J2522" s="67" t="s">
        <v>34</v>
      </c>
      <c r="K2522" s="68">
        <v>46027</v>
      </c>
      <c r="L2522" s="69" t="s">
        <v>1505</v>
      </c>
      <c r="M2522" s="66" t="str">
        <f t="shared" ca="1" si="78"/>
        <v>CLOSED</v>
      </c>
    </row>
    <row r="2523" spans="1:13" ht="30">
      <c r="A2523" s="64" t="s">
        <v>156</v>
      </c>
      <c r="B2523" s="98" t="e">
        <f>VLOOKUP([2]!Table27[[#This Row],[Location 
(drop-down)]],'[2]List source'!D$2:E$59,2,FALSE)</f>
        <v>#VALUE!</v>
      </c>
      <c r="C2523" s="99" t="s">
        <v>4257</v>
      </c>
      <c r="D2523" s="100" t="e">
        <f t="shared" si="79"/>
        <v>#VALUE!</v>
      </c>
      <c r="E2523" s="64" t="s">
        <v>6701</v>
      </c>
      <c r="F2523" s="66" t="e" cm="1" vm="1">
        <f t="array" aca="1" ref="F252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3" s="110" t="s">
        <v>1762</v>
      </c>
      <c r="I2523" s="67">
        <v>46009</v>
      </c>
      <c r="J2523" s="67"/>
      <c r="K2523" s="68"/>
      <c r="L2523" s="69"/>
      <c r="M2523" s="66">
        <f t="shared" ca="1" si="78"/>
        <v>69</v>
      </c>
    </row>
    <row r="2524" spans="1:13" ht="30">
      <c r="A2524" s="64" t="s">
        <v>39</v>
      </c>
      <c r="B2524" s="98" t="e">
        <f>VLOOKUP([2]!Table27[[#This Row],[Location 
(drop-down)]],'[2]List source'!D$2:E$59,2,FALSE)</f>
        <v>#VALUE!</v>
      </c>
      <c r="C2524" s="99" t="s">
        <v>3353</v>
      </c>
      <c r="D2524" s="100" t="e">
        <f t="shared" si="79"/>
        <v>#VALUE!</v>
      </c>
      <c r="E2524" s="64" t="s">
        <v>6702</v>
      </c>
      <c r="F2524" s="66" t="e" cm="1" vm="1">
        <f t="array" aca="1" ref="F252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4" s="66">
        <v>3.1</v>
      </c>
      <c r="I2524" s="67">
        <v>46009</v>
      </c>
      <c r="J2524" s="67"/>
      <c r="K2524" s="68"/>
      <c r="L2524" s="69"/>
      <c r="M2524" s="66">
        <f t="shared" ca="1" si="78"/>
        <v>69</v>
      </c>
    </row>
    <row r="2525" spans="1:13" ht="30">
      <c r="A2525" s="64" t="s">
        <v>39</v>
      </c>
      <c r="B2525" s="98" t="e">
        <f>VLOOKUP([2]!Table27[[#This Row],[Location 
(drop-down)]],'[2]List source'!D$2:E$59,2,FALSE)</f>
        <v>#VALUE!</v>
      </c>
      <c r="C2525" s="99" t="s">
        <v>4243</v>
      </c>
      <c r="D2525" s="100" t="e">
        <f t="shared" si="79"/>
        <v>#VALUE!</v>
      </c>
      <c r="E2525" s="64" t="s">
        <v>6703</v>
      </c>
      <c r="F2525" s="66" t="e" cm="1" vm="1">
        <f t="array" aca="1" ref="F252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5" s="66">
        <v>2.06</v>
      </c>
      <c r="I2525" s="67">
        <v>46009</v>
      </c>
      <c r="J2525" s="67" t="s">
        <v>34</v>
      </c>
      <c r="K2525" s="68">
        <v>46045</v>
      </c>
      <c r="L2525" s="69" t="s">
        <v>6411</v>
      </c>
      <c r="M2525" s="66" t="str">
        <f t="shared" ca="1" si="78"/>
        <v>CLOSED</v>
      </c>
    </row>
    <row r="2526" spans="1:13" ht="30">
      <c r="A2526" s="64" t="s">
        <v>39</v>
      </c>
      <c r="B2526" s="98" t="e">
        <f>VLOOKUP([2]!Table27[[#This Row],[Location 
(drop-down)]],'[2]List source'!D$2:E$59,2,FALSE)</f>
        <v>#VALUE!</v>
      </c>
      <c r="C2526" s="99" t="s">
        <v>3030</v>
      </c>
      <c r="D2526" s="100" t="e">
        <f t="shared" si="79"/>
        <v>#VALUE!</v>
      </c>
      <c r="E2526" s="64" t="s">
        <v>6704</v>
      </c>
      <c r="F2526" s="66" t="e" cm="1" vm="1">
        <f t="array" aca="1" ref="F252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6" s="110" t="s">
        <v>6705</v>
      </c>
      <c r="I2526" s="67">
        <v>46009</v>
      </c>
      <c r="J2526" s="67"/>
      <c r="K2526" s="68"/>
      <c r="L2526" s="69"/>
      <c r="M2526" s="66">
        <f t="shared" ca="1" si="78"/>
        <v>69</v>
      </c>
    </row>
    <row r="2527" spans="1:13" ht="30">
      <c r="A2527" s="64" t="s">
        <v>185</v>
      </c>
      <c r="B2527" s="98" t="e">
        <f>VLOOKUP([2]!Table27[[#This Row],[Location 
(drop-down)]],'[2]List source'!D$2:E$59,2,FALSE)</f>
        <v>#VALUE!</v>
      </c>
      <c r="C2527" s="99" t="s">
        <v>3558</v>
      </c>
      <c r="D2527" s="100" t="e">
        <f t="shared" si="79"/>
        <v>#VALUE!</v>
      </c>
      <c r="E2527" s="64" t="s">
        <v>6706</v>
      </c>
      <c r="F2527" s="66" t="e" cm="1" vm="1">
        <f t="array" aca="1" ref="F252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7" s="110" t="s">
        <v>1808</v>
      </c>
      <c r="I2527" s="67">
        <v>46009</v>
      </c>
      <c r="J2527" s="67"/>
      <c r="K2527" s="68"/>
      <c r="L2527" s="69"/>
      <c r="M2527" s="66">
        <f t="shared" ref="M2527:M2590" ca="1" si="80">IF(ISBLANK(K2527), TODAY()-(I2527), "CLOSED")</f>
        <v>69</v>
      </c>
    </row>
    <row r="2528" spans="1:13" ht="45">
      <c r="A2528" s="64" t="s">
        <v>64</v>
      </c>
      <c r="B2528" s="98" t="e">
        <f>VLOOKUP([2]!Table27[[#This Row],[Location 
(drop-down)]],'[2]List source'!D$2:E$59,2,FALSE)</f>
        <v>#VALUE!</v>
      </c>
      <c r="C2528" s="99" t="s">
        <v>3032</v>
      </c>
      <c r="D2528" s="100" t="e">
        <f t="shared" si="79"/>
        <v>#VALUE!</v>
      </c>
      <c r="E2528" s="64" t="s">
        <v>6707</v>
      </c>
      <c r="F2528" s="66" t="e" cm="1" vm="1">
        <f t="array" aca="1" ref="F252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8" s="110" t="s">
        <v>6708</v>
      </c>
      <c r="I2528" s="67">
        <v>46009</v>
      </c>
      <c r="J2528" s="67" t="s">
        <v>34</v>
      </c>
      <c r="K2528" s="68">
        <v>46031</v>
      </c>
      <c r="L2528" s="69" t="s">
        <v>1505</v>
      </c>
      <c r="M2528" s="66" t="str">
        <f t="shared" ca="1" si="80"/>
        <v>CLOSED</v>
      </c>
    </row>
    <row r="2529" spans="1:13" ht="45">
      <c r="A2529" s="64" t="s">
        <v>500</v>
      </c>
      <c r="B2529" s="98" t="e">
        <f>VLOOKUP([2]!Table27[[#This Row],[Location 
(drop-down)]],'[2]List source'!D$2:E$59,2,FALSE)</f>
        <v>#VALUE!</v>
      </c>
      <c r="C2529" s="99" t="s">
        <v>3811</v>
      </c>
      <c r="D2529" s="100" t="e">
        <f t="shared" si="79"/>
        <v>#VALUE!</v>
      </c>
      <c r="E2529" s="64" t="s">
        <v>6709</v>
      </c>
      <c r="F2529" s="66" t="e" cm="1" vm="1">
        <f t="array" aca="1" ref="F252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2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29" s="66" t="s">
        <v>1579</v>
      </c>
      <c r="I2529" s="67">
        <v>46009</v>
      </c>
      <c r="J2529" s="67"/>
      <c r="K2529" s="68"/>
      <c r="L2529" s="69"/>
      <c r="M2529" s="66">
        <f t="shared" ca="1" si="80"/>
        <v>69</v>
      </c>
    </row>
    <row r="2530" spans="1:13" ht="45">
      <c r="A2530" s="64" t="s">
        <v>500</v>
      </c>
      <c r="B2530" s="98" t="e">
        <f>VLOOKUP([2]!Table27[[#This Row],[Location 
(drop-down)]],'[2]List source'!D$2:E$59,2,FALSE)</f>
        <v>#VALUE!</v>
      </c>
      <c r="C2530" s="99" t="s">
        <v>3034</v>
      </c>
      <c r="D2530" s="100" t="e">
        <f t="shared" si="79"/>
        <v>#VALUE!</v>
      </c>
      <c r="E2530" s="64" t="s">
        <v>6710</v>
      </c>
      <c r="F2530" s="66" t="e" cm="1" vm="1">
        <f t="array" aca="1" ref="F253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3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0" s="110" t="s">
        <v>6711</v>
      </c>
      <c r="I2530" s="67">
        <v>46009</v>
      </c>
      <c r="J2530" s="67" t="s">
        <v>310</v>
      </c>
      <c r="K2530" s="68">
        <v>46064</v>
      </c>
      <c r="L2530" s="69"/>
      <c r="M2530" s="66" t="str">
        <f t="shared" ca="1" si="80"/>
        <v>CLOSED</v>
      </c>
    </row>
    <row r="2531" spans="1:13" ht="30">
      <c r="A2531" s="64" t="s">
        <v>500</v>
      </c>
      <c r="B2531" s="98" t="e">
        <f>VLOOKUP([2]!Table27[[#This Row],[Location 
(drop-down)]],'[2]List source'!D$2:E$59,2,FALSE)</f>
        <v>#VALUE!</v>
      </c>
      <c r="C2531" s="99" t="s">
        <v>3079</v>
      </c>
      <c r="D2531" s="100" t="e">
        <f t="shared" si="79"/>
        <v>#VALUE!</v>
      </c>
      <c r="E2531" s="64" t="s">
        <v>6712</v>
      </c>
      <c r="F2531" s="66" t="e" cm="1" vm="1">
        <f t="array" aca="1" ref="F253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3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1" s="66">
        <v>2.75</v>
      </c>
      <c r="I2531" s="67">
        <v>46009</v>
      </c>
      <c r="J2531" s="67" t="s">
        <v>34</v>
      </c>
      <c r="K2531" s="68">
        <v>46050</v>
      </c>
      <c r="L2531" s="69" t="s">
        <v>6411</v>
      </c>
      <c r="M2531" s="66" t="str">
        <f t="shared" ca="1" si="80"/>
        <v>CLOSED</v>
      </c>
    </row>
    <row r="2532" spans="1:13" ht="30">
      <c r="A2532" s="64" t="s">
        <v>500</v>
      </c>
      <c r="B2532" s="98" t="e">
        <f>VLOOKUP([2]!Table27[[#This Row],[Location 
(drop-down)]],'[2]List source'!D$2:E$59,2,FALSE)</f>
        <v>#VALUE!</v>
      </c>
      <c r="C2532" s="99" t="s">
        <v>3082</v>
      </c>
      <c r="D2532" s="100" t="e">
        <f t="shared" si="79"/>
        <v>#VALUE!</v>
      </c>
      <c r="E2532" s="64" t="s">
        <v>6713</v>
      </c>
      <c r="F2532" s="66" t="e" cm="1" vm="1">
        <f t="array" aca="1" ref="F253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3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2" s="66">
        <v>3.4</v>
      </c>
      <c r="I2532" s="67">
        <v>46009</v>
      </c>
      <c r="J2532" s="67"/>
      <c r="K2532" s="68"/>
      <c r="L2532" s="69"/>
      <c r="M2532" s="66">
        <f t="shared" ca="1" si="80"/>
        <v>69</v>
      </c>
    </row>
    <row r="2533" spans="1:13" ht="45">
      <c r="A2533" s="64" t="s">
        <v>500</v>
      </c>
      <c r="B2533" s="98" t="e">
        <f>VLOOKUP([2]!Table27[[#This Row],[Location 
(drop-down)]],'[2]List source'!D$2:E$59,2,FALSE)</f>
        <v>#VALUE!</v>
      </c>
      <c r="C2533" s="99" t="s">
        <v>3084</v>
      </c>
      <c r="D2533" s="100" t="e">
        <f t="shared" si="79"/>
        <v>#VALUE!</v>
      </c>
      <c r="E2533" s="64" t="s">
        <v>6714</v>
      </c>
      <c r="F2533" s="66" t="e" cm="1" vm="1">
        <f t="array" aca="1" ref="F253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3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3" s="66">
        <v>3.6</v>
      </c>
      <c r="I2533" s="67">
        <v>46009</v>
      </c>
      <c r="J2533" s="67" t="s">
        <v>310</v>
      </c>
      <c r="K2533" s="68">
        <v>46050</v>
      </c>
      <c r="L2533" s="69"/>
      <c r="M2533" s="66" t="str">
        <f t="shared" ca="1" si="80"/>
        <v>CLOSED</v>
      </c>
    </row>
    <row r="2534" spans="1:13" ht="30">
      <c r="A2534" s="64" t="s">
        <v>114</v>
      </c>
      <c r="B2534" s="98" t="e">
        <f>VLOOKUP([2]!Table27[[#This Row],[Location 
(drop-down)]],'[2]List source'!D$2:E$59,2,FALSE)</f>
        <v>#VALUE!</v>
      </c>
      <c r="C2534" s="99" t="s">
        <v>4015</v>
      </c>
      <c r="D2534" s="100" t="e">
        <f t="shared" si="79"/>
        <v>#VALUE!</v>
      </c>
      <c r="E2534" s="64" t="s">
        <v>6715</v>
      </c>
      <c r="F2534" s="66" t="e" cm="1" vm="1">
        <f t="array" aca="1" ref="F253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3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4" s="66">
        <v>4.54</v>
      </c>
      <c r="I2534" s="67">
        <v>46009</v>
      </c>
      <c r="J2534" s="67"/>
      <c r="K2534" s="68"/>
      <c r="L2534" s="69"/>
      <c r="M2534" s="66">
        <f t="shared" ca="1" si="80"/>
        <v>69</v>
      </c>
    </row>
    <row r="2535" spans="1:13" ht="30">
      <c r="A2535" s="64" t="s">
        <v>114</v>
      </c>
      <c r="B2535" s="98" t="e">
        <f>VLOOKUP([2]!Table27[[#This Row],[Location 
(drop-down)]],'[2]List source'!D$2:E$59,2,FALSE)</f>
        <v>#VALUE!</v>
      </c>
      <c r="C2535" s="99" t="s">
        <v>3087</v>
      </c>
      <c r="D2535" s="100" t="e">
        <f t="shared" si="79"/>
        <v>#VALUE!</v>
      </c>
      <c r="E2535" s="64" t="s">
        <v>6716</v>
      </c>
      <c r="F2535" s="66" t="e" cm="1" vm="1">
        <f t="array" aca="1" ref="F253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3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5" s="66">
        <v>2.15</v>
      </c>
      <c r="I2535" s="67">
        <v>46009</v>
      </c>
      <c r="J2535" s="67"/>
      <c r="K2535" s="68"/>
      <c r="L2535" s="69"/>
      <c r="M2535" s="66">
        <f t="shared" ca="1" si="80"/>
        <v>69</v>
      </c>
    </row>
    <row r="2536" spans="1:13" ht="30">
      <c r="A2536" s="64" t="s">
        <v>114</v>
      </c>
      <c r="B2536" s="98" t="e">
        <f>VLOOKUP([2]!Table27[[#This Row],[Location 
(drop-down)]],'[2]List source'!D$2:E$59,2,FALSE)</f>
        <v>#VALUE!</v>
      </c>
      <c r="C2536" s="99" t="s">
        <v>3089</v>
      </c>
      <c r="D2536" s="100" t="e">
        <f t="shared" si="79"/>
        <v>#VALUE!</v>
      </c>
      <c r="E2536" s="64" t="s">
        <v>6717</v>
      </c>
      <c r="F2536" s="66" t="e" cm="1" vm="1">
        <f t="array" aca="1" ref="F253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3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6" s="110" t="s">
        <v>6718</v>
      </c>
      <c r="I2536" s="67">
        <v>46009</v>
      </c>
      <c r="J2536" s="67" t="s">
        <v>69</v>
      </c>
      <c r="K2536" s="68">
        <v>46055</v>
      </c>
      <c r="L2536" s="69"/>
      <c r="M2536" s="66" t="str">
        <f t="shared" ca="1" si="80"/>
        <v>CLOSED</v>
      </c>
    </row>
    <row r="2537" spans="1:13" ht="30">
      <c r="A2537" s="64" t="s">
        <v>30</v>
      </c>
      <c r="B2537" s="98" t="e">
        <f>VLOOKUP([2]!Table27[[#This Row],[Location 
(drop-down)]],'[2]List source'!D$2:E$59,2,FALSE)</f>
        <v>#VALUE!</v>
      </c>
      <c r="C2537" s="99" t="s">
        <v>3915</v>
      </c>
      <c r="D2537" s="100" t="e">
        <f t="shared" si="79"/>
        <v>#VALUE!</v>
      </c>
      <c r="E2537" s="64" t="s">
        <v>6719</v>
      </c>
      <c r="F2537" s="66" t="s">
        <v>2274</v>
      </c>
      <c r="G253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7" s="66">
        <v>2.5299999999999998</v>
      </c>
      <c r="I2537" s="67">
        <v>46013</v>
      </c>
      <c r="J2537" s="67"/>
      <c r="K2537" s="68"/>
      <c r="L2537" s="69"/>
      <c r="M2537" s="66">
        <f t="shared" ca="1" si="80"/>
        <v>65</v>
      </c>
    </row>
    <row r="2538" spans="1:13" ht="30">
      <c r="A2538" s="64" t="s">
        <v>202</v>
      </c>
      <c r="B2538" s="98" t="e">
        <f>VLOOKUP([2]!Table27[[#This Row],[Location 
(drop-down)]],'[2]List source'!D$2:E$59,2,FALSE)</f>
        <v>#VALUE!</v>
      </c>
      <c r="C2538" s="99" t="s">
        <v>4119</v>
      </c>
      <c r="D2538" s="100" t="e">
        <f t="shared" si="79"/>
        <v>#VALUE!</v>
      </c>
      <c r="E2538" s="64" t="s">
        <v>6720</v>
      </c>
      <c r="F2538" s="66" t="s">
        <v>2274</v>
      </c>
      <c r="G253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8" s="110" t="s">
        <v>5433</v>
      </c>
      <c r="I2538" s="67">
        <v>46013</v>
      </c>
      <c r="J2538" s="67"/>
      <c r="K2538" s="68"/>
      <c r="L2538" s="69"/>
      <c r="M2538" s="66">
        <f t="shared" ca="1" si="80"/>
        <v>65</v>
      </c>
    </row>
    <row r="2539" spans="1:13" ht="60">
      <c r="A2539" s="64" t="s">
        <v>39</v>
      </c>
      <c r="B2539" s="98" t="e">
        <f>VLOOKUP([2]!Table27[[#This Row],[Location 
(drop-down)]],'[2]List source'!D$2:E$59,2,FALSE)</f>
        <v>#VALUE!</v>
      </c>
      <c r="C2539" s="99" t="s">
        <v>4073</v>
      </c>
      <c r="D2539" s="100" t="e">
        <f t="shared" si="79"/>
        <v>#VALUE!</v>
      </c>
      <c r="E2539" s="64" t="s">
        <v>6721</v>
      </c>
      <c r="F2539" s="66" t="e" cm="1" vm="1">
        <f t="array" aca="1" ref="F253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3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39" s="66">
        <v>3.08</v>
      </c>
      <c r="I2539" s="67">
        <v>46017</v>
      </c>
      <c r="J2539" s="67"/>
      <c r="K2539" s="68"/>
      <c r="L2539" s="69"/>
      <c r="M2539" s="66">
        <f t="shared" ca="1" si="80"/>
        <v>61</v>
      </c>
    </row>
    <row r="2540" spans="1:13" ht="45">
      <c r="A2540" s="64" t="s">
        <v>294</v>
      </c>
      <c r="B2540" s="98" t="e">
        <f>VLOOKUP([2]!Table27[[#This Row],[Location 
(drop-down)]],'[2]List source'!D$2:E$59,2,FALSE)</f>
        <v>#VALUE!</v>
      </c>
      <c r="C2540" s="99" t="s">
        <v>3938</v>
      </c>
      <c r="D2540" s="100" t="e">
        <f t="shared" si="79"/>
        <v>#VALUE!</v>
      </c>
      <c r="E2540" s="64" t="s">
        <v>6722</v>
      </c>
      <c r="F2540" s="66" t="e" cm="1" vm="1">
        <f t="array" aca="1" ref="F254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0" s="110" t="s">
        <v>6353</v>
      </c>
      <c r="I2540" s="67">
        <v>46017</v>
      </c>
      <c r="J2540" s="67"/>
      <c r="K2540" s="68"/>
      <c r="L2540" s="69"/>
      <c r="M2540" s="66">
        <f t="shared" ca="1" si="80"/>
        <v>61</v>
      </c>
    </row>
    <row r="2541" spans="1:13" ht="30">
      <c r="A2541" s="64" t="s">
        <v>294</v>
      </c>
      <c r="B2541" s="98" t="e">
        <f>VLOOKUP([2]!Table27[[#This Row],[Location 
(drop-down)]],'[2]List source'!D$2:E$59,2,FALSE)</f>
        <v>#VALUE!</v>
      </c>
      <c r="C2541" s="99" t="s">
        <v>3092</v>
      </c>
      <c r="D2541" s="100" t="e">
        <f t="shared" si="79"/>
        <v>#VALUE!</v>
      </c>
      <c r="E2541" s="64" t="s">
        <v>6723</v>
      </c>
      <c r="F2541" s="66" t="e" cm="1" vm="1">
        <f t="array" aca="1" ref="F254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1" s="66">
        <v>2.06</v>
      </c>
      <c r="I2541" s="67">
        <v>46017</v>
      </c>
      <c r="J2541" s="67" t="s">
        <v>327</v>
      </c>
      <c r="K2541" s="68">
        <v>46065</v>
      </c>
      <c r="L2541" s="69"/>
      <c r="M2541" s="66" t="str">
        <f t="shared" ca="1" si="80"/>
        <v>CLOSED</v>
      </c>
    </row>
    <row r="2542" spans="1:13" ht="45">
      <c r="A2542" s="64" t="s">
        <v>294</v>
      </c>
      <c r="B2542" s="98" t="e">
        <f>VLOOKUP([2]!Table27[[#This Row],[Location 
(drop-down)]],'[2]List source'!D$2:E$59,2,FALSE)</f>
        <v>#VALUE!</v>
      </c>
      <c r="C2542" s="99" t="s">
        <v>3999</v>
      </c>
      <c r="D2542" s="100" t="e">
        <f t="shared" si="79"/>
        <v>#VALUE!</v>
      </c>
      <c r="E2542" s="64" t="s">
        <v>6724</v>
      </c>
      <c r="F2542" s="66" t="e" cm="1" vm="1">
        <f t="array" aca="1" ref="F254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2" s="66" t="s">
        <v>6725</v>
      </c>
      <c r="I2542" s="67">
        <v>46017</v>
      </c>
      <c r="J2542" s="67" t="s">
        <v>34</v>
      </c>
      <c r="K2542" s="68">
        <v>46017</v>
      </c>
      <c r="L2542" s="69" t="s">
        <v>6403</v>
      </c>
      <c r="M2542" s="66" t="str">
        <f t="shared" ca="1" si="80"/>
        <v>CLOSED</v>
      </c>
    </row>
    <row r="2543" spans="1:13" ht="30">
      <c r="A2543" s="64" t="s">
        <v>53</v>
      </c>
      <c r="B2543" s="98" t="e">
        <f>VLOOKUP([2]!Table27[[#This Row],[Location 
(drop-down)]],'[2]List source'!D$2:E$59,2,FALSE)</f>
        <v>#VALUE!</v>
      </c>
      <c r="C2543" s="99" t="s">
        <v>4177</v>
      </c>
      <c r="D2543" s="100" t="e">
        <f t="shared" si="79"/>
        <v>#VALUE!</v>
      </c>
      <c r="E2543" s="64" t="s">
        <v>6726</v>
      </c>
      <c r="F2543" s="66" t="e" cm="1" vm="1">
        <f t="array" aca="1" ref="F254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3" s="110" t="s">
        <v>6727</v>
      </c>
      <c r="I2543" s="67">
        <v>46017</v>
      </c>
      <c r="J2543" s="67" t="s">
        <v>327</v>
      </c>
      <c r="K2543" s="68">
        <v>46064</v>
      </c>
      <c r="L2543" s="69"/>
      <c r="M2543" s="66" t="str">
        <f t="shared" ca="1" si="80"/>
        <v>CLOSED</v>
      </c>
    </row>
    <row r="2544" spans="1:13" ht="30">
      <c r="A2544" s="64" t="s">
        <v>73</v>
      </c>
      <c r="B2544" s="98" t="e">
        <f>VLOOKUP([2]!Table27[[#This Row],[Location 
(drop-down)]],'[2]List source'!D$2:E$59,2,FALSE)</f>
        <v>#VALUE!</v>
      </c>
      <c r="C2544" s="99" t="s">
        <v>3813</v>
      </c>
      <c r="D2544" s="100" t="e">
        <f t="shared" si="79"/>
        <v>#VALUE!</v>
      </c>
      <c r="E2544" s="64" t="s">
        <v>6728</v>
      </c>
      <c r="F2544" s="66" t="e" cm="1" vm="1">
        <f t="array" aca="1" ref="F254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4" s="66">
        <v>2.34</v>
      </c>
      <c r="I2544" s="67">
        <v>46017</v>
      </c>
      <c r="J2544" s="67"/>
      <c r="K2544" s="68"/>
      <c r="L2544" s="69"/>
      <c r="M2544" s="66">
        <f t="shared" ca="1" si="80"/>
        <v>61</v>
      </c>
    </row>
    <row r="2545" spans="1:13" ht="60">
      <c r="A2545" s="64" t="s">
        <v>701</v>
      </c>
      <c r="B2545" s="98" t="e">
        <f>VLOOKUP([2]!Table27[[#This Row],[Location 
(drop-down)]],'[2]List source'!D$2:E$59,2,FALSE)</f>
        <v>#VALUE!</v>
      </c>
      <c r="C2545" s="99" t="s">
        <v>3122</v>
      </c>
      <c r="D2545" s="100" t="e">
        <f t="shared" si="79"/>
        <v>#VALUE!</v>
      </c>
      <c r="E2545" s="64" t="s">
        <v>6729</v>
      </c>
      <c r="F2545" s="66" t="e" cm="1" vm="1">
        <f t="array" aca="1" ref="F254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5" s="66">
        <v>2.0499999999999998</v>
      </c>
      <c r="I2545" s="67">
        <v>46017</v>
      </c>
      <c r="J2545" s="67" t="s">
        <v>34</v>
      </c>
      <c r="K2545" s="68">
        <v>46017</v>
      </c>
      <c r="L2545" s="69" t="s">
        <v>6403</v>
      </c>
      <c r="M2545" s="66" t="str">
        <f t="shared" ca="1" si="80"/>
        <v>CLOSED</v>
      </c>
    </row>
    <row r="2546" spans="1:13" ht="45">
      <c r="A2546" s="64" t="s">
        <v>500</v>
      </c>
      <c r="B2546" s="98" t="e">
        <f>VLOOKUP([2]!Table27[[#This Row],[Location 
(drop-down)]],'[2]List source'!D$2:E$59,2,FALSE)</f>
        <v>#VALUE!</v>
      </c>
      <c r="C2546" s="99" t="s">
        <v>3906</v>
      </c>
      <c r="D2546" s="100" t="e">
        <f t="shared" si="79"/>
        <v>#VALUE!</v>
      </c>
      <c r="E2546" s="64" t="s">
        <v>6730</v>
      </c>
      <c r="F2546" s="66" t="e" cm="1" vm="1">
        <f t="array" aca="1" ref="F254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6" s="110" t="s">
        <v>6731</v>
      </c>
      <c r="I2546" s="67">
        <v>46017</v>
      </c>
      <c r="J2546" s="67" t="s">
        <v>34</v>
      </c>
      <c r="K2546" s="68">
        <v>46030</v>
      </c>
      <c r="L2546" s="69" t="s">
        <v>6411</v>
      </c>
      <c r="M2546" s="66" t="str">
        <f t="shared" ca="1" si="80"/>
        <v>CLOSED</v>
      </c>
    </row>
    <row r="2547" spans="1:13" ht="60">
      <c r="A2547" s="64" t="s">
        <v>500</v>
      </c>
      <c r="B2547" s="98" t="e">
        <f>VLOOKUP([2]!Table27[[#This Row],[Location 
(drop-down)]],'[2]List source'!D$2:E$59,2,FALSE)</f>
        <v>#VALUE!</v>
      </c>
      <c r="C2547" s="99" t="s">
        <v>3803</v>
      </c>
      <c r="D2547" s="100" t="e">
        <f t="shared" si="79"/>
        <v>#VALUE!</v>
      </c>
      <c r="E2547" s="64" t="s">
        <v>6732</v>
      </c>
      <c r="F2547" s="66" t="e" cm="1" vm="1">
        <f t="array" aca="1" ref="F254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7" s="66" t="s">
        <v>1579</v>
      </c>
      <c r="I2547" s="67">
        <v>46017</v>
      </c>
      <c r="J2547" s="67" t="s">
        <v>34</v>
      </c>
      <c r="K2547" s="68">
        <v>46030</v>
      </c>
      <c r="L2547" s="69" t="s">
        <v>6411</v>
      </c>
      <c r="M2547" s="66" t="str">
        <f t="shared" ca="1" si="80"/>
        <v>CLOSED</v>
      </c>
    </row>
    <row r="2548" spans="1:13" ht="60">
      <c r="A2548" s="64" t="s">
        <v>500</v>
      </c>
      <c r="B2548" s="98" t="e">
        <f>VLOOKUP([2]!Table27[[#This Row],[Location 
(drop-down)]],'[2]List source'!D$2:E$59,2,FALSE)</f>
        <v>#VALUE!</v>
      </c>
      <c r="C2548" s="99" t="s">
        <v>3094</v>
      </c>
      <c r="D2548" s="100" t="e">
        <f t="shared" si="79"/>
        <v>#VALUE!</v>
      </c>
      <c r="E2548" s="64" t="s">
        <v>6733</v>
      </c>
      <c r="F2548" s="66" t="e" cm="1" vm="1">
        <f t="array" aca="1" ref="F254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8" s="66" t="s">
        <v>6734</v>
      </c>
      <c r="I2548" s="67">
        <v>46017</v>
      </c>
      <c r="J2548" s="67"/>
      <c r="K2548" s="68"/>
      <c r="L2548" s="69"/>
      <c r="M2548" s="66">
        <f t="shared" ca="1" si="80"/>
        <v>61</v>
      </c>
    </row>
    <row r="2549" spans="1:13" ht="30">
      <c r="A2549" s="64" t="s">
        <v>714</v>
      </c>
      <c r="B2549" s="98" t="e">
        <f>VLOOKUP([2]!Table27[[#This Row],[Location 
(drop-down)]],'[2]List source'!D$2:E$59,2,FALSE)</f>
        <v>#VALUE!</v>
      </c>
      <c r="C2549" s="99" t="s">
        <v>3124</v>
      </c>
      <c r="D2549" s="100" t="e">
        <f t="shared" si="79"/>
        <v>#VALUE!</v>
      </c>
      <c r="E2549" s="64" t="s">
        <v>6735</v>
      </c>
      <c r="F2549" s="66" t="e" cm="1" vm="1">
        <f t="array" aca="1" ref="F254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4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49" s="66">
        <v>2.0699999999999998</v>
      </c>
      <c r="I2549" s="67">
        <v>46017</v>
      </c>
      <c r="J2549" s="67" t="s">
        <v>34</v>
      </c>
      <c r="K2549" s="68">
        <v>46022</v>
      </c>
      <c r="L2549" s="69" t="s">
        <v>6411</v>
      </c>
      <c r="M2549" s="66" t="str">
        <f t="shared" ca="1" si="80"/>
        <v>CLOSED</v>
      </c>
    </row>
    <row r="2550" spans="1:13" ht="45">
      <c r="A2550" s="64" t="s">
        <v>714</v>
      </c>
      <c r="B2550" s="98" t="e">
        <f>VLOOKUP([2]!Table27[[#This Row],[Location 
(drop-down)]],'[2]List source'!D$2:E$59,2,FALSE)</f>
        <v>#VALUE!</v>
      </c>
      <c r="C2550" s="99" t="s">
        <v>3560</v>
      </c>
      <c r="D2550" s="100" t="e">
        <f t="shared" si="79"/>
        <v>#VALUE!</v>
      </c>
      <c r="E2550" s="64" t="s">
        <v>6736</v>
      </c>
      <c r="F2550" s="66" t="e" cm="1" vm="1">
        <f t="array" aca="1" ref="F255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5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0" s="66" t="s">
        <v>6737</v>
      </c>
      <c r="I2550" s="67">
        <v>46017</v>
      </c>
      <c r="J2550" s="67"/>
      <c r="K2550" s="68"/>
      <c r="L2550" s="69"/>
      <c r="M2550" s="66">
        <f t="shared" ca="1" si="80"/>
        <v>61</v>
      </c>
    </row>
    <row r="2551" spans="1:13" ht="30">
      <c r="A2551" s="64" t="s">
        <v>714</v>
      </c>
      <c r="B2551" s="98" t="e">
        <f>VLOOKUP([2]!Table27[[#This Row],[Location 
(drop-down)]],'[2]List source'!D$2:E$59,2,FALSE)</f>
        <v>#VALUE!</v>
      </c>
      <c r="C2551" s="99" t="s">
        <v>3503</v>
      </c>
      <c r="D2551" s="100" t="e">
        <f t="shared" si="79"/>
        <v>#VALUE!</v>
      </c>
      <c r="E2551" s="64" t="s">
        <v>6738</v>
      </c>
      <c r="F2551" s="66" t="e" cm="1" vm="1">
        <f t="array" aca="1" ref="F255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5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1" s="66">
        <v>9.5299999999999994</v>
      </c>
      <c r="I2551" s="67">
        <v>46017</v>
      </c>
      <c r="J2551" s="67"/>
      <c r="K2551" s="68"/>
      <c r="L2551" s="69"/>
      <c r="M2551" s="66">
        <f t="shared" ca="1" si="80"/>
        <v>61</v>
      </c>
    </row>
    <row r="2552" spans="1:13" ht="30">
      <c r="A2552" s="64" t="s">
        <v>714</v>
      </c>
      <c r="B2552" s="98" t="e">
        <f>VLOOKUP([2]!Table27[[#This Row],[Location 
(drop-down)]],'[2]List source'!D$2:E$59,2,FALSE)</f>
        <v>#VALUE!</v>
      </c>
      <c r="C2552" s="99" t="s">
        <v>3097</v>
      </c>
      <c r="D2552" s="100" t="e">
        <f t="shared" si="79"/>
        <v>#VALUE!</v>
      </c>
      <c r="E2552" s="64" t="s">
        <v>6739</v>
      </c>
      <c r="F2552" s="66" t="e" cm="1" vm="1">
        <f t="array" aca="1" ref="F255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5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2" s="66">
        <v>5.15</v>
      </c>
      <c r="I2552" s="67">
        <v>46017</v>
      </c>
      <c r="J2552" s="67"/>
      <c r="K2552" s="68"/>
      <c r="L2552" s="69"/>
      <c r="M2552" s="66">
        <f t="shared" ca="1" si="80"/>
        <v>61</v>
      </c>
    </row>
    <row r="2553" spans="1:13" ht="60">
      <c r="A2553" s="64" t="s">
        <v>714</v>
      </c>
      <c r="B2553" s="98" t="e">
        <f>VLOOKUP([2]!Table27[[#This Row],[Location 
(drop-down)]],'[2]List source'!D$2:E$59,2,FALSE)</f>
        <v>#VALUE!</v>
      </c>
      <c r="C2553" s="99" t="s">
        <v>3099</v>
      </c>
      <c r="D2553" s="100" t="e">
        <f t="shared" si="79"/>
        <v>#VALUE!</v>
      </c>
      <c r="E2553" s="64" t="s">
        <v>6740</v>
      </c>
      <c r="F2553" s="66" t="e" cm="1" vm="1">
        <f t="array" aca="1" ref="F255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5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3" s="110" t="s">
        <v>6741</v>
      </c>
      <c r="I2553" s="67">
        <v>46017</v>
      </c>
      <c r="J2553" s="67"/>
      <c r="K2553" s="68"/>
      <c r="L2553" s="69"/>
      <c r="M2553" s="66">
        <f t="shared" ca="1" si="80"/>
        <v>61</v>
      </c>
    </row>
    <row r="2554" spans="1:13" ht="30">
      <c r="A2554" s="64" t="s">
        <v>119</v>
      </c>
      <c r="B2554" s="98" t="e">
        <f>VLOOKUP([2]!Table27[[#This Row],[Location 
(drop-down)]],'[2]List source'!D$2:E$59,2,FALSE)</f>
        <v>#VALUE!</v>
      </c>
      <c r="C2554" s="99" t="s">
        <v>3948</v>
      </c>
      <c r="D2554" s="100" t="e">
        <f t="shared" si="79"/>
        <v>#VALUE!</v>
      </c>
      <c r="E2554" s="64" t="s">
        <v>6742</v>
      </c>
      <c r="F2554" s="66" t="e" cm="1" vm="1">
        <f t="array" aca="1" ref="F255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5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4" s="66">
        <v>3.05</v>
      </c>
      <c r="I2554" s="67">
        <v>46020</v>
      </c>
      <c r="J2554" s="67"/>
      <c r="K2554" s="68"/>
      <c r="L2554" s="69"/>
      <c r="M2554" s="66">
        <f t="shared" ca="1" si="80"/>
        <v>58</v>
      </c>
    </row>
    <row r="2555" spans="1:13" ht="30">
      <c r="A2555" s="64" t="s">
        <v>119</v>
      </c>
      <c r="B2555" s="98" t="e">
        <f>VLOOKUP([2]!Table27[[#This Row],[Location 
(drop-down)]],'[2]List source'!D$2:E$59,2,FALSE)</f>
        <v>#VALUE!</v>
      </c>
      <c r="C2555" s="99" t="s">
        <v>4075</v>
      </c>
      <c r="D2555" s="100" t="e">
        <f t="shared" si="79"/>
        <v>#VALUE!</v>
      </c>
      <c r="E2555" s="64" t="s">
        <v>6743</v>
      </c>
      <c r="F2555" s="66" t="e" cm="1" vm="1">
        <f t="array" aca="1" ref="F255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5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5" s="66">
        <v>3.68</v>
      </c>
      <c r="I2555" s="67">
        <v>46020</v>
      </c>
      <c r="J2555" s="67"/>
      <c r="K2555" s="68"/>
      <c r="L2555" s="69"/>
      <c r="M2555" s="66">
        <f t="shared" ca="1" si="80"/>
        <v>58</v>
      </c>
    </row>
    <row r="2556" spans="1:13" ht="45">
      <c r="A2556" s="64" t="s">
        <v>30</v>
      </c>
      <c r="B2556" s="98" t="e">
        <f>VLOOKUP([2]!Table27[[#This Row],[Location 
(drop-down)]],'[2]List source'!D$2:E$59,2,FALSE)</f>
        <v>#VALUE!</v>
      </c>
      <c r="C2556" s="99" t="s">
        <v>4315</v>
      </c>
      <c r="D2556" s="100" t="e">
        <f t="shared" si="79"/>
        <v>#VALUE!</v>
      </c>
      <c r="E2556" s="64" t="s">
        <v>6744</v>
      </c>
      <c r="F2556" s="66" t="s">
        <v>2269</v>
      </c>
      <c r="G255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6" s="110" t="s">
        <v>1683</v>
      </c>
      <c r="I2556" s="67">
        <v>46020</v>
      </c>
      <c r="J2556" s="67" t="s">
        <v>34</v>
      </c>
      <c r="K2556" s="68">
        <v>46020</v>
      </c>
      <c r="L2556" s="69" t="s">
        <v>6403</v>
      </c>
      <c r="M2556" s="66" t="str">
        <f t="shared" ca="1" si="80"/>
        <v>CLOSED</v>
      </c>
    </row>
    <row r="2557" spans="1:13" ht="45">
      <c r="A2557" s="64" t="s">
        <v>73</v>
      </c>
      <c r="B2557" s="98" t="e">
        <f>VLOOKUP([2]!Table27[[#This Row],[Location 
(drop-down)]],'[2]List source'!D$2:E$59,2,FALSE)</f>
        <v>#VALUE!</v>
      </c>
      <c r="C2557" s="99" t="s">
        <v>4318</v>
      </c>
      <c r="D2557" s="100" t="e">
        <f t="shared" si="79"/>
        <v>#VALUE!</v>
      </c>
      <c r="E2557" s="64" t="s">
        <v>6745</v>
      </c>
      <c r="F2557" s="66" t="s">
        <v>1524</v>
      </c>
      <c r="G255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7" s="110" t="s">
        <v>2117</v>
      </c>
      <c r="I2557" s="67">
        <v>46020</v>
      </c>
      <c r="J2557" s="67" t="s">
        <v>34</v>
      </c>
      <c r="K2557" s="68">
        <v>46020</v>
      </c>
      <c r="L2557" s="69" t="s">
        <v>6746</v>
      </c>
      <c r="M2557" s="66" t="str">
        <f t="shared" ca="1" si="80"/>
        <v>CLOSED</v>
      </c>
    </row>
    <row r="2558" spans="1:13" ht="30">
      <c r="A2558" s="64" t="s">
        <v>156</v>
      </c>
      <c r="B2558" s="98" t="e">
        <f>VLOOKUP([2]!Table27[[#This Row],[Location 
(drop-down)]],'[2]List source'!D$2:E$59,2,FALSE)</f>
        <v>#VALUE!</v>
      </c>
      <c r="C2558" s="99" t="s">
        <v>4321</v>
      </c>
      <c r="D2558" s="100" t="e">
        <f t="shared" si="79"/>
        <v>#VALUE!</v>
      </c>
      <c r="E2558" s="64" t="s">
        <v>6747</v>
      </c>
      <c r="F2558" s="66" t="e" cm="1" vm="1">
        <f t="array" aca="1" ref="F255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5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8" s="66">
        <v>2.4700000000000002</v>
      </c>
      <c r="I2558" s="67">
        <v>46021</v>
      </c>
      <c r="J2558" s="67"/>
      <c r="K2558" s="68"/>
      <c r="L2558" s="69"/>
      <c r="M2558" s="66">
        <f t="shared" ca="1" si="80"/>
        <v>57</v>
      </c>
    </row>
    <row r="2559" spans="1:13" ht="45">
      <c r="A2559" s="64" t="s">
        <v>156</v>
      </c>
      <c r="B2559" s="98" t="e">
        <f>VLOOKUP([2]!Table27[[#This Row],[Location 
(drop-down)]],'[2]List source'!D$2:E$59,2,FALSE)</f>
        <v>#VALUE!</v>
      </c>
      <c r="C2559" s="99" t="s">
        <v>3102</v>
      </c>
      <c r="D2559" s="100" t="e">
        <f t="shared" si="79"/>
        <v>#VALUE!</v>
      </c>
      <c r="E2559" s="64" t="s">
        <v>6748</v>
      </c>
      <c r="F2559" s="66" t="e" cm="1" vm="1">
        <f t="array" aca="1" ref="F2559"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5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59" s="66"/>
      <c r="I2559" s="67">
        <v>46021</v>
      </c>
      <c r="J2559" s="67" t="s">
        <v>34</v>
      </c>
      <c r="K2559" s="68">
        <v>46021</v>
      </c>
      <c r="L2559" s="69" t="s">
        <v>6403</v>
      </c>
      <c r="M2559" s="66" t="str">
        <f t="shared" ca="1" si="80"/>
        <v>CLOSED</v>
      </c>
    </row>
    <row r="2560" spans="1:13" ht="30">
      <c r="A2560" s="64" t="s">
        <v>156</v>
      </c>
      <c r="B2560" s="98" t="e">
        <f>VLOOKUP([2]!Table27[[#This Row],[Location 
(drop-down)]],'[2]List source'!D$2:E$59,2,FALSE)</f>
        <v>#VALUE!</v>
      </c>
      <c r="C2560" s="99" t="s">
        <v>3104</v>
      </c>
      <c r="D2560" s="100" t="e">
        <f t="shared" si="79"/>
        <v>#VALUE!</v>
      </c>
      <c r="E2560" s="64" t="s">
        <v>6749</v>
      </c>
      <c r="F2560" s="66" t="e" cm="1" vm="1">
        <f t="array" aca="1" ref="F2560"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6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0" s="66">
        <v>2.98</v>
      </c>
      <c r="I2560" s="67">
        <v>46021</v>
      </c>
      <c r="J2560" s="67"/>
      <c r="K2560" s="68"/>
      <c r="L2560" s="69"/>
      <c r="M2560" s="66">
        <f t="shared" ca="1" si="80"/>
        <v>57</v>
      </c>
    </row>
    <row r="2561" spans="1:13" ht="30">
      <c r="A2561" s="64" t="s">
        <v>39</v>
      </c>
      <c r="B2561" s="98" t="e">
        <f>VLOOKUP([2]!Table27[[#This Row],[Location 
(drop-down)]],'[2]List source'!D$2:E$59,2,FALSE)</f>
        <v>#VALUE!</v>
      </c>
      <c r="C2561" s="99" t="s">
        <v>3630</v>
      </c>
      <c r="D2561" s="100" t="e">
        <f t="shared" si="79"/>
        <v>#VALUE!</v>
      </c>
      <c r="E2561" s="64" t="s">
        <v>6750</v>
      </c>
      <c r="F2561" s="66" t="e" cm="1" vm="1">
        <f t="array" aca="1" ref="F2561"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6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1" s="66">
        <v>5.99</v>
      </c>
      <c r="I2561" s="67">
        <v>46021</v>
      </c>
      <c r="J2561" s="67" t="s">
        <v>327</v>
      </c>
      <c r="K2561" s="68">
        <v>46070</v>
      </c>
      <c r="L2561" s="69"/>
      <c r="M2561" s="66" t="str">
        <f t="shared" ca="1" si="80"/>
        <v>CLOSED</v>
      </c>
    </row>
    <row r="2562" spans="1:13" ht="30">
      <c r="A2562" s="64" t="s">
        <v>39</v>
      </c>
      <c r="B2562" s="98" t="e">
        <f>VLOOKUP([2]!Table27[[#This Row],[Location 
(drop-down)]],'[2]List source'!D$2:E$59,2,FALSE)</f>
        <v>#VALUE!</v>
      </c>
      <c r="C2562" s="99" t="s">
        <v>3173</v>
      </c>
      <c r="D2562" s="100" t="e">
        <f t="shared" ref="D2562:D2595" si="81">"PTO" &amp; C2562 &amp; "-" &amp; B2562 &amp; "-" &amp; "23"</f>
        <v>#VALUE!</v>
      </c>
      <c r="E2562" s="64" t="s">
        <v>6751</v>
      </c>
      <c r="F2562" s="66" t="e" cm="1" vm="1">
        <f t="array" aca="1" ref="F2562"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6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2" s="66">
        <v>2.4900000000000002</v>
      </c>
      <c r="I2562" s="67">
        <v>46021</v>
      </c>
      <c r="J2562" s="67" t="s">
        <v>34</v>
      </c>
      <c r="K2562" s="68">
        <v>46051</v>
      </c>
      <c r="L2562" s="69" t="s">
        <v>6752</v>
      </c>
      <c r="M2562" s="66" t="str">
        <f t="shared" ca="1" si="80"/>
        <v>CLOSED</v>
      </c>
    </row>
    <row r="2563" spans="1:13" ht="30">
      <c r="A2563" s="64" t="s">
        <v>462</v>
      </c>
      <c r="B2563" s="98" t="e">
        <f>VLOOKUP([2]!Table27[[#This Row],[Location 
(drop-down)]],'[2]List source'!D$2:E$59,2,FALSE)</f>
        <v>#VALUE!</v>
      </c>
      <c r="C2563" s="99" t="s">
        <v>3107</v>
      </c>
      <c r="D2563" s="100" t="e">
        <f t="shared" si="81"/>
        <v>#VALUE!</v>
      </c>
      <c r="E2563" s="64" t="s">
        <v>6753</v>
      </c>
      <c r="F2563" s="66" t="e" cm="1" vm="1">
        <f t="array" aca="1" ref="F2563"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6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3" s="66">
        <v>2.11</v>
      </c>
      <c r="I2563" s="67">
        <v>46021</v>
      </c>
      <c r="J2563" s="67"/>
      <c r="K2563" s="68"/>
      <c r="L2563" s="69"/>
      <c r="M2563" s="66">
        <f t="shared" ca="1" si="80"/>
        <v>57</v>
      </c>
    </row>
    <row r="2564" spans="1:13" ht="30">
      <c r="A2564" s="64" t="s">
        <v>311</v>
      </c>
      <c r="B2564" s="98" t="e">
        <f>VLOOKUP([2]!Table27[[#This Row],[Location 
(drop-down)]],'[2]List source'!D$2:E$59,2,FALSE)</f>
        <v>#VALUE!</v>
      </c>
      <c r="C2564" s="99" t="s">
        <v>3109</v>
      </c>
      <c r="D2564" s="100" t="e">
        <f t="shared" si="81"/>
        <v>#VALUE!</v>
      </c>
      <c r="E2564" s="64" t="s">
        <v>6754</v>
      </c>
      <c r="F2564" s="66" t="e" cm="1" vm="1">
        <f t="array" aca="1" ref="F2564"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6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4" s="110" t="s">
        <v>1880</v>
      </c>
      <c r="I2564" s="67">
        <v>46021</v>
      </c>
      <c r="J2564" s="67"/>
      <c r="K2564" s="68"/>
      <c r="L2564" s="69"/>
      <c r="M2564" s="66">
        <f t="shared" ca="1" si="80"/>
        <v>57</v>
      </c>
    </row>
    <row r="2565" spans="1:13" ht="45">
      <c r="A2565" s="64" t="s">
        <v>314</v>
      </c>
      <c r="B2565" s="98" t="e">
        <f>VLOOKUP([2]!Table27[[#This Row],[Location 
(drop-down)]],'[2]List source'!D$2:E$59,2,FALSE)</f>
        <v>#VALUE!</v>
      </c>
      <c r="C2565" s="99" t="s">
        <v>3730</v>
      </c>
      <c r="D2565" s="100" t="e">
        <f t="shared" si="81"/>
        <v>#VALUE!</v>
      </c>
      <c r="E2565" s="64" t="s">
        <v>6755</v>
      </c>
      <c r="F2565" s="66" t="e" cm="1" vm="1">
        <f t="array" aca="1" ref="F2565"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6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5" s="66">
        <v>11.66</v>
      </c>
      <c r="I2565" s="67">
        <v>46021</v>
      </c>
      <c r="J2565" s="67" t="s">
        <v>34</v>
      </c>
      <c r="K2565" s="68">
        <v>46057</v>
      </c>
      <c r="L2565" s="69" t="s">
        <v>1505</v>
      </c>
      <c r="M2565" s="66" t="str">
        <f t="shared" ca="1" si="80"/>
        <v>CLOSED</v>
      </c>
    </row>
    <row r="2566" spans="1:13" ht="30">
      <c r="A2566" s="64" t="s">
        <v>139</v>
      </c>
      <c r="B2566" s="98" t="e">
        <f>VLOOKUP([2]!Table27[[#This Row],[Location 
(drop-down)]],'[2]List source'!D$2:E$59,2,FALSE)</f>
        <v>#VALUE!</v>
      </c>
      <c r="C2566" s="99" t="s">
        <v>3111</v>
      </c>
      <c r="D2566" s="100" t="e">
        <f t="shared" si="81"/>
        <v>#VALUE!</v>
      </c>
      <c r="E2566" s="64" t="s">
        <v>6756</v>
      </c>
      <c r="F2566" s="66" t="e" cm="1" vm="1">
        <f t="array" aca="1" ref="F2566"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6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6" s="66">
        <v>2.95</v>
      </c>
      <c r="I2566" s="67">
        <v>46021</v>
      </c>
      <c r="J2566" s="67" t="s">
        <v>34</v>
      </c>
      <c r="K2566" s="68">
        <v>46036</v>
      </c>
      <c r="L2566" s="69" t="s">
        <v>6752</v>
      </c>
      <c r="M2566" s="66" t="str">
        <f t="shared" ca="1" si="80"/>
        <v>CLOSED</v>
      </c>
    </row>
    <row r="2567" spans="1:13" ht="45">
      <c r="A2567" s="64" t="s">
        <v>15</v>
      </c>
      <c r="B2567" s="98" t="e">
        <f>VLOOKUP([2]!Table27[[#This Row],[Location 
(drop-down)]],'[2]List source'!D$2:E$59,2,FALSE)</f>
        <v>#VALUE!</v>
      </c>
      <c r="C2567" s="99" t="s">
        <v>3113</v>
      </c>
      <c r="D2567" s="100" t="e">
        <f t="shared" si="81"/>
        <v>#VALUE!</v>
      </c>
      <c r="E2567" s="64" t="s">
        <v>6757</v>
      </c>
      <c r="F2567" s="66" t="e" cm="1" vm="1">
        <f t="array" aca="1" ref="F2567"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6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7" s="66">
        <v>2.12</v>
      </c>
      <c r="I2567" s="67">
        <v>46021</v>
      </c>
      <c r="J2567" s="67" t="s">
        <v>34</v>
      </c>
      <c r="K2567" s="68">
        <v>46027</v>
      </c>
      <c r="L2567" s="69" t="s">
        <v>6758</v>
      </c>
      <c r="M2567" s="66" t="str">
        <f t="shared" ca="1" si="80"/>
        <v>CLOSED</v>
      </c>
    </row>
    <row r="2568" spans="1:13" ht="45">
      <c r="A2568" s="64" t="s">
        <v>15</v>
      </c>
      <c r="B2568" s="98" t="e">
        <f>VLOOKUP([2]!Table27[[#This Row],[Location 
(drop-down)]],'[2]List source'!D$2:E$59,2,FALSE)</f>
        <v>#VALUE!</v>
      </c>
      <c r="C2568" s="99" t="s">
        <v>4161</v>
      </c>
      <c r="D2568" s="100" t="e">
        <f t="shared" si="81"/>
        <v>#VALUE!</v>
      </c>
      <c r="E2568" s="64" t="s">
        <v>6748</v>
      </c>
      <c r="F2568" s="66" t="e" cm="1" vm="1">
        <f t="array" aca="1" ref="F2568" ca="1">MID(LEFT([1]!Table27[[#This Row],[BRIEF DESCRIPTION OF NC
if VOID:  "VOID, Location,  
details (initials, date)"]], INDEX(_xlfn._xlws.FILTER(ROW(INDIRECT("1:" &amp; LEN([1]!Table27[[#This Row],[BRIEF DESCRIPTION OF NC
if VOID:  "VOID, Location,  
details (initials, date)"]]))), (48 &lt;= CODE(MID([1]!Table27[[#This Row],[BRIEF DESCRIPTION OF NC
if VOID:  "VOID, Location,  
details (initials, date)"]], ROW(INDIRECT("1:" &amp; LEN([1]!Table27[[#This Row],[BRIEF DESCRIPTION OF NC
if VOID:  "VOID, Location,  
details (initials, date)"]]))), 1))) * (CODE(MID([1]!Table27[[#This Row],[BRIEF DESCRIPTION OF NC
if VOID:  "VOID, Location,  
details (initials, date)"]], ROW(INDIRECT("1:" &amp; LEN([1]!Table27[[#This Row],[BRIEF DESCRIPTION OF NC
if VOID:  "VOID, Location,  
details (initials, date)"]]))), 1)) &lt;= 57)), 1) - 1), FIND(":", [1]!Table27[[#This Row],[BRIEF DESCRIPTION OF NC
if VOID:  "VOID, Location,  
details (initials, date)"]]) + 2, LEN([1]!Table27[[#This Row],[BRIEF DESCRIPTION OF NC
if VOID:  "VOID, Location,  
details (initials, date)"]]))</f>
        <v>#REF!</v>
      </c>
      <c r="G256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8" s="66">
        <v>2.02</v>
      </c>
      <c r="I2568" s="67">
        <v>46021</v>
      </c>
      <c r="J2568" s="67" t="s">
        <v>34</v>
      </c>
      <c r="K2568" s="68">
        <v>46021</v>
      </c>
      <c r="L2568" s="69" t="s">
        <v>6403</v>
      </c>
      <c r="M2568" s="66" t="str">
        <f t="shared" ca="1" si="80"/>
        <v>CLOSED</v>
      </c>
    </row>
    <row r="2569" spans="1:13" ht="30">
      <c r="A2569" s="64" t="s">
        <v>15</v>
      </c>
      <c r="B2569" s="98" t="e">
        <f>VLOOKUP([2]!Table27[[#This Row],[Location 
(drop-down)]],'[2]List source'!D$2:E$59,2,FALSE)</f>
        <v>#VALUE!</v>
      </c>
      <c r="C2569" s="99" t="s">
        <v>3280</v>
      </c>
      <c r="D2569" s="100" t="e">
        <f t="shared" si="81"/>
        <v>#VALUE!</v>
      </c>
      <c r="E2569" s="64" t="s">
        <v>6759</v>
      </c>
      <c r="F2569" s="66" t="s">
        <v>5286</v>
      </c>
      <c r="G256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69" s="66">
        <v>2.44</v>
      </c>
      <c r="I2569" s="67">
        <v>46021</v>
      </c>
      <c r="J2569" s="67"/>
      <c r="K2569" s="68"/>
      <c r="L2569" s="69"/>
      <c r="M2569" s="66">
        <f t="shared" ca="1" si="80"/>
        <v>57</v>
      </c>
    </row>
    <row r="2570" spans="1:13" ht="30">
      <c r="A2570" s="64" t="s">
        <v>114</v>
      </c>
      <c r="B2570" s="98" t="e">
        <f>VLOOKUP([2]!Table27[[#This Row],[Location 
(drop-down)]],'[2]List source'!D$2:E$59,2,FALSE)</f>
        <v>#VALUE!</v>
      </c>
      <c r="C2570" s="99" t="s">
        <v>3115</v>
      </c>
      <c r="D2570" s="100" t="e">
        <f t="shared" si="81"/>
        <v>#VALUE!</v>
      </c>
      <c r="E2570" s="64" t="s">
        <v>6760</v>
      </c>
      <c r="F2570" s="66" t="s">
        <v>3068</v>
      </c>
      <c r="G257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0" s="110" t="s">
        <v>6761</v>
      </c>
      <c r="I2570" s="67">
        <v>46021</v>
      </c>
      <c r="J2570" s="67"/>
      <c r="K2570" s="68"/>
      <c r="L2570" s="69"/>
      <c r="M2570" s="66">
        <f t="shared" ca="1" si="80"/>
        <v>57</v>
      </c>
    </row>
    <row r="2571" spans="1:13" ht="45">
      <c r="A2571" s="64" t="s">
        <v>114</v>
      </c>
      <c r="B2571" s="98" t="e">
        <f>VLOOKUP([2]!Table27[[#This Row],[Location 
(drop-down)]],'[2]List source'!D$2:E$59,2,FALSE)</f>
        <v>#VALUE!</v>
      </c>
      <c r="C2571" s="99" t="s">
        <v>3176</v>
      </c>
      <c r="D2571" s="100" t="e">
        <f t="shared" si="81"/>
        <v>#VALUE!</v>
      </c>
      <c r="E2571" s="64" t="s">
        <v>6762</v>
      </c>
      <c r="F2571" s="66" t="s">
        <v>3068</v>
      </c>
      <c r="G257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1" s="66">
        <v>15.47</v>
      </c>
      <c r="I2571" s="67">
        <v>46021</v>
      </c>
      <c r="J2571" s="67" t="s">
        <v>34</v>
      </c>
      <c r="K2571" s="68">
        <v>46037</v>
      </c>
      <c r="L2571" s="69" t="s">
        <v>1505</v>
      </c>
      <c r="M2571" s="66" t="str">
        <f t="shared" ca="1" si="80"/>
        <v>CLOSED</v>
      </c>
    </row>
    <row r="2572" spans="1:13" ht="30">
      <c r="A2572" s="64" t="s">
        <v>114</v>
      </c>
      <c r="B2572" s="98" t="e">
        <f>VLOOKUP([2]!Table27[[#This Row],[Location 
(drop-down)]],'[2]List source'!D$2:E$59,2,FALSE)</f>
        <v>#VALUE!</v>
      </c>
      <c r="C2572" s="99" t="s">
        <v>3117</v>
      </c>
      <c r="D2572" s="100" t="e">
        <f t="shared" si="81"/>
        <v>#VALUE!</v>
      </c>
      <c r="E2572" s="64" t="s">
        <v>6763</v>
      </c>
      <c r="F2572" s="66" t="s">
        <v>3068</v>
      </c>
      <c r="G257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2" s="66">
        <v>3.03</v>
      </c>
      <c r="I2572" s="67">
        <v>46021</v>
      </c>
      <c r="J2572" s="67"/>
      <c r="K2572" s="68"/>
      <c r="L2572" s="69"/>
      <c r="M2572" s="66">
        <f t="shared" ca="1" si="80"/>
        <v>57</v>
      </c>
    </row>
    <row r="2573" spans="1:13" ht="45">
      <c r="A2573" s="64" t="s">
        <v>114</v>
      </c>
      <c r="B2573" s="98" t="e">
        <f>VLOOKUP([2]!Table27[[#This Row],[Location 
(drop-down)]],'[2]List source'!D$2:E$59,2,FALSE)</f>
        <v>#VALUE!</v>
      </c>
      <c r="C2573" s="99" t="s">
        <v>3119</v>
      </c>
      <c r="D2573" s="100" t="e">
        <f t="shared" si="81"/>
        <v>#VALUE!</v>
      </c>
      <c r="E2573" s="64" t="s">
        <v>6764</v>
      </c>
      <c r="F2573" s="66" t="s">
        <v>3068</v>
      </c>
      <c r="G257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3" s="66">
        <v>2.79</v>
      </c>
      <c r="I2573" s="67">
        <v>46021</v>
      </c>
      <c r="J2573" s="67" t="s">
        <v>34</v>
      </c>
      <c r="K2573" s="68">
        <v>46021</v>
      </c>
      <c r="L2573" s="69" t="s">
        <v>6403</v>
      </c>
      <c r="M2573" s="66" t="str">
        <f t="shared" ca="1" si="80"/>
        <v>CLOSED</v>
      </c>
    </row>
    <row r="2574" spans="1:13" ht="45">
      <c r="A2574" s="64" t="s">
        <v>15</v>
      </c>
      <c r="B2574" s="98" t="e">
        <f>VLOOKUP([2]!Table27[[#This Row],[Location 
(drop-down)]],'[2]List source'!D$2:E$59,2,FALSE)</f>
        <v>#VALUE!</v>
      </c>
      <c r="C2574" s="99" t="s">
        <v>3127</v>
      </c>
      <c r="D2574" s="100" t="e">
        <f t="shared" si="81"/>
        <v>#VALUE!</v>
      </c>
      <c r="E2574" s="64" t="s">
        <v>6765</v>
      </c>
      <c r="F2574" s="66" t="s">
        <v>3068</v>
      </c>
      <c r="G257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4" s="110" t="s">
        <v>6766</v>
      </c>
      <c r="I2574" s="67">
        <v>46021</v>
      </c>
      <c r="J2574" s="67" t="s">
        <v>34</v>
      </c>
      <c r="K2574" s="68">
        <v>46058</v>
      </c>
      <c r="L2574" s="69" t="s">
        <v>1837</v>
      </c>
      <c r="M2574" s="66" t="str">
        <f t="shared" ca="1" si="80"/>
        <v>CLOSED</v>
      </c>
    </row>
    <row r="2575" spans="1:13" ht="45">
      <c r="A2575" s="64" t="s">
        <v>399</v>
      </c>
      <c r="B2575" s="98" t="e">
        <f>VLOOKUP([2]!Table27[[#This Row],[Location 
(drop-down)]],'[2]List source'!D$2:E$59,2,FALSE)</f>
        <v>#VALUE!</v>
      </c>
      <c r="C2575" s="99" t="s">
        <v>3129</v>
      </c>
      <c r="D2575" s="100" t="e">
        <f t="shared" si="81"/>
        <v>#VALUE!</v>
      </c>
      <c r="E2575" s="64" t="s">
        <v>6767</v>
      </c>
      <c r="F2575" s="66" t="s">
        <v>3068</v>
      </c>
      <c r="G257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5" s="110" t="s">
        <v>3415</v>
      </c>
      <c r="I2575" s="67">
        <v>46021</v>
      </c>
      <c r="J2575" s="67" t="s">
        <v>34</v>
      </c>
      <c r="K2575" s="68">
        <v>46021</v>
      </c>
      <c r="L2575" s="69" t="s">
        <v>6403</v>
      </c>
      <c r="M2575" s="66" t="str">
        <f t="shared" ca="1" si="80"/>
        <v>CLOSED</v>
      </c>
    </row>
    <row r="2576" spans="1:13" ht="45">
      <c r="A2576" s="64" t="s">
        <v>399</v>
      </c>
      <c r="B2576" s="98" t="e">
        <f>VLOOKUP([2]!Table27[[#This Row],[Location 
(drop-down)]],'[2]List source'!D$2:E$59,2,FALSE)</f>
        <v>#VALUE!</v>
      </c>
      <c r="C2576" s="99" t="s">
        <v>3132</v>
      </c>
      <c r="D2576" s="100" t="e">
        <f t="shared" si="81"/>
        <v>#VALUE!</v>
      </c>
      <c r="E2576" s="64" t="s">
        <v>6768</v>
      </c>
      <c r="F2576" s="66" t="s">
        <v>3068</v>
      </c>
      <c r="G257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6" s="66">
        <v>5.27</v>
      </c>
      <c r="I2576" s="67">
        <v>46021</v>
      </c>
      <c r="J2576" s="67" t="s">
        <v>34</v>
      </c>
      <c r="K2576" s="68">
        <v>46027</v>
      </c>
      <c r="L2576" s="69" t="s">
        <v>1505</v>
      </c>
      <c r="M2576" s="66" t="str">
        <f t="shared" ca="1" si="80"/>
        <v>CLOSED</v>
      </c>
    </row>
    <row r="2577" spans="1:13" ht="30">
      <c r="A2577" s="64" t="s">
        <v>114</v>
      </c>
      <c r="B2577" s="98" t="e">
        <f>VLOOKUP([2]!Table27[[#This Row],[Location 
(drop-down)]],'[2]List source'!D$2:E$59,2,FALSE)</f>
        <v>#VALUE!</v>
      </c>
      <c r="C2577" s="99" t="s">
        <v>4228</v>
      </c>
      <c r="D2577" s="100" t="e">
        <f t="shared" si="81"/>
        <v>#VALUE!</v>
      </c>
      <c r="E2577" s="64" t="s">
        <v>6769</v>
      </c>
      <c r="F2577" s="66" t="s">
        <v>2160</v>
      </c>
      <c r="G257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7" s="110" t="s">
        <v>1816</v>
      </c>
      <c r="I2577" s="67">
        <v>46022</v>
      </c>
      <c r="J2577" s="67"/>
      <c r="K2577" s="68"/>
      <c r="L2577" s="69"/>
      <c r="M2577" s="66">
        <f t="shared" ca="1" si="80"/>
        <v>56</v>
      </c>
    </row>
    <row r="2578" spans="1:13" ht="30">
      <c r="A2578" s="64" t="s">
        <v>114</v>
      </c>
      <c r="B2578" s="98" t="e">
        <f>VLOOKUP([2]!Table27[[#This Row],[Location 
(drop-down)]],'[2]List source'!D$2:E$59,2,FALSE)</f>
        <v>#VALUE!</v>
      </c>
      <c r="C2578" s="99" t="s">
        <v>3753</v>
      </c>
      <c r="D2578" s="100" t="e">
        <f t="shared" si="81"/>
        <v>#VALUE!</v>
      </c>
      <c r="E2578" s="64" t="s">
        <v>6770</v>
      </c>
      <c r="F2578" s="66" t="s">
        <v>2160</v>
      </c>
      <c r="G257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8" s="66">
        <v>8.02</v>
      </c>
      <c r="I2578" s="67">
        <v>46022</v>
      </c>
      <c r="J2578" s="67"/>
      <c r="K2578" s="68"/>
      <c r="L2578" s="69"/>
      <c r="M2578" s="66">
        <f t="shared" ca="1" si="80"/>
        <v>56</v>
      </c>
    </row>
    <row r="2579" spans="1:13" ht="30">
      <c r="A2579" s="64" t="s">
        <v>15</v>
      </c>
      <c r="B2579" s="98" t="e">
        <f>VLOOKUP([2]!Table27[[#This Row],[Location 
(drop-down)]],'[2]List source'!D$2:E$59,2,FALSE)</f>
        <v>#VALUE!</v>
      </c>
      <c r="C2579" s="99" t="s">
        <v>3134</v>
      </c>
      <c r="D2579" s="100" t="e">
        <f t="shared" si="81"/>
        <v>#VALUE!</v>
      </c>
      <c r="E2579" s="64" t="s">
        <v>6771</v>
      </c>
      <c r="F2579" s="66" t="s">
        <v>2160</v>
      </c>
      <c r="G257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79" s="110" t="s">
        <v>6640</v>
      </c>
      <c r="I2579" s="67">
        <v>46022</v>
      </c>
      <c r="J2579" s="67"/>
      <c r="K2579" s="68"/>
      <c r="L2579" s="69"/>
      <c r="M2579" s="66">
        <f t="shared" ca="1" si="80"/>
        <v>56</v>
      </c>
    </row>
    <row r="2580" spans="1:13" ht="30">
      <c r="A2580" s="64" t="s">
        <v>15</v>
      </c>
      <c r="B2580" s="98" t="e">
        <f>VLOOKUP([2]!Table27[[#This Row],[Location 
(drop-down)]],'[2]List source'!D$2:E$59,2,FALSE)</f>
        <v>#VALUE!</v>
      </c>
      <c r="C2580" s="99" t="s">
        <v>3136</v>
      </c>
      <c r="D2580" s="100" t="e">
        <f t="shared" si="81"/>
        <v>#VALUE!</v>
      </c>
      <c r="E2580" s="64" t="s">
        <v>6772</v>
      </c>
      <c r="F2580" s="66" t="s">
        <v>2160</v>
      </c>
      <c r="G258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0" s="110" t="s">
        <v>6773</v>
      </c>
      <c r="I2580" s="67">
        <v>46022</v>
      </c>
      <c r="J2580" s="67"/>
      <c r="K2580" s="68"/>
      <c r="L2580" s="69"/>
      <c r="M2580" s="66">
        <f t="shared" ca="1" si="80"/>
        <v>56</v>
      </c>
    </row>
    <row r="2581" spans="1:13" ht="30">
      <c r="A2581" s="64" t="s">
        <v>399</v>
      </c>
      <c r="B2581" s="98" t="e">
        <f>VLOOKUP([2]!Table27[[#This Row],[Location 
(drop-down)]],'[2]List source'!D$2:E$59,2,FALSE)</f>
        <v>#VALUE!</v>
      </c>
      <c r="C2581" s="99" t="s">
        <v>3527</v>
      </c>
      <c r="D2581" s="100" t="e">
        <f t="shared" si="81"/>
        <v>#VALUE!</v>
      </c>
      <c r="E2581" s="64" t="s">
        <v>6774</v>
      </c>
      <c r="F2581" s="66" t="s">
        <v>2160</v>
      </c>
      <c r="G258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1" s="66">
        <v>2.08</v>
      </c>
      <c r="I2581" s="67">
        <v>46022</v>
      </c>
      <c r="J2581" s="67"/>
      <c r="K2581" s="68"/>
      <c r="L2581" s="69"/>
      <c r="M2581" s="66">
        <f t="shared" ca="1" si="80"/>
        <v>56</v>
      </c>
    </row>
    <row r="2582" spans="1:13" ht="30">
      <c r="A2582" s="64" t="s">
        <v>591</v>
      </c>
      <c r="B2582" s="98" t="e">
        <f>VLOOKUP([2]!Table27[[#This Row],[Location 
(drop-down)]],'[2]List source'!D$2:E$59,2,FALSE)</f>
        <v>#VALUE!</v>
      </c>
      <c r="C2582" s="99" t="s">
        <v>3285</v>
      </c>
      <c r="D2582" s="100" t="e">
        <f t="shared" si="81"/>
        <v>#VALUE!</v>
      </c>
      <c r="E2582" s="64" t="s">
        <v>6775</v>
      </c>
      <c r="F2582" s="66" t="s">
        <v>2160</v>
      </c>
      <c r="G258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2" s="66">
        <v>2.2999999999999998</v>
      </c>
      <c r="I2582" s="67">
        <v>46022</v>
      </c>
      <c r="J2582" s="67" t="s">
        <v>29</v>
      </c>
      <c r="K2582" s="68">
        <v>46030</v>
      </c>
      <c r="L2582" s="69"/>
      <c r="M2582" s="66" t="str">
        <f t="shared" ca="1" si="80"/>
        <v>CLOSED</v>
      </c>
    </row>
    <row r="2583" spans="1:13" ht="30">
      <c r="A2583" s="64" t="s">
        <v>103</v>
      </c>
      <c r="B2583" s="98" t="e">
        <f>VLOOKUP([2]!Table27[[#This Row],[Location 
(drop-down)]],'[2]List source'!D$2:E$59,2,FALSE)</f>
        <v>#VALUE!</v>
      </c>
      <c r="C2583" s="99" t="s">
        <v>3139</v>
      </c>
      <c r="D2583" s="100" t="e">
        <f t="shared" si="81"/>
        <v>#VALUE!</v>
      </c>
      <c r="E2583" s="64" t="s">
        <v>6776</v>
      </c>
      <c r="F2583" s="66" t="s">
        <v>6138</v>
      </c>
      <c r="G258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3" s="66">
        <v>2.27</v>
      </c>
      <c r="I2583" s="67">
        <v>46022</v>
      </c>
      <c r="J2583" s="67"/>
      <c r="K2583" s="68"/>
      <c r="L2583" s="69"/>
      <c r="M2583" s="66">
        <f t="shared" ca="1" si="80"/>
        <v>56</v>
      </c>
    </row>
    <row r="2584" spans="1:13" ht="45">
      <c r="A2584" s="64" t="s">
        <v>311</v>
      </c>
      <c r="B2584" s="98" t="e">
        <f>VLOOKUP([2]!Table27[[#This Row],[Location 
(drop-down)]],'[2]List source'!D$2:E$59,2,FALSE)</f>
        <v>#VALUE!</v>
      </c>
      <c r="C2584" s="99" t="s">
        <v>3142</v>
      </c>
      <c r="D2584" s="100" t="e">
        <f t="shared" si="81"/>
        <v>#VALUE!</v>
      </c>
      <c r="E2584" s="64" t="s">
        <v>6777</v>
      </c>
      <c r="F2584" s="66" t="s">
        <v>6138</v>
      </c>
      <c r="G258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4" s="110" t="s">
        <v>6778</v>
      </c>
      <c r="I2584" s="67">
        <v>46022</v>
      </c>
      <c r="J2584" s="67"/>
      <c r="K2584" s="68"/>
      <c r="L2584" s="69"/>
      <c r="M2584" s="66">
        <f t="shared" ca="1" si="80"/>
        <v>56</v>
      </c>
    </row>
    <row r="2585" spans="1:13" ht="30">
      <c r="A2585" s="64" t="s">
        <v>311</v>
      </c>
      <c r="B2585" s="98" t="e">
        <f>VLOOKUP([2]!Table27[[#This Row],[Location 
(drop-down)]],'[2]List source'!D$2:E$59,2,FALSE)</f>
        <v>#VALUE!</v>
      </c>
      <c r="C2585" s="99" t="s">
        <v>4164</v>
      </c>
      <c r="D2585" s="100" t="e">
        <f t="shared" si="81"/>
        <v>#VALUE!</v>
      </c>
      <c r="E2585" s="64" t="s">
        <v>6779</v>
      </c>
      <c r="F2585" s="66" t="s">
        <v>6138</v>
      </c>
      <c r="G258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5" s="110" t="s">
        <v>6780</v>
      </c>
      <c r="I2585" s="67">
        <v>46022</v>
      </c>
      <c r="J2585" s="67"/>
      <c r="K2585" s="68"/>
      <c r="L2585" s="69"/>
      <c r="M2585" s="66">
        <f t="shared" ca="1" si="80"/>
        <v>56</v>
      </c>
    </row>
    <row r="2586" spans="1:13" ht="30">
      <c r="A2586" s="64" t="s">
        <v>80</v>
      </c>
      <c r="B2586" s="98" t="e">
        <f>VLOOKUP([2]!Table27[[#This Row],[Location 
(drop-down)]],'[2]List source'!D$2:E$59,2,FALSE)</f>
        <v>#VALUE!</v>
      </c>
      <c r="C2586" s="99" t="s">
        <v>3144</v>
      </c>
      <c r="D2586" s="100" t="e">
        <f t="shared" si="81"/>
        <v>#VALUE!</v>
      </c>
      <c r="E2586" s="64" t="s">
        <v>6781</v>
      </c>
      <c r="F2586" s="66" t="s">
        <v>6138</v>
      </c>
      <c r="G2586"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6" s="110" t="s">
        <v>6782</v>
      </c>
      <c r="I2586" s="67">
        <v>46022</v>
      </c>
      <c r="J2586" s="67"/>
      <c r="K2586" s="68"/>
      <c r="L2586" s="69"/>
      <c r="M2586" s="66">
        <f t="shared" ca="1" si="80"/>
        <v>56</v>
      </c>
    </row>
    <row r="2587" spans="1:13" ht="30">
      <c r="A2587" s="64" t="s">
        <v>500</v>
      </c>
      <c r="B2587" s="98" t="e">
        <f>VLOOKUP([2]!Table27[[#This Row],[Location 
(drop-down)]],'[2]List source'!D$2:E$59,2,FALSE)</f>
        <v>#VALUE!</v>
      </c>
      <c r="C2587" s="99" t="s">
        <v>4125</v>
      </c>
      <c r="D2587" s="100" t="e">
        <f t="shared" si="81"/>
        <v>#VALUE!</v>
      </c>
      <c r="E2587" s="64" t="s">
        <v>6783</v>
      </c>
      <c r="F2587" s="66" t="s">
        <v>6138</v>
      </c>
      <c r="G2587"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7" s="66">
        <v>2.0299999999999998</v>
      </c>
      <c r="I2587" s="67">
        <v>46022</v>
      </c>
      <c r="J2587" s="67" t="s">
        <v>34</v>
      </c>
      <c r="K2587" s="68">
        <v>46050</v>
      </c>
      <c r="L2587" s="69" t="s">
        <v>6411</v>
      </c>
      <c r="M2587" s="66" t="str">
        <f t="shared" ca="1" si="80"/>
        <v>CLOSED</v>
      </c>
    </row>
    <row r="2588" spans="1:13" ht="30">
      <c r="A2588" s="64" t="s">
        <v>500</v>
      </c>
      <c r="B2588" s="98" t="e">
        <f>VLOOKUP([2]!Table27[[#This Row],[Location 
(drop-down)]],'[2]List source'!D$2:E$59,2,FALSE)</f>
        <v>#VALUE!</v>
      </c>
      <c r="C2588" s="99" t="s">
        <v>3146</v>
      </c>
      <c r="D2588" s="100" t="e">
        <f t="shared" si="81"/>
        <v>#VALUE!</v>
      </c>
      <c r="E2588" s="64" t="s">
        <v>6784</v>
      </c>
      <c r="F2588" s="66" t="s">
        <v>6138</v>
      </c>
      <c r="G2588"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8" s="110" t="s">
        <v>6785</v>
      </c>
      <c r="I2588" s="67">
        <v>46022</v>
      </c>
      <c r="J2588" s="67"/>
      <c r="K2588" s="68"/>
      <c r="L2588" s="69"/>
      <c r="M2588" s="66">
        <f t="shared" ca="1" si="80"/>
        <v>56</v>
      </c>
    </row>
    <row r="2589" spans="1:13" ht="30">
      <c r="A2589" s="64" t="s">
        <v>125</v>
      </c>
      <c r="B2589" s="98" t="e">
        <f>VLOOKUP([2]!Table27[[#This Row],[Location 
(drop-down)]],'[2]List source'!D$2:E$59,2,FALSE)</f>
        <v>#VALUE!</v>
      </c>
      <c r="C2589" s="99" t="s">
        <v>3149</v>
      </c>
      <c r="D2589" s="100" t="e">
        <f t="shared" si="81"/>
        <v>#VALUE!</v>
      </c>
      <c r="E2589" s="64" t="s">
        <v>6786</v>
      </c>
      <c r="F2589" s="66" t="s">
        <v>6787</v>
      </c>
      <c r="G2589"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89" s="66">
        <v>2.3199999999999998</v>
      </c>
      <c r="I2589" s="67">
        <v>46022</v>
      </c>
      <c r="J2589" s="67"/>
      <c r="K2589" s="68"/>
      <c r="L2589" s="69"/>
      <c r="M2589" s="66">
        <f t="shared" ca="1" si="80"/>
        <v>56</v>
      </c>
    </row>
    <row r="2590" spans="1:13" ht="45">
      <c r="A2590" s="64" t="s">
        <v>202</v>
      </c>
      <c r="B2590" s="98" t="e">
        <f>VLOOKUP([2]!Table27[[#This Row],[Location 
(drop-down)]],'[2]List source'!D$2:E$59,2,FALSE)</f>
        <v>#VALUE!</v>
      </c>
      <c r="C2590" s="99" t="s">
        <v>4185</v>
      </c>
      <c r="D2590" s="100" t="e">
        <f t="shared" si="81"/>
        <v>#VALUE!</v>
      </c>
      <c r="E2590" s="64" t="s">
        <v>6788</v>
      </c>
      <c r="F2590" s="66" t="s">
        <v>6789</v>
      </c>
      <c r="G2590"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90" s="66" t="s">
        <v>6790</v>
      </c>
      <c r="I2590" s="67">
        <v>46022</v>
      </c>
      <c r="J2590" s="67" t="s">
        <v>34</v>
      </c>
      <c r="K2590" s="68">
        <v>46030</v>
      </c>
      <c r="L2590" s="69" t="s">
        <v>1505</v>
      </c>
      <c r="M2590" s="66" t="str">
        <f t="shared" ca="1" si="80"/>
        <v>CLOSED</v>
      </c>
    </row>
    <row r="2591" spans="1:13" ht="30">
      <c r="A2591" s="64" t="s">
        <v>202</v>
      </c>
      <c r="B2591" s="98" t="e">
        <f>VLOOKUP([2]!Table27[[#This Row],[Location 
(drop-down)]],'[2]List source'!D$2:E$59,2,FALSE)</f>
        <v>#VALUE!</v>
      </c>
      <c r="C2591" s="99" t="s">
        <v>4040</v>
      </c>
      <c r="D2591" s="100" t="e">
        <f t="shared" si="81"/>
        <v>#VALUE!</v>
      </c>
      <c r="E2591" s="64" t="s">
        <v>6791</v>
      </c>
      <c r="F2591" s="66" t="s">
        <v>6792</v>
      </c>
      <c r="G2591"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91" s="66">
        <v>2.76</v>
      </c>
      <c r="I2591" s="67">
        <v>46022</v>
      </c>
      <c r="J2591" s="67" t="s">
        <v>34</v>
      </c>
      <c r="K2591" s="68">
        <v>46027</v>
      </c>
      <c r="L2591" s="69" t="s">
        <v>6411</v>
      </c>
      <c r="M2591" s="66" t="str">
        <f t="shared" ref="M2591:M2595" ca="1" si="82">IF(ISBLANK(K2591), TODAY()-(I2591), "CLOSED")</f>
        <v>CLOSED</v>
      </c>
    </row>
    <row r="2592" spans="1:13" ht="45">
      <c r="A2592" s="64" t="s">
        <v>294</v>
      </c>
      <c r="B2592" s="98" t="e">
        <f>VLOOKUP([2]!Table27[[#This Row],[Location 
(drop-down)]],'[2]List source'!D$2:E$59,2,FALSE)</f>
        <v>#VALUE!</v>
      </c>
      <c r="C2592" s="99" t="s">
        <v>3151</v>
      </c>
      <c r="D2592" s="100" t="e">
        <f t="shared" si="81"/>
        <v>#VALUE!</v>
      </c>
      <c r="E2592" s="64" t="s">
        <v>6793</v>
      </c>
      <c r="F2592" s="66" t="s">
        <v>1811</v>
      </c>
      <c r="G2592"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92" s="66">
        <v>110.26</v>
      </c>
      <c r="I2592" s="67">
        <v>46022</v>
      </c>
      <c r="J2592" s="67" t="s">
        <v>34</v>
      </c>
      <c r="K2592" s="68">
        <v>46064</v>
      </c>
      <c r="L2592" s="69" t="s">
        <v>1505</v>
      </c>
      <c r="M2592" s="66" t="str">
        <f t="shared" ca="1" si="82"/>
        <v>CLOSED</v>
      </c>
    </row>
    <row r="2593" spans="1:13" ht="45">
      <c r="A2593" s="64" t="s">
        <v>294</v>
      </c>
      <c r="B2593" s="98" t="e">
        <f>VLOOKUP([2]!Table27[[#This Row],[Location 
(drop-down)]],'[2]List source'!D$2:E$59,2,FALSE)</f>
        <v>#VALUE!</v>
      </c>
      <c r="C2593" s="99" t="s">
        <v>3154</v>
      </c>
      <c r="D2593" s="100" t="e">
        <f t="shared" si="81"/>
        <v>#VALUE!</v>
      </c>
      <c r="E2593" s="64" t="s">
        <v>6794</v>
      </c>
      <c r="F2593" s="66" t="s">
        <v>1811</v>
      </c>
      <c r="G2593"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93" s="110" t="s">
        <v>6795</v>
      </c>
      <c r="I2593" s="67">
        <v>46022</v>
      </c>
      <c r="J2593" s="67" t="s">
        <v>327</v>
      </c>
      <c r="K2593" s="68">
        <v>46064</v>
      </c>
      <c r="L2593" s="69"/>
      <c r="M2593" s="66" t="str">
        <f t="shared" ca="1" si="82"/>
        <v>CLOSED</v>
      </c>
    </row>
    <row r="2594" spans="1:13" ht="30">
      <c r="A2594" s="64" t="s">
        <v>294</v>
      </c>
      <c r="B2594" s="98" t="e">
        <f>VLOOKUP([2]!Table27[[#This Row],[Location 
(drop-down)]],'[2]List source'!D$2:E$59,2,FALSE)</f>
        <v>#VALUE!</v>
      </c>
      <c r="C2594" s="99" t="s">
        <v>3157</v>
      </c>
      <c r="D2594" s="100" t="e">
        <f t="shared" si="81"/>
        <v>#VALUE!</v>
      </c>
      <c r="E2594" s="64" t="s">
        <v>6796</v>
      </c>
      <c r="F2594" s="66" t="s">
        <v>1811</v>
      </c>
      <c r="G2594"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94" s="110" t="s">
        <v>6797</v>
      </c>
      <c r="I2594" s="67">
        <v>46022</v>
      </c>
      <c r="J2594" s="67"/>
      <c r="K2594" s="68"/>
      <c r="L2594" s="69"/>
      <c r="M2594" s="66">
        <f t="shared" ca="1" si="82"/>
        <v>56</v>
      </c>
    </row>
    <row r="2595" spans="1:13" ht="30">
      <c r="A2595" s="64" t="s">
        <v>294</v>
      </c>
      <c r="B2595" s="98" t="e">
        <f>VLOOKUP([2]!Table27[[#This Row],[Location 
(drop-down)]],'[2]List source'!D$2:E$59,2,FALSE)</f>
        <v>#VALUE!</v>
      </c>
      <c r="C2595" s="99" t="s">
        <v>3587</v>
      </c>
      <c r="D2595" s="100" t="e">
        <f t="shared" si="81"/>
        <v>#VALUE!</v>
      </c>
      <c r="E2595" s="64" t="s">
        <v>6798</v>
      </c>
      <c r="F2595" s="66" t="s">
        <v>1811</v>
      </c>
      <c r="G2595" s="64" t="e">
        <f>MID(LEFT([1]!Table27[[#This Row],[BRIEF DESCRIPTION OF NC
if VOID:  "VOID, Location,  
details (initials, date)"]], FIND(",", [1]!Table27[[#This Row],[BRIEF DESCRIPTION OF NC
if VOID:  "VOID, Location,  
details (initials, date)"]]) - 1), FIND("{token}", SUBSTITUTE([1]!Table27[[#This Row],[BRIEF DESCRIPTION OF NC
if VOID:  "VOID, Location,  
details (initials, date)"]], " ", "{token}", 2)) + 1, LEN([1]!Table27[[#This Row],[BRIEF DESCRIPTION OF NC
if VOID:  "VOID, Location,  
details (initials, date)"]]))</f>
        <v>#REF!</v>
      </c>
      <c r="H2595" s="66">
        <v>2.08</v>
      </c>
      <c r="I2595" s="67">
        <v>46022</v>
      </c>
      <c r="J2595" s="67" t="s">
        <v>327</v>
      </c>
      <c r="K2595" s="68">
        <v>46064</v>
      </c>
      <c r="L2595" s="69"/>
      <c r="M2595" s="66" t="str">
        <f t="shared" ca="1" si="82"/>
        <v>CLOSED</v>
      </c>
    </row>
    <row r="2596" spans="1:13" ht="45">
      <c r="A2596" s="459" t="s">
        <v>119</v>
      </c>
      <c r="B2596" s="460" t="e">
        <f>VLOOKUP([3]!Table27[[#This Row],[Location 
(drop-down)]],'[3]List source'!D$2:E$71,2,FALSE)</f>
        <v>#REF!</v>
      </c>
      <c r="C2596" s="461" t="s">
        <v>4337</v>
      </c>
      <c r="D2596" s="462" t="e">
        <f t="shared" ref="D2596:D2659" si="83">"PTO" &amp; C2596 &amp; "-" &amp; B2596 &amp; "-" &amp; "26"</f>
        <v>#REF!</v>
      </c>
      <c r="E2596" s="463" t="s">
        <v>6799</v>
      </c>
      <c r="F2596" s="109" t="e" cm="1" vm="1">
        <f t="array" aca="1" ref="F2596"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59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596" s="28" t="s">
        <v>1764</v>
      </c>
      <c r="I2596" s="465">
        <v>46029</v>
      </c>
      <c r="J2596" s="465" t="s">
        <v>34</v>
      </c>
      <c r="K2596" s="466">
        <v>46029</v>
      </c>
      <c r="L2596" s="467" t="s">
        <v>6403</v>
      </c>
      <c r="M2596" s="8" t="e" vm="1">
        <f ca="1">IF(ISBLANK(K2596), TODAY()-(I2596), [3]!Table27[[#This Row],[Effectiveness Review &amp; date deemed effective]]-[3]!Table27[[#This Row],[PTO initialized date]])</f>
        <v>#REF!</v>
      </c>
    </row>
    <row r="2597" spans="1:13" ht="30">
      <c r="A2597" s="10" t="s">
        <v>125</v>
      </c>
      <c r="B2597" s="468" t="e">
        <f>VLOOKUP([3]!Table27[[#This Row],[Location 
(drop-down)]],'[3]List source'!D$2:E$71,2,FALSE)</f>
        <v>#REF!</v>
      </c>
      <c r="C2597" s="469" t="s">
        <v>4335</v>
      </c>
      <c r="D2597" s="470" t="e">
        <f t="shared" si="83"/>
        <v>#REF!</v>
      </c>
      <c r="E2597" s="471" t="s">
        <v>6800</v>
      </c>
      <c r="F2597" s="109" t="e" cm="1" vm="1">
        <f t="array" aca="1" ref="F2597"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59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597" s="20" t="s">
        <v>1816</v>
      </c>
      <c r="I2597" s="473">
        <v>46029</v>
      </c>
      <c r="J2597" s="473" t="s">
        <v>34</v>
      </c>
      <c r="K2597" s="75">
        <v>46030</v>
      </c>
      <c r="L2597" s="474" t="s">
        <v>6411</v>
      </c>
      <c r="M2597" s="11" t="e" vm="1">
        <f ca="1">IF(ISBLANK(K2597), TODAY()-(I2597), [3]!Table27[[#This Row],[Effectiveness Review &amp; date deemed effective]]-[3]!Table27[[#This Row],[PTO initialized date]])</f>
        <v>#REF!</v>
      </c>
    </row>
    <row r="2598" spans="1:13" ht="45">
      <c r="A2598" s="7" t="s">
        <v>202</v>
      </c>
      <c r="B2598" s="460" t="e">
        <f>VLOOKUP([3]!Table27[[#This Row],[Location 
(drop-down)]],'[3]List source'!D$2:E$71,2,FALSE)</f>
        <v>#REF!</v>
      </c>
      <c r="C2598" s="461" t="s">
        <v>4372</v>
      </c>
      <c r="D2598" s="462" t="e">
        <f t="shared" si="83"/>
        <v>#REF!</v>
      </c>
      <c r="E2598" s="7" t="s">
        <v>6801</v>
      </c>
      <c r="F2598" s="66" t="e" cm="1" vm="1">
        <f t="array" aca="1" ref="F2598"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59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598" s="460" t="s">
        <v>6802</v>
      </c>
      <c r="I2598" s="465">
        <v>46029</v>
      </c>
      <c r="J2598" s="465" t="s">
        <v>34</v>
      </c>
      <c r="K2598" s="76">
        <v>46030</v>
      </c>
      <c r="L2598" s="475" t="s">
        <v>1773</v>
      </c>
      <c r="M2598" s="8" t="e" vm="1">
        <f ca="1">IF(ISBLANK(K2598), TODAY()-(I2598), [3]!Table27[[#This Row],[Effectiveness Review &amp; date deemed effective]]-[3]!Table27[[#This Row],[PTO initialized date]])</f>
        <v>#REF!</v>
      </c>
    </row>
    <row r="2599" spans="1:13" ht="45">
      <c r="A2599" s="10" t="s">
        <v>202</v>
      </c>
      <c r="B2599" s="468" t="e">
        <f>VLOOKUP([3]!Table27[[#This Row],[Location 
(drop-down)]],'[3]List source'!D$2:E$71,2,FALSE)</f>
        <v>#REF!</v>
      </c>
      <c r="C2599" s="469" t="s">
        <v>4374</v>
      </c>
      <c r="D2599" s="470" t="e">
        <f t="shared" si="83"/>
        <v>#REF!</v>
      </c>
      <c r="E2599" s="10" t="s">
        <v>6803</v>
      </c>
      <c r="F2599" s="66" t="e" cm="1" vm="1">
        <f t="array" aca="1" ref="F2599"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59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599" s="20" t="s">
        <v>6804</v>
      </c>
      <c r="I2599" s="473">
        <v>46029</v>
      </c>
      <c r="J2599" s="473" t="s">
        <v>34</v>
      </c>
      <c r="K2599" s="75">
        <v>46030</v>
      </c>
      <c r="L2599" s="474" t="s">
        <v>1773</v>
      </c>
      <c r="M2599" s="11" t="e" vm="1">
        <f ca="1">IF(ISBLANK(K2599), TODAY()-(I2599), [3]!Table27[[#This Row],[Effectiveness Review &amp; date deemed effective]]-[3]!Table27[[#This Row],[PTO initialized date]])</f>
        <v>#REF!</v>
      </c>
    </row>
    <row r="2600" spans="1:13" ht="30">
      <c r="A2600" s="7" t="s">
        <v>518</v>
      </c>
      <c r="B2600" s="460" t="e">
        <f>VLOOKUP([3]!Table27[[#This Row],[Location 
(drop-down)]],'[3]List source'!D$2:E$71,2,FALSE)</f>
        <v>#REF!</v>
      </c>
      <c r="C2600" s="461" t="s">
        <v>4376</v>
      </c>
      <c r="D2600" s="462" t="e">
        <f t="shared" si="83"/>
        <v>#REF!</v>
      </c>
      <c r="E2600" s="7" t="s">
        <v>6805</v>
      </c>
      <c r="F2600" s="66" t="e" cm="1" vm="1">
        <f t="array" aca="1" ref="F2600"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0" s="6" t="s">
        <v>1727</v>
      </c>
      <c r="I2600" s="476">
        <v>46029</v>
      </c>
      <c r="J2600" s="476" t="s">
        <v>34</v>
      </c>
      <c r="K2600" s="76">
        <v>46030</v>
      </c>
      <c r="L2600" s="475" t="s">
        <v>6411</v>
      </c>
      <c r="M2600" s="8" t="e" vm="1">
        <f ca="1">IF(ISBLANK(K2600), TODAY()-(I2600), [3]!Table27[[#This Row],[Effectiveness Review &amp; date deemed effective]]-[3]!Table27[[#This Row],[PTO initialized date]])</f>
        <v>#REF!</v>
      </c>
    </row>
    <row r="2601" spans="1:13" ht="45">
      <c r="A2601" s="10" t="s">
        <v>185</v>
      </c>
      <c r="B2601" s="468" t="e">
        <f>VLOOKUP([3]!Table27[[#This Row],[Location 
(drop-down)]],'[3]List source'!D$2:E$71,2,FALSE)</f>
        <v>#REF!</v>
      </c>
      <c r="C2601" s="469" t="s">
        <v>4356</v>
      </c>
      <c r="D2601" s="470" t="e">
        <f t="shared" si="83"/>
        <v>#REF!</v>
      </c>
      <c r="E2601" s="23" t="s">
        <v>6806</v>
      </c>
      <c r="F2601" s="109" t="e" cm="1" vm="1">
        <f t="array" aca="1" ref="F2601"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1" s="108">
        <v>2.31</v>
      </c>
      <c r="I2601" s="12">
        <v>46029</v>
      </c>
      <c r="J2601" s="12" t="s">
        <v>34</v>
      </c>
      <c r="K2601" s="75">
        <v>46031</v>
      </c>
      <c r="L2601" s="474" t="s">
        <v>1505</v>
      </c>
      <c r="M2601" s="11" t="e" vm="1">
        <f ca="1">IF(ISBLANK(K2601), TODAY()-(I2601), [3]!Table27[[#This Row],[Effectiveness Review &amp; date deemed effective]]-[3]!Table27[[#This Row],[PTO initialized date]])</f>
        <v>#REF!</v>
      </c>
    </row>
    <row r="2602" spans="1:13" ht="30">
      <c r="A2602" s="7" t="s">
        <v>485</v>
      </c>
      <c r="B2602" s="460" t="e">
        <f>VLOOKUP([3]!Table27[[#This Row],[Location 
(drop-down)]],'[3]List source'!D$2:E$71,2,FALSE)</f>
        <v>#REF!</v>
      </c>
      <c r="C2602" s="461" t="s">
        <v>4364</v>
      </c>
      <c r="D2602" s="477" t="e">
        <f t="shared" si="83"/>
        <v>#REF!</v>
      </c>
      <c r="E2602" s="7" t="s">
        <v>6807</v>
      </c>
      <c r="F2602" s="66" t="e" cm="1" vm="1">
        <f t="array" aca="1" ref="F2602"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2" s="8">
        <v>2.0099999999999998</v>
      </c>
      <c r="I2602" s="476">
        <v>46029</v>
      </c>
      <c r="J2602" s="476" t="s">
        <v>34</v>
      </c>
      <c r="K2602" s="76">
        <v>46035</v>
      </c>
      <c r="L2602" s="478" t="s">
        <v>6808</v>
      </c>
      <c r="M2602" s="8" t="e" vm="1">
        <f ca="1">IF(ISBLANK(K2602), TODAY()-(I2602), [3]!Table27[[#This Row],[Effectiveness Review &amp; date deemed effective]]-[3]!Table27[[#This Row],[PTO initialized date]])</f>
        <v>#REF!</v>
      </c>
    </row>
    <row r="2603" spans="1:13" ht="30">
      <c r="A2603" s="10" t="s">
        <v>485</v>
      </c>
      <c r="B2603" s="468" t="e">
        <f>VLOOKUP([3]!Table27[[#This Row],[Location 
(drop-down)]],'[3]List source'!D$2:E$71,2,FALSE)</f>
        <v>#REF!</v>
      </c>
      <c r="C2603" s="469" t="s">
        <v>4366</v>
      </c>
      <c r="D2603" s="479" t="e">
        <f t="shared" si="83"/>
        <v>#REF!</v>
      </c>
      <c r="E2603" s="10" t="s">
        <v>6809</v>
      </c>
      <c r="F2603" s="66" t="e" cm="1" vm="1">
        <f t="array" aca="1" ref="F2603"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3" s="11">
        <v>2.25</v>
      </c>
      <c r="I2603" s="12">
        <v>46029</v>
      </c>
      <c r="J2603" s="12" t="s">
        <v>34</v>
      </c>
      <c r="K2603" s="75">
        <v>46037</v>
      </c>
      <c r="L2603" s="199" t="s">
        <v>6411</v>
      </c>
      <c r="M2603" s="11" t="e" vm="1">
        <f ca="1">IF(ISBLANK(K2603), TODAY()-(I2603), [3]!Table27[[#This Row],[Effectiveness Review &amp; date deemed effective]]-[3]!Table27[[#This Row],[PTO initialized date]])</f>
        <v>#REF!</v>
      </c>
    </row>
    <row r="2604" spans="1:13" ht="30">
      <c r="A2604" s="7" t="s">
        <v>485</v>
      </c>
      <c r="B2604" s="460" t="e">
        <f>VLOOKUP([3]!Table27[[#This Row],[Location 
(drop-down)]],'[3]List source'!D$2:E$71,2,FALSE)</f>
        <v>#REF!</v>
      </c>
      <c r="C2604" s="461" t="s">
        <v>4368</v>
      </c>
      <c r="D2604" s="477" t="e">
        <f t="shared" si="83"/>
        <v>#REF!</v>
      </c>
      <c r="E2604" s="7" t="s">
        <v>6810</v>
      </c>
      <c r="F2604" s="66" t="e" cm="1" vm="1">
        <f t="array" aca="1" ref="F2604"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4" s="6" t="s">
        <v>1949</v>
      </c>
      <c r="I2604" s="476">
        <v>46029</v>
      </c>
      <c r="J2604" s="476" t="s">
        <v>34</v>
      </c>
      <c r="K2604" s="76">
        <v>46043</v>
      </c>
      <c r="L2604" s="478" t="s">
        <v>6411</v>
      </c>
      <c r="M2604" s="8" t="e" vm="1">
        <f ca="1">IF(ISBLANK(K2604), TODAY()-(I2604), [3]!Table27[[#This Row],[Effectiveness Review &amp; date deemed effective]]-[3]!Table27[[#This Row],[PTO initialized date]])</f>
        <v>#REF!</v>
      </c>
    </row>
    <row r="2605" spans="1:13" ht="45">
      <c r="A2605" s="10" t="s">
        <v>30</v>
      </c>
      <c r="B2605" s="468" t="e">
        <f>VLOOKUP([3]!Table27[[#This Row],[Location 
(drop-down)]],'[3]List source'!D$2:E$71,2,FALSE)</f>
        <v>#REF!</v>
      </c>
      <c r="C2605" s="469" t="s">
        <v>4341</v>
      </c>
      <c r="D2605" s="470" t="e">
        <f t="shared" si="83"/>
        <v>#REF!</v>
      </c>
      <c r="E2605" s="23" t="s">
        <v>6811</v>
      </c>
      <c r="F2605" s="109" t="e" cm="1" vm="1">
        <f t="array" aca="1" ref="F2605"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5" s="108" t="s">
        <v>6812</v>
      </c>
      <c r="I2605" s="12">
        <v>46029</v>
      </c>
      <c r="J2605" s="12" t="s">
        <v>111</v>
      </c>
      <c r="K2605" s="75">
        <v>46044</v>
      </c>
      <c r="L2605" s="474" t="s">
        <v>6808</v>
      </c>
      <c r="M2605" s="11" t="e" vm="1">
        <f ca="1">IF(ISBLANK(K2605), TODAY()-(I2605), [3]!Table27[[#This Row],[Effectiveness Review &amp; date deemed effective]]-[3]!Table27[[#This Row],[PTO initialized date]])</f>
        <v>#REF!</v>
      </c>
    </row>
    <row r="2606" spans="1:13" ht="60">
      <c r="A2606" s="7" t="s">
        <v>43</v>
      </c>
      <c r="B2606" s="460" t="e">
        <f>VLOOKUP([3]!Table27[[#This Row],[Location 
(drop-down)]],'[3]List source'!D$2:E$71,2,FALSE)</f>
        <v>#REF!</v>
      </c>
      <c r="C2606" s="461" t="s">
        <v>4378</v>
      </c>
      <c r="D2606" s="462" t="e">
        <f t="shared" si="83"/>
        <v>#REF!</v>
      </c>
      <c r="E2606" s="7" t="s">
        <v>6813</v>
      </c>
      <c r="F2606" s="66" t="e" cm="1" vm="1">
        <f t="array" aca="1" ref="F2606"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6" s="6" t="s">
        <v>6814</v>
      </c>
      <c r="I2606" s="79">
        <v>46029</v>
      </c>
      <c r="J2606" s="476" t="s">
        <v>29</v>
      </c>
      <c r="K2606" s="76">
        <v>46044</v>
      </c>
      <c r="L2606" s="475"/>
      <c r="M2606" s="8" t="e" vm="1">
        <f ca="1">IF(ISBLANK(K2606), TODAY()-(I2606), [3]!Table27[[#This Row],[Effectiveness Review &amp; date deemed effective]]-[3]!Table27[[#This Row],[PTO initialized date]])</f>
        <v>#REF!</v>
      </c>
    </row>
    <row r="2607" spans="1:13" ht="45">
      <c r="A2607" s="10" t="s">
        <v>311</v>
      </c>
      <c r="B2607" s="468" t="e">
        <f>VLOOKUP([3]!Table27[[#This Row],[Location 
(drop-down)]],'[3]List source'!D$2:E$71,2,FALSE)</f>
        <v>#REF!</v>
      </c>
      <c r="C2607" s="469" t="s">
        <v>4351</v>
      </c>
      <c r="D2607" s="479" t="e">
        <f t="shared" si="83"/>
        <v>#REF!</v>
      </c>
      <c r="E2607" s="23" t="s">
        <v>6815</v>
      </c>
      <c r="F2607" s="109" t="e" cm="1" vm="1">
        <f t="array" aca="1" ref="F2607"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7" s="108">
        <v>32.78</v>
      </c>
      <c r="I2607" s="12">
        <v>46029</v>
      </c>
      <c r="J2607" s="12" t="s">
        <v>34</v>
      </c>
      <c r="K2607" s="75">
        <v>46045</v>
      </c>
      <c r="L2607" s="480" t="s">
        <v>1505</v>
      </c>
      <c r="M2607" s="11" t="e" vm="1">
        <f ca="1">IF(ISBLANK(K2607), TODAY()-(I2607), [3]!Table27[[#This Row],[Effectiveness Review &amp; date deemed effective]]-[3]!Table27[[#This Row],[PTO initialized date]])</f>
        <v>#REF!</v>
      </c>
    </row>
    <row r="2608" spans="1:13" ht="30">
      <c r="A2608" s="7" t="s">
        <v>294</v>
      </c>
      <c r="B2608" s="460" t="e">
        <f>VLOOKUP([3]!Table27[[#This Row],[Location 
(drop-down)]],'[3]List source'!D$2:E$71,2,FALSE)</f>
        <v>#REF!</v>
      </c>
      <c r="C2608" s="461" t="s">
        <v>4360</v>
      </c>
      <c r="D2608" s="477" t="e">
        <f t="shared" si="83"/>
        <v>#REF!</v>
      </c>
      <c r="E2608" s="7" t="s">
        <v>6816</v>
      </c>
      <c r="F2608" s="66" t="e" cm="1" vm="1">
        <f t="array" aca="1" ref="F2608"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8" s="8">
        <v>2.21</v>
      </c>
      <c r="I2608" s="476">
        <v>46029</v>
      </c>
      <c r="J2608" s="476" t="s">
        <v>327</v>
      </c>
      <c r="K2608" s="76">
        <v>46052</v>
      </c>
      <c r="L2608" s="478" t="s">
        <v>6808</v>
      </c>
      <c r="M2608" s="8" t="e" vm="1">
        <f ca="1">IF(ISBLANK(K2608), TODAY()-(I2608), [3]!Table27[[#This Row],[Effectiveness Review &amp; date deemed effective]]-[3]!Table27[[#This Row],[PTO initialized date]])</f>
        <v>#REF!</v>
      </c>
    </row>
    <row r="2609" spans="1:13" ht="30">
      <c r="A2609" s="10" t="s">
        <v>591</v>
      </c>
      <c r="B2609" s="468" t="e">
        <f>VLOOKUP([3]!Table27[[#This Row],[Location 
(drop-down)]],'[3]List source'!D$2:E$71,2,FALSE)</f>
        <v>#REF!</v>
      </c>
      <c r="C2609" s="469" t="s">
        <v>4330</v>
      </c>
      <c r="D2609" s="479" t="e">
        <f t="shared" si="83"/>
        <v>#REF!</v>
      </c>
      <c r="E2609" s="115" t="s">
        <v>6817</v>
      </c>
      <c r="F2609" s="109" t="e" cm="1" vm="1">
        <f t="array" aca="1" ref="F2609"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0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09" s="11">
        <v>2.15</v>
      </c>
      <c r="I2609" s="12">
        <v>46029</v>
      </c>
      <c r="J2609" s="12"/>
      <c r="K2609" s="75"/>
      <c r="L2609" s="480"/>
      <c r="M2609" s="11">
        <f ca="1">IF(ISBLANK(K2609), TODAY()-(I2609), [3]!Table27[[#This Row],[Effectiveness Review &amp; date deemed effective]]-[3]!Table27[[#This Row],[PTO initialized date]])</f>
        <v>49</v>
      </c>
    </row>
    <row r="2610" spans="1:13" ht="30">
      <c r="A2610" s="7" t="s">
        <v>125</v>
      </c>
      <c r="B2610" s="460" t="e">
        <f>VLOOKUP([3]!Table27[[#This Row],[Location 
(drop-down)]],'[3]List source'!D$2:E$71,2,FALSE)</f>
        <v>#REF!</v>
      </c>
      <c r="C2610" s="461" t="s">
        <v>4333</v>
      </c>
      <c r="D2610" s="462" t="e">
        <f t="shared" si="83"/>
        <v>#REF!</v>
      </c>
      <c r="E2610" s="481" t="s">
        <v>6818</v>
      </c>
      <c r="F2610" s="109" t="e" cm="1" vm="1">
        <f t="array" aca="1" ref="F2610"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0" s="6" t="s">
        <v>6819</v>
      </c>
      <c r="I2610" s="476">
        <v>46029</v>
      </c>
      <c r="J2610" s="476"/>
      <c r="K2610" s="76"/>
      <c r="L2610" s="475"/>
      <c r="M2610" s="8">
        <f ca="1">IF(ISBLANK(K2610), TODAY()-(I2610), [3]!Table27[[#This Row],[Effectiveness Review &amp; date deemed effective]]-[3]!Table27[[#This Row],[PTO initialized date]])</f>
        <v>49</v>
      </c>
    </row>
    <row r="2611" spans="1:13" ht="30">
      <c r="A2611" s="10" t="s">
        <v>30</v>
      </c>
      <c r="B2611" s="468" t="e">
        <f>VLOOKUP([3]!Table27[[#This Row],[Location 
(drop-down)]],'[3]List source'!D$2:E$71,2,FALSE)</f>
        <v>#REF!</v>
      </c>
      <c r="C2611" s="469" t="s">
        <v>4339</v>
      </c>
      <c r="D2611" s="479" t="e">
        <f t="shared" si="83"/>
        <v>#REF!</v>
      </c>
      <c r="E2611" s="23" t="s">
        <v>6820</v>
      </c>
      <c r="F2611" s="109" t="e" cm="1" vm="1">
        <f t="array" aca="1" ref="F2611"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1" s="108" t="s">
        <v>2179</v>
      </c>
      <c r="I2611" s="12">
        <v>46029</v>
      </c>
      <c r="J2611" s="12"/>
      <c r="K2611" s="75"/>
      <c r="L2611" s="480"/>
      <c r="M2611" s="11">
        <f ca="1">IF(ISBLANK(K2611), TODAY()-(I2611), [3]!Table27[[#This Row],[Effectiveness Review &amp; date deemed effective]]-[3]!Table27[[#This Row],[PTO initialized date]])</f>
        <v>49</v>
      </c>
    </row>
    <row r="2612" spans="1:13" ht="45">
      <c r="A2612" s="7" t="s">
        <v>103</v>
      </c>
      <c r="B2612" s="460" t="e">
        <f>VLOOKUP([3]!Table27[[#This Row],[Location 
(drop-down)]],'[3]List source'!D$2:E$71,2,FALSE)</f>
        <v>#REF!</v>
      </c>
      <c r="C2612" s="461" t="s">
        <v>4343</v>
      </c>
      <c r="D2612" s="462" t="e">
        <f t="shared" si="83"/>
        <v>#REF!</v>
      </c>
      <c r="E2612" s="22" t="s">
        <v>6821</v>
      </c>
      <c r="F2612" s="109" t="e" cm="1" vm="1">
        <f t="array" aca="1" ref="F2612"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2" s="482" t="s">
        <v>1764</v>
      </c>
      <c r="I2612" s="476">
        <v>46029</v>
      </c>
      <c r="J2612" s="476"/>
      <c r="K2612" s="76"/>
      <c r="L2612" s="475"/>
      <c r="M2612" s="8">
        <f ca="1">IF(ISBLANK(K2612), TODAY()-(I2612), [3]!Table27[[#This Row],[Effectiveness Review &amp; date deemed effective]]-[3]!Table27[[#This Row],[PTO initialized date]])</f>
        <v>49</v>
      </c>
    </row>
    <row r="2613" spans="1:13" ht="45">
      <c r="A2613" s="10" t="s">
        <v>103</v>
      </c>
      <c r="B2613" s="468" t="e">
        <f>VLOOKUP([3]!Table27[[#This Row],[Location 
(drop-down)]],'[3]List source'!D$2:E$71,2,FALSE)</f>
        <v>#REF!</v>
      </c>
      <c r="C2613" s="469" t="s">
        <v>4345</v>
      </c>
      <c r="D2613" s="479" t="e">
        <f t="shared" si="83"/>
        <v>#REF!</v>
      </c>
      <c r="E2613" s="23" t="s">
        <v>6822</v>
      </c>
      <c r="F2613" s="109" t="e" cm="1" vm="1">
        <f t="array" aca="1" ref="F2613"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3" s="108" t="s">
        <v>1579</v>
      </c>
      <c r="I2613" s="12">
        <v>46029</v>
      </c>
      <c r="J2613" s="12"/>
      <c r="K2613" s="75"/>
      <c r="L2613" s="480"/>
      <c r="M2613" s="11">
        <f ca="1">IF(ISBLANK(K2613), TODAY()-(I2613), [3]!Table27[[#This Row],[Effectiveness Review &amp; date deemed effective]]-[3]!Table27[[#This Row],[PTO initialized date]])</f>
        <v>49</v>
      </c>
    </row>
    <row r="2614" spans="1:13" ht="45">
      <c r="A2614" s="7" t="s">
        <v>103</v>
      </c>
      <c r="B2614" s="460" t="e">
        <f>VLOOKUP([3]!Table27[[#This Row],[Location 
(drop-down)]],'[3]List source'!D$2:E$71,2,FALSE)</f>
        <v>#REF!</v>
      </c>
      <c r="C2614" s="461" t="s">
        <v>4347</v>
      </c>
      <c r="D2614" s="477" t="e">
        <f t="shared" si="83"/>
        <v>#REF!</v>
      </c>
      <c r="E2614" s="22" t="s">
        <v>6823</v>
      </c>
      <c r="F2614" s="109" t="e" cm="1" vm="1">
        <f t="array" aca="1" ref="F2614"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4" s="482" t="s">
        <v>6824</v>
      </c>
      <c r="I2614" s="476">
        <v>46029</v>
      </c>
      <c r="J2614" s="476"/>
      <c r="K2614" s="76"/>
      <c r="L2614" s="478" t="s">
        <v>6808</v>
      </c>
      <c r="M2614" s="8">
        <f ca="1">IF(ISBLANK(K2614), TODAY()-(I2614), [3]!Table27[[#This Row],[Effectiveness Review &amp; date deemed effective]]-[3]!Table27[[#This Row],[PTO initialized date]])</f>
        <v>49</v>
      </c>
    </row>
    <row r="2615" spans="1:13" ht="45">
      <c r="A2615" s="10" t="s">
        <v>311</v>
      </c>
      <c r="B2615" s="468" t="e">
        <f>VLOOKUP([3]!Table27[[#This Row],[Location 
(drop-down)]],'[3]List source'!D$2:E$71,2,FALSE)</f>
        <v>#REF!</v>
      </c>
      <c r="C2615" s="469" t="s">
        <v>4349</v>
      </c>
      <c r="D2615" s="479" t="e">
        <f t="shared" si="83"/>
        <v>#REF!</v>
      </c>
      <c r="E2615" s="23" t="s">
        <v>6825</v>
      </c>
      <c r="F2615" s="109" t="e" cm="1" vm="1">
        <f t="array" aca="1" ref="F2615"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5" s="108" t="s">
        <v>6826</v>
      </c>
      <c r="I2615" s="12">
        <v>46029</v>
      </c>
      <c r="J2615" s="12"/>
      <c r="K2615" s="75"/>
      <c r="L2615" s="480"/>
      <c r="M2615" s="11">
        <f ca="1">IF(ISBLANK(K2615), TODAY()-(I2615), [3]!Table27[[#This Row],[Effectiveness Review &amp; date deemed effective]]-[3]!Table27[[#This Row],[PTO initialized date]])</f>
        <v>49</v>
      </c>
    </row>
    <row r="2616" spans="1:13" ht="30">
      <c r="A2616" s="7" t="s">
        <v>311</v>
      </c>
      <c r="B2616" s="460" t="e">
        <f>VLOOKUP([3]!Table27[[#This Row],[Location 
(drop-down)]],'[3]List source'!D$2:E$71,2,FALSE)</f>
        <v>#REF!</v>
      </c>
      <c r="C2616" s="461" t="s">
        <v>4354</v>
      </c>
      <c r="D2616" s="477" t="e">
        <f t="shared" si="83"/>
        <v>#REF!</v>
      </c>
      <c r="E2616" s="22" t="s">
        <v>6827</v>
      </c>
      <c r="F2616" s="109" t="e" cm="1" vm="1">
        <f t="array" aca="1" ref="F2616"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6" s="482">
        <v>2.2200000000000002</v>
      </c>
      <c r="I2616" s="476">
        <v>46029</v>
      </c>
      <c r="J2616" s="476" t="s">
        <v>34</v>
      </c>
      <c r="K2616" s="76">
        <v>46063</v>
      </c>
      <c r="L2616" s="478" t="s">
        <v>6411</v>
      </c>
      <c r="M2616" s="8" t="e" vm="1">
        <f ca="1">IF(ISBLANK(K2616), TODAY()-(I2616), [3]!Table27[[#This Row],[Effectiveness Review &amp; date deemed effective]]-[3]!Table27[[#This Row],[PTO initialized date]])</f>
        <v>#REF!</v>
      </c>
    </row>
    <row r="2617" spans="1:13" ht="45">
      <c r="A2617" s="10" t="s">
        <v>167</v>
      </c>
      <c r="B2617" s="468" t="e">
        <f>VLOOKUP([3]!Table27[[#This Row],[Location 
(drop-down)]],'[3]List source'!D$2:E$71,2,FALSE)</f>
        <v>#REF!</v>
      </c>
      <c r="C2617" s="469" t="s">
        <v>4358</v>
      </c>
      <c r="D2617" s="479" t="e">
        <f t="shared" si="83"/>
        <v>#REF!</v>
      </c>
      <c r="E2617" s="10" t="s">
        <v>6828</v>
      </c>
      <c r="F2617" s="66" t="e" cm="1" vm="1">
        <f t="array" aca="1" ref="F2617"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7" s="11" t="s">
        <v>6829</v>
      </c>
      <c r="I2617" s="12">
        <v>46029</v>
      </c>
      <c r="J2617" s="12"/>
      <c r="K2617" s="75"/>
      <c r="L2617" s="480"/>
      <c r="M2617" s="11">
        <f ca="1">IF(ISBLANK(K2617), TODAY()-(I2617), [3]!Table27[[#This Row],[Effectiveness Review &amp; date deemed effective]]-[3]!Table27[[#This Row],[PTO initialized date]])</f>
        <v>49</v>
      </c>
    </row>
    <row r="2618" spans="1:13" ht="45">
      <c r="A2618" s="7" t="s">
        <v>485</v>
      </c>
      <c r="B2618" s="460" t="e">
        <f>VLOOKUP([3]!Table27[[#This Row],[Location 
(drop-down)]],'[3]List source'!D$2:E$71,2,FALSE)</f>
        <v>#REF!</v>
      </c>
      <c r="C2618" s="461" t="s">
        <v>4362</v>
      </c>
      <c r="D2618" s="462" t="e">
        <f t="shared" si="83"/>
        <v>#REF!</v>
      </c>
      <c r="E2618" s="7" t="s">
        <v>6830</v>
      </c>
      <c r="F2618" s="66" t="e" cm="1" vm="1">
        <f t="array" aca="1" ref="F2618"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8" s="6" t="s">
        <v>6831</v>
      </c>
      <c r="I2618" s="476">
        <v>46029</v>
      </c>
      <c r="J2618" s="476"/>
      <c r="K2618" s="76"/>
      <c r="L2618" s="475"/>
      <c r="M2618" s="8">
        <f ca="1">IF(ISBLANK(K2618), TODAY()-(I2618), [3]!Table27[[#This Row],[Effectiveness Review &amp; date deemed effective]]-[3]!Table27[[#This Row],[PTO initialized date]])</f>
        <v>49</v>
      </c>
    </row>
    <row r="2619" spans="1:13" ht="30">
      <c r="A2619" s="10" t="s">
        <v>500</v>
      </c>
      <c r="B2619" s="468" t="e">
        <f>VLOOKUP([3]!Table27[[#This Row],[Location 
(drop-down)]],'[3]List source'!D$2:E$71,2,FALSE)</f>
        <v>#REF!</v>
      </c>
      <c r="C2619" s="469" t="s">
        <v>4370</v>
      </c>
      <c r="D2619" s="483" t="e">
        <f t="shared" si="83"/>
        <v>#REF!</v>
      </c>
      <c r="E2619" s="10" t="s">
        <v>6832</v>
      </c>
      <c r="F2619" s="66" t="e" cm="1" vm="1">
        <f t="array" aca="1" ref="F2619"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1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19" s="9">
        <v>2.0099999999999998</v>
      </c>
      <c r="I2619" s="12">
        <v>46029</v>
      </c>
      <c r="J2619" s="12"/>
      <c r="K2619" s="75"/>
      <c r="L2619" s="480"/>
      <c r="M2619" s="11">
        <f ca="1">IF(ISBLANK(K2619), TODAY()-(I2619), [3]!Table27[[#This Row],[Effectiveness Review &amp; date deemed effective]]-[3]!Table27[[#This Row],[PTO initialized date]])</f>
        <v>49</v>
      </c>
    </row>
    <row r="2620" spans="1:13" ht="30">
      <c r="A2620" s="7" t="s">
        <v>714</v>
      </c>
      <c r="B2620" s="460" t="e">
        <f>VLOOKUP([3]!Table27[[#This Row],[Location 
(drop-down)]],'[3]List source'!D$2:E$71,2,FALSE)</f>
        <v>#REF!</v>
      </c>
      <c r="C2620" s="461" t="s">
        <v>4380</v>
      </c>
      <c r="D2620" s="462" t="e">
        <f t="shared" si="83"/>
        <v>#REF!</v>
      </c>
      <c r="E2620" s="7" t="s">
        <v>6833</v>
      </c>
      <c r="F2620" s="11" t="e" cm="1" vm="1">
        <f t="array" aca="1" ref="F2620"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2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0" s="6" t="s">
        <v>6834</v>
      </c>
      <c r="I2620" s="476">
        <v>46029</v>
      </c>
      <c r="J2620" s="476"/>
      <c r="K2620" s="76"/>
      <c r="L2620" s="475"/>
      <c r="M2620" s="8">
        <f ca="1">IF(ISBLANK(K2620), TODAY()-(I2620), [3]!Table27[[#This Row],[Effectiveness Review &amp; date deemed effective]]-[3]!Table27[[#This Row],[PTO initialized date]])</f>
        <v>49</v>
      </c>
    </row>
    <row r="2621" spans="1:13" ht="30">
      <c r="A2621" s="10" t="s">
        <v>125</v>
      </c>
      <c r="B2621" s="468" t="e">
        <f>VLOOKUP([3]!Table27[[#This Row],[Location 
(drop-down)]],'[3]List source'!D$2:E$71,2,FALSE)</f>
        <v>#REF!</v>
      </c>
      <c r="C2621" s="469" t="s">
        <v>4382</v>
      </c>
      <c r="D2621" s="479" t="e">
        <f t="shared" si="83"/>
        <v>#REF!</v>
      </c>
      <c r="E2621" s="10" t="s">
        <v>6835</v>
      </c>
      <c r="F2621" s="11" t="s">
        <v>2274</v>
      </c>
      <c r="G262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1" s="11" t="s">
        <v>1928</v>
      </c>
      <c r="I2621" s="12">
        <v>46051</v>
      </c>
      <c r="J2621" s="12" t="s">
        <v>111</v>
      </c>
      <c r="K2621" s="75">
        <v>46056</v>
      </c>
      <c r="L2621" s="480"/>
      <c r="M2621" s="11" t="e" vm="1">
        <f ca="1">IF(ISBLANK(K2621), TODAY()-(I2621), [3]!Table27[[#This Row],[Effectiveness Review &amp; date deemed effective]]-[3]!Table27[[#This Row],[PTO initialized date]])</f>
        <v>#REF!</v>
      </c>
    </row>
    <row r="2622" spans="1:13" ht="45">
      <c r="A2622" s="7" t="s">
        <v>125</v>
      </c>
      <c r="B2622" s="460" t="e">
        <f>VLOOKUP([3]!Table27[[#This Row],[Location 
(drop-down)]],'[3]List source'!D$2:E$71,2,FALSE)</f>
        <v>#REF!</v>
      </c>
      <c r="C2622" s="461" t="s">
        <v>4385</v>
      </c>
      <c r="D2622" s="462" t="e">
        <f t="shared" si="83"/>
        <v>#REF!</v>
      </c>
      <c r="E2622" s="7" t="s">
        <v>6836</v>
      </c>
      <c r="F2622" s="8" t="s">
        <v>2274</v>
      </c>
      <c r="G262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2" s="8" t="s">
        <v>1928</v>
      </c>
      <c r="I2622" s="476">
        <v>46051</v>
      </c>
      <c r="J2622" s="476" t="s">
        <v>111</v>
      </c>
      <c r="K2622" s="76">
        <v>46056</v>
      </c>
      <c r="L2622" s="475"/>
      <c r="M2622" s="8" t="e" vm="1">
        <f ca="1">IF(ISBLANK(K2622), TODAY()-(I2622), [3]!Table27[[#This Row],[Effectiveness Review &amp; date deemed effective]]-[3]!Table27[[#This Row],[PTO initialized date]])</f>
        <v>#REF!</v>
      </c>
    </row>
    <row r="2623" spans="1:13" ht="45">
      <c r="A2623" s="10" t="s">
        <v>125</v>
      </c>
      <c r="B2623" s="468" t="e">
        <f>VLOOKUP([3]!Table27[[#This Row],[Location 
(drop-down)]],'[3]List source'!D$2:E$71,2,FALSE)</f>
        <v>#REF!</v>
      </c>
      <c r="C2623" s="469" t="s">
        <v>4387</v>
      </c>
      <c r="D2623" s="479" t="e">
        <f t="shared" si="83"/>
        <v>#REF!</v>
      </c>
      <c r="E2623" s="10" t="s">
        <v>6837</v>
      </c>
      <c r="F2623" s="11" t="s">
        <v>2274</v>
      </c>
      <c r="G262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3" s="11" t="s">
        <v>1928</v>
      </c>
      <c r="I2623" s="12">
        <v>46051</v>
      </c>
      <c r="J2623" s="12" t="s">
        <v>111</v>
      </c>
      <c r="K2623" s="75">
        <v>46056</v>
      </c>
      <c r="L2623" s="480"/>
      <c r="M2623" s="11" t="e" vm="1">
        <f ca="1">IF(ISBLANK(K2623), TODAY()-(I2623), [3]!Table27[[#This Row],[Effectiveness Review &amp; date deemed effective]]-[3]!Table27[[#This Row],[PTO initialized date]])</f>
        <v>#REF!</v>
      </c>
    </row>
    <row r="2624" spans="1:13" ht="30">
      <c r="A2624" s="7" t="s">
        <v>39</v>
      </c>
      <c r="B2624" s="460" t="e">
        <f>VLOOKUP([3]!Table27[[#This Row],[Location 
(drop-down)]],'[3]List source'!D$2:E$71,2,FALSE)</f>
        <v>#REF!</v>
      </c>
      <c r="C2624" s="461" t="s">
        <v>4389</v>
      </c>
      <c r="D2624" s="462" t="e">
        <f t="shared" si="83"/>
        <v>#REF!</v>
      </c>
      <c r="E2624" s="7" t="s">
        <v>6838</v>
      </c>
      <c r="F2624" s="66" t="e" cm="1" vm="1">
        <f t="array" aca="1" ref="F2624"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2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4" s="6" t="s">
        <v>2791</v>
      </c>
      <c r="I2624" s="476">
        <v>46051</v>
      </c>
      <c r="J2624" s="476" t="s">
        <v>34</v>
      </c>
      <c r="K2624" s="76">
        <v>46055</v>
      </c>
      <c r="L2624" s="475" t="s">
        <v>6411</v>
      </c>
      <c r="M2624" s="8" t="e" vm="1">
        <f ca="1">IF(ISBLANK(K2624), TODAY()-(I2624), [3]!Table27[[#This Row],[Effectiveness Review &amp; date deemed effective]]-[3]!Table27[[#This Row],[PTO initialized date]])</f>
        <v>#REF!</v>
      </c>
    </row>
    <row r="2625" spans="1:13" ht="30">
      <c r="A2625" s="10" t="s">
        <v>156</v>
      </c>
      <c r="B2625" s="468" t="e">
        <f>VLOOKUP([3]!Table27[[#This Row],[Location 
(drop-down)]],'[3]List source'!D$2:E$71,2,FALSE)</f>
        <v>#REF!</v>
      </c>
      <c r="C2625" s="469" t="s">
        <v>4391</v>
      </c>
      <c r="D2625" s="479" t="e">
        <f t="shared" si="83"/>
        <v>#REF!</v>
      </c>
      <c r="E2625" s="10" t="s">
        <v>6839</v>
      </c>
      <c r="F2625" s="66" t="e" cm="1" vm="1">
        <f t="array" aca="1" ref="F2625"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2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5" s="11">
        <v>4.08</v>
      </c>
      <c r="I2625" s="12">
        <v>46034</v>
      </c>
      <c r="J2625" s="12" t="s">
        <v>29</v>
      </c>
      <c r="K2625" s="75">
        <v>46072</v>
      </c>
      <c r="L2625" s="199"/>
      <c r="M2625" s="11" t="e" vm="1">
        <f ca="1">IF(ISBLANK(K2625), TODAY()-(I2625), [3]!Table27[[#This Row],[Effectiveness Review &amp; date deemed effective]]-[3]!Table27[[#This Row],[PTO initialized date]])</f>
        <v>#REF!</v>
      </c>
    </row>
    <row r="2626" spans="1:13" ht="30">
      <c r="A2626" s="7" t="s">
        <v>156</v>
      </c>
      <c r="B2626" s="460" t="e">
        <f>VLOOKUP([3]!Table27[[#This Row],[Location 
(drop-down)]],'[3]List source'!D$2:E$71,2,FALSE)</f>
        <v>#REF!</v>
      </c>
      <c r="C2626" s="461" t="s">
        <v>4393</v>
      </c>
      <c r="D2626" s="462" t="e">
        <f t="shared" si="83"/>
        <v>#REF!</v>
      </c>
      <c r="E2626" s="484" t="s">
        <v>6840</v>
      </c>
      <c r="F2626" s="485" t="s">
        <v>1520</v>
      </c>
      <c r="G262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6" s="486" t="s">
        <v>1962</v>
      </c>
      <c r="I2626" s="476">
        <v>46069</v>
      </c>
      <c r="J2626" s="476"/>
      <c r="K2626" s="76"/>
      <c r="L2626" s="475"/>
      <c r="M2626" s="8">
        <f ca="1">IF(ISBLANK(K2626), TODAY()-(I2626), [3]!Table27[[#This Row],[Effectiveness Review &amp; date deemed effective]]-[3]!Table27[[#This Row],[PTO initialized date]])</f>
        <v>9</v>
      </c>
    </row>
    <row r="2627" spans="1:13" ht="30">
      <c r="A2627" s="10" t="s">
        <v>156</v>
      </c>
      <c r="B2627" s="468" t="e">
        <f>VLOOKUP([3]!Table27[[#This Row],[Location 
(drop-down)]],'[3]List source'!D$2:E$71,2,FALSE)</f>
        <v>#REF!</v>
      </c>
      <c r="C2627" s="469" t="s">
        <v>4396</v>
      </c>
      <c r="D2627" s="479" t="e">
        <f t="shared" si="83"/>
        <v>#REF!</v>
      </c>
      <c r="E2627" s="10" t="s">
        <v>6841</v>
      </c>
      <c r="F2627" s="11" t="s">
        <v>1520</v>
      </c>
      <c r="G262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7" s="11">
        <v>-90.2</v>
      </c>
      <c r="I2627" s="12">
        <v>46069</v>
      </c>
      <c r="J2627" s="12"/>
      <c r="K2627" s="75"/>
      <c r="L2627" s="480"/>
      <c r="M2627" s="11">
        <f ca="1">IF(ISBLANK(K2627), TODAY()-(I2627), [3]!Table27[[#This Row],[Effectiveness Review &amp; date deemed effective]]-[3]!Table27[[#This Row],[PTO initialized date]])</f>
        <v>9</v>
      </c>
    </row>
    <row r="2628" spans="1:13" ht="30">
      <c r="A2628" s="7" t="s">
        <v>156</v>
      </c>
      <c r="B2628" s="460" t="e">
        <f>VLOOKUP([3]!Table27[[#This Row],[Location 
(drop-down)]],'[3]List source'!D$2:E$71,2,FALSE)</f>
        <v>#REF!</v>
      </c>
      <c r="C2628" s="461" t="s">
        <v>4398</v>
      </c>
      <c r="D2628" s="462" t="e">
        <f t="shared" si="83"/>
        <v>#REF!</v>
      </c>
      <c r="E2628" s="7" t="s">
        <v>6842</v>
      </c>
      <c r="F2628" s="8" t="s">
        <v>1520</v>
      </c>
      <c r="G262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8" s="6">
        <v>5.85</v>
      </c>
      <c r="I2628" s="476">
        <v>46069</v>
      </c>
      <c r="J2628" s="476"/>
      <c r="K2628" s="76"/>
      <c r="L2628" s="475"/>
      <c r="M2628" s="8">
        <f ca="1">IF(ISBLANK(K2628), TODAY()-(I2628), [3]!Table27[[#This Row],[Effectiveness Review &amp; date deemed effective]]-[3]!Table27[[#This Row],[PTO initialized date]])</f>
        <v>9</v>
      </c>
    </row>
    <row r="2629" spans="1:13" ht="30">
      <c r="A2629" s="10" t="s">
        <v>39</v>
      </c>
      <c r="B2629" s="468" t="e">
        <f>VLOOKUP([3]!Table27[[#This Row],[Location 
(drop-down)]],'[3]List source'!D$2:E$71,2,FALSE)</f>
        <v>#REF!</v>
      </c>
      <c r="C2629" s="469" t="s">
        <v>4400</v>
      </c>
      <c r="D2629" s="479" t="e">
        <f t="shared" si="83"/>
        <v>#REF!</v>
      </c>
      <c r="E2629" s="176" t="s">
        <v>6843</v>
      </c>
      <c r="F2629" s="11" t="s">
        <v>1520</v>
      </c>
      <c r="G262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29" s="9" t="s">
        <v>6844</v>
      </c>
      <c r="I2629" s="12">
        <v>46069</v>
      </c>
      <c r="J2629" s="12"/>
      <c r="K2629" s="75"/>
      <c r="L2629" s="480"/>
      <c r="M2629" s="11">
        <f ca="1">IF(ISBLANK(K2629), TODAY()-(I2629), [3]!Table27[[#This Row],[Effectiveness Review &amp; date deemed effective]]-[3]!Table27[[#This Row],[PTO initialized date]])</f>
        <v>9</v>
      </c>
    </row>
    <row r="2630" spans="1:13" ht="30">
      <c r="A2630" s="7" t="s">
        <v>432</v>
      </c>
      <c r="B2630" s="460" t="e">
        <f>VLOOKUP([3]!Table27[[#This Row],[Location 
(drop-down)]],'[3]List source'!D$2:E$71,2,FALSE)</f>
        <v>#REF!</v>
      </c>
      <c r="C2630" s="461" t="s">
        <v>4402</v>
      </c>
      <c r="D2630" s="462" t="e">
        <f t="shared" si="83"/>
        <v>#REF!</v>
      </c>
      <c r="E2630" s="7" t="s">
        <v>6845</v>
      </c>
      <c r="F2630" s="8" t="s">
        <v>1520</v>
      </c>
      <c r="G263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0" s="6" t="s">
        <v>2167</v>
      </c>
      <c r="I2630" s="476">
        <v>46069</v>
      </c>
      <c r="J2630" s="476"/>
      <c r="K2630" s="76"/>
      <c r="L2630" s="475"/>
      <c r="M2630" s="8">
        <f ca="1">IF(ISBLANK(K2630), TODAY()-(I2630), [3]!Table27[[#This Row],[Effectiveness Review &amp; date deemed effective]]-[3]!Table27[[#This Row],[PTO initialized date]])</f>
        <v>9</v>
      </c>
    </row>
    <row r="2631" spans="1:13" ht="30">
      <c r="A2631" s="10" t="s">
        <v>432</v>
      </c>
      <c r="B2631" s="468" t="e">
        <f>VLOOKUP([3]!Table27[[#This Row],[Location 
(drop-down)]],'[3]List source'!D$2:E$71,2,FALSE)</f>
        <v>#REF!</v>
      </c>
      <c r="C2631" s="469" t="s">
        <v>4405</v>
      </c>
      <c r="D2631" s="479" t="e">
        <f t="shared" si="83"/>
        <v>#REF!</v>
      </c>
      <c r="E2631" s="10" t="s">
        <v>6846</v>
      </c>
      <c r="F2631" s="11" t="s">
        <v>1520</v>
      </c>
      <c r="G263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1" s="9" t="s">
        <v>3856</v>
      </c>
      <c r="I2631" s="12">
        <v>46069</v>
      </c>
      <c r="J2631" s="12"/>
      <c r="K2631" s="75"/>
      <c r="L2631" s="480"/>
      <c r="M2631" s="11">
        <f ca="1">IF(ISBLANK(K2631), TODAY()-(I2631), [3]!Table27[[#This Row],[Effectiveness Review &amp; date deemed effective]]-[3]!Table27[[#This Row],[PTO initialized date]])</f>
        <v>9</v>
      </c>
    </row>
    <row r="2632" spans="1:13" ht="30">
      <c r="A2632" s="7" t="s">
        <v>432</v>
      </c>
      <c r="B2632" s="460" t="e">
        <f>VLOOKUP([3]!Table27[[#This Row],[Location 
(drop-down)]],'[3]List source'!D$2:E$71,2,FALSE)</f>
        <v>#REF!</v>
      </c>
      <c r="C2632" s="461" t="s">
        <v>4407</v>
      </c>
      <c r="D2632" s="462" t="e">
        <f t="shared" si="83"/>
        <v>#REF!</v>
      </c>
      <c r="E2632" s="7" t="s">
        <v>6847</v>
      </c>
      <c r="F2632" s="8" t="s">
        <v>1520</v>
      </c>
      <c r="G263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2" s="8">
        <v>2</v>
      </c>
      <c r="I2632" s="476">
        <v>46069</v>
      </c>
      <c r="J2632" s="476"/>
      <c r="K2632" s="76"/>
      <c r="L2632" s="475"/>
      <c r="M2632" s="8">
        <f ca="1">IF(ISBLANK(K2632), TODAY()-(I2632), [3]!Table27[[#This Row],[Effectiveness Review &amp; date deemed effective]]-[3]!Table27[[#This Row],[PTO initialized date]])</f>
        <v>9</v>
      </c>
    </row>
    <row r="2633" spans="1:13" ht="30">
      <c r="A2633" s="176" t="s">
        <v>125</v>
      </c>
      <c r="B2633" s="468" t="e">
        <f>VLOOKUP([3]!Table27[[#This Row],[Location 
(drop-down)]],'[3]List source'!D$2:E$71,2,FALSE)</f>
        <v>#REF!</v>
      </c>
      <c r="C2633" s="469" t="s">
        <v>4409</v>
      </c>
      <c r="D2633" s="479" t="e">
        <f t="shared" si="83"/>
        <v>#REF!</v>
      </c>
      <c r="E2633" s="10" t="s">
        <v>6848</v>
      </c>
      <c r="F2633" s="11" t="s">
        <v>1520</v>
      </c>
      <c r="G263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3" s="11">
        <v>5.7</v>
      </c>
      <c r="I2633" s="12">
        <v>46069</v>
      </c>
      <c r="J2633" s="12"/>
      <c r="K2633" s="75"/>
      <c r="L2633" s="480"/>
      <c r="M2633" s="11">
        <f ca="1">IF(ISBLANK(K2633), TODAY()-(I2633), [3]!Table27[[#This Row],[Effectiveness Review &amp; date deemed effective]]-[3]!Table27[[#This Row],[PTO initialized date]])</f>
        <v>9</v>
      </c>
    </row>
    <row r="2634" spans="1:13" ht="30">
      <c r="A2634" s="487" t="s">
        <v>125</v>
      </c>
      <c r="B2634" s="460" t="e">
        <f>VLOOKUP([3]!Table27[[#This Row],[Location 
(drop-down)]],'[3]List source'!D$2:E$71,2,FALSE)</f>
        <v>#REF!</v>
      </c>
      <c r="C2634" s="461" t="s">
        <v>4411</v>
      </c>
      <c r="D2634" s="462" t="e">
        <f t="shared" si="83"/>
        <v>#REF!</v>
      </c>
      <c r="E2634" s="7" t="s">
        <v>6849</v>
      </c>
      <c r="F2634" s="8" t="s">
        <v>1520</v>
      </c>
      <c r="G263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4" s="6" t="s">
        <v>2117</v>
      </c>
      <c r="I2634" s="476">
        <v>46069</v>
      </c>
      <c r="J2634" s="476"/>
      <c r="K2634" s="76"/>
      <c r="L2634" s="475"/>
      <c r="M2634" s="8">
        <f ca="1">IF(ISBLANK(K2634), TODAY()-(I2634), [3]!Table27[[#This Row],[Effectiveness Review &amp; date deemed effective]]-[3]!Table27[[#This Row],[PTO initialized date]])</f>
        <v>9</v>
      </c>
    </row>
    <row r="2635" spans="1:13" ht="45">
      <c r="A2635" s="176" t="s">
        <v>125</v>
      </c>
      <c r="B2635" s="468" t="e">
        <f>VLOOKUP([3]!Table27[[#This Row],[Location 
(drop-down)]],'[3]List source'!D$2:E$71,2,FALSE)</f>
        <v>#REF!</v>
      </c>
      <c r="C2635" s="469" t="s">
        <v>4413</v>
      </c>
      <c r="D2635" s="479" t="e">
        <f t="shared" si="83"/>
        <v>#REF!</v>
      </c>
      <c r="E2635" s="10" t="s">
        <v>6850</v>
      </c>
      <c r="F2635" s="11" t="s">
        <v>1520</v>
      </c>
      <c r="G263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5" s="9">
        <v>6.1</v>
      </c>
      <c r="I2635" s="12">
        <v>46069</v>
      </c>
      <c r="J2635" s="12"/>
      <c r="K2635" s="75"/>
      <c r="L2635" s="480"/>
      <c r="M2635" s="11">
        <f ca="1">IF(ISBLANK(K2635), TODAY()-(I2635), [3]!Table27[[#This Row],[Effectiveness Review &amp; date deemed effective]]-[3]!Table27[[#This Row],[PTO initialized date]])</f>
        <v>9</v>
      </c>
    </row>
    <row r="2636" spans="1:13" ht="30">
      <c r="A2636" s="7" t="s">
        <v>30</v>
      </c>
      <c r="B2636" s="460" t="e">
        <f>VLOOKUP([3]!Table27[[#This Row],[Location 
(drop-down)]],'[3]List source'!D$2:E$71,2,FALSE)</f>
        <v>#REF!</v>
      </c>
      <c r="C2636" s="461" t="s">
        <v>4416</v>
      </c>
      <c r="D2636" s="462" t="e">
        <f t="shared" si="83"/>
        <v>#REF!</v>
      </c>
      <c r="E2636" s="27" t="s">
        <v>6851</v>
      </c>
      <c r="F2636" s="488" t="s">
        <v>1520</v>
      </c>
      <c r="G263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6" s="6">
        <v>2.66</v>
      </c>
      <c r="I2636" s="476">
        <v>46069</v>
      </c>
      <c r="J2636" s="476"/>
      <c r="K2636" s="76"/>
      <c r="L2636" s="475"/>
      <c r="M2636" s="8">
        <f ca="1">IF(ISBLANK(K2636), TODAY()-(I2636), [3]!Table27[[#This Row],[Effectiveness Review &amp; date deemed effective]]-[3]!Table27[[#This Row],[PTO initialized date]])</f>
        <v>9</v>
      </c>
    </row>
    <row r="2637" spans="1:13" ht="45">
      <c r="A2637" s="10" t="s">
        <v>103</v>
      </c>
      <c r="B2637" s="468" t="e">
        <f>VLOOKUP([3]!Table27[[#This Row],[Location 
(drop-down)]],'[3]List source'!D$2:E$71,2,FALSE)</f>
        <v>#REF!</v>
      </c>
      <c r="C2637" s="469" t="s">
        <v>4419</v>
      </c>
      <c r="D2637" s="479" t="e">
        <f t="shared" si="83"/>
        <v>#REF!</v>
      </c>
      <c r="E2637" s="10" t="s">
        <v>6852</v>
      </c>
      <c r="F2637" s="11" t="s">
        <v>1520</v>
      </c>
      <c r="G263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7" s="11" t="s">
        <v>6853</v>
      </c>
      <c r="I2637" s="12">
        <v>46069</v>
      </c>
      <c r="J2637" s="12"/>
      <c r="K2637" s="75"/>
      <c r="L2637" s="480"/>
      <c r="M2637" s="11">
        <f ca="1">IF(ISBLANK(K2637), TODAY()-(I2637), [3]!Table27[[#This Row],[Effectiveness Review &amp; date deemed effective]]-[3]!Table27[[#This Row],[PTO initialized date]])</f>
        <v>9</v>
      </c>
    </row>
    <row r="2638" spans="1:13" ht="45">
      <c r="A2638" s="7" t="s">
        <v>103</v>
      </c>
      <c r="B2638" s="460" t="e">
        <f>VLOOKUP([3]!Table27[[#This Row],[Location 
(drop-down)]],'[3]List source'!D$2:E$71,2,FALSE)</f>
        <v>#REF!</v>
      </c>
      <c r="C2638" s="461" t="s">
        <v>4421</v>
      </c>
      <c r="D2638" s="462" t="e">
        <f t="shared" si="83"/>
        <v>#REF!</v>
      </c>
      <c r="E2638" s="7" t="s">
        <v>6854</v>
      </c>
      <c r="F2638" s="8" t="s">
        <v>1520</v>
      </c>
      <c r="G263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8" s="8">
        <v>2.29</v>
      </c>
      <c r="I2638" s="476">
        <v>46069</v>
      </c>
      <c r="J2638" s="476" t="s">
        <v>34</v>
      </c>
      <c r="K2638" s="76">
        <v>46069</v>
      </c>
      <c r="L2638" s="475" t="s">
        <v>6403</v>
      </c>
      <c r="M2638" s="8" t="e" vm="1">
        <f ca="1">IF(ISBLANK(K2638), TODAY()-(I2638), [3]!Table27[[#This Row],[Effectiveness Review &amp; date deemed effective]]-[3]!Table27[[#This Row],[PTO initialized date]])</f>
        <v>#REF!</v>
      </c>
    </row>
    <row r="2639" spans="1:13" ht="30">
      <c r="A2639" s="10" t="s">
        <v>103</v>
      </c>
      <c r="B2639" s="468" t="e">
        <f>VLOOKUP([3]!Table27[[#This Row],[Location 
(drop-down)]],'[3]List source'!D$2:E$71,2,FALSE)</f>
        <v>#REF!</v>
      </c>
      <c r="C2639" s="469" t="s">
        <v>4423</v>
      </c>
      <c r="D2639" s="479" t="e">
        <f t="shared" si="83"/>
        <v>#REF!</v>
      </c>
      <c r="E2639" s="10" t="s">
        <v>6855</v>
      </c>
      <c r="F2639" s="11" t="s">
        <v>1520</v>
      </c>
      <c r="G263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39" s="9" t="s">
        <v>6856</v>
      </c>
      <c r="I2639" s="12">
        <v>46069</v>
      </c>
      <c r="J2639" s="12"/>
      <c r="K2639" s="75"/>
      <c r="L2639" s="480"/>
      <c r="M2639" s="11">
        <f ca="1">IF(ISBLANK(K2639), TODAY()-(I2639), [3]!Table27[[#This Row],[Effectiveness Review &amp; date deemed effective]]-[3]!Table27[[#This Row],[PTO initialized date]])</f>
        <v>9</v>
      </c>
    </row>
    <row r="2640" spans="1:13" ht="30">
      <c r="A2640" s="7" t="s">
        <v>103</v>
      </c>
      <c r="B2640" s="460" t="e">
        <f>VLOOKUP([3]!Table27[[#This Row],[Location 
(drop-down)]],'[3]List source'!D$2:E$71,2,FALSE)</f>
        <v>#REF!</v>
      </c>
      <c r="C2640" s="461" t="s">
        <v>4425</v>
      </c>
      <c r="D2640" s="462" t="e">
        <f t="shared" si="83"/>
        <v>#REF!</v>
      </c>
      <c r="E2640" s="7" t="s">
        <v>6857</v>
      </c>
      <c r="F2640" s="8" t="s">
        <v>1520</v>
      </c>
      <c r="G264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0" s="6" t="s">
        <v>1962</v>
      </c>
      <c r="I2640" s="476">
        <v>46069</v>
      </c>
      <c r="J2640" s="476"/>
      <c r="K2640" s="76"/>
      <c r="L2640" s="475"/>
      <c r="M2640" s="8">
        <f ca="1">IF(ISBLANK(K2640), TODAY()-(I2640), [3]!Table27[[#This Row],[Effectiveness Review &amp; date deemed effective]]-[3]!Table27[[#This Row],[PTO initialized date]])</f>
        <v>9</v>
      </c>
    </row>
    <row r="2641" spans="1:13" ht="30">
      <c r="A2641" s="10" t="s">
        <v>314</v>
      </c>
      <c r="B2641" s="468" t="e">
        <f>VLOOKUP([3]!Table27[[#This Row],[Location 
(drop-down)]],'[3]List source'!D$2:E$71,2,FALSE)</f>
        <v>#REF!</v>
      </c>
      <c r="C2641" s="469" t="s">
        <v>4427</v>
      </c>
      <c r="D2641" s="479" t="e">
        <f t="shared" si="83"/>
        <v>#REF!</v>
      </c>
      <c r="E2641" s="10" t="s">
        <v>6858</v>
      </c>
      <c r="F2641" s="11" t="s">
        <v>1520</v>
      </c>
      <c r="G264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1" s="11">
        <v>12.48</v>
      </c>
      <c r="I2641" s="12">
        <v>46069</v>
      </c>
      <c r="J2641" s="12"/>
      <c r="K2641" s="75"/>
      <c r="L2641" s="480"/>
      <c r="M2641" s="11">
        <f ca="1">IF(ISBLANK(K2641), TODAY()-(I2641), [3]!Table27[[#This Row],[Effectiveness Review &amp; date deemed effective]]-[3]!Table27[[#This Row],[PTO initialized date]])</f>
        <v>9</v>
      </c>
    </row>
    <row r="2642" spans="1:13" ht="18.75">
      <c r="A2642" s="7" t="s">
        <v>314</v>
      </c>
      <c r="B2642" s="460" t="e">
        <f>VLOOKUP([3]!Table27[[#This Row],[Location 
(drop-down)]],'[3]List source'!D$2:E$71,2,FALSE)</f>
        <v>#REF!</v>
      </c>
      <c r="C2642" s="461" t="s">
        <v>4430</v>
      </c>
      <c r="D2642" s="462" t="e">
        <f t="shared" si="83"/>
        <v>#REF!</v>
      </c>
      <c r="E2642" s="481" t="s">
        <v>6859</v>
      </c>
      <c r="F2642" s="489" t="s">
        <v>1520</v>
      </c>
      <c r="G264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2" s="490">
        <v>3.6</v>
      </c>
      <c r="I2642" s="476">
        <v>46069</v>
      </c>
      <c r="J2642" s="476"/>
      <c r="K2642" s="76"/>
      <c r="L2642" s="475"/>
      <c r="M2642" s="8">
        <f ca="1">IF(ISBLANK(K2642), TODAY()-(I2642), [3]!Table27[[#This Row],[Effectiveness Review &amp; date deemed effective]]-[3]!Table27[[#This Row],[PTO initialized date]])</f>
        <v>9</v>
      </c>
    </row>
    <row r="2643" spans="1:13" ht="30">
      <c r="A2643" s="10" t="s">
        <v>53</v>
      </c>
      <c r="B2643" s="468" t="e">
        <f>VLOOKUP([3]!Table27[[#This Row],[Location 
(drop-down)]],'[3]List source'!D$2:E$71,2,FALSE)</f>
        <v>#REF!</v>
      </c>
      <c r="C2643" s="469" t="s">
        <v>4432</v>
      </c>
      <c r="D2643" s="479" t="e">
        <f t="shared" si="83"/>
        <v>#REF!</v>
      </c>
      <c r="E2643" s="491" t="s">
        <v>6860</v>
      </c>
      <c r="F2643" s="468" t="s">
        <v>1520</v>
      </c>
      <c r="G264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3" s="20" t="s">
        <v>1756</v>
      </c>
      <c r="I2643" s="12">
        <v>46069</v>
      </c>
      <c r="J2643" s="12"/>
      <c r="K2643" s="75"/>
      <c r="L2643" s="480"/>
      <c r="M2643" s="11">
        <f ca="1">IF(ISBLANK(K2643), TODAY()-(I2643), [3]!Table27[[#This Row],[Effectiveness Review &amp; date deemed effective]]-[3]!Table27[[#This Row],[PTO initialized date]])</f>
        <v>9</v>
      </c>
    </row>
    <row r="2644" spans="1:13" ht="45">
      <c r="A2644" s="7" t="s">
        <v>73</v>
      </c>
      <c r="B2644" s="460" t="e">
        <f>VLOOKUP([3]!Table27[[#This Row],[Location 
(drop-down)]],'[3]List source'!D$2:E$71,2,FALSE)</f>
        <v>#REF!</v>
      </c>
      <c r="C2644" s="461" t="s">
        <v>4435</v>
      </c>
      <c r="D2644" s="462" t="e">
        <f t="shared" si="83"/>
        <v>#REF!</v>
      </c>
      <c r="E2644" s="7" t="s">
        <v>6861</v>
      </c>
      <c r="F2644" s="8" t="s">
        <v>1520</v>
      </c>
      <c r="G264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4" s="6" t="s">
        <v>6862</v>
      </c>
      <c r="I2644" s="476">
        <v>46069</v>
      </c>
      <c r="J2644" s="476" t="s">
        <v>327</v>
      </c>
      <c r="K2644" s="76">
        <v>46076</v>
      </c>
      <c r="L2644" s="475"/>
      <c r="M2644" s="8" t="e" vm="1">
        <f ca="1">IF(ISBLANK(K2644), TODAY()-(I2644), [3]!Table27[[#This Row],[Effectiveness Review &amp; date deemed effective]]-[3]!Table27[[#This Row],[PTO initialized date]])</f>
        <v>#REF!</v>
      </c>
    </row>
    <row r="2645" spans="1:13" ht="30">
      <c r="A2645" s="10" t="s">
        <v>485</v>
      </c>
      <c r="B2645" s="468" t="e">
        <f>VLOOKUP([3]!Table27[[#This Row],[Location 
(drop-down)]],'[3]List source'!D$2:E$71,2,FALSE)</f>
        <v>#REF!</v>
      </c>
      <c r="C2645" s="469" t="s">
        <v>4437</v>
      </c>
      <c r="D2645" s="479" t="e">
        <f t="shared" si="83"/>
        <v>#REF!</v>
      </c>
      <c r="E2645" s="10" t="s">
        <v>6863</v>
      </c>
      <c r="F2645" s="11" t="s">
        <v>1520</v>
      </c>
      <c r="G264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5" s="9">
        <v>2.38</v>
      </c>
      <c r="I2645" s="12">
        <v>46069</v>
      </c>
      <c r="J2645" s="12"/>
      <c r="K2645" s="75"/>
      <c r="L2645" s="480"/>
      <c r="M2645" s="11">
        <f ca="1">IF(ISBLANK(K2645), TODAY()-(I2645), [3]!Table27[[#This Row],[Effectiveness Review &amp; date deemed effective]]-[3]!Table27[[#This Row],[PTO initialized date]])</f>
        <v>9</v>
      </c>
    </row>
    <row r="2646" spans="1:13" ht="30">
      <c r="A2646" s="7" t="s">
        <v>485</v>
      </c>
      <c r="B2646" s="460" t="e">
        <f>VLOOKUP([3]!Table27[[#This Row],[Location 
(drop-down)]],'[3]List source'!D$2:E$71,2,FALSE)</f>
        <v>#REF!</v>
      </c>
      <c r="C2646" s="461" t="s">
        <v>4439</v>
      </c>
      <c r="D2646" s="462" t="e">
        <f t="shared" si="83"/>
        <v>#REF!</v>
      </c>
      <c r="E2646" s="25" t="s">
        <v>6864</v>
      </c>
      <c r="F2646" s="8" t="s">
        <v>1520</v>
      </c>
      <c r="G264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6" s="492" t="s">
        <v>6865</v>
      </c>
      <c r="I2646" s="476">
        <v>46069</v>
      </c>
      <c r="J2646" s="476"/>
      <c r="K2646" s="76"/>
      <c r="L2646" s="475"/>
      <c r="M2646" s="8">
        <f ca="1">IF(ISBLANK(K2646), TODAY()-(I2646), [3]!Table27[[#This Row],[Effectiveness Review &amp; date deemed effective]]-[3]!Table27[[#This Row],[PTO initialized date]])</f>
        <v>9</v>
      </c>
    </row>
    <row r="2647" spans="1:13" ht="45">
      <c r="A2647" s="10" t="s">
        <v>485</v>
      </c>
      <c r="B2647" s="468" t="e">
        <f>VLOOKUP([3]!Table27[[#This Row],[Location 
(drop-down)]],'[3]List source'!D$2:E$71,2,FALSE)</f>
        <v>#REF!</v>
      </c>
      <c r="C2647" s="469" t="s">
        <v>4441</v>
      </c>
      <c r="D2647" s="479" t="e">
        <f t="shared" si="83"/>
        <v>#REF!</v>
      </c>
      <c r="E2647" s="10" t="s">
        <v>6866</v>
      </c>
      <c r="F2647" s="11" t="s">
        <v>1520</v>
      </c>
      <c r="G264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7" s="9">
        <v>2.37</v>
      </c>
      <c r="I2647" s="12">
        <v>46069</v>
      </c>
      <c r="J2647" s="12" t="s">
        <v>34</v>
      </c>
      <c r="K2647" s="75">
        <v>46069</v>
      </c>
      <c r="L2647" s="480" t="s">
        <v>6403</v>
      </c>
      <c r="M2647" s="11" t="e" vm="1">
        <f ca="1">IF(ISBLANK(K2647), TODAY()-(I2647), [3]!Table27[[#This Row],[Effectiveness Review &amp; date deemed effective]]-[3]!Table27[[#This Row],[PTO initialized date]])</f>
        <v>#REF!</v>
      </c>
    </row>
    <row r="2648" spans="1:13" ht="30">
      <c r="A2648" s="7" t="s">
        <v>500</v>
      </c>
      <c r="B2648" s="460" t="e">
        <f>VLOOKUP([3]!Table27[[#This Row],[Location 
(drop-down)]],'[3]List source'!D$2:E$71,2,FALSE)</f>
        <v>#REF!</v>
      </c>
      <c r="C2648" s="461" t="s">
        <v>4443</v>
      </c>
      <c r="D2648" s="462" t="e">
        <f t="shared" si="83"/>
        <v>#REF!</v>
      </c>
      <c r="E2648" s="7" t="s">
        <v>6867</v>
      </c>
      <c r="F2648" s="8" t="s">
        <v>1520</v>
      </c>
      <c r="G264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8" s="6" t="s">
        <v>1764</v>
      </c>
      <c r="I2648" s="476">
        <v>46069</v>
      </c>
      <c r="J2648" s="476"/>
      <c r="K2648" s="476"/>
      <c r="L2648" s="475"/>
      <c r="M2648" s="8">
        <f ca="1">IF(ISBLANK(K2648), TODAY()-(I2648), [3]!Table27[[#This Row],[Effectiveness Review &amp; date deemed effective]]-[3]!Table27[[#This Row],[PTO initialized date]])</f>
        <v>9</v>
      </c>
    </row>
    <row r="2649" spans="1:13" ht="30">
      <c r="A2649" s="10" t="s">
        <v>500</v>
      </c>
      <c r="B2649" s="468" t="e">
        <f>VLOOKUP([3]!Table27[[#This Row],[Location 
(drop-down)]],'[3]List source'!D$2:E$71,2,FALSE)</f>
        <v>#REF!</v>
      </c>
      <c r="C2649" s="469" t="s">
        <v>4445</v>
      </c>
      <c r="D2649" s="479" t="e">
        <f t="shared" si="83"/>
        <v>#REF!</v>
      </c>
      <c r="E2649" s="10" t="s">
        <v>6868</v>
      </c>
      <c r="F2649" s="11" t="s">
        <v>1520</v>
      </c>
      <c r="G264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49" s="141" t="s">
        <v>6869</v>
      </c>
      <c r="I2649" s="12">
        <v>46069</v>
      </c>
      <c r="J2649" s="12"/>
      <c r="K2649" s="12"/>
      <c r="L2649" s="480"/>
      <c r="M2649" s="11">
        <f ca="1">IF(ISBLANK(K2649), TODAY()-(I2649), [3]!Table27[[#This Row],[Effectiveness Review &amp; date deemed effective]]-[3]!Table27[[#This Row],[PTO initialized date]])</f>
        <v>9</v>
      </c>
    </row>
    <row r="2650" spans="1:13" ht="30">
      <c r="A2650" s="7" t="s">
        <v>114</v>
      </c>
      <c r="B2650" s="460" t="e">
        <f>VLOOKUP([3]!Table27[[#This Row],[Location 
(drop-down)]],'[3]List source'!D$2:E$71,2,FALSE)</f>
        <v>#REF!</v>
      </c>
      <c r="C2650" s="461" t="s">
        <v>4447</v>
      </c>
      <c r="D2650" s="462" t="e">
        <f t="shared" si="83"/>
        <v>#REF!</v>
      </c>
      <c r="E2650" s="7" t="s">
        <v>6870</v>
      </c>
      <c r="F2650" s="8" t="s">
        <v>1520</v>
      </c>
      <c r="G265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0" s="6">
        <v>2.46</v>
      </c>
      <c r="I2650" s="476">
        <v>46069</v>
      </c>
      <c r="J2650" s="476"/>
      <c r="K2650" s="476"/>
      <c r="L2650" s="475"/>
      <c r="M2650" s="8">
        <f ca="1">IF(ISBLANK(K2650), TODAY()-(I2650), [3]!Table27[[#This Row],[Effectiveness Review &amp; date deemed effective]]-[3]!Table27[[#This Row],[PTO initialized date]])</f>
        <v>9</v>
      </c>
    </row>
    <row r="2651" spans="1:13" ht="30">
      <c r="A2651" s="10" t="s">
        <v>358</v>
      </c>
      <c r="B2651" s="468" t="e">
        <f>VLOOKUP([3]!Table27[[#This Row],[Location 
(drop-down)]],'[3]List source'!D$2:E$71,2,FALSE)</f>
        <v>#REF!</v>
      </c>
      <c r="C2651" s="469" t="s">
        <v>4450</v>
      </c>
      <c r="D2651" s="479" t="e">
        <f t="shared" si="83"/>
        <v>#REF!</v>
      </c>
      <c r="E2651" s="10" t="s">
        <v>6871</v>
      </c>
      <c r="F2651" s="11" t="s">
        <v>1520</v>
      </c>
      <c r="G265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1" s="9" t="s">
        <v>6872</v>
      </c>
      <c r="I2651" s="12">
        <v>46069</v>
      </c>
      <c r="J2651" s="12"/>
      <c r="K2651" s="75"/>
      <c r="L2651" s="480"/>
      <c r="M2651" s="11">
        <f ca="1">IF(ISBLANK(K2651), TODAY()-(I2651), [3]!Table27[[#This Row],[Effectiveness Review &amp; date deemed effective]]-[3]!Table27[[#This Row],[PTO initialized date]])</f>
        <v>9</v>
      </c>
    </row>
    <row r="2652" spans="1:13" ht="30">
      <c r="A2652" s="7" t="s">
        <v>358</v>
      </c>
      <c r="B2652" s="460" t="e">
        <f>VLOOKUP([3]!Table27[[#This Row],[Location 
(drop-down)]],'[3]List source'!D$2:E$71,2,FALSE)</f>
        <v>#REF!</v>
      </c>
      <c r="C2652" s="461" t="s">
        <v>4453</v>
      </c>
      <c r="D2652" s="462" t="e">
        <f t="shared" si="83"/>
        <v>#REF!</v>
      </c>
      <c r="E2652" s="7" t="s">
        <v>6873</v>
      </c>
      <c r="F2652" s="8" t="s">
        <v>1520</v>
      </c>
      <c r="G265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2" s="6">
        <v>3.46</v>
      </c>
      <c r="I2652" s="476">
        <v>46069</v>
      </c>
      <c r="J2652" s="476"/>
      <c r="K2652" s="76"/>
      <c r="L2652" s="475"/>
      <c r="M2652" s="8">
        <f ca="1">IF(ISBLANK(K2652), TODAY()-(I2652), [3]!Table27[[#This Row],[Effectiveness Review &amp; date deemed effective]]-[3]!Table27[[#This Row],[PTO initialized date]])</f>
        <v>9</v>
      </c>
    </row>
    <row r="2653" spans="1:13" ht="45">
      <c r="A2653" s="10" t="s">
        <v>139</v>
      </c>
      <c r="B2653" s="468" t="e">
        <f>VLOOKUP([3]!Table27[[#This Row],[Location 
(drop-down)]],'[3]List source'!D$2:E$71,2,FALSE)</f>
        <v>#REF!</v>
      </c>
      <c r="C2653" s="469" t="s">
        <v>4455</v>
      </c>
      <c r="D2653" s="479" t="e">
        <f t="shared" si="83"/>
        <v>#REF!</v>
      </c>
      <c r="E2653" s="10" t="s">
        <v>6874</v>
      </c>
      <c r="F2653" s="11" t="s">
        <v>1520</v>
      </c>
      <c r="G265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3" s="11" t="s">
        <v>6875</v>
      </c>
      <c r="I2653" s="12">
        <v>46069</v>
      </c>
      <c r="J2653" s="12"/>
      <c r="K2653" s="75"/>
      <c r="L2653" s="480"/>
      <c r="M2653" s="11">
        <f ca="1">IF(ISBLANK(K2653), TODAY()-(I2653), [3]!Table27[[#This Row],[Effectiveness Review &amp; date deemed effective]]-[3]!Table27[[#This Row],[PTO initialized date]])</f>
        <v>9</v>
      </c>
    </row>
    <row r="2654" spans="1:13" ht="30">
      <c r="A2654" s="7" t="s">
        <v>139</v>
      </c>
      <c r="B2654" s="460" t="e">
        <f>VLOOKUP([3]!Table27[[#This Row],[Location 
(drop-down)]],'[3]List source'!D$2:E$71,2,FALSE)</f>
        <v>#REF!</v>
      </c>
      <c r="C2654" s="461" t="s">
        <v>4457</v>
      </c>
      <c r="D2654" s="462" t="e">
        <f t="shared" si="83"/>
        <v>#REF!</v>
      </c>
      <c r="E2654" s="7" t="s">
        <v>6876</v>
      </c>
      <c r="F2654" s="8" t="s">
        <v>1520</v>
      </c>
      <c r="G265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4" s="6" t="s">
        <v>2857</v>
      </c>
      <c r="I2654" s="476">
        <v>46069</v>
      </c>
      <c r="J2654" s="476"/>
      <c r="K2654" s="76"/>
      <c r="L2654" s="475"/>
      <c r="M2654" s="8">
        <f ca="1">IF(ISBLANK(K2654), TODAY()-(I2654), [3]!Table27[[#This Row],[Effectiveness Review &amp; date deemed effective]]-[3]!Table27[[#This Row],[PTO initialized date]])</f>
        <v>9</v>
      </c>
    </row>
    <row r="2655" spans="1:13" ht="45">
      <c r="A2655" s="10" t="s">
        <v>23</v>
      </c>
      <c r="B2655" s="468" t="e">
        <f>VLOOKUP([3]!Table27[[#This Row],[Location 
(drop-down)]],'[3]List source'!D$2:E$71,2,FALSE)</f>
        <v>#REF!</v>
      </c>
      <c r="C2655" s="469" t="s">
        <v>4460</v>
      </c>
      <c r="D2655" s="479" t="e">
        <f t="shared" si="83"/>
        <v>#REF!</v>
      </c>
      <c r="E2655" s="10" t="s">
        <v>6877</v>
      </c>
      <c r="F2655" s="11" t="s">
        <v>1520</v>
      </c>
      <c r="G265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5" s="9">
        <v>2.38</v>
      </c>
      <c r="I2655" s="12">
        <v>46069</v>
      </c>
      <c r="J2655" s="12" t="s">
        <v>34</v>
      </c>
      <c r="K2655" s="75">
        <v>46069</v>
      </c>
      <c r="L2655" s="480" t="s">
        <v>6403</v>
      </c>
      <c r="M2655" s="11" t="e" vm="1">
        <f ca="1">IF(ISBLANK(K2655), TODAY()-(I2655), [3]!Table27[[#This Row],[Effectiveness Review &amp; date deemed effective]]-[3]!Table27[[#This Row],[PTO initialized date]])</f>
        <v>#REF!</v>
      </c>
    </row>
    <row r="2656" spans="1:13" ht="45">
      <c r="A2656" s="7" t="s">
        <v>15</v>
      </c>
      <c r="B2656" s="460" t="e">
        <f>VLOOKUP([3]!Table27[[#This Row],[Location 
(drop-down)]],'[3]List source'!D$2:E$71,2,FALSE)</f>
        <v>#REF!</v>
      </c>
      <c r="C2656" s="461" t="s">
        <v>4463</v>
      </c>
      <c r="D2656" s="462" t="e">
        <f t="shared" si="83"/>
        <v>#REF!</v>
      </c>
      <c r="E2656" s="7" t="s">
        <v>6878</v>
      </c>
      <c r="F2656" s="8" t="s">
        <v>1520</v>
      </c>
      <c r="G265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6" s="6" t="s">
        <v>2507</v>
      </c>
      <c r="I2656" s="476">
        <v>46069</v>
      </c>
      <c r="J2656" s="476"/>
      <c r="K2656" s="76"/>
      <c r="L2656" s="475"/>
      <c r="M2656" s="8">
        <f ca="1">IF(ISBLANK(K2656), TODAY()-(I2656), [3]!Table27[[#This Row],[Effectiveness Review &amp; date deemed effective]]-[3]!Table27[[#This Row],[PTO initialized date]])</f>
        <v>9</v>
      </c>
    </row>
    <row r="2657" spans="1:13" ht="45">
      <c r="A2657" s="10" t="s">
        <v>43</v>
      </c>
      <c r="B2657" s="468" t="e">
        <f>VLOOKUP([3]!Table27[[#This Row],[Location 
(drop-down)]],'[3]List source'!D$2:E$71,2,FALSE)</f>
        <v>#REF!</v>
      </c>
      <c r="C2657" s="469" t="s">
        <v>4466</v>
      </c>
      <c r="D2657" s="479" t="e">
        <f t="shared" si="83"/>
        <v>#REF!</v>
      </c>
      <c r="E2657" s="10" t="s">
        <v>6879</v>
      </c>
      <c r="F2657" s="11" t="s">
        <v>1520</v>
      </c>
      <c r="G265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7" s="141" t="s">
        <v>6880</v>
      </c>
      <c r="I2657" s="12">
        <v>46063</v>
      </c>
      <c r="J2657" s="12"/>
      <c r="K2657" s="75"/>
      <c r="L2657" s="480"/>
      <c r="M2657" s="11">
        <f ca="1">IF(ISBLANK(K2657), TODAY()-(I2657), [3]!Table27[[#This Row],[Effectiveness Review &amp; date deemed effective]]-[3]!Table27[[#This Row],[PTO initialized date]])</f>
        <v>15</v>
      </c>
    </row>
    <row r="2658" spans="1:13" ht="30">
      <c r="A2658" s="7" t="s">
        <v>399</v>
      </c>
      <c r="B2658" s="460" t="e">
        <f>VLOOKUP([3]!Table27[[#This Row],[Location 
(drop-down)]],'[3]List source'!D$2:E$71,2,FALSE)</f>
        <v>#REF!</v>
      </c>
      <c r="C2658" s="461" t="s">
        <v>4469</v>
      </c>
      <c r="D2658" s="462" t="e">
        <f t="shared" si="83"/>
        <v>#REF!</v>
      </c>
      <c r="E2658" s="7" t="s">
        <v>6881</v>
      </c>
      <c r="F2658" s="8" t="s">
        <v>1520</v>
      </c>
      <c r="G265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8" s="6" t="s">
        <v>2533</v>
      </c>
      <c r="I2658" s="476">
        <v>46069</v>
      </c>
      <c r="J2658" s="476"/>
      <c r="K2658" s="76"/>
      <c r="L2658" s="475"/>
      <c r="M2658" s="8">
        <f ca="1">IF(ISBLANK(K2658), TODAY()-(I2658), [3]!Table27[[#This Row],[Effectiveness Review &amp; date deemed effective]]-[3]!Table27[[#This Row],[PTO initialized date]])</f>
        <v>9</v>
      </c>
    </row>
    <row r="2659" spans="1:13" ht="45">
      <c r="A2659" s="10" t="s">
        <v>714</v>
      </c>
      <c r="B2659" s="468" t="e">
        <f>VLOOKUP([3]!Table27[[#This Row],[Location 
(drop-down)]],'[3]List source'!D$2:E$71,2,FALSE)</f>
        <v>#REF!</v>
      </c>
      <c r="C2659" s="469" t="s">
        <v>4471</v>
      </c>
      <c r="D2659" s="479" t="e">
        <f t="shared" si="83"/>
        <v>#REF!</v>
      </c>
      <c r="E2659" s="10" t="s">
        <v>6882</v>
      </c>
      <c r="F2659" s="11" t="s">
        <v>1520</v>
      </c>
      <c r="G265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59" s="11">
        <v>2.27</v>
      </c>
      <c r="I2659" s="12">
        <v>46069</v>
      </c>
      <c r="J2659" s="12" t="s">
        <v>34</v>
      </c>
      <c r="K2659" s="75">
        <v>46069</v>
      </c>
      <c r="L2659" s="480" t="s">
        <v>6403</v>
      </c>
      <c r="M2659" s="11" t="e" vm="1">
        <f ca="1">IF(ISBLANK(K2659), TODAY()-(I2659), [3]!Table27[[#This Row],[Effectiveness Review &amp; date deemed effective]]-[3]!Table27[[#This Row],[PTO initialized date]])</f>
        <v>#REF!</v>
      </c>
    </row>
    <row r="2660" spans="1:13" ht="30">
      <c r="A2660" s="7" t="s">
        <v>714</v>
      </c>
      <c r="B2660" s="460" t="e">
        <f>VLOOKUP([3]!Table27[[#This Row],[Location 
(drop-down)]],'[3]List source'!D$2:E$71,2,FALSE)</f>
        <v>#REF!</v>
      </c>
      <c r="C2660" s="461" t="s">
        <v>4473</v>
      </c>
      <c r="D2660" s="462" t="e">
        <f t="shared" ref="D2660:D2705" si="84">"PTO" &amp; C2660 &amp; "-" &amp; B2660 &amp; "-" &amp; "26"</f>
        <v>#REF!</v>
      </c>
      <c r="E2660" s="7" t="s">
        <v>6883</v>
      </c>
      <c r="F2660" s="8" t="s">
        <v>1520</v>
      </c>
      <c r="G266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0" s="6">
        <v>2.4</v>
      </c>
      <c r="I2660" s="476">
        <v>46069</v>
      </c>
      <c r="J2660" s="476"/>
      <c r="K2660" s="76"/>
      <c r="L2660" s="475"/>
      <c r="M2660" s="8">
        <f ca="1">IF(ISBLANK(K2660), TODAY()-(I2660), [3]!Table27[[#This Row],[Effectiveness Review &amp; date deemed effective]]-[3]!Table27[[#This Row],[PTO initialized date]])</f>
        <v>9</v>
      </c>
    </row>
    <row r="2661" spans="1:13" ht="45">
      <c r="A2661" s="10" t="s">
        <v>714</v>
      </c>
      <c r="B2661" s="468" t="e">
        <f>VLOOKUP([3]!Table27[[#This Row],[Location 
(drop-down)]],'[3]List source'!D$2:E$71,2,FALSE)</f>
        <v>#REF!</v>
      </c>
      <c r="C2661" s="469" t="s">
        <v>4475</v>
      </c>
      <c r="D2661" s="479" t="e">
        <f t="shared" si="84"/>
        <v>#REF!</v>
      </c>
      <c r="E2661" s="10" t="s">
        <v>6884</v>
      </c>
      <c r="F2661" s="11" t="s">
        <v>1520</v>
      </c>
      <c r="G266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1" s="9" t="s">
        <v>6885</v>
      </c>
      <c r="I2661" s="12">
        <v>46069</v>
      </c>
      <c r="J2661" s="12"/>
      <c r="K2661" s="75"/>
      <c r="L2661" s="480"/>
      <c r="M2661" s="11">
        <f ca="1">IF(ISBLANK(K2661), TODAY()-(I2661), [3]!Table27[[#This Row],[Effectiveness Review &amp; date deemed effective]]-[3]!Table27[[#This Row],[PTO initialized date]])</f>
        <v>9</v>
      </c>
    </row>
    <row r="2662" spans="1:13" ht="45">
      <c r="A2662" s="7" t="s">
        <v>714</v>
      </c>
      <c r="B2662" s="460" t="e">
        <f>VLOOKUP([3]!Table27[[#This Row],[Location 
(drop-down)]],'[3]List source'!D$2:E$71,2,FALSE)</f>
        <v>#REF!</v>
      </c>
      <c r="C2662" s="461" t="s">
        <v>4478</v>
      </c>
      <c r="D2662" s="462" t="e">
        <f t="shared" si="84"/>
        <v>#REF!</v>
      </c>
      <c r="E2662" s="7" t="s">
        <v>6886</v>
      </c>
      <c r="F2662" s="8" t="s">
        <v>1520</v>
      </c>
      <c r="G266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2" s="493" t="s">
        <v>2004</v>
      </c>
      <c r="I2662" s="476">
        <v>46069</v>
      </c>
      <c r="J2662" s="476" t="s">
        <v>34</v>
      </c>
      <c r="K2662" s="76">
        <v>46069</v>
      </c>
      <c r="L2662" s="475" t="s">
        <v>6403</v>
      </c>
      <c r="M2662" s="8" t="e" vm="1">
        <f ca="1">IF(ISBLANK(K2662), TODAY()-(I2662), [3]!Table27[[#This Row],[Effectiveness Review &amp; date deemed effective]]-[3]!Table27[[#This Row],[PTO initialized date]])</f>
        <v>#REF!</v>
      </c>
    </row>
    <row r="2663" spans="1:13" ht="30">
      <c r="A2663" s="10" t="s">
        <v>714</v>
      </c>
      <c r="B2663" s="468" t="e">
        <f>VLOOKUP([3]!Table27[[#This Row],[Location 
(drop-down)]],'[3]List source'!D$2:E$71,2,FALSE)</f>
        <v>#REF!</v>
      </c>
      <c r="C2663" s="469" t="s">
        <v>4481</v>
      </c>
      <c r="D2663" s="479" t="e">
        <f t="shared" si="84"/>
        <v>#REF!</v>
      </c>
      <c r="E2663" s="10" t="s">
        <v>6887</v>
      </c>
      <c r="F2663" s="11" t="s">
        <v>1520</v>
      </c>
      <c r="G266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3" s="11">
        <v>9.7899999999999991</v>
      </c>
      <c r="I2663" s="12">
        <v>46069</v>
      </c>
      <c r="J2663" s="12"/>
      <c r="K2663" s="75"/>
      <c r="L2663" s="480"/>
      <c r="M2663" s="11">
        <f ca="1">IF(ISBLANK(K2663), TODAY()-(I2663), [3]!Table27[[#This Row],[Effectiveness Review &amp; date deemed effective]]-[3]!Table27[[#This Row],[PTO initialized date]])</f>
        <v>9</v>
      </c>
    </row>
    <row r="2664" spans="1:13" ht="30">
      <c r="A2664" s="7" t="s">
        <v>714</v>
      </c>
      <c r="B2664" s="460" t="e">
        <f>VLOOKUP([3]!Table27[[#This Row],[Location 
(drop-down)]],'[3]List source'!D$2:E$71,2,FALSE)</f>
        <v>#REF!</v>
      </c>
      <c r="C2664" s="461" t="s">
        <v>4483</v>
      </c>
      <c r="D2664" s="462" t="e">
        <f t="shared" si="84"/>
        <v>#REF!</v>
      </c>
      <c r="E2664" s="7" t="s">
        <v>6888</v>
      </c>
      <c r="F2664" s="8" t="s">
        <v>1520</v>
      </c>
      <c r="G266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4" s="6">
        <v>9.43</v>
      </c>
      <c r="I2664" s="476">
        <v>46069</v>
      </c>
      <c r="J2664" s="476"/>
      <c r="K2664" s="76"/>
      <c r="L2664" s="475"/>
      <c r="M2664" s="8">
        <f ca="1">IF(ISBLANK(K2664), TODAY()-(I2664), [3]!Table27[[#This Row],[Effectiveness Review &amp; date deemed effective]]-[3]!Table27[[#This Row],[PTO initialized date]])</f>
        <v>9</v>
      </c>
    </row>
    <row r="2665" spans="1:13" ht="45">
      <c r="A2665" s="10" t="s">
        <v>714</v>
      </c>
      <c r="B2665" s="468" t="e">
        <f>VLOOKUP([3]!Table27[[#This Row],[Location 
(drop-down)]],'[3]List source'!D$2:E$71,2,FALSE)</f>
        <v>#REF!</v>
      </c>
      <c r="C2665" s="469" t="s">
        <v>4486</v>
      </c>
      <c r="D2665" s="479" t="e">
        <f t="shared" si="84"/>
        <v>#REF!</v>
      </c>
      <c r="E2665" s="10" t="s">
        <v>6889</v>
      </c>
      <c r="F2665" s="11" t="s">
        <v>1520</v>
      </c>
      <c r="G266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5" s="9" t="s">
        <v>3645</v>
      </c>
      <c r="I2665" s="12">
        <v>46069</v>
      </c>
      <c r="J2665" s="12"/>
      <c r="K2665" s="75"/>
      <c r="L2665" s="480"/>
      <c r="M2665" s="11">
        <f ca="1">IF(ISBLANK(K2665), TODAY()-(I2665), [3]!Table27[[#This Row],[Effectiveness Review &amp; date deemed effective]]-[3]!Table27[[#This Row],[PTO initialized date]])</f>
        <v>9</v>
      </c>
    </row>
    <row r="2666" spans="1:13" ht="45">
      <c r="A2666" s="7" t="s">
        <v>1334</v>
      </c>
      <c r="B2666" s="460" t="e">
        <f>VLOOKUP([3]!Table27[[#This Row],[Location 
(drop-down)]],'[3]List source'!D$2:E$71,2,FALSE)</f>
        <v>#REF!</v>
      </c>
      <c r="C2666" s="461" t="s">
        <v>4488</v>
      </c>
      <c r="D2666" s="462" t="e">
        <f t="shared" si="84"/>
        <v>#REF!</v>
      </c>
      <c r="E2666" s="7" t="s">
        <v>6890</v>
      </c>
      <c r="F2666" s="66" t="e" cm="1" vm="1">
        <f t="array" aca="1" ref="F2666"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6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6" s="6" t="s">
        <v>3742</v>
      </c>
      <c r="I2666" s="476">
        <v>46071</v>
      </c>
      <c r="J2666" s="79" t="s">
        <v>34</v>
      </c>
      <c r="K2666" s="76">
        <v>46071</v>
      </c>
      <c r="L2666" s="475" t="s">
        <v>6403</v>
      </c>
      <c r="M2666" s="8" t="e" vm="1">
        <f ca="1">IF(ISBLANK(K2666), TODAY()-(I2666), [3]!Table27[[#This Row],[Effectiveness Review &amp; date deemed effective]]-[3]!Table27[[#This Row],[PTO initialized date]])</f>
        <v>#REF!</v>
      </c>
    </row>
    <row r="2667" spans="1:13" ht="45">
      <c r="A2667" s="10" t="s">
        <v>39</v>
      </c>
      <c r="B2667" s="468" t="e">
        <f>VLOOKUP([3]!Table27[[#This Row],[Location 
(drop-down)]],'[3]List source'!D$2:E$71,2,FALSE)</f>
        <v>#REF!</v>
      </c>
      <c r="C2667" s="469" t="s">
        <v>4490</v>
      </c>
      <c r="D2667" s="479" t="e">
        <f t="shared" si="84"/>
        <v>#REF!</v>
      </c>
      <c r="E2667" s="10" t="s">
        <v>6891</v>
      </c>
      <c r="F2667" s="66" t="e" cm="1" vm="1">
        <f t="array" aca="1" ref="F2667"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6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7" s="9" t="s">
        <v>6892</v>
      </c>
      <c r="I2667" s="12">
        <v>46071</v>
      </c>
      <c r="J2667" s="12"/>
      <c r="K2667" s="75"/>
      <c r="L2667" s="480"/>
      <c r="M2667" s="11">
        <f ca="1">IF(ISBLANK(K2667), TODAY()-(I2667), [3]!Table27[[#This Row],[Effectiveness Review &amp; date deemed effective]]-[3]!Table27[[#This Row],[PTO initialized date]])</f>
        <v>7</v>
      </c>
    </row>
    <row r="2668" spans="1:13" ht="30">
      <c r="A2668" s="7" t="s">
        <v>432</v>
      </c>
      <c r="B2668" s="460" t="e">
        <f>VLOOKUP([3]!Table27[[#This Row],[Location 
(drop-down)]],'[3]List source'!D$2:E$71,2,FALSE)</f>
        <v>#REF!</v>
      </c>
      <c r="C2668" s="461" t="s">
        <v>4493</v>
      </c>
      <c r="D2668" s="477" t="e">
        <f t="shared" si="84"/>
        <v>#REF!</v>
      </c>
      <c r="E2668" s="7" t="s">
        <v>6893</v>
      </c>
      <c r="F2668" s="11" t="e" cm="1" vm="1">
        <f t="array" aca="1" ref="F2668"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6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8" s="6" t="s">
        <v>1877</v>
      </c>
      <c r="I2668" s="476">
        <v>46071</v>
      </c>
      <c r="J2668" s="79"/>
      <c r="K2668" s="76"/>
      <c r="L2668" s="478" t="s">
        <v>6808</v>
      </c>
      <c r="M2668" s="8">
        <f ca="1">IF(ISBLANK(K2668), TODAY()-(I2668), [3]!Table27[[#This Row],[Effectiveness Review &amp; date deemed effective]]-[3]!Table27[[#This Row],[PTO initialized date]])</f>
        <v>7</v>
      </c>
    </row>
    <row r="2669" spans="1:13" ht="45">
      <c r="A2669" s="10" t="s">
        <v>432</v>
      </c>
      <c r="B2669" s="468" t="e">
        <f>VLOOKUP([3]!Table27[[#This Row],[Location 
(drop-down)]],'[3]List source'!D$2:E$71,2,FALSE)</f>
        <v>#REF!</v>
      </c>
      <c r="C2669" s="469" t="s">
        <v>4495</v>
      </c>
      <c r="D2669" s="479" t="e">
        <f t="shared" si="84"/>
        <v>#REF!</v>
      </c>
      <c r="E2669" s="10" t="s">
        <v>6894</v>
      </c>
      <c r="F2669" s="11" t="e" cm="1" vm="1">
        <f t="array" aca="1" ref="F2669"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6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69" s="9" t="s">
        <v>1808</v>
      </c>
      <c r="I2669" s="12">
        <v>46071</v>
      </c>
      <c r="J2669" s="73" t="s">
        <v>34</v>
      </c>
      <c r="K2669" s="75">
        <v>46071</v>
      </c>
      <c r="L2669" s="480" t="s">
        <v>6403</v>
      </c>
      <c r="M2669" s="11" t="e" vm="1">
        <f ca="1">IF(ISBLANK(K2669), TODAY()-(I2669), [3]!Table27[[#This Row],[Effectiveness Review &amp; date deemed effective]]-[3]!Table27[[#This Row],[PTO initialized date]])</f>
        <v>#REF!</v>
      </c>
    </row>
    <row r="2670" spans="1:13" ht="30">
      <c r="A2670" s="7" t="s">
        <v>462</v>
      </c>
      <c r="B2670" s="460" t="e">
        <f>VLOOKUP([3]!Table27[[#This Row],[Location 
(drop-down)]],'[3]List source'!D$2:E$71,2,FALSE)</f>
        <v>#REF!</v>
      </c>
      <c r="C2670" s="461" t="s">
        <v>4497</v>
      </c>
      <c r="D2670" s="462" t="e">
        <f t="shared" si="84"/>
        <v>#REF!</v>
      </c>
      <c r="E2670" s="7" t="s">
        <v>6895</v>
      </c>
      <c r="F2670" s="11" t="e" cm="1" vm="1">
        <f t="array" aca="1" ref="F2670"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0" s="494">
        <v>2.54</v>
      </c>
      <c r="I2670" s="476">
        <v>46071</v>
      </c>
      <c r="J2670" s="79"/>
      <c r="K2670" s="76"/>
      <c r="L2670" s="475"/>
      <c r="M2670" s="8">
        <f ca="1">IF(ISBLANK(K2670), TODAY()-(I2670), [3]!Table27[[#This Row],[Effectiveness Review &amp; date deemed effective]]-[3]!Table27[[#This Row],[PTO initialized date]])</f>
        <v>7</v>
      </c>
    </row>
    <row r="2671" spans="1:13" ht="45">
      <c r="A2671" s="10" t="s">
        <v>462</v>
      </c>
      <c r="B2671" s="468" t="e">
        <f>VLOOKUP([3]!Table27[[#This Row],[Location 
(drop-down)]],'[3]List source'!D$2:E$71,2,FALSE)</f>
        <v>#REF!</v>
      </c>
      <c r="C2671" s="469" t="s">
        <v>4499</v>
      </c>
      <c r="D2671" s="479" t="e">
        <f t="shared" si="84"/>
        <v>#REF!</v>
      </c>
      <c r="E2671" s="10" t="s">
        <v>6896</v>
      </c>
      <c r="F2671" s="11" t="e" cm="1" vm="1">
        <f t="array" aca="1" ref="F2671"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1" s="9" t="s">
        <v>2342</v>
      </c>
      <c r="I2671" s="12">
        <v>46071</v>
      </c>
      <c r="J2671" s="73" t="s">
        <v>34</v>
      </c>
      <c r="K2671" s="75">
        <v>46071</v>
      </c>
      <c r="L2671" s="480" t="s">
        <v>6403</v>
      </c>
      <c r="M2671" s="11" t="e" vm="1">
        <f ca="1">IF(ISBLANK(K2671), TODAY()-(I2671), [3]!Table27[[#This Row],[Effectiveness Review &amp; date deemed effective]]-[3]!Table27[[#This Row],[PTO initialized date]])</f>
        <v>#REF!</v>
      </c>
    </row>
    <row r="2672" spans="1:13" ht="45">
      <c r="A2672" s="7" t="s">
        <v>125</v>
      </c>
      <c r="B2672" s="460" t="e">
        <f>VLOOKUP([3]!Table27[[#This Row],[Location 
(drop-down)]],'[3]List source'!D$2:E$71,2,FALSE)</f>
        <v>#REF!</v>
      </c>
      <c r="C2672" s="461" t="s">
        <v>4502</v>
      </c>
      <c r="D2672" s="462" t="e">
        <f t="shared" si="84"/>
        <v>#REF!</v>
      </c>
      <c r="E2672" s="7" t="s">
        <v>6897</v>
      </c>
      <c r="F2672" s="11" t="e" cm="1" vm="1">
        <f t="array" aca="1" ref="F2672"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2" s="6" t="s">
        <v>6898</v>
      </c>
      <c r="I2672" s="476">
        <v>46071</v>
      </c>
      <c r="J2672" s="79"/>
      <c r="K2672" s="76"/>
      <c r="L2672" s="475"/>
      <c r="M2672" s="8">
        <f ca="1">IF(ISBLANK(K2672), TODAY()-(I2672), [3]!Table27[[#This Row],[Effectiveness Review &amp; date deemed effective]]-[3]!Table27[[#This Row],[PTO initialized date]])</f>
        <v>7</v>
      </c>
    </row>
    <row r="2673" spans="1:13" ht="45">
      <c r="A2673" s="10" t="s">
        <v>125</v>
      </c>
      <c r="B2673" s="468" t="e">
        <f>VLOOKUP([3]!Table27[[#This Row],[Location 
(drop-down)]],'[3]List source'!D$2:E$71,2,FALSE)</f>
        <v>#REF!</v>
      </c>
      <c r="C2673" s="469" t="s">
        <v>4505</v>
      </c>
      <c r="D2673" s="479" t="e">
        <f t="shared" si="84"/>
        <v>#REF!</v>
      </c>
      <c r="E2673" s="10" t="s">
        <v>6899</v>
      </c>
      <c r="F2673" s="11" t="e" cm="1" vm="1">
        <f t="array" aca="1" ref="F2673"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3" s="495" t="s">
        <v>6900</v>
      </c>
      <c r="I2673" s="12">
        <v>46071</v>
      </c>
      <c r="J2673" s="73"/>
      <c r="K2673" s="75"/>
      <c r="L2673" s="480"/>
      <c r="M2673" s="11">
        <f ca="1">IF(ISBLANK(K2673), TODAY()-(I2673), [3]!Table27[[#This Row],[Effectiveness Review &amp; date deemed effective]]-[3]!Table27[[#This Row],[PTO initialized date]])</f>
        <v>7</v>
      </c>
    </row>
    <row r="2674" spans="1:13" ht="45">
      <c r="A2674" s="7" t="s">
        <v>125</v>
      </c>
      <c r="B2674" s="460" t="e">
        <f>VLOOKUP([3]!Table27[[#This Row],[Location 
(drop-down)]],'[3]List source'!D$2:E$71,2,FALSE)</f>
        <v>#REF!</v>
      </c>
      <c r="C2674" s="461" t="s">
        <v>4507</v>
      </c>
      <c r="D2674" s="462" t="e">
        <f t="shared" si="84"/>
        <v>#REF!</v>
      </c>
      <c r="E2674" s="27" t="s">
        <v>6901</v>
      </c>
      <c r="F2674" s="121" t="e" cm="1" vm="1">
        <f t="array" aca="1" ref="F2674"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4" s="496">
        <v>2.0499999999999998</v>
      </c>
      <c r="I2674" s="476">
        <v>46071</v>
      </c>
      <c r="J2674" s="79" t="s">
        <v>34</v>
      </c>
      <c r="K2674" s="76">
        <v>46071</v>
      </c>
      <c r="L2674" s="475" t="s">
        <v>6403</v>
      </c>
      <c r="M2674" s="8" t="e" vm="1">
        <f ca="1">IF(ISBLANK(K2674), TODAY()-(I2674), [3]!Table27[[#This Row],[Effectiveness Review &amp; date deemed effective]]-[3]!Table27[[#This Row],[PTO initialized date]])</f>
        <v>#REF!</v>
      </c>
    </row>
    <row r="2675" spans="1:13" ht="45">
      <c r="A2675" s="10" t="s">
        <v>119</v>
      </c>
      <c r="B2675" s="468" t="e">
        <f>VLOOKUP([3]!Table27[[#This Row],[Location 
(drop-down)]],'[3]List source'!D$2:E$71,2,FALSE)</f>
        <v>#REF!</v>
      </c>
      <c r="C2675" s="469" t="s">
        <v>4510</v>
      </c>
      <c r="D2675" s="479" t="e">
        <f t="shared" si="84"/>
        <v>#REF!</v>
      </c>
      <c r="E2675" s="10" t="s">
        <v>6902</v>
      </c>
      <c r="F2675" s="11" t="e" cm="1" vm="1">
        <f t="array" aca="1" ref="F2675"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5" s="11" t="s">
        <v>6903</v>
      </c>
      <c r="I2675" s="12">
        <v>46071</v>
      </c>
      <c r="J2675" s="73"/>
      <c r="K2675" s="75"/>
      <c r="L2675" s="480"/>
      <c r="M2675" s="11">
        <f ca="1">IF(ISBLANK(K2675), TODAY()-(I2675), [3]!Table27[[#This Row],[Effectiveness Review &amp; date deemed effective]]-[3]!Table27[[#This Row],[PTO initialized date]])</f>
        <v>7</v>
      </c>
    </row>
    <row r="2676" spans="1:13" ht="30">
      <c r="A2676" s="7" t="s">
        <v>119</v>
      </c>
      <c r="B2676" s="460" t="e">
        <f>VLOOKUP([3]!Table27[[#This Row],[Location 
(drop-down)]],'[3]List source'!D$2:E$71,2,FALSE)</f>
        <v>#REF!</v>
      </c>
      <c r="C2676" s="461" t="s">
        <v>4512</v>
      </c>
      <c r="D2676" s="477" t="e">
        <f t="shared" si="84"/>
        <v>#REF!</v>
      </c>
      <c r="E2676" s="7" t="s">
        <v>6904</v>
      </c>
      <c r="F2676" s="11" t="e" cm="1" vm="1">
        <f t="array" aca="1" ref="F2676"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6" s="6" t="s">
        <v>2134</v>
      </c>
      <c r="I2676" s="476">
        <v>46071</v>
      </c>
      <c r="J2676" s="79"/>
      <c r="K2676" s="76"/>
      <c r="L2676" s="478" t="s">
        <v>6808</v>
      </c>
      <c r="M2676" s="8">
        <f ca="1">IF(ISBLANK(K2676), TODAY()-(I2676), [3]!Table27[[#This Row],[Effectiveness Review &amp; date deemed effective]]-[3]!Table27[[#This Row],[PTO initialized date]])</f>
        <v>7</v>
      </c>
    </row>
    <row r="2677" spans="1:13" ht="30">
      <c r="A2677" s="10" t="s">
        <v>30</v>
      </c>
      <c r="B2677" s="468" t="e">
        <f>VLOOKUP([3]!Table27[[#This Row],[Location 
(drop-down)]],'[3]List source'!D$2:E$71,2,FALSE)</f>
        <v>#REF!</v>
      </c>
      <c r="C2677" s="469" t="s">
        <v>4515</v>
      </c>
      <c r="D2677" s="479" t="e">
        <f t="shared" si="84"/>
        <v>#REF!</v>
      </c>
      <c r="E2677" s="123" t="s">
        <v>6905</v>
      </c>
      <c r="F2677" s="11" t="e" cm="1" vm="1">
        <f t="array" aca="1" ref="F2677"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7" s="9">
        <v>2.34</v>
      </c>
      <c r="I2677" s="12">
        <v>46071</v>
      </c>
      <c r="J2677" s="73"/>
      <c r="K2677" s="75"/>
      <c r="L2677" s="480"/>
      <c r="M2677" s="11">
        <f ca="1">IF(ISBLANK(K2677), TODAY()-(I2677), [3]!Table27[[#This Row],[Effectiveness Review &amp; date deemed effective]]-[3]!Table27[[#This Row],[PTO initialized date]])</f>
        <v>7</v>
      </c>
    </row>
    <row r="2678" spans="1:13" ht="30">
      <c r="A2678" s="7" t="s">
        <v>30</v>
      </c>
      <c r="B2678" s="460" t="e">
        <f>VLOOKUP([3]!Table27[[#This Row],[Location 
(drop-down)]],'[3]List source'!D$2:E$71,2,FALSE)</f>
        <v>#REF!</v>
      </c>
      <c r="C2678" s="461" t="s">
        <v>4518</v>
      </c>
      <c r="D2678" s="462" t="e">
        <f t="shared" si="84"/>
        <v>#REF!</v>
      </c>
      <c r="E2678" s="7" t="s">
        <v>6906</v>
      </c>
      <c r="F2678" s="66" t="e" cm="1" vm="1">
        <f t="array" aca="1" ref="F2678"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8" s="6" t="s">
        <v>3455</v>
      </c>
      <c r="I2678" s="476">
        <v>46071</v>
      </c>
      <c r="J2678" s="79"/>
      <c r="K2678" s="76"/>
      <c r="L2678" s="475"/>
      <c r="M2678" s="8">
        <f ca="1">IF(ISBLANK(K2678), TODAY()-(I2678), [3]!Table27[[#This Row],[Effectiveness Review &amp; date deemed effective]]-[3]!Table27[[#This Row],[PTO initialized date]])</f>
        <v>7</v>
      </c>
    </row>
    <row r="2679" spans="1:13" ht="45">
      <c r="A2679" s="10" t="s">
        <v>103</v>
      </c>
      <c r="B2679" s="468" t="e">
        <f>VLOOKUP([3]!Table27[[#This Row],[Location 
(drop-down)]],'[3]List source'!D$2:E$71,2,FALSE)</f>
        <v>#REF!</v>
      </c>
      <c r="C2679" s="469" t="s">
        <v>4520</v>
      </c>
      <c r="D2679" s="479" t="e">
        <f t="shared" si="84"/>
        <v>#REF!</v>
      </c>
      <c r="E2679" s="10" t="s">
        <v>6907</v>
      </c>
      <c r="F2679" s="66" t="e" cm="1" vm="1">
        <f t="array" aca="1" ref="F2679"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7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79" s="9" t="s">
        <v>2004</v>
      </c>
      <c r="I2679" s="12">
        <v>46071</v>
      </c>
      <c r="J2679" s="73"/>
      <c r="K2679" s="75"/>
      <c r="L2679" s="480"/>
      <c r="M2679" s="11">
        <f ca="1">IF(ISBLANK(K2679), TODAY()-(I2679), [3]!Table27[[#This Row],[Effectiveness Review &amp; date deemed effective]]-[3]!Table27[[#This Row],[PTO initialized date]])</f>
        <v>7</v>
      </c>
    </row>
    <row r="2680" spans="1:13" ht="45">
      <c r="A2680" s="7" t="s">
        <v>103</v>
      </c>
      <c r="B2680" s="460" t="e">
        <f>VLOOKUP([3]!Table27[[#This Row],[Location 
(drop-down)]],'[3]List source'!D$2:E$71,2,FALSE)</f>
        <v>#REF!</v>
      </c>
      <c r="C2680" s="461" t="s">
        <v>4522</v>
      </c>
      <c r="D2680" s="462" t="e">
        <f t="shared" si="84"/>
        <v>#REF!</v>
      </c>
      <c r="E2680" s="7" t="s">
        <v>6908</v>
      </c>
      <c r="F2680" s="66" t="e" cm="1" vm="1">
        <f t="array" aca="1" ref="F2680"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0" s="8">
        <v>2.1800000000000002</v>
      </c>
      <c r="I2680" s="476">
        <v>46071</v>
      </c>
      <c r="J2680" s="79" t="s">
        <v>34</v>
      </c>
      <c r="K2680" s="76">
        <v>46071</v>
      </c>
      <c r="L2680" s="475" t="s">
        <v>6403</v>
      </c>
      <c r="M2680" s="8" t="e" vm="1">
        <f ca="1">IF(ISBLANK(K2680), TODAY()-(I2680), [3]!Table27[[#This Row],[Effectiveness Review &amp; date deemed effective]]-[3]!Table27[[#This Row],[PTO initialized date]])</f>
        <v>#REF!</v>
      </c>
    </row>
    <row r="2681" spans="1:13" ht="45">
      <c r="A2681" s="10" t="s">
        <v>311</v>
      </c>
      <c r="B2681" s="468" t="e">
        <f>VLOOKUP([3]!Table27[[#This Row],[Location 
(drop-down)]],'[3]List source'!D$2:E$71,2,FALSE)</f>
        <v>#REF!</v>
      </c>
      <c r="C2681" s="469" t="s">
        <v>4524</v>
      </c>
      <c r="D2681" s="470" t="e">
        <f t="shared" si="84"/>
        <v>#REF!</v>
      </c>
      <c r="E2681" s="10" t="s">
        <v>6909</v>
      </c>
      <c r="F2681" s="66" t="e" cm="1" vm="1">
        <f t="array" aca="1" ref="F2681"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1" s="9" t="s">
        <v>6910</v>
      </c>
      <c r="I2681" s="12">
        <v>46071</v>
      </c>
      <c r="J2681" s="12"/>
      <c r="K2681" s="75"/>
      <c r="L2681" s="474" t="s">
        <v>6808</v>
      </c>
      <c r="M2681" s="11">
        <f ca="1">IF(ISBLANK(K2681), TODAY()-(I2681), [3]!Table27[[#This Row],[Effectiveness Review &amp; date deemed effective]]-[3]!Table27[[#This Row],[PTO initialized date]])</f>
        <v>7</v>
      </c>
    </row>
    <row r="2682" spans="1:13" ht="30">
      <c r="A2682" s="7" t="s">
        <v>311</v>
      </c>
      <c r="B2682" s="460" t="e">
        <f>VLOOKUP([3]!Table27[[#This Row],[Location 
(drop-down)]],'[3]List source'!D$2:E$71,2,FALSE)</f>
        <v>#REF!</v>
      </c>
      <c r="C2682" s="461" t="s">
        <v>4527</v>
      </c>
      <c r="D2682" s="462" t="e">
        <f t="shared" si="84"/>
        <v>#REF!</v>
      </c>
      <c r="E2682" s="7" t="s">
        <v>6911</v>
      </c>
      <c r="F2682" s="69" t="e" cm="1" vm="1">
        <f t="array" aca="1" ref="F2682"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2" s="497" t="s">
        <v>1874</v>
      </c>
      <c r="I2682" s="476">
        <v>46071</v>
      </c>
      <c r="J2682" s="476"/>
      <c r="K2682" s="76"/>
      <c r="L2682" s="475"/>
      <c r="M2682" s="8">
        <f ca="1">IF(ISBLANK(K2682), TODAY()-(I2682), [3]!Table27[[#This Row],[Effectiveness Review &amp; date deemed effective]]-[3]!Table27[[#This Row],[PTO initialized date]])</f>
        <v>7</v>
      </c>
    </row>
    <row r="2683" spans="1:13" ht="30">
      <c r="A2683" s="10" t="s">
        <v>80</v>
      </c>
      <c r="B2683" s="468" t="e">
        <f>VLOOKUP([3]!Table27[[#This Row],[Location 
(drop-down)]],'[3]List source'!D$2:E$71,2,FALSE)</f>
        <v>#REF!</v>
      </c>
      <c r="C2683" s="469" t="s">
        <v>4529</v>
      </c>
      <c r="D2683" s="479" t="e">
        <f t="shared" si="84"/>
        <v>#REF!</v>
      </c>
      <c r="E2683" s="10" t="s">
        <v>6912</v>
      </c>
      <c r="F2683" s="66" t="e" cm="1" vm="1">
        <f t="array" aca="1" ref="F2683"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3" s="9">
        <v>1390.52</v>
      </c>
      <c r="I2683" s="12">
        <v>46071</v>
      </c>
      <c r="J2683" s="12"/>
      <c r="K2683" s="75"/>
      <c r="L2683" s="480"/>
      <c r="M2683" s="11">
        <f ca="1">IF(ISBLANK(K2683), TODAY()-(I2683), [3]!Table27[[#This Row],[Effectiveness Review &amp; date deemed effective]]-[3]!Table27[[#This Row],[PTO initialized date]])</f>
        <v>7</v>
      </c>
    </row>
    <row r="2684" spans="1:13" ht="30">
      <c r="A2684" s="7" t="s">
        <v>264</v>
      </c>
      <c r="B2684" s="460" t="e">
        <f>VLOOKUP([3]!Table27[[#This Row],[Location 
(drop-down)]],'[3]List source'!D$2:E$71,2,FALSE)</f>
        <v>#REF!</v>
      </c>
      <c r="C2684" s="461" t="s">
        <v>4531</v>
      </c>
      <c r="D2684" s="462" t="e">
        <f t="shared" si="84"/>
        <v>#REF!</v>
      </c>
      <c r="E2684" s="7" t="s">
        <v>6913</v>
      </c>
      <c r="F2684" s="66" t="e" cm="1" vm="1">
        <f t="array" aca="1" ref="F2684"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4" s="6" t="s">
        <v>2042</v>
      </c>
      <c r="I2684" s="476">
        <v>46071</v>
      </c>
      <c r="J2684" s="476"/>
      <c r="K2684" s="76"/>
      <c r="L2684" s="475"/>
      <c r="M2684" s="8">
        <f ca="1">IF(ISBLANK(K2684), TODAY()-(I2684), [3]!Table27[[#This Row],[Effectiveness Review &amp; date deemed effective]]-[3]!Table27[[#This Row],[PTO initialized date]])</f>
        <v>7</v>
      </c>
    </row>
    <row r="2685" spans="1:13" ht="30">
      <c r="A2685" s="10" t="s">
        <v>64</v>
      </c>
      <c r="B2685" s="468" t="e">
        <f>VLOOKUP([3]!Table27[[#This Row],[Location 
(drop-down)]],'[3]List source'!D$2:E$71,2,FALSE)</f>
        <v>#REF!</v>
      </c>
      <c r="C2685" s="469" t="s">
        <v>4533</v>
      </c>
      <c r="D2685" s="470" t="e">
        <f t="shared" si="84"/>
        <v>#REF!</v>
      </c>
      <c r="E2685" s="498" t="s">
        <v>6914</v>
      </c>
      <c r="F2685" s="126" t="e" cm="1" vm="1">
        <f t="array" aca="1" ref="F2685"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5" s="499" t="s">
        <v>2179</v>
      </c>
      <c r="I2685" s="12">
        <v>46071</v>
      </c>
      <c r="J2685" s="12"/>
      <c r="K2685" s="75"/>
      <c r="L2685" s="474" t="s">
        <v>6808</v>
      </c>
      <c r="M2685" s="11">
        <f ca="1">IF(ISBLANK(K2685), TODAY()-(I2685), [3]!Table27[[#This Row],[Effectiveness Review &amp; date deemed effective]]-[3]!Table27[[#This Row],[PTO initialized date]])</f>
        <v>7</v>
      </c>
    </row>
    <row r="2686" spans="1:13" ht="30">
      <c r="A2686" s="7" t="s">
        <v>64</v>
      </c>
      <c r="B2686" s="460" t="e">
        <f>VLOOKUP([3]!Table27[[#This Row],[Location 
(drop-down)]],'[3]List source'!D$2:E$71,2,FALSE)</f>
        <v>#REF!</v>
      </c>
      <c r="C2686" s="461" t="s">
        <v>4535</v>
      </c>
      <c r="D2686" s="477" t="e">
        <f t="shared" si="84"/>
        <v>#REF!</v>
      </c>
      <c r="E2686" s="7" t="s">
        <v>6915</v>
      </c>
      <c r="F2686" s="66" t="e" cm="1" vm="1">
        <f t="array" aca="1" ref="F2686"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6" s="6" t="s">
        <v>5287</v>
      </c>
      <c r="I2686" s="476">
        <v>46071</v>
      </c>
      <c r="J2686" s="476"/>
      <c r="K2686" s="76"/>
      <c r="L2686" s="478" t="s">
        <v>6808</v>
      </c>
      <c r="M2686" s="8">
        <f ca="1">IF(ISBLANK(K2686), TODAY()-(I2686), [3]!Table27[[#This Row],[Effectiveness Review &amp; date deemed effective]]-[3]!Table27[[#This Row],[PTO initialized date]])</f>
        <v>7</v>
      </c>
    </row>
    <row r="2687" spans="1:13" ht="30">
      <c r="A2687" s="10" t="s">
        <v>314</v>
      </c>
      <c r="B2687" s="468" t="e">
        <f>VLOOKUP([3]!Table27[[#This Row],[Location 
(drop-down)]],'[3]List source'!D$2:E$71,2,FALSE)</f>
        <v>#REF!</v>
      </c>
      <c r="C2687" s="469" t="s">
        <v>4538</v>
      </c>
      <c r="D2687" s="479" t="e">
        <f t="shared" si="84"/>
        <v>#REF!</v>
      </c>
      <c r="E2687" s="10" t="s">
        <v>6916</v>
      </c>
      <c r="F2687" s="66" t="e" cm="1" vm="1">
        <f t="array" aca="1" ref="F2687"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7" s="9" t="s">
        <v>6917</v>
      </c>
      <c r="I2687" s="12">
        <v>46071</v>
      </c>
      <c r="J2687" s="12"/>
      <c r="K2687" s="75"/>
      <c r="L2687" s="480"/>
      <c r="M2687" s="11">
        <f ca="1">IF(ISBLANK(K2687), TODAY()-(I2687), [3]!Table27[[#This Row],[Effectiveness Review &amp; date deemed effective]]-[3]!Table27[[#This Row],[PTO initialized date]])</f>
        <v>7</v>
      </c>
    </row>
    <row r="2688" spans="1:13" ht="30">
      <c r="A2688" s="7" t="s">
        <v>294</v>
      </c>
      <c r="B2688" s="460" t="e">
        <f>VLOOKUP([3]!Table27[[#This Row],[Location 
(drop-down)]],'[3]List source'!D$2:E$71,2,FALSE)</f>
        <v>#REF!</v>
      </c>
      <c r="C2688" s="461" t="s">
        <v>4540</v>
      </c>
      <c r="D2688" s="462" t="e">
        <f t="shared" si="84"/>
        <v>#REF!</v>
      </c>
      <c r="E2688" s="7" t="s">
        <v>6918</v>
      </c>
      <c r="F2688" s="66" t="e" cm="1" vm="1">
        <f t="array" aca="1" ref="F2688"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8" s="6" t="s">
        <v>1653</v>
      </c>
      <c r="I2688" s="476">
        <v>46071</v>
      </c>
      <c r="J2688" s="476"/>
      <c r="K2688" s="76"/>
      <c r="L2688" s="475"/>
      <c r="M2688" s="8">
        <f ca="1">IF(ISBLANK(K2688), TODAY()-(I2688), [3]!Table27[[#This Row],[Effectiveness Review &amp; date deemed effective]]-[3]!Table27[[#This Row],[PTO initialized date]])</f>
        <v>7</v>
      </c>
    </row>
    <row r="2689" spans="1:13" ht="45">
      <c r="A2689" s="10" t="s">
        <v>294</v>
      </c>
      <c r="B2689" s="468" t="e">
        <f>VLOOKUP([3]!Table27[[#This Row],[Location 
(drop-down)]],'[3]List source'!D$2:E$71,2,FALSE)</f>
        <v>#REF!</v>
      </c>
      <c r="C2689" s="469" t="s">
        <v>4542</v>
      </c>
      <c r="D2689" s="479" t="e">
        <f t="shared" si="84"/>
        <v>#REF!</v>
      </c>
      <c r="E2689" s="10" t="s">
        <v>6919</v>
      </c>
      <c r="F2689" s="66" t="e" cm="1" vm="1">
        <f t="array" aca="1" ref="F2689"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8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89" s="11" t="s">
        <v>6920</v>
      </c>
      <c r="I2689" s="12">
        <v>46071</v>
      </c>
      <c r="J2689" s="73" t="s">
        <v>34</v>
      </c>
      <c r="K2689" s="75">
        <v>46071</v>
      </c>
      <c r="L2689" s="480" t="s">
        <v>6403</v>
      </c>
      <c r="M2689" s="11" t="e" vm="1">
        <f ca="1">IF(ISBLANK(K2689), TODAY()-(I2689), [3]!Table27[[#This Row],[Effectiveness Review &amp; date deemed effective]]-[3]!Table27[[#This Row],[PTO initialized date]])</f>
        <v>#REF!</v>
      </c>
    </row>
    <row r="2690" spans="1:13" ht="30">
      <c r="A2690" s="7" t="s">
        <v>485</v>
      </c>
      <c r="B2690" s="460" t="e">
        <f>VLOOKUP([3]!Table27[[#This Row],[Location 
(drop-down)]],'[3]List source'!D$2:E$71,2,FALSE)</f>
        <v>#REF!</v>
      </c>
      <c r="C2690" s="461" t="s">
        <v>4544</v>
      </c>
      <c r="D2690" s="462" t="e">
        <f t="shared" si="84"/>
        <v>#REF!</v>
      </c>
      <c r="E2690" s="459" t="s">
        <v>6921</v>
      </c>
      <c r="F2690" s="106" t="e" cm="1" vm="1">
        <f t="array" aca="1" ref="F2690"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9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0" s="28" t="s">
        <v>6394</v>
      </c>
      <c r="I2690" s="476">
        <v>46071</v>
      </c>
      <c r="J2690" s="476"/>
      <c r="K2690" s="76"/>
      <c r="L2690" s="475"/>
      <c r="M2690" s="8">
        <f ca="1">IF(ISBLANK(K2690), TODAY()-(I2690), [3]!Table27[[#This Row],[Effectiveness Review &amp; date deemed effective]]-[3]!Table27[[#This Row],[PTO initialized date]])</f>
        <v>7</v>
      </c>
    </row>
    <row r="2691" spans="1:13" ht="45">
      <c r="A2691" s="10" t="s">
        <v>485</v>
      </c>
      <c r="B2691" s="468" t="e">
        <f>VLOOKUP([3]!Table27[[#This Row],[Location 
(drop-down)]],'[3]List source'!D$2:E$71,2,FALSE)</f>
        <v>#REF!</v>
      </c>
      <c r="C2691" s="469" t="s">
        <v>4546</v>
      </c>
      <c r="D2691" s="479" t="e">
        <f t="shared" si="84"/>
        <v>#REF!</v>
      </c>
      <c r="E2691" s="10" t="s">
        <v>6901</v>
      </c>
      <c r="F2691" s="66" t="e" cm="1" vm="1">
        <f t="array" aca="1" ref="F2691"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9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1" s="11">
        <v>2.0499999999999998</v>
      </c>
      <c r="I2691" s="12">
        <v>46071</v>
      </c>
      <c r="J2691" s="73" t="s">
        <v>34</v>
      </c>
      <c r="K2691" s="75">
        <v>46071</v>
      </c>
      <c r="L2691" s="480" t="s">
        <v>6403</v>
      </c>
      <c r="M2691" s="11" t="e" vm="1">
        <f ca="1">IF(ISBLANK(K2691), TODAY()-(I2691), [3]!Table27[[#This Row],[Effectiveness Review &amp; date deemed effective]]-[3]!Table27[[#This Row],[PTO initialized date]])</f>
        <v>#REF!</v>
      </c>
    </row>
    <row r="2692" spans="1:13" ht="45">
      <c r="A2692" s="7" t="s">
        <v>485</v>
      </c>
      <c r="B2692" s="460" t="e">
        <f>VLOOKUP([3]!Table27[[#This Row],[Location 
(drop-down)]],'[3]List source'!D$2:E$71,2,FALSE)</f>
        <v>#REF!</v>
      </c>
      <c r="C2692" s="461" t="s">
        <v>4549</v>
      </c>
      <c r="D2692" s="462" t="e">
        <f t="shared" si="84"/>
        <v>#REF!</v>
      </c>
      <c r="E2692" s="7" t="s">
        <v>6922</v>
      </c>
      <c r="F2692" s="66" t="e" cm="1" vm="1">
        <f t="array" aca="1" ref="F2692"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9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2" s="8" t="s">
        <v>6923</v>
      </c>
      <c r="I2692" s="476">
        <v>46071</v>
      </c>
      <c r="J2692" s="476"/>
      <c r="K2692" s="76"/>
      <c r="L2692" s="475"/>
      <c r="M2692" s="8">
        <f ca="1">IF(ISBLANK(K2692), TODAY()-(I2692), [3]!Table27[[#This Row],[Effectiveness Review &amp; date deemed effective]]-[3]!Table27[[#This Row],[PTO initialized date]])</f>
        <v>7</v>
      </c>
    </row>
    <row r="2693" spans="1:13" ht="45">
      <c r="A2693" s="10" t="s">
        <v>43</v>
      </c>
      <c r="B2693" s="468" t="e">
        <f>VLOOKUP([3]!Table27[[#This Row],[Location 
(drop-down)]],'[3]List source'!D$2:E$71,2,FALSE)</f>
        <v>#REF!</v>
      </c>
      <c r="C2693" s="469" t="s">
        <v>4553</v>
      </c>
      <c r="D2693" s="479" t="e">
        <f t="shared" si="84"/>
        <v>#REF!</v>
      </c>
      <c r="E2693" s="10" t="s">
        <v>6924</v>
      </c>
      <c r="F2693" s="66" t="e" cm="1" vm="1">
        <f t="array" aca="1" ref="F2693"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9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3" s="11">
        <v>2.06</v>
      </c>
      <c r="I2693" s="12">
        <v>46071</v>
      </c>
      <c r="J2693" s="12"/>
      <c r="K2693" s="75"/>
      <c r="L2693" s="480"/>
      <c r="M2693" s="11">
        <f ca="1">IF(ISBLANK(K2693), TODAY()-(I2693), [3]!Table27[[#This Row],[Effectiveness Review &amp; date deemed effective]]-[3]!Table27[[#This Row],[PTO initialized date]])</f>
        <v>7</v>
      </c>
    </row>
    <row r="2694" spans="1:13" ht="30">
      <c r="A2694" s="7" t="s">
        <v>485</v>
      </c>
      <c r="B2694" s="460" t="e">
        <f>VLOOKUP([3]!Table27[[#This Row],[Location 
(drop-down)]],'[3]List source'!D$2:E$71,2,FALSE)</f>
        <v>#REF!</v>
      </c>
      <c r="C2694" s="461" t="s">
        <v>4555</v>
      </c>
      <c r="D2694" s="477" t="e">
        <f t="shared" si="84"/>
        <v>#REF!</v>
      </c>
      <c r="E2694" s="7" t="s">
        <v>6925</v>
      </c>
      <c r="F2694" s="66" t="e" cm="1" vm="1">
        <f t="array" aca="1" ref="F2694" ca="1">MID(LEFT([3]!Table27[[#This Row],[BRIEF DESCRIPTION OF NC
if VOID:  "VOID, Location,  
details (initials, date)"]], INDEX(_xlfn._xlws.FILTER(ROW(INDIRECT("1:" &amp; LEN([3]!Table27[[#This Row],[BRIEF DESCRIPTION OF NC
if VOID:  "VOID, Location,  
details (initials, date)"]]))), (48 &lt;= CODE(MID([3]!Table27[[#This Row],[BRIEF DESCRIPTION OF NC
if VOID:  "VOID, Location,  
details (initials, date)"]], ROW(INDIRECT("1:" &amp; LEN([3]!Table27[[#This Row],[BRIEF DESCRIPTION OF NC
if VOID:  "VOID, Location,  
details (initials, date)"]]))), 1))) * (CODE(MID([3]!Table27[[#This Row],[BRIEF DESCRIPTION OF NC
if VOID:  "VOID, Location,  
details (initials, date)"]], ROW(INDIRECT("1:" &amp; LEN([3]!Table27[[#This Row],[BRIEF DESCRIPTION OF NC
if VOID:  "VOID, Location,  
details (initials, date)"]]))), 1)) &lt;= 57)), 1) - 1), FIND(":", [3]!Table27[[#This Row],[BRIEF DESCRIPTION OF NC
if VOID:  "VOID, Location,  
details (initials, date)"]]) + 2, LEN([3]!Table27[[#This Row],[BRIEF DESCRIPTION OF NC
if VOID:  "VOID, Location,  
details (initials, date)"]]))</f>
        <v>#REF!</v>
      </c>
      <c r="G269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4" s="6">
        <v>2.16</v>
      </c>
      <c r="I2694" s="476">
        <v>46071</v>
      </c>
      <c r="J2694" s="476"/>
      <c r="K2694" s="76"/>
      <c r="L2694" s="478" t="s">
        <v>6808</v>
      </c>
      <c r="M2694" s="8">
        <f ca="1">IF(ISBLANK(K2694), TODAY()-(I2694), [3]!Table27[[#This Row],[Effectiveness Review &amp; date deemed effective]]-[3]!Table27[[#This Row],[PTO initialized date]])</f>
        <v>7</v>
      </c>
    </row>
    <row r="2695" spans="1:13" ht="30">
      <c r="A2695" s="10" t="s">
        <v>15</v>
      </c>
      <c r="B2695" s="468" t="e">
        <f>VLOOKUP([3]!Table27[[#This Row],[Location 
(drop-down)]],'[3]List source'!D$2:E$71,2,FALSE)</f>
        <v>#REF!</v>
      </c>
      <c r="C2695" s="469" t="s">
        <v>4557</v>
      </c>
      <c r="D2695" s="479" t="e">
        <f t="shared" si="84"/>
        <v>#REF!</v>
      </c>
      <c r="E2695" s="10" t="s">
        <v>6926</v>
      </c>
      <c r="F2695" s="11" t="s">
        <v>3068</v>
      </c>
      <c r="G269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5" s="11">
        <v>27.9</v>
      </c>
      <c r="I2695" s="12">
        <v>46076</v>
      </c>
      <c r="J2695" s="12"/>
      <c r="K2695" s="75"/>
      <c r="L2695" s="480"/>
      <c r="M2695" s="11">
        <f ca="1">IF(ISBLANK(K2695), TODAY()-(I2695), [3]!Table27[[#This Row],[Effectiveness Review &amp; date deemed effective]]-[3]!Table27[[#This Row],[PTO initialized date]])</f>
        <v>2</v>
      </c>
    </row>
    <row r="2696" spans="1:13" ht="45">
      <c r="A2696" s="7" t="s">
        <v>399</v>
      </c>
      <c r="B2696" s="460" t="e">
        <f>VLOOKUP([3]!Table27[[#This Row],[Location 
(drop-down)]],'[3]List source'!D$2:E$71,2,FALSE)</f>
        <v>#REF!</v>
      </c>
      <c r="C2696" s="461" t="s">
        <v>4560</v>
      </c>
      <c r="D2696" s="462" t="e">
        <f t="shared" si="84"/>
        <v>#REF!</v>
      </c>
      <c r="E2696" s="7" t="s">
        <v>6927</v>
      </c>
      <c r="F2696" s="8" t="s">
        <v>3068</v>
      </c>
      <c r="G2696"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6" s="6" t="s">
        <v>1799</v>
      </c>
      <c r="I2696" s="476">
        <v>46076</v>
      </c>
      <c r="J2696" s="476" t="s">
        <v>34</v>
      </c>
      <c r="K2696" s="76">
        <v>46076</v>
      </c>
      <c r="L2696" s="475" t="s">
        <v>6403</v>
      </c>
      <c r="M2696" s="8" t="e" vm="1">
        <f ca="1">IF(ISBLANK(K2696), TODAY()-(I2696), [3]!Table27[[#This Row],[Effectiveness Review &amp; date deemed effective]]-[3]!Table27[[#This Row],[PTO initialized date]])</f>
        <v>#REF!</v>
      </c>
    </row>
    <row r="2697" spans="1:13" ht="30">
      <c r="A2697" s="10" t="s">
        <v>114</v>
      </c>
      <c r="B2697" s="468" t="e">
        <f>VLOOKUP([3]!Table27[[#This Row],[Location 
(drop-down)]],'[3]List source'!D$2:E$71,2,FALSE)</f>
        <v>#REF!</v>
      </c>
      <c r="C2697" s="469" t="s">
        <v>4564</v>
      </c>
      <c r="D2697" s="479" t="e">
        <f t="shared" si="84"/>
        <v>#REF!</v>
      </c>
      <c r="E2697" s="10" t="s">
        <v>6928</v>
      </c>
      <c r="F2697" s="11" t="s">
        <v>2279</v>
      </c>
      <c r="G2697"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7" s="500">
        <v>5.43</v>
      </c>
      <c r="I2697" s="12">
        <v>46076</v>
      </c>
      <c r="J2697" s="501"/>
      <c r="K2697" s="75"/>
      <c r="L2697" s="502"/>
      <c r="M2697" s="11">
        <f ca="1">IF(ISBLANK(K2697), TODAY()-(I2697), [3]!Table27[[#This Row],[Effectiveness Review &amp; date deemed effective]]-[3]!Table27[[#This Row],[PTO initialized date]])</f>
        <v>2</v>
      </c>
    </row>
    <row r="2698" spans="1:13" ht="45">
      <c r="A2698" s="7" t="s">
        <v>15</v>
      </c>
      <c r="B2698" s="460" t="e">
        <f>VLOOKUP([3]!Table27[[#This Row],[Location 
(drop-down)]],'[3]List source'!D$2:E$71,2,FALSE)</f>
        <v>#REF!</v>
      </c>
      <c r="C2698" s="461" t="s">
        <v>4568</v>
      </c>
      <c r="D2698" s="462" t="e">
        <f t="shared" si="84"/>
        <v>#REF!</v>
      </c>
      <c r="E2698" s="27" t="s">
        <v>6929</v>
      </c>
      <c r="F2698" s="8" t="s">
        <v>2279</v>
      </c>
      <c r="G2698"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8" s="503" t="s">
        <v>6930</v>
      </c>
      <c r="I2698" s="504">
        <v>46076</v>
      </c>
      <c r="J2698" s="505"/>
      <c r="K2698" s="207"/>
      <c r="L2698" s="506"/>
      <c r="M2698" s="8">
        <f ca="1">IF(ISBLANK(K2698), TODAY()-(I2698), [3]!Table27[[#This Row],[Effectiveness Review &amp; date deemed effective]]-[3]!Table27[[#This Row],[PTO initialized date]])</f>
        <v>2</v>
      </c>
    </row>
    <row r="2699" spans="1:13" ht="30">
      <c r="A2699" s="10" t="s">
        <v>114</v>
      </c>
      <c r="B2699" s="468" t="e">
        <f>VLOOKUP([3]!Table27[[#This Row],[Location 
(drop-down)]],'[3]List source'!D$2:E$71,2,FALSE)</f>
        <v>#REF!</v>
      </c>
      <c r="C2699" s="469" t="s">
        <v>4572</v>
      </c>
      <c r="D2699" s="479" t="e">
        <f t="shared" si="84"/>
        <v>#REF!</v>
      </c>
      <c r="E2699" s="10" t="s">
        <v>6931</v>
      </c>
      <c r="F2699" s="11" t="s">
        <v>2160</v>
      </c>
      <c r="G2699"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699" s="9">
        <v>2.38</v>
      </c>
      <c r="I2699" s="507">
        <v>46076</v>
      </c>
      <c r="J2699" s="508"/>
      <c r="K2699" s="509"/>
      <c r="L2699" s="480"/>
      <c r="M2699" s="11">
        <f ca="1">IF(ISBLANK(K2699), TODAY()-(I2699), [3]!Table27[[#This Row],[Effectiveness Review &amp; date deemed effective]]-[3]!Table27[[#This Row],[PTO initialized date]])</f>
        <v>2</v>
      </c>
    </row>
    <row r="2700" spans="1:13" ht="30">
      <c r="A2700" s="7" t="s">
        <v>495</v>
      </c>
      <c r="B2700" s="460" t="e">
        <f>VLOOKUP([3]!Table27[[#This Row],[Location 
(drop-down)]],'[3]List source'!D$2:E$71,2,FALSE)</f>
        <v>#REF!</v>
      </c>
      <c r="C2700" s="461" t="s">
        <v>4574</v>
      </c>
      <c r="D2700" s="462" t="e">
        <f t="shared" si="84"/>
        <v>#REF!</v>
      </c>
      <c r="E2700" s="7" t="s">
        <v>6932</v>
      </c>
      <c r="F2700" s="8" t="s">
        <v>2160</v>
      </c>
      <c r="G2700"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700" s="6" t="s">
        <v>6933</v>
      </c>
      <c r="I2700" s="504">
        <v>46076</v>
      </c>
      <c r="J2700" s="505"/>
      <c r="K2700" s="207"/>
      <c r="L2700" s="475"/>
      <c r="M2700" s="8">
        <f ca="1">IF(ISBLANK(K2700), TODAY()-(I2700), [3]!Table27[[#This Row],[Effectiveness Review &amp; date deemed effective]]-[3]!Table27[[#This Row],[PTO initialized date]])</f>
        <v>2</v>
      </c>
    </row>
    <row r="2701" spans="1:13" ht="30">
      <c r="A2701" s="10" t="s">
        <v>15</v>
      </c>
      <c r="B2701" s="468" t="e">
        <f>VLOOKUP([3]!Table27[[#This Row],[Location 
(drop-down)]],'[3]List source'!D$2:E$71,2,FALSE)</f>
        <v>#REF!</v>
      </c>
      <c r="C2701" s="469" t="s">
        <v>4576</v>
      </c>
      <c r="D2701" s="479" t="e">
        <f t="shared" si="84"/>
        <v>#REF!</v>
      </c>
      <c r="E2701" s="10" t="s">
        <v>6934</v>
      </c>
      <c r="F2701" s="11" t="s">
        <v>2160</v>
      </c>
      <c r="G2701"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701" s="11">
        <v>248.09</v>
      </c>
      <c r="I2701" s="12">
        <v>46076</v>
      </c>
      <c r="J2701" s="12"/>
      <c r="K2701" s="75"/>
      <c r="L2701" s="480"/>
      <c r="M2701" s="11">
        <f ca="1">IF(ISBLANK(K2701), TODAY()-(I2701), [3]!Table27[[#This Row],[Effectiveness Review &amp; date deemed effective]]-[3]!Table27[[#This Row],[PTO initialized date]])</f>
        <v>2</v>
      </c>
    </row>
    <row r="2702" spans="1:13" ht="45">
      <c r="A2702" s="7" t="s">
        <v>15</v>
      </c>
      <c r="B2702" s="460" t="e">
        <f>VLOOKUP([3]!Table27[[#This Row],[Location 
(drop-down)]],'[3]List source'!D$2:E$71,2,FALSE)</f>
        <v>#REF!</v>
      </c>
      <c r="C2702" s="461" t="s">
        <v>4579</v>
      </c>
      <c r="D2702" s="462" t="e">
        <f t="shared" si="84"/>
        <v>#REF!</v>
      </c>
      <c r="E2702" s="7" t="s">
        <v>6935</v>
      </c>
      <c r="F2702" s="8" t="s">
        <v>2160</v>
      </c>
      <c r="G2702"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702" s="8">
        <v>2.12</v>
      </c>
      <c r="I2702" s="476">
        <v>46076</v>
      </c>
      <c r="J2702" s="476" t="s">
        <v>34</v>
      </c>
      <c r="K2702" s="76">
        <v>46076</v>
      </c>
      <c r="L2702" s="475" t="s">
        <v>6403</v>
      </c>
      <c r="M2702" s="8" t="e" vm="1">
        <f ca="1">IF(ISBLANK(K2702), TODAY()-(I2702), [3]!Table27[[#This Row],[Effectiveness Review &amp; date deemed effective]]-[3]!Table27[[#This Row],[PTO initialized date]])</f>
        <v>#REF!</v>
      </c>
    </row>
    <row r="2703" spans="1:13" ht="30">
      <c r="A2703" s="10" t="s">
        <v>15</v>
      </c>
      <c r="B2703" s="468" t="e">
        <f>VLOOKUP([3]!Table27[[#This Row],[Location 
(drop-down)]],'[3]List source'!D$2:E$71,2,FALSE)</f>
        <v>#REF!</v>
      </c>
      <c r="C2703" s="469" t="s">
        <v>4581</v>
      </c>
      <c r="D2703" s="479" t="e">
        <f t="shared" si="84"/>
        <v>#REF!</v>
      </c>
      <c r="E2703" s="10" t="s">
        <v>6936</v>
      </c>
      <c r="F2703" s="11" t="s">
        <v>2160</v>
      </c>
      <c r="G2703"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703" s="9" t="s">
        <v>1883</v>
      </c>
      <c r="I2703" s="12">
        <v>46076</v>
      </c>
      <c r="J2703" s="508"/>
      <c r="K2703" s="509"/>
      <c r="L2703" s="480"/>
      <c r="M2703" s="11">
        <f ca="1">IF(ISBLANK(K2703), TODAY()-(I2703), [3]!Table27[[#This Row],[Effectiveness Review &amp; date deemed effective]]-[3]!Table27[[#This Row],[PTO initialized date]])</f>
        <v>2</v>
      </c>
    </row>
    <row r="2704" spans="1:13" ht="30">
      <c r="A2704" s="7" t="s">
        <v>399</v>
      </c>
      <c r="B2704" s="460" t="e">
        <f>VLOOKUP([3]!Table27[[#This Row],[Location 
(drop-down)]],'[3]List source'!D$2:E$71,2,FALSE)</f>
        <v>#REF!</v>
      </c>
      <c r="C2704" s="461" t="s">
        <v>4583</v>
      </c>
      <c r="D2704" s="462" t="e">
        <f t="shared" si="84"/>
        <v>#REF!</v>
      </c>
      <c r="E2704" s="7" t="s">
        <v>6937</v>
      </c>
      <c r="F2704" s="8" t="s">
        <v>2160</v>
      </c>
      <c r="G2704" s="464"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704" s="8">
        <v>2.12</v>
      </c>
      <c r="I2704" s="476">
        <v>46076</v>
      </c>
      <c r="J2704" s="505"/>
      <c r="K2704" s="207"/>
      <c r="L2704" s="475"/>
      <c r="M2704" s="8">
        <f ca="1">IF(ISBLANK(K2704), TODAY()-(I2704), [3]!Table27[[#This Row],[Effectiveness Review &amp; date deemed effective]]-[3]!Table27[[#This Row],[PTO initialized date]])</f>
        <v>2</v>
      </c>
    </row>
    <row r="2705" spans="1:13" ht="30">
      <c r="A2705" s="10" t="s">
        <v>114</v>
      </c>
      <c r="B2705" s="468" t="e">
        <f>VLOOKUP([3]!Table27[[#This Row],[Location 
(drop-down)]],'[3]List source'!D$2:E$71,2,FALSE)</f>
        <v>#REF!</v>
      </c>
      <c r="C2705" s="469" t="s">
        <v>4585</v>
      </c>
      <c r="D2705" s="479" t="e">
        <f t="shared" si="84"/>
        <v>#REF!</v>
      </c>
      <c r="E2705" s="10" t="s">
        <v>6938</v>
      </c>
      <c r="F2705" s="11" t="s">
        <v>6217</v>
      </c>
      <c r="G2705" s="472" t="e">
        <f>MID(LEFT([3]!Table27[[#This Row],[BRIEF DESCRIPTION OF NC
if VOID:  "VOID, Location,  
details (initials, date)"]], FIND(",", [3]!Table27[[#This Row],[BRIEF DESCRIPTION OF NC
if VOID:  "VOID, Location,  
details (initials, date)"]]) - 1), FIND("{token}", SUBSTITUTE([3]!Table27[[#This Row],[BRIEF DESCRIPTION OF NC
if VOID:  "VOID, Location,  
details (initials, date)"]], " ", "{token}", 2)) + 1, LEN([3]!Table27[[#This Row],[BRIEF DESCRIPTION OF NC
if VOID:  "VOID, Location,  
details (initials, date)"]]))</f>
        <v>#REF!</v>
      </c>
      <c r="H2705" s="9" t="s">
        <v>1579</v>
      </c>
      <c r="I2705" s="12">
        <v>46076</v>
      </c>
      <c r="J2705" s="508"/>
      <c r="K2705" s="509"/>
      <c r="L2705" s="480"/>
      <c r="M2705" s="11">
        <f ca="1">IF(ISBLANK(K2705), TODAY()-(I2705), [3]!Table27[[#This Row],[Effectiveness Review &amp; date deemed effective]]-[3]!Table27[[#This Row],[PTO initialized date]])</f>
        <v>2</v>
      </c>
    </row>
  </sheetData>
  <conditionalFormatting sqref="M1439:M2595">
    <cfRule type="expression" dxfId="18" priority="2">
      <formula>ISNUMBER(M1439)=TRUE</formula>
    </cfRule>
  </conditionalFormatting>
  <conditionalFormatting sqref="M2596:M2705">
    <cfRule type="expression" dxfId="17" priority="1">
      <formula>ISBLANK(K2596)=TRUE</formula>
    </cfRule>
  </conditionalFormatting>
  <conditionalFormatting sqref="N2:N1440">
    <cfRule type="expression" dxfId="16" priority="3">
      <formula>ISNUMBER(N2) = TRUE</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D548-A3B9-468B-B5DE-DF15002DF602}">
  <sheetPr codeName="Sheet8"/>
  <dimension ref="A1:H30"/>
  <sheetViews>
    <sheetView topLeftCell="D1" workbookViewId="0">
      <selection activeCell="E4" sqref="E4"/>
    </sheetView>
  </sheetViews>
  <sheetFormatPr defaultRowHeight="13.5"/>
  <cols>
    <col min="1" max="1" width="40.7109375" style="13" bestFit="1" customWidth="1"/>
    <col min="2" max="2" width="32.5703125" style="29" bestFit="1" customWidth="1"/>
    <col min="3" max="3" width="23.28515625" style="524" bestFit="1" customWidth="1"/>
    <col min="4" max="4" width="23.28515625" style="13" bestFit="1" customWidth="1"/>
    <col min="5" max="5" width="40.7109375" style="13" bestFit="1" customWidth="1"/>
    <col min="6" max="6" width="17.28515625" style="29" bestFit="1" customWidth="1"/>
    <col min="7" max="7" width="6.140625" style="29" bestFit="1" customWidth="1"/>
    <col min="8" max="8" width="11.28515625" style="29" bestFit="1" customWidth="1"/>
    <col min="9" max="19" width="9.42578125" style="13" bestFit="1" customWidth="1"/>
    <col min="20" max="21" width="8.42578125" style="13" bestFit="1" customWidth="1"/>
    <col min="22" max="26" width="9.42578125" style="13" bestFit="1" customWidth="1"/>
    <col min="27" max="30" width="8.42578125" style="13" bestFit="1" customWidth="1"/>
    <col min="31" max="32" width="9.42578125" style="13" bestFit="1" customWidth="1"/>
    <col min="33" max="33" width="8.42578125" style="13" bestFit="1" customWidth="1"/>
    <col min="34" max="35" width="9.42578125" style="13" bestFit="1" customWidth="1"/>
    <col min="36" max="37" width="8.42578125" style="13" bestFit="1" customWidth="1"/>
    <col min="38" max="46" width="9.42578125" style="13" bestFit="1" customWidth="1"/>
    <col min="47" max="57" width="10.42578125" style="13" bestFit="1" customWidth="1"/>
    <col min="58" max="58" width="9.42578125" style="13" bestFit="1" customWidth="1"/>
    <col min="59" max="63" width="10.42578125" style="13" bestFit="1" customWidth="1"/>
    <col min="64" max="64" width="8.42578125" style="13" bestFit="1" customWidth="1"/>
    <col min="65" max="68" width="9.42578125" style="13" bestFit="1" customWidth="1"/>
    <col min="69" max="69" width="8.42578125" style="13" bestFit="1" customWidth="1"/>
    <col min="70" max="72" width="9.42578125" style="13" bestFit="1" customWidth="1"/>
    <col min="73" max="73" width="7.28515625" style="13" bestFit="1" customWidth="1"/>
    <col min="74" max="74" width="11.28515625" style="13" bestFit="1" customWidth="1"/>
    <col min="75" max="16384" width="9.140625" style="13"/>
  </cols>
  <sheetData>
    <row r="1" spans="1:8" ht="15">
      <c r="A1" t="s">
        <v>9</v>
      </c>
      <c r="B1" t="s">
        <v>1476</v>
      </c>
      <c r="C1" s="522"/>
      <c r="E1" t="s">
        <v>9</v>
      </c>
      <c r="F1" t="s">
        <v>1476</v>
      </c>
      <c r="G1"/>
      <c r="H1"/>
    </row>
    <row r="2" spans="1:8" ht="15">
      <c r="A2" t="s">
        <v>10</v>
      </c>
      <c r="B2" t="s">
        <v>1477</v>
      </c>
      <c r="C2"/>
      <c r="D2"/>
      <c r="E2" t="s">
        <v>10</v>
      </c>
      <c r="F2" t="s">
        <v>1476</v>
      </c>
      <c r="G2"/>
      <c r="H2"/>
    </row>
    <row r="3" spans="1:8" ht="15">
      <c r="A3"/>
      <c r="B3"/>
      <c r="C3"/>
      <c r="D3"/>
      <c r="E3"/>
      <c r="F3"/>
      <c r="G3"/>
      <c r="H3"/>
    </row>
    <row r="4" spans="1:8" ht="15">
      <c r="A4" t="s">
        <v>1478</v>
      </c>
      <c r="B4" t="s">
        <v>1479</v>
      </c>
      <c r="C4" s="523" t="s">
        <v>1480</v>
      </c>
      <c r="D4"/>
      <c r="E4" t="s">
        <v>1478</v>
      </c>
      <c r="F4" s="1" t="s">
        <v>1481</v>
      </c>
      <c r="G4"/>
      <c r="H4"/>
    </row>
    <row r="5" spans="1:8" ht="15">
      <c r="A5" s="91" t="s">
        <v>30</v>
      </c>
      <c r="B5" s="192"/>
      <c r="C5" s="192">
        <v>253.15384615384616</v>
      </c>
      <c r="D5"/>
      <c r="E5" s="91" t="s">
        <v>30</v>
      </c>
      <c r="F5" s="1">
        <v>20</v>
      </c>
      <c r="G5"/>
      <c r="H5"/>
    </row>
    <row r="6" spans="1:8" ht="15">
      <c r="A6" s="91" t="s">
        <v>119</v>
      </c>
      <c r="B6" s="192"/>
      <c r="C6" s="192">
        <v>381.5</v>
      </c>
      <c r="D6"/>
      <c r="E6" s="91" t="s">
        <v>566</v>
      </c>
      <c r="F6" s="1">
        <v>2</v>
      </c>
      <c r="G6"/>
      <c r="H6"/>
    </row>
    <row r="7" spans="1:8" ht="15">
      <c r="A7" s="91" t="s">
        <v>1162</v>
      </c>
      <c r="B7" s="192">
        <v>561</v>
      </c>
      <c r="C7" s="192">
        <v>527.28571428571433</v>
      </c>
      <c r="D7"/>
      <c r="E7" s="91" t="s">
        <v>119</v>
      </c>
      <c r="F7" s="1">
        <v>2</v>
      </c>
      <c r="G7"/>
      <c r="H7"/>
    </row>
    <row r="8" spans="1:8" ht="15">
      <c r="A8" s="91" t="s">
        <v>1482</v>
      </c>
      <c r="B8" s="192">
        <v>561</v>
      </c>
      <c r="C8" s="192">
        <v>352.04545454545456</v>
      </c>
      <c r="D8"/>
      <c r="E8" s="91" t="s">
        <v>1162</v>
      </c>
      <c r="F8" s="1">
        <v>11</v>
      </c>
      <c r="G8"/>
      <c r="H8"/>
    </row>
    <row r="9" spans="1:8" ht="15">
      <c r="A9"/>
      <c r="B9"/>
      <c r="C9"/>
      <c r="D9"/>
      <c r="E9" s="91" t="s">
        <v>969</v>
      </c>
      <c r="F9" s="1">
        <v>4</v>
      </c>
      <c r="G9"/>
      <c r="H9"/>
    </row>
    <row r="10" spans="1:8" ht="15">
      <c r="A10"/>
      <c r="B10"/>
      <c r="C10"/>
      <c r="D10"/>
      <c r="E10" s="91" t="s">
        <v>1482</v>
      </c>
      <c r="F10" s="1">
        <v>39</v>
      </c>
      <c r="G10"/>
      <c r="H10"/>
    </row>
    <row r="11" spans="1:8" ht="15">
      <c r="A11"/>
      <c r="B11"/>
      <c r="C11"/>
      <c r="D11"/>
      <c r="E11"/>
      <c r="F11"/>
      <c r="G11"/>
      <c r="H11"/>
    </row>
    <row r="12" spans="1:8" ht="15">
      <c r="A12"/>
      <c r="B12"/>
      <c r="C12"/>
      <c r="D12"/>
      <c r="E12"/>
      <c r="F12"/>
      <c r="G12"/>
      <c r="H12"/>
    </row>
    <row r="13" spans="1:8" ht="15">
      <c r="A13"/>
      <c r="B13"/>
      <c r="C13"/>
      <c r="D13"/>
      <c r="E13" s="91"/>
      <c r="F13" s="1"/>
      <c r="G13" s="1"/>
      <c r="H13" s="1"/>
    </row>
    <row r="14" spans="1:8" ht="15">
      <c r="A14"/>
      <c r="B14"/>
      <c r="C14"/>
      <c r="D14"/>
      <c r="E14" s="91"/>
      <c r="F14" s="1"/>
      <c r="G14" s="1"/>
      <c r="H14" s="1"/>
    </row>
    <row r="15" spans="1:8" ht="15">
      <c r="A15"/>
      <c r="B15"/>
      <c r="C15"/>
      <c r="D15"/>
      <c r="E15" s="91"/>
      <c r="F15" s="1"/>
      <c r="G15" s="1"/>
      <c r="H15" s="1"/>
    </row>
    <row r="16" spans="1:8" ht="15">
      <c r="A16"/>
      <c r="B16"/>
      <c r="C16"/>
      <c r="D16"/>
      <c r="E16" s="91"/>
      <c r="F16" s="1"/>
      <c r="G16" s="1"/>
      <c r="H16" s="1"/>
    </row>
    <row r="17" spans="1:8" ht="15">
      <c r="A17"/>
      <c r="B17"/>
      <c r="C17"/>
      <c r="D17"/>
      <c r="E17"/>
      <c r="F17"/>
      <c r="G17" s="1"/>
      <c r="H17" s="1"/>
    </row>
    <row r="18" spans="1:8" ht="15">
      <c r="A18"/>
      <c r="B18"/>
      <c r="C18"/>
      <c r="D18"/>
      <c r="E18"/>
      <c r="F18"/>
      <c r="G18"/>
      <c r="H18"/>
    </row>
    <row r="19" spans="1:8" ht="15">
      <c r="A19"/>
      <c r="B19"/>
      <c r="C19"/>
      <c r="D19"/>
      <c r="E19"/>
      <c r="F19"/>
      <c r="G19"/>
      <c r="H19"/>
    </row>
    <row r="20" spans="1:8" ht="15">
      <c r="E20"/>
      <c r="F20"/>
    </row>
    <row r="21" spans="1:8" ht="15">
      <c r="E21"/>
      <c r="F21"/>
    </row>
    <row r="22" spans="1:8" ht="15">
      <c r="E22"/>
      <c r="F22"/>
    </row>
    <row r="23" spans="1:8" ht="15">
      <c r="E23"/>
      <c r="F23"/>
    </row>
    <row r="24" spans="1:8" ht="15">
      <c r="E24"/>
      <c r="F24"/>
    </row>
    <row r="25" spans="1:8" ht="15">
      <c r="E25"/>
      <c r="F25"/>
    </row>
    <row r="26" spans="1:8" ht="15">
      <c r="E26"/>
      <c r="F26"/>
    </row>
    <row r="27" spans="1:8" ht="15">
      <c r="E27"/>
      <c r="F27"/>
    </row>
    <row r="28" spans="1:8" ht="15">
      <c r="E28"/>
      <c r="F28"/>
    </row>
    <row r="29" spans="1:8" ht="15">
      <c r="E29"/>
      <c r="F29"/>
    </row>
    <row r="30" spans="1:8" ht="15">
      <c r="E30"/>
      <c r="F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8FABE-FDCE-48C2-8DC9-A54CF6643083}">
  <sheetPr codeName="Sheet6"/>
  <dimension ref="A1:C18"/>
  <sheetViews>
    <sheetView workbookViewId="0">
      <selection activeCell="G10" sqref="G10"/>
    </sheetView>
  </sheetViews>
  <sheetFormatPr defaultRowHeight="15"/>
  <cols>
    <col min="1" max="1" width="14.42578125" style="1" bestFit="1" customWidth="1"/>
    <col min="2" max="3" width="12.42578125" style="1" customWidth="1"/>
    <col min="7" max="7" width="17.7109375" customWidth="1"/>
    <col min="9" max="9" width="14.42578125" customWidth="1"/>
  </cols>
  <sheetData>
    <row r="1" spans="1:3">
      <c r="A1" s="601" t="s">
        <v>6939</v>
      </c>
      <c r="B1" s="601"/>
      <c r="C1" s="601"/>
    </row>
    <row r="2" spans="1:3">
      <c r="A2" s="5" t="s">
        <v>6940</v>
      </c>
      <c r="B2" s="3" t="s">
        <v>1488</v>
      </c>
      <c r="C2" s="3" t="s">
        <v>1487</v>
      </c>
    </row>
    <row r="3" spans="1:3">
      <c r="A3" s="3">
        <v>2024</v>
      </c>
      <c r="B3" s="2">
        <v>2</v>
      </c>
      <c r="C3" s="2">
        <v>3</v>
      </c>
    </row>
    <row r="4" spans="1:3">
      <c r="A4" s="4">
        <v>45658</v>
      </c>
      <c r="B4" s="2">
        <v>0</v>
      </c>
      <c r="C4" s="2">
        <v>1</v>
      </c>
    </row>
    <row r="5" spans="1:3">
      <c r="A5" s="4">
        <v>45689</v>
      </c>
      <c r="B5" s="2">
        <v>7</v>
      </c>
      <c r="C5" s="2">
        <v>0</v>
      </c>
    </row>
    <row r="6" spans="1:3">
      <c r="A6" s="4">
        <v>45717</v>
      </c>
      <c r="B6" s="2">
        <v>3</v>
      </c>
      <c r="C6" s="2">
        <v>0</v>
      </c>
    </row>
    <row r="7" spans="1:3">
      <c r="A7" s="4">
        <v>45748</v>
      </c>
      <c r="B7" s="2">
        <v>1</v>
      </c>
      <c r="C7" s="2">
        <v>0</v>
      </c>
    </row>
    <row r="8" spans="1:3">
      <c r="A8" s="4">
        <v>45778</v>
      </c>
      <c r="B8" s="2">
        <v>9</v>
      </c>
      <c r="C8" s="2">
        <v>11</v>
      </c>
    </row>
    <row r="9" spans="1:3">
      <c r="A9" s="4">
        <v>45809</v>
      </c>
      <c r="B9" s="2">
        <v>18</v>
      </c>
      <c r="C9" s="2">
        <v>28</v>
      </c>
    </row>
    <row r="10" spans="1:3">
      <c r="A10" s="4">
        <v>45839</v>
      </c>
      <c r="B10" s="2">
        <v>6</v>
      </c>
      <c r="C10" s="2">
        <v>41</v>
      </c>
    </row>
    <row r="11" spans="1:3">
      <c r="A11" s="4">
        <v>45870</v>
      </c>
      <c r="B11" s="2">
        <v>12</v>
      </c>
      <c r="C11" s="2">
        <v>8</v>
      </c>
    </row>
    <row r="12" spans="1:3">
      <c r="A12" s="4">
        <v>45901</v>
      </c>
      <c r="B12" s="2">
        <v>9</v>
      </c>
      <c r="C12" s="2">
        <v>16</v>
      </c>
    </row>
    <row r="13" spans="1:3">
      <c r="A13" s="4">
        <v>45931</v>
      </c>
      <c r="B13" s="2">
        <v>8</v>
      </c>
      <c r="C13" s="2">
        <v>13</v>
      </c>
    </row>
    <row r="14" spans="1:3">
      <c r="A14" s="4">
        <v>45962</v>
      </c>
      <c r="B14" s="2">
        <v>14</v>
      </c>
      <c r="C14" s="2">
        <v>23</v>
      </c>
    </row>
    <row r="15" spans="1:3">
      <c r="A15" s="4">
        <v>45992</v>
      </c>
      <c r="B15" s="2">
        <v>21</v>
      </c>
      <c r="C15" s="2">
        <v>61</v>
      </c>
    </row>
    <row r="16" spans="1:3">
      <c r="A16" s="4">
        <v>46023</v>
      </c>
      <c r="B16" s="2">
        <v>33</v>
      </c>
      <c r="C16" s="2">
        <v>11</v>
      </c>
    </row>
    <row r="17" spans="1:3">
      <c r="A17" s="4">
        <v>46054</v>
      </c>
      <c r="B17" s="2">
        <v>20</v>
      </c>
      <c r="C17" s="2">
        <v>66</v>
      </c>
    </row>
    <row r="18" spans="1:3">
      <c r="A18" s="34" t="s">
        <v>6941</v>
      </c>
      <c r="B18" s="34">
        <f>SUM(B3:B17)</f>
        <v>163</v>
      </c>
      <c r="C18" s="34">
        <f>SUM(C3:C17)</f>
        <v>282</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5344A-27ED-4250-8C9C-4A4100B7764E}">
  <sheetPr codeName="Sheet7"/>
  <dimension ref="A1:C82"/>
  <sheetViews>
    <sheetView workbookViewId="0"/>
  </sheetViews>
  <sheetFormatPr defaultRowHeight="15"/>
  <cols>
    <col min="1" max="1" width="30.5703125" bestFit="1" customWidth="1"/>
    <col min="2" max="2" width="13.28515625" style="35" customWidth="1"/>
    <col min="3" max="3" width="23" customWidth="1"/>
  </cols>
  <sheetData>
    <row r="1" spans="1:3" ht="15.75" thickBot="1">
      <c r="A1" s="44" t="s">
        <v>6942</v>
      </c>
      <c r="B1" s="45" t="s">
        <v>1</v>
      </c>
      <c r="C1" s="44" t="s">
        <v>6943</v>
      </c>
    </row>
    <row r="2" spans="1:3">
      <c r="A2" s="46" t="s">
        <v>6944</v>
      </c>
      <c r="B2" s="47" t="s">
        <v>6945</v>
      </c>
      <c r="C2" s="48"/>
    </row>
    <row r="3" spans="1:3">
      <c r="A3" s="46" t="s">
        <v>6946</v>
      </c>
      <c r="B3" s="47" t="s">
        <v>6947</v>
      </c>
      <c r="C3" s="48"/>
    </row>
    <row r="4" spans="1:3">
      <c r="A4" s="46" t="s">
        <v>6948</v>
      </c>
      <c r="B4" s="47" t="s">
        <v>6949</v>
      </c>
      <c r="C4" s="48"/>
    </row>
    <row r="5" spans="1:3">
      <c r="A5" s="46" t="s">
        <v>6950</v>
      </c>
      <c r="B5" s="47" t="s">
        <v>6951</v>
      </c>
      <c r="C5" s="48"/>
    </row>
    <row r="6" spans="1:3">
      <c r="A6" s="46" t="s">
        <v>711</v>
      </c>
      <c r="B6" s="47">
        <v>119</v>
      </c>
      <c r="C6" s="48" t="s">
        <v>6952</v>
      </c>
    </row>
    <row r="7" spans="1:3">
      <c r="A7" s="49" t="s">
        <v>1288</v>
      </c>
      <c r="B7" s="50">
        <v>111</v>
      </c>
      <c r="C7" s="48" t="s">
        <v>6953</v>
      </c>
    </row>
    <row r="8" spans="1:3">
      <c r="A8" s="51" t="s">
        <v>156</v>
      </c>
      <c r="B8" s="50">
        <v>110</v>
      </c>
      <c r="C8" s="48" t="s">
        <v>6953</v>
      </c>
    </row>
    <row r="9" spans="1:3">
      <c r="A9" s="51" t="s">
        <v>714</v>
      </c>
      <c r="B9" s="50">
        <v>215</v>
      </c>
      <c r="C9" s="48" t="s">
        <v>6954</v>
      </c>
    </row>
    <row r="10" spans="1:3">
      <c r="A10" s="52" t="s">
        <v>6955</v>
      </c>
      <c r="B10" s="50">
        <v>195</v>
      </c>
      <c r="C10" s="48" t="s">
        <v>6954</v>
      </c>
    </row>
    <row r="11" spans="1:3">
      <c r="A11" s="52" t="s">
        <v>358</v>
      </c>
      <c r="B11" s="50">
        <v>190</v>
      </c>
      <c r="C11" s="48" t="s">
        <v>6954</v>
      </c>
    </row>
    <row r="12" spans="1:3">
      <c r="A12" s="52" t="s">
        <v>917</v>
      </c>
      <c r="B12" s="50">
        <v>161</v>
      </c>
      <c r="C12" s="48" t="s">
        <v>6952</v>
      </c>
    </row>
    <row r="13" spans="1:3">
      <c r="A13" s="51" t="s">
        <v>1253</v>
      </c>
      <c r="B13" s="50">
        <v>116</v>
      </c>
      <c r="C13" s="48" t="s">
        <v>6954</v>
      </c>
    </row>
    <row r="14" spans="1:3">
      <c r="A14" s="52" t="s">
        <v>30</v>
      </c>
      <c r="B14" s="50">
        <v>132</v>
      </c>
      <c r="C14" s="48" t="s">
        <v>6956</v>
      </c>
    </row>
    <row r="15" spans="1:3">
      <c r="A15" s="51" t="s">
        <v>890</v>
      </c>
      <c r="B15" s="50">
        <v>124</v>
      </c>
      <c r="C15" s="48" t="s">
        <v>6952</v>
      </c>
    </row>
    <row r="16" spans="1:3">
      <c r="A16" s="51" t="s">
        <v>80</v>
      </c>
      <c r="B16" s="50">
        <v>141</v>
      </c>
      <c r="C16" s="48" t="s">
        <v>6953</v>
      </c>
    </row>
    <row r="17" spans="1:3">
      <c r="A17" s="51" t="s">
        <v>53</v>
      </c>
      <c r="B17" s="50">
        <v>158</v>
      </c>
      <c r="C17" s="48" t="s">
        <v>6952</v>
      </c>
    </row>
    <row r="18" spans="1:3">
      <c r="A18" s="52" t="s">
        <v>591</v>
      </c>
      <c r="B18" s="50">
        <v>127</v>
      </c>
      <c r="C18" s="48" t="s">
        <v>6954</v>
      </c>
    </row>
    <row r="19" spans="1:3">
      <c r="A19" s="51" t="s">
        <v>103</v>
      </c>
      <c r="B19" s="50">
        <v>136</v>
      </c>
      <c r="C19" s="48" t="s">
        <v>6954</v>
      </c>
    </row>
    <row r="20" spans="1:3">
      <c r="A20" s="52" t="s">
        <v>453</v>
      </c>
      <c r="B20" s="50">
        <v>138</v>
      </c>
      <c r="C20" s="48" t="s">
        <v>6954</v>
      </c>
    </row>
    <row r="21" spans="1:3">
      <c r="A21" s="52" t="s">
        <v>1334</v>
      </c>
      <c r="B21" s="50">
        <v>115</v>
      </c>
      <c r="C21" s="48" t="s">
        <v>6954</v>
      </c>
    </row>
    <row r="22" spans="1:3">
      <c r="A22" s="51" t="s">
        <v>209</v>
      </c>
      <c r="B22" s="50">
        <v>101</v>
      </c>
      <c r="C22" s="48" t="s">
        <v>6957</v>
      </c>
    </row>
    <row r="23" spans="1:3">
      <c r="A23" s="52" t="s">
        <v>294</v>
      </c>
      <c r="B23" s="50">
        <v>155</v>
      </c>
      <c r="C23" s="48" t="s">
        <v>6952</v>
      </c>
    </row>
    <row r="24" spans="1:3">
      <c r="A24" s="52" t="s">
        <v>6958</v>
      </c>
      <c r="B24" s="50">
        <v>154</v>
      </c>
      <c r="C24" s="48" t="s">
        <v>6952</v>
      </c>
    </row>
    <row r="25" spans="1:3">
      <c r="A25" s="52" t="s">
        <v>1082</v>
      </c>
      <c r="B25" s="50">
        <v>159</v>
      </c>
      <c r="C25" s="48" t="s">
        <v>6952</v>
      </c>
    </row>
    <row r="26" spans="1:3">
      <c r="A26" s="52" t="s">
        <v>306</v>
      </c>
      <c r="B26" s="50">
        <v>147</v>
      </c>
      <c r="C26" s="48" t="s">
        <v>6954</v>
      </c>
    </row>
    <row r="27" spans="1:3">
      <c r="A27" s="52" t="s">
        <v>344</v>
      </c>
      <c r="B27" s="50">
        <v>157</v>
      </c>
      <c r="C27" s="48" t="s">
        <v>6952</v>
      </c>
    </row>
    <row r="28" spans="1:3">
      <c r="A28" s="51" t="s">
        <v>432</v>
      </c>
      <c r="B28" s="50">
        <v>125</v>
      </c>
      <c r="C28" s="48" t="s">
        <v>6954</v>
      </c>
    </row>
    <row r="29" spans="1:3">
      <c r="A29" s="49" t="s">
        <v>399</v>
      </c>
      <c r="B29" s="50">
        <v>198</v>
      </c>
      <c r="C29" s="48" t="s">
        <v>6953</v>
      </c>
    </row>
    <row r="30" spans="1:3">
      <c r="A30" s="49" t="s">
        <v>114</v>
      </c>
      <c r="B30" s="50">
        <v>189</v>
      </c>
      <c r="C30" s="48" t="s">
        <v>6953</v>
      </c>
    </row>
    <row r="31" spans="1:3">
      <c r="A31" s="49" t="s">
        <v>160</v>
      </c>
      <c r="B31" s="50">
        <v>128</v>
      </c>
      <c r="C31" s="48" t="s">
        <v>6952</v>
      </c>
    </row>
    <row r="32" spans="1:3">
      <c r="A32" s="51" t="s">
        <v>39</v>
      </c>
      <c r="B32" s="50">
        <v>120</v>
      </c>
      <c r="C32" s="48" t="s">
        <v>6952</v>
      </c>
    </row>
    <row r="33" spans="1:3">
      <c r="A33" s="51" t="s">
        <v>1037</v>
      </c>
      <c r="B33" s="50" t="s">
        <v>6959</v>
      </c>
      <c r="C33" s="53" t="s">
        <v>6960</v>
      </c>
    </row>
    <row r="34" spans="1:3">
      <c r="A34" s="51" t="s">
        <v>1140</v>
      </c>
      <c r="B34" s="50" t="s">
        <v>6961</v>
      </c>
      <c r="C34" s="53" t="s">
        <v>6952</v>
      </c>
    </row>
    <row r="35" spans="1:3">
      <c r="A35" s="52" t="s">
        <v>566</v>
      </c>
      <c r="B35" s="50">
        <v>133</v>
      </c>
      <c r="C35" s="48" t="s">
        <v>6956</v>
      </c>
    </row>
    <row r="36" spans="1:3">
      <c r="A36" s="51" t="s">
        <v>485</v>
      </c>
      <c r="B36" s="50">
        <v>165</v>
      </c>
      <c r="C36" s="48" t="s">
        <v>6952</v>
      </c>
    </row>
    <row r="37" spans="1:3">
      <c r="A37" s="51" t="s">
        <v>495</v>
      </c>
      <c r="B37" s="50">
        <v>194</v>
      </c>
      <c r="C37" s="48" t="s">
        <v>6953</v>
      </c>
    </row>
    <row r="38" spans="1:3">
      <c r="A38" s="51" t="s">
        <v>125</v>
      </c>
      <c r="B38" s="50">
        <v>130</v>
      </c>
      <c r="C38" s="48" t="s">
        <v>6956</v>
      </c>
    </row>
    <row r="39" spans="1:3">
      <c r="A39" s="51" t="s">
        <v>135</v>
      </c>
      <c r="B39" s="50">
        <v>179</v>
      </c>
      <c r="C39" s="48" t="s">
        <v>6954</v>
      </c>
    </row>
    <row r="40" spans="1:3">
      <c r="A40" s="52" t="s">
        <v>139</v>
      </c>
      <c r="B40" s="50">
        <v>191</v>
      </c>
      <c r="C40" s="48" t="s">
        <v>6954</v>
      </c>
    </row>
    <row r="41" spans="1:3">
      <c r="A41" s="49" t="s">
        <v>202</v>
      </c>
      <c r="B41" s="50">
        <v>180</v>
      </c>
      <c r="C41" s="48" t="s">
        <v>6954</v>
      </c>
    </row>
    <row r="42" spans="1:3">
      <c r="A42" s="51" t="s">
        <v>6962</v>
      </c>
      <c r="B42" s="50">
        <v>163</v>
      </c>
      <c r="C42" s="48" t="s">
        <v>6952</v>
      </c>
    </row>
    <row r="43" spans="1:3">
      <c r="A43" s="51" t="s">
        <v>1394</v>
      </c>
      <c r="B43" s="50">
        <v>135</v>
      </c>
      <c r="C43" s="48" t="s">
        <v>6952</v>
      </c>
    </row>
    <row r="44" spans="1:3">
      <c r="A44" s="51" t="s">
        <v>167</v>
      </c>
      <c r="B44" s="50">
        <v>146</v>
      </c>
      <c r="C44" s="48" t="s">
        <v>6954</v>
      </c>
    </row>
    <row r="45" spans="1:3">
      <c r="A45" s="54" t="s">
        <v>303</v>
      </c>
      <c r="B45" s="55" t="s">
        <v>6963</v>
      </c>
      <c r="C45" s="48" t="s">
        <v>6952</v>
      </c>
    </row>
    <row r="46" spans="1:3">
      <c r="A46" s="51" t="s">
        <v>15</v>
      </c>
      <c r="B46" s="50">
        <v>197</v>
      </c>
      <c r="C46" s="48" t="s">
        <v>6953</v>
      </c>
    </row>
    <row r="47" spans="1:3">
      <c r="A47" s="51" t="s">
        <v>64</v>
      </c>
      <c r="B47" s="50">
        <v>145</v>
      </c>
      <c r="C47" s="48" t="s">
        <v>6953</v>
      </c>
    </row>
    <row r="48" spans="1:3">
      <c r="A48" s="51" t="s">
        <v>500</v>
      </c>
      <c r="B48" s="50">
        <v>170</v>
      </c>
      <c r="C48" s="48" t="s">
        <v>6954</v>
      </c>
    </row>
    <row r="49" spans="1:3">
      <c r="A49" s="51" t="s">
        <v>853</v>
      </c>
      <c r="B49" s="50">
        <v>188</v>
      </c>
      <c r="C49" s="48" t="s">
        <v>6953</v>
      </c>
    </row>
    <row r="50" spans="1:3">
      <c r="A50" s="52" t="s">
        <v>323</v>
      </c>
      <c r="B50" s="50">
        <v>156</v>
      </c>
      <c r="C50" s="48" t="s">
        <v>6952</v>
      </c>
    </row>
    <row r="51" spans="1:3">
      <c r="A51" s="51" t="s">
        <v>6964</v>
      </c>
      <c r="B51" s="50">
        <v>151</v>
      </c>
      <c r="C51" s="48" t="s">
        <v>6956</v>
      </c>
    </row>
    <row r="52" spans="1:3">
      <c r="A52" s="51" t="s">
        <v>253</v>
      </c>
      <c r="B52" s="50">
        <v>178</v>
      </c>
      <c r="C52" s="48" t="s">
        <v>6954</v>
      </c>
    </row>
    <row r="53" spans="1:3">
      <c r="A53" s="52" t="s">
        <v>73</v>
      </c>
      <c r="B53" s="50">
        <v>160</v>
      </c>
      <c r="C53" s="48" t="s">
        <v>6952</v>
      </c>
    </row>
    <row r="54" spans="1:3" ht="30">
      <c r="A54" s="52" t="s">
        <v>701</v>
      </c>
      <c r="B54" s="56" t="s">
        <v>6965</v>
      </c>
      <c r="C54" s="57" t="s">
        <v>6952</v>
      </c>
    </row>
    <row r="55" spans="1:3">
      <c r="A55" s="51" t="s">
        <v>6966</v>
      </c>
      <c r="B55" s="50">
        <v>162</v>
      </c>
      <c r="C55" s="48" t="s">
        <v>6952</v>
      </c>
    </row>
    <row r="56" spans="1:3">
      <c r="A56" s="51" t="s">
        <v>264</v>
      </c>
      <c r="B56" s="50">
        <v>142</v>
      </c>
      <c r="C56" s="48" t="s">
        <v>6953</v>
      </c>
    </row>
    <row r="57" spans="1:3">
      <c r="A57" s="52" t="s">
        <v>213</v>
      </c>
      <c r="B57" s="50">
        <v>140</v>
      </c>
      <c r="C57" s="48" t="s">
        <v>6953</v>
      </c>
    </row>
    <row r="58" spans="1:3">
      <c r="A58" s="52" t="s">
        <v>23</v>
      </c>
      <c r="B58" s="50">
        <v>192</v>
      </c>
      <c r="C58" s="48" t="s">
        <v>6954</v>
      </c>
    </row>
    <row r="59" spans="1:3">
      <c r="A59" s="52" t="s">
        <v>119</v>
      </c>
      <c r="B59" s="50">
        <v>131</v>
      </c>
      <c r="C59" s="48" t="s">
        <v>6956</v>
      </c>
    </row>
    <row r="60" spans="1:3">
      <c r="A60" s="51" t="s">
        <v>185</v>
      </c>
      <c r="B60" s="50">
        <v>144</v>
      </c>
      <c r="C60" s="48" t="s">
        <v>6954</v>
      </c>
    </row>
    <row r="61" spans="1:3">
      <c r="A61" s="52" t="s">
        <v>765</v>
      </c>
      <c r="B61" s="50">
        <v>121</v>
      </c>
      <c r="C61" s="48" t="s">
        <v>6952</v>
      </c>
    </row>
    <row r="62" spans="1:3">
      <c r="A62" s="52" t="s">
        <v>43</v>
      </c>
      <c r="B62" s="50">
        <v>210</v>
      </c>
      <c r="C62" s="48" t="s">
        <v>6954</v>
      </c>
    </row>
    <row r="63" spans="1:3">
      <c r="A63" s="52" t="s">
        <v>621</v>
      </c>
      <c r="B63" s="50">
        <v>171</v>
      </c>
      <c r="C63" s="48" t="s">
        <v>6954</v>
      </c>
    </row>
    <row r="64" spans="1:3">
      <c r="A64" s="52" t="s">
        <v>777</v>
      </c>
      <c r="B64" s="50">
        <v>199</v>
      </c>
      <c r="C64" s="48" t="s">
        <v>6953</v>
      </c>
    </row>
    <row r="65" spans="1:3">
      <c r="A65" s="52" t="s">
        <v>311</v>
      </c>
      <c r="B65" s="50">
        <v>139</v>
      </c>
      <c r="C65" s="48" t="s">
        <v>6954</v>
      </c>
    </row>
    <row r="66" spans="1:3">
      <c r="A66" s="52" t="s">
        <v>1162</v>
      </c>
      <c r="B66" s="50">
        <v>137</v>
      </c>
      <c r="C66" s="48" t="s">
        <v>6956</v>
      </c>
    </row>
    <row r="67" spans="1:3">
      <c r="A67" s="51" t="s">
        <v>462</v>
      </c>
      <c r="B67" s="50">
        <v>126</v>
      </c>
      <c r="C67" s="48" t="s">
        <v>6954</v>
      </c>
    </row>
    <row r="68" spans="1:3">
      <c r="A68" s="51" t="s">
        <v>314</v>
      </c>
      <c r="B68" s="50">
        <v>150</v>
      </c>
      <c r="C68" s="48" t="s">
        <v>6952</v>
      </c>
    </row>
    <row r="69" spans="1:3">
      <c r="A69" s="51" t="s">
        <v>969</v>
      </c>
      <c r="B69" s="50">
        <v>129</v>
      </c>
      <c r="C69" s="48" t="s">
        <v>6956</v>
      </c>
    </row>
    <row r="70" spans="1:3">
      <c r="A70" s="54" t="s">
        <v>6967</v>
      </c>
      <c r="B70" s="55" t="s">
        <v>4301</v>
      </c>
      <c r="C70" s="58" t="s">
        <v>4301</v>
      </c>
    </row>
    <row r="71" spans="1:3">
      <c r="A71" s="59" t="s">
        <v>518</v>
      </c>
      <c r="B71" s="60">
        <v>185</v>
      </c>
      <c r="C71" s="48" t="s">
        <v>6954</v>
      </c>
    </row>
    <row r="73" spans="1:3">
      <c r="A73" t="s">
        <v>6968</v>
      </c>
    </row>
    <row r="74" spans="1:3">
      <c r="A74" t="s">
        <v>6969</v>
      </c>
      <c r="B74" s="35">
        <v>102</v>
      </c>
    </row>
    <row r="75" spans="1:3">
      <c r="A75" t="s">
        <v>6970</v>
      </c>
      <c r="B75" s="35">
        <v>122</v>
      </c>
    </row>
    <row r="76" spans="1:3">
      <c r="A76" t="s">
        <v>6971</v>
      </c>
      <c r="B76" s="35">
        <v>123</v>
      </c>
    </row>
    <row r="77" spans="1:3">
      <c r="A77" t="s">
        <v>6972</v>
      </c>
      <c r="B77" s="35">
        <v>134</v>
      </c>
    </row>
    <row r="78" spans="1:3">
      <c r="A78" t="s">
        <v>6973</v>
      </c>
      <c r="B78" s="35">
        <v>166</v>
      </c>
    </row>
    <row r="79" spans="1:3">
      <c r="A79" t="s">
        <v>6974</v>
      </c>
      <c r="B79" s="35">
        <v>169</v>
      </c>
    </row>
    <row r="80" spans="1:3">
      <c r="A80" t="s">
        <v>6975</v>
      </c>
      <c r="B80" s="35">
        <v>172</v>
      </c>
    </row>
    <row r="81" spans="1:2">
      <c r="A81" t="s">
        <v>6976</v>
      </c>
      <c r="B81" s="35">
        <v>187</v>
      </c>
    </row>
    <row r="82" spans="1:2">
      <c r="A82" t="s">
        <v>6977</v>
      </c>
      <c r="B82" s="35">
        <v>196</v>
      </c>
    </row>
  </sheetData>
  <pageMargins left="0.7" right="0.7" top="0.75" bottom="0.75" header="0.3" footer="0.3"/>
  <pageSetup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E97CF4F0A98746B1716E1ACC1C005E" ma:contentTypeVersion="19" ma:contentTypeDescription="Create a new document." ma:contentTypeScope="" ma:versionID="8f98beb8f5fb01bc52cca434255ed481">
  <xsd:schema xmlns:xsd="http://www.w3.org/2001/XMLSchema" xmlns:xs="http://www.w3.org/2001/XMLSchema" xmlns:p="http://schemas.microsoft.com/office/2006/metadata/properties" xmlns:ns1="http://schemas.microsoft.com/sharepoint/v3" xmlns:ns3="2f187c36-1265-408a-8f2f-e44b21add80a" xmlns:ns4="08e0c01c-834a-4da1-8c96-3929513eba2f" targetNamespace="http://schemas.microsoft.com/office/2006/metadata/properties" ma:root="true" ma:fieldsID="2fb4889a634eb7b9b100df3a79fa6e76" ns1:_="" ns3:_="" ns4:_="">
    <xsd:import namespace="http://schemas.microsoft.com/sharepoint/v3"/>
    <xsd:import namespace="2f187c36-1265-408a-8f2f-e44b21add80a"/>
    <xsd:import namespace="08e0c01c-834a-4da1-8c96-3929513eba2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element ref="ns3:_activity" minOccurs="0"/>
                <xsd:element ref="ns3:MediaServiceObjectDetectorVersions" minOccurs="0"/>
                <xsd:element ref="ns3:MediaServiceSearchProperties" minOccurs="0"/>
                <xsd:element ref="ns3:MediaServiceSystemTag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187c36-1265-408a-8f2f-e44b21add8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e0c01c-834a-4da1-8c96-3929513eba2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2f187c36-1265-408a-8f2f-e44b21add8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8EA994-DF5A-4882-944C-CE7380D3A089}"/>
</file>

<file path=customXml/itemProps2.xml><?xml version="1.0" encoding="utf-8"?>
<ds:datastoreItem xmlns:ds="http://schemas.openxmlformats.org/officeDocument/2006/customXml" ds:itemID="{3791FAE7-41E8-4292-8490-BC9FA98BC1DF}"/>
</file>

<file path=customXml/itemProps3.xml><?xml version="1.0" encoding="utf-8"?>
<ds:datastoreItem xmlns:ds="http://schemas.openxmlformats.org/officeDocument/2006/customXml" ds:itemID="{330E2947-F017-47C2-9FB4-583BBA0EB0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Katie Archambault</dc:creator>
  <cp:keywords/>
  <dc:description/>
  <cp:lastModifiedBy/>
  <cp:revision/>
  <dcterms:created xsi:type="dcterms:W3CDTF">2026-02-23T15:36:30Z</dcterms:created>
  <dcterms:modified xsi:type="dcterms:W3CDTF">2026-02-25T17:15:29Z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0x01010054E97CF4F0A98746B1716E1ACC1C005E</vt:lpwstr>
  </property>
</Properties>
</file>